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45903A09-423C-4864-8E5E-71A70B9902EF}" xr6:coauthVersionLast="47" xr6:coauthVersionMax="47" xr10:uidLastSave="{00000000-0000-0000-0000-000000000000}"/>
  <bookViews>
    <workbookView showSheetTabs="0" xWindow="-120" yWindow="-120" windowWidth="29040" windowHeight="15840" tabRatio="865" xr2:uid="{00000000-000D-0000-FFFF-FFFF00000000}"/>
  </bookViews>
  <sheets>
    <sheet name="MENU" sheetId="10" r:id="rId1"/>
    <sheet name="SERVIÇOS" sheetId="2" r:id="rId2"/>
    <sheet name="DADOS CLIENTES" sheetId="4" r:id="rId3"/>
    <sheet name="DADOS FUNCIONÁRIOS" sheetId="6" r:id="rId4"/>
    <sheet name="DADOS SERVICO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SERVICOS'!$A$1:$M$201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  <definedName name="TELA">'DADOS SERVICOS'!$A$1:$N$230</definedName>
  </definedNames>
  <calcPr calcId="191029"/>
  <pivotCaches>
    <pivotCache cacheId="24" r:id="rId10"/>
    <pivotCache cacheId="3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C14" i="2"/>
  <c r="C12" i="2"/>
  <c r="C8" i="2"/>
  <c r="C6" i="2"/>
  <c r="G7" i="2"/>
  <c r="G8" i="2" s="1"/>
  <c r="U3" i="2" s="1"/>
  <c r="F8" i="2"/>
  <c r="H7" i="2"/>
  <c r="L4" i="2"/>
  <c r="F10" i="2" s="1"/>
  <c r="Q2" i="10"/>
  <c r="F12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<sst xmlns="http://schemas.openxmlformats.org/spreadsheetml/2006/main" count="285" uniqueCount="59">
  <si>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</si>
  <si>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</si>
  <si>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</si>
  <si>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</si>
  <si>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</si>
  <si>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</si>
  <si>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</si>
  <si>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</si>
  <si>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</si>
  <si>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</si>
  <si>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</si>
  <si>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</si>
  <si>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DESDE</t>
  </si>
  <si>
    <t>DATA CADASTRO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</si>
  <si>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</si>
  <si>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</si>
  <si>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</si>
  <si>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</si>
  <si>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</si>
  <si>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</si>
  <si>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</si>
  <si>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COMISSÃO</t>
  </si>
  <si>
    <t>Adriane de Carvalho Gomes</t>
  </si>
  <si>
    <t>RH</t>
  </si>
  <si>
    <t>Alon Pinheiro</t>
  </si>
  <si>
    <t>Compras</t>
  </si>
  <si>
    <t>Andressa Rotsztejn</t>
  </si>
  <si>
    <t>Beatriz Leite Júnior</t>
  </si>
  <si>
    <t>Nome</t>
  </si>
  <si>
    <t>CARGO</t>
  </si>
  <si>
    <t>EMAIL</t>
  </si>
  <si>
    <t>RH@minhaempresa.com</t>
  </si>
  <si>
    <t>Compras@minhaempresa.com</t>
  </si>
  <si>
    <t>Marketing@minhaempresa.com</t>
  </si>
  <si>
    <t>Administrativo@minhaempresa.com</t>
  </si>
  <si>
    <t>Admissão</t>
  </si>
  <si>
    <t>Atendente</t>
  </si>
  <si>
    <t>Comissão</t>
  </si>
  <si>
    <t>Valor do Serviço</t>
  </si>
  <si>
    <t>N_PARCELA</t>
  </si>
  <si>
    <t>ATENDENTE:</t>
  </si>
  <si>
    <t>PAGAMENTO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</si>
  <si>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</si>
  <si>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</si>
  <si>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</si>
  <si>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</si>
  <si>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</si>
  <si>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</si>
  <si>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</si>
  <si>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</si>
  <si>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Soma de VALOR PARCELA</t>
  </si>
  <si>
    <t>VALOR DOS DOS SERVICOS</t>
  </si>
  <si>
    <t>MÊS SERVICO</t>
  </si>
  <si>
    <t>ANO SERVICO</t>
  </si>
  <si>
    <t>SERVICO</t>
  </si>
  <si>
    <t>Soma de COMISSÃO</t>
  </si>
  <si>
    <t>(11) - 1111;4556</t>
  </si>
  <si>
    <t>(11) - 1111;6666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</si>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</sst>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rgb="FF00206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3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9" fontId="0" fillId="6" borderId="5" xfId="4" applyFont="1" applyFill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44" fontId="10" fillId="0" borderId="27" xfId="0" applyNumberFormat="1" applyFont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7" borderId="14" xfId="0" applyFill="1" applyBorder="1" applyAlignment="1">
      <alignment horizontal="center"/>
    </xf>
    <xf numFmtId="0" fontId="0" fillId="7" borderId="29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5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3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3" xfId="0" applyBorder="1"/>
    <xf numFmtId="0" fontId="0" fillId="0" borderId="23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4" fontId="0" fillId="0" borderId="30" xfId="0" applyNumberFormat="1" applyBorder="1" applyAlignment="1">
      <alignment horizontal="center" vertical="center"/>
    </xf>
    <xf numFmtId="44" fontId="18" fillId="0" borderId="31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3" xfId="0" pivotButton="1" applyBorder="1"/>
    <xf numFmtId="0" fontId="0" fillId="0" borderId="2" xfId="0" applyBorder="1" applyAlignment="1">
      <alignment horizontal="center"/>
    </xf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4" borderId="26" xfId="0" applyFill="1" applyBorder="1" applyAlignment="1" applyProtection="1">
      <alignment horizontal="left" vertical="center"/>
      <protection locked="0"/>
    </xf>
    <xf numFmtId="14" fontId="0" fillId="4" borderId="27" xfId="0" applyNumberFormat="1" applyFill="1" applyBorder="1" applyAlignment="1" applyProtection="1">
      <alignment horizontal="left" vertical="center"/>
      <protection locked="0"/>
    </xf>
    <xf numFmtId="44" fontId="6" fillId="4" borderId="27" xfId="1" applyFont="1" applyFill="1" applyBorder="1" applyAlignment="1" applyProtection="1">
      <alignment horizontal="left" vertical="center"/>
      <protection locked="0"/>
    </xf>
    <xf numFmtId="0" fontId="0" fillId="4" borderId="27" xfId="0" applyFill="1" applyBorder="1" applyAlignment="1" applyProtection="1">
      <alignment horizontal="center" vertical="center"/>
      <protection locked="0"/>
    </xf>
    <xf numFmtId="0" fontId="0" fillId="7" borderId="13" xfId="0" applyFill="1" applyBorder="1" applyAlignment="1">
      <alignment vertical="center"/>
    </xf>
    <xf numFmtId="0" fontId="0" fillId="7" borderId="14" xfId="0" applyFill="1" applyBorder="1" applyAlignment="1">
      <alignment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14" xfId="0" applyNumberFormat="1" applyFill="1" applyBorder="1" applyAlignment="1">
      <alignment vertical="center"/>
    </xf>
    <xf numFmtId="44" fontId="0" fillId="7" borderId="14" xfId="1" applyFont="1" applyFill="1" applyBorder="1" applyAlignment="1">
      <alignment vertical="center"/>
    </xf>
    <xf numFmtId="0" fontId="0" fillId="7" borderId="29" xfId="0" applyFill="1" applyBorder="1" applyAlignment="1">
      <alignment vertical="center"/>
    </xf>
    <xf numFmtId="43" fontId="0" fillId="7" borderId="14" xfId="3" applyFont="1" applyFill="1" applyBorder="1" applyAlignment="1">
      <alignment vertical="center"/>
    </xf>
    <xf numFmtId="164" fontId="0" fillId="6" borderId="5" xfId="0" applyNumberFormat="1" applyFill="1" applyBorder="1" applyAlignment="1">
      <alignment horizontal="left"/>
    </xf>
    <xf numFmtId="0" fontId="11" fillId="0" borderId="0" xfId="0" pivotButton="1" applyFont="1" applyAlignment="1">
      <alignment horizontal="center"/>
    </xf>
    <xf numFmtId="0" fontId="0" fillId="7" borderId="0" xfId="0" applyFill="1" applyAlignment="1">
      <alignment vertical="center"/>
    </xf>
    <xf numFmtId="14" fontId="0" fillId="7" borderId="0" xfId="0" applyNumberFormat="1" applyFill="1" applyAlignment="1">
      <alignment horizontal="center" vertical="center"/>
    </xf>
    <xf numFmtId="14" fontId="0" fillId="7" borderId="0" xfId="0" applyNumberFormat="1" applyFill="1" applyAlignment="1">
      <alignment vertical="center"/>
    </xf>
    <xf numFmtId="44" fontId="0" fillId="7" borderId="0" xfId="1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43" fontId="0" fillId="7" borderId="0" xfId="3" applyFont="1" applyFill="1" applyBorder="1" applyAlignment="1">
      <alignment vertical="center"/>
    </xf>
    <xf numFmtId="44" fontId="0" fillId="0" borderId="30" xfId="0" applyNumberFormat="1" applyBorder="1"/>
    <xf numFmtId="44" fontId="0" fillId="0" borderId="33" xfId="0" applyNumberFormat="1" applyBorder="1"/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44" fontId="0" fillId="0" borderId="33" xfId="0" applyNumberFormat="1" applyBorder="1" applyAlignment="1">
      <alignment horizontal="center" vertical="center"/>
    </xf>
    <xf numFmtId="0" fontId="0" fillId="0" borderId="32" xfId="0" applyBorder="1"/>
    <xf numFmtId="44" fontId="17" fillId="0" borderId="31" xfId="0" applyNumberFormat="1" applyFont="1" applyBorder="1"/>
    <xf numFmtId="0" fontId="0" fillId="11" borderId="0" xfId="0" applyFill="1" applyAlignment="1">
      <alignment horizontal="center" vertical="center"/>
    </xf>
    <xf numFmtId="44" fontId="10" fillId="4" borderId="28" xfId="1" applyFont="1" applyFill="1" applyBorder="1" applyAlignment="1">
      <alignment horizontal="left" vertical="center"/>
    </xf>
    <xf numFmtId="0" fontId="14" fillId="6" borderId="0" xfId="0" applyFont="1" applyFill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  <xf numFmtId="0" fontId="19" fillId="18" borderId="6" xfId="0" applyFont="1" applyFill="1" applyBorder="1" applyAlignment="1">
      <alignment horizontal="center" vertical="center"/>
    </xf>
    <xf numFmtId="0" fontId="19" fillId="18" borderId="7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19" xfId="0" applyFill="1" applyBorder="1" applyAlignment="1" applyProtection="1">
      <alignment horizontal="left" vertical="center"/>
      <protection locked="0"/>
    </xf>
    <xf numFmtId="0" fontId="0" fillId="6" borderId="24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  <xf numFmtId="0" fontId="0" fillId="7" borderId="0" xfId="0" applyFill="1" applyBorder="1" applyAlignment="1">
      <alignment vertical="center"/>
    </xf>
    <xf numFmtId="14" fontId="0" fillId="7" borderId="0" xfId="0" applyNumberFormat="1" applyFill="1" applyBorder="1" applyAlignment="1">
      <alignment horizontal="center" vertical="center"/>
    </xf>
    <xf numFmtId="14" fontId="0" fillId="7" borderId="0" xfId="0" applyNumberFormat="1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77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SERVICO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EXECUÇÕES</a:t>
          </a:r>
          <a:r>
            <a:rPr lang="pt-BR" sz="2400" b="1" baseline="0"/>
            <a:t> DE SERVIÇOS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8</xdr:col>
      <xdr:colOff>374650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9309100" y="203200"/>
          <a:ext cx="140970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8</xdr:col>
      <xdr:colOff>425450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9423400" y="1289050"/>
          <a:ext cx="134620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0</xdr:row>
      <xdr:rowOff>600075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76202</xdr:colOff>
      <xdr:row>0</xdr:row>
      <xdr:rowOff>57150</xdr:rowOff>
    </xdr:from>
    <xdr:to>
      <xdr:col>6</xdr:col>
      <xdr:colOff>981076</xdr:colOff>
      <xdr:row>0</xdr:row>
      <xdr:rowOff>638175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38952" y="57150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1</xdr:row>
      <xdr:rowOff>1049</xdr:rowOff>
    </xdr:from>
    <xdr:to>
      <xdr:col>5</xdr:col>
      <xdr:colOff>191764</xdr:colOff>
      <xdr:row>16</xdr:row>
      <xdr:rowOff>162278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188238</xdr:colOff>
      <xdr:row>16</xdr:row>
      <xdr:rowOff>169334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</a:t>
          </a:r>
          <a:r>
            <a:rPr lang="pt-BR" sz="2400" b="1" baseline="0">
              <a:solidFill>
                <a:schemeClr val="bg1"/>
              </a:solidFill>
            </a:rPr>
            <a:t> DOS SERVIÇOS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1220612</xdr:colOff>
      <xdr:row>12</xdr:row>
      <xdr:rowOff>95602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0" y="600075"/>
              <a:ext cx="1125362" cy="24059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67734</xdr:colOff>
      <xdr:row>0</xdr:row>
      <xdr:rowOff>581025</xdr:rowOff>
    </xdr:from>
    <xdr:to>
      <xdr:col>2</xdr:col>
      <xdr:colOff>1199445</xdr:colOff>
      <xdr:row>12</xdr:row>
      <xdr:rowOff>76552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401" y="581025"/>
              <a:ext cx="1311627" cy="24059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rgbClr val="FFFF00"/>
              </a:solidFill>
            </a:rPr>
            <a:t>RESUMO</a:t>
          </a:r>
          <a:r>
            <a:rPr lang="pt-BR" sz="2400" b="1" baseline="0">
              <a:solidFill>
                <a:srgbClr val="FFFF00"/>
              </a:solidFill>
            </a:rPr>
            <a:t> DAS COMISSÕES</a:t>
          </a:r>
          <a:endParaRPr lang="pt-BR" sz="2400" b="1">
            <a:solidFill>
              <a:srgbClr val="FFFF00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9.578447222222" createdVersion="8" refreshedVersion="8" minRefreshableVersion="3" recordCount="202" xr:uid="{5DA872E5-8AB0-4F23-A78F-3FB68F4D8A65}">
  <cacheSource type="worksheet">
    <worksheetSource ref="A1:M1048576" sheet="DADOS SERVICOS"/>
  </cacheSource>
  <cacheFields count="13">
    <cacheField name="NOME" numFmtId="0">
      <sharedItems containsBlank="1" count="12">
        <s v=""/>
        <m/>
        <s v="JOAO NINGUEM" u="1"/>
        <s v="Carolina Codeceira" u="1"/>
        <s v="Beatriz Leite Júnior" u="1"/>
        <s v="Thaís Ribeiro" u="1"/>
        <s v="SICRANO DA SILVA" u="1"/>
        <s v="Marcela de Freitas" u="1"/>
        <s v="Matheus de Souza  " u="1"/>
        <s v="Elvis de Freitas Derossi" u="1"/>
        <s v="Isabella Ronfini" u="1"/>
        <s v="Bruna dos Santos Gomes" u="1"/>
      </sharedItems>
    </cacheField>
    <cacheField name="CPF" numFmtId="0">
      <sharedItems containsBlank="1"/>
    </cacheField>
    <cacheField name="SERVIÇO" numFmtId="0">
      <sharedItems containsBlank="1" count="15">
        <s v=""/>
        <m/>
        <s v="rtetey" u="1"/>
        <s v="Mão " u="1"/>
        <s v="CABE" u="1"/>
        <s v="CABIDE" u="1"/>
        <s v="outra coisa" u="1"/>
        <s v="SILIOS" u="1"/>
        <s v="PÉ" u="1"/>
        <s v="devlaos" u="1"/>
        <s v="JARDIM" u="1"/>
        <s v="VIAGEM" u="1"/>
        <s v="Cabelo" u="1"/>
        <s v="desvanieo" u="1"/>
        <s v="de nco" u="1"/>
      </sharedItems>
    </cacheField>
    <cacheField name="DATA SERVIÇO" numFmtId="14">
      <sharedItems containsDate="1" containsBlank="1" containsMixedTypes="1" minDate="2022-02-14T00:00:00" maxDate="2025-06-11T00:00:00" count="20">
        <s v=""/>
        <m/>
        <d v="2023-03-02T00:00:00" u="1"/>
        <d v="2024-05-31T00:00:00" u="1"/>
        <d v="2025-06-10T00:00:00" u="1"/>
        <d v="2023-04-12T00:00:00" u="1"/>
        <d v="2022-02-14T00:00:00" u="1"/>
        <d v="2024-04-05T00:00:00" u="1"/>
        <d v="2023-01-02T00:00:00" u="1"/>
        <d v="2023-03-12T00:00:00" u="1"/>
        <d v="2022-06-01T00:00:00" u="1"/>
        <d v="2023-03-05T00:00:00" u="1"/>
        <d v="2022-12-12T00:00:00" u="1"/>
        <d v="2023-03-15T00:00:00" u="1"/>
        <d v="2023-06-04T00:00:00" u="1"/>
        <d v="2022-10-10T00:00:00" u="1"/>
        <d v="2023-04-30T00:00:00" u="1"/>
        <d v="2024-02-13T00:00:00" u="1"/>
        <d v="2023-10-01T00:00:00" u="1"/>
        <d v="2023-04-21T00:00:00" u="1"/>
      </sharedItems>
    </cacheField>
    <cacheField name="PAGAMENTO" numFmtId="14">
      <sharedItems containsBlank="1"/>
    </cacheField>
    <cacheField name="VALOR SERVIÇO" numFmtId="44">
      <sharedItems containsBlank="1"/>
    </cacheField>
    <cacheField name="PARCELAS" numFmtId="0">
      <sharedItems containsBlank="1" containsMixedTypes="1" containsNumber="1" containsInteger="1" minValue="3" maxValue="12" count="10">
        <s v=""/>
        <m/>
        <n v="5" u="1"/>
        <n v="7" u="1"/>
        <n v="3" u="1"/>
        <n v="8" u="1"/>
        <n v="9" u="1"/>
        <n v="10" u="1"/>
        <n v="4" u="1"/>
        <n v="12" u="1"/>
      </sharedItems>
    </cacheField>
    <cacheField name="N_PARCELA" numFmtId="0">
      <sharedItems containsBlank="1" containsMixedTypes="1" containsNumber="1" containsInteger="1" minValue="1" maxValue="12" count="14">
        <s v=""/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VALOR PARCELA" numFmtId="44">
      <sharedItems containsBlank="1"/>
    </cacheField>
    <cacheField name="MÊS SERVIÇO" numFmtId="0">
      <sharedItems containsBlank="1" containsMixedTypes="1" containsNumber="1" containsInteger="1" minValue="1" maxValue="12" count="10">
        <s v=""/>
        <m/>
        <n v="5" u="1"/>
        <n v="2" u="1"/>
        <n v="6" u="1"/>
        <n v="1" u="1"/>
        <n v="3" u="1"/>
        <n v="10" u="1"/>
        <n v="4" u="1"/>
        <n v="12" u="1"/>
      </sharedItems>
    </cacheField>
    <cacheField name="ANO SERVIÇO" numFmtId="0">
      <sharedItems containsBlank="1" containsMixedTypes="1" containsNumber="1" containsInteger="1" minValue="2022" maxValue="2025" count="6">
        <s v=""/>
        <m/>
        <n v="2022" u="1"/>
        <n v="2025" u="1"/>
        <n v="2023" u="1"/>
        <n v="2024" u="1"/>
      </sharedItems>
    </cacheField>
    <cacheField name="MÊS PAGAMENTO" numFmtId="0">
      <sharedItems containsBlank="1" containsMixedTypes="1" containsNumber="1" containsInteger="1" minValue="1" maxValue="12" count="14">
        <s v=""/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ANO PAGAMENTO" numFmtId="0">
      <sharedItems containsBlank="1" containsMixedTypes="1" containsNumber="1" containsInteger="1" minValue="2022" maxValue="2026" count="7">
        <s v=""/>
        <m/>
        <n v="2022" u="1"/>
        <n v="2025" u="1"/>
        <n v="2023" u="1"/>
        <n v="2026" u="1"/>
        <n v="2024" u="1"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9.57845173611" createdVersion="8" refreshedVersion="8" minRefreshableVersion="3" recordCount="2" xr:uid="{1A54CCBD-93F6-4711-AEA5-D48CE85FE5CD}">
  <cacheSource type="worksheet">
    <worksheetSource ref="A1:F1048576" sheet="COMISSÕES"/>
  </cacheSource>
  <cacheFields count="6">
    <cacheField name="NOME" numFmtId="0">
      <sharedItems containsNonDate="0" containsBlank="1" count="8">
        <m/>
        <s v="Carolina Codeceira" u="1"/>
        <s v="Menina das Flores" u="1"/>
        <s v="Alon Pinheiro" u="1"/>
        <s v="Bruna dos Santos Gomes" u="1"/>
        <s v="Beatriz Leite Júnior" u="1"/>
        <s v="Andressa Rotsztejn" u="1"/>
        <s v="Adriane de Carvalho Gomes" u="1"/>
      </sharedItems>
    </cacheField>
    <cacheField name="SERVICO" numFmtId="0">
      <sharedItems containsNonDate="0" containsBlank="1" count="8">
        <m/>
        <s v="CABIDE" u="1"/>
        <s v="PÉ" u="1"/>
        <s v="Mão " u="1"/>
        <s v="SILIOS" u="1"/>
        <s v="Cabelo" u="1"/>
        <s v="JARDIM" u="1"/>
        <s v="CABE" u="1"/>
      </sharedItems>
    </cacheField>
    <cacheField name="DATA SERVIÇO" numFmtId="0">
      <sharedItems containsNonDate="0" containsString="0" containsBlank="1"/>
    </cacheField>
    <cacheField name="COMISSÃO" numFmtId="43">
      <sharedItems containsBlank="1"/>
    </cacheField>
    <cacheField name="MÊS SERVICO" numFmtId="0">
      <sharedItems containsString="0" containsBlank="1" containsNumber="1" containsInteger="1" minValue="1" maxValue="12" count="9">
        <n v="1"/>
        <m/>
        <n v="12" u="1"/>
        <n v="6" u="1"/>
        <n v="3" u="1"/>
        <n v="7" u="1"/>
        <n v="4" u="1"/>
        <n v="9" u="1"/>
        <n v="10" u="1"/>
      </sharedItems>
    </cacheField>
    <cacheField name="ANO SERVICO" numFmtId="0">
      <sharedItems containsString="0" containsBlank="1" containsNumber="1" containsInteger="1" minValue="1900" maxValue="2025" count="6">
        <n v="1900"/>
        <m/>
        <n v="2022" u="1"/>
        <n v="2023" u="1"/>
        <n v="2024" u="1"/>
        <n v="2025" u="1"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2"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0"/>
    <s v=""/>
    <x v="0"/>
    <x v="0"/>
    <s v=""/>
    <s v=""/>
    <x v="0"/>
    <x v="0"/>
    <s v=""/>
    <x v="0"/>
    <x v="0"/>
    <x v="0"/>
    <x v="0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  <r>
    <x v="1"/>
    <m/>
    <x v="1"/>
    <x v="1"/>
    <m/>
    <m/>
    <x v="1"/>
    <x v="1"/>
    <m/>
    <x v="1"/>
    <x v="1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m/>
    <e v="#N/A"/>
    <x v="0"/>
    <x v="0"/>
  </r>
  <r>
    <x v="0"/>
    <x v="0"/>
    <m/>
    <m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7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m="1" x="6"/>
        <item m="1" x="3"/>
        <item m="1" x="7"/>
        <item m="1" x="12"/>
        <item m="1" x="2"/>
        <item m="1" x="4"/>
        <item m="1" x="5"/>
        <item m="1" x="8"/>
        <item m="1" x="9"/>
        <item m="1" x="10"/>
        <item m="1" x="11"/>
        <item m="1" x="13"/>
        <item x="1"/>
        <item x="0"/>
      </items>
    </pivotField>
    <pivotField name="ANO" axis="axisRow" compact="0" outline="0" showAll="0" insertBlankRow="1" defaultSubtotal="0">
      <items count="7">
        <item m="1" x="2"/>
        <item m="1" x="4"/>
        <item m="1" x="6"/>
        <item x="1"/>
        <item m="1" x="3"/>
        <item x="0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5">
    <i>
      <x v="3"/>
      <x v="12"/>
    </i>
    <i t="blank">
      <x v="3"/>
    </i>
    <i>
      <x v="5"/>
      <x v="13"/>
    </i>
    <i t="blank">
      <x v="5"/>
    </i>
    <i t="grand">
      <x/>
    </i>
  </rowItems>
  <colItems count="1">
    <i/>
  </colItems>
  <dataFields count="1">
    <dataField name="PAGAMENTOS" fld="8" baseField="3" baseItem="0" numFmtId="44"/>
  </dataFields>
  <formats count="23">
    <format dxfId="121">
      <pivotArea field="11" type="button" dataOnly="0" labelOnly="1" outline="0" axis="axisRow" fieldPosition="1"/>
    </format>
    <format dxfId="120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19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18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17">
      <pivotArea field="12" type="button" dataOnly="0" labelOnly="1" outline="0" axis="axisRow" fieldPosition="0"/>
    </format>
    <format dxfId="116">
      <pivotArea dataOnly="0" labelOnly="1" outline="0" fieldPosition="0">
        <references count="1">
          <reference field="12" count="1">
            <x v="1"/>
          </reference>
        </references>
      </pivotArea>
    </format>
    <format dxfId="115">
      <pivotArea dataOnly="0" labelOnly="1" outline="0" fieldPosition="0">
        <references count="1">
          <reference field="12" count="1">
            <x v="2"/>
          </reference>
        </references>
      </pivotArea>
    </format>
    <format dxfId="114">
      <pivotArea dataOnly="0" labelOnly="1" outline="0" fieldPosition="0">
        <references count="1">
          <reference field="12" count="1">
            <x v="3"/>
          </reference>
        </references>
      </pivotArea>
    </format>
    <format dxfId="113">
      <pivotArea dataOnly="0" labelOnly="1" outline="0" fieldPosition="0">
        <references count="1">
          <reference field="12" count="1">
            <x v="5"/>
          </reference>
        </references>
      </pivotArea>
    </format>
    <format dxfId="112">
      <pivotArea dataOnly="0" labelOnly="1" grandRow="1" outline="0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12" type="button" dataOnly="0" labelOnly="1" outline="0" axis="axisRow" fieldPosition="0"/>
    </format>
    <format dxfId="108">
      <pivotArea field="11" type="button" dataOnly="0" labelOnly="1" outline="0" axis="axisRow" fieldPosition="1"/>
    </format>
    <format dxfId="107">
      <pivotArea dataOnly="0" labelOnly="1" outline="0" fieldPosition="0">
        <references count="1">
          <reference field="12" count="0"/>
        </references>
      </pivotArea>
    </format>
    <format dxfId="106">
      <pivotArea dataOnly="0" labelOnly="1" grandRow="1" outline="0" fieldPosition="0"/>
    </format>
    <format dxfId="105">
      <pivotArea dataOnly="0" labelOnly="1" outline="0" fieldPosition="0">
        <references count="2">
          <reference field="11" count="9"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04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03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02">
      <pivotArea dataOnly="0" labelOnly="1" outline="0" fieldPosition="0">
        <references count="2">
          <reference field="11" count="6">
            <x v="6"/>
            <x v="7"/>
            <x v="8"/>
            <x v="9"/>
            <x v="10"/>
            <x v="11"/>
          </reference>
          <reference field="12" count="1" selected="0">
            <x v="4"/>
          </reference>
        </references>
      </pivotArea>
    </format>
    <format dxfId="101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00">
      <pivotArea dataOnly="0" labelOnly="1" outline="0" fieldPosition="0">
        <references count="2">
          <reference field="11" count="1">
            <x v="0"/>
          </reference>
          <reference field="12" count="1" selected="0">
            <x v="6"/>
          </reference>
        </references>
      </pivotArea>
    </format>
    <format dxfId="9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24" applyNumberFormats="0" applyBorderFormats="0" applyFontFormats="0" applyPatternFormats="0" applyAlignmentFormats="0" applyWidthHeightFormats="1" dataCaption="Valores" showMissing="0" updatedVersion="8" minRefreshableVersion="3" itemPrintTitles="1" createdVersion="8" indent="127" compact="0" compactData="0" multipleFieldFilters="0">
  <location ref="K2:Q7" firstHeaderRow="1" firstDataRow="1" firstDataCol="6"/>
  <pivotFields count="13">
    <pivotField axis="axisRow" compact="0" outline="0" showAll="0" defaultSubtotal="0">
      <items count="12">
        <item x="0"/>
        <item m="1" x="11"/>
        <item m="1" x="10"/>
        <item m="1" x="2"/>
        <item m="1" x="8"/>
        <item m="1" x="6"/>
        <item x="1"/>
        <item m="1" x="7"/>
        <item m="1" x="4"/>
        <item m="1" x="9"/>
        <item m="1" x="3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5">
        <item x="0"/>
        <item m="1" x="14"/>
        <item m="1" x="13"/>
        <item m="1" x="9"/>
        <item m="1" x="6"/>
        <item m="1" x="2"/>
        <item x="1"/>
        <item m="1" x="11"/>
        <item m="1" x="10"/>
        <item m="1" x="5"/>
        <item m="1" x="4"/>
        <item m="1" x="12"/>
        <item m="1" x="3"/>
        <item m="1" x="8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">
        <item m="1" x="4"/>
        <item m="1" x="8"/>
        <item m="1" x="2"/>
        <item m="1" x="3"/>
        <item m="1" x="7"/>
        <item m="1" x="9"/>
        <item x="1"/>
        <item m="1" x="5"/>
        <item x="0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m="1" x="6"/>
        <item m="1" x="3"/>
        <item m="1" x="7"/>
        <item m="1" x="12"/>
        <item m="1" x="2"/>
        <item m="1" x="4"/>
        <item m="1" x="5"/>
        <item m="1" x="8"/>
        <item m="1" x="9"/>
        <item m="1" x="10"/>
        <item m="1" x="11"/>
        <item m="1" x="1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m="1" x="6"/>
        <item m="1" x="3"/>
        <item m="1" x="7"/>
        <item m="1" x="12"/>
        <item m="1" x="2"/>
        <item m="1" x="4"/>
        <item m="1" x="5"/>
        <item m="1" x="8"/>
        <item m="1" x="9"/>
        <item m="1" x="10"/>
        <item m="1" x="11"/>
        <item m="1" x="13"/>
        <item x="1"/>
        <item x="0"/>
      </items>
    </pivotField>
    <pivotField name="ANO" axis="axisRow" compact="0" outline="0" showAll="0" defaultSubtotal="0">
      <items count="7">
        <item m="1" x="2"/>
        <item m="1" x="4"/>
        <item m="1" x="6"/>
        <item x="1"/>
        <item m="1" x="3"/>
        <item x="0"/>
        <item m="1" x="5"/>
      </items>
    </pivotField>
  </pivotFields>
  <rowFields count="6">
    <field x="0"/>
    <field x="2"/>
    <field x="6"/>
    <field x="7"/>
    <field x="11"/>
    <field x="12"/>
  </rowFields>
  <rowItems count="5">
    <i>
      <x/>
      <x/>
      <x v="8"/>
      <x v="13"/>
      <x v="13"/>
      <x v="5"/>
    </i>
    <i t="blank" r="3">
      <x v="13"/>
    </i>
    <i>
      <x v="6"/>
      <x v="6"/>
      <x v="6"/>
      <x v="12"/>
      <x v="12"/>
      <x v="3"/>
    </i>
    <i t="blank" r="3">
      <x v="12"/>
    </i>
    <i t="grand">
      <x/>
    </i>
  </rowItems>
  <colItems count="1">
    <i/>
  </colItems>
  <dataFields count="1">
    <dataField name="VALOR PARCELAS" fld="8" baseField="12" baseItem="0" numFmtId="44"/>
  </dataFields>
  <formats count="9"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collapsedLevelsAreSubtotals="1" fieldPosition="0"/>
    </format>
    <format dxfId="128">
      <pivotArea dataOnly="0" labelOnly="1" outline="0" axis="axisValues" fieldPosition="0"/>
    </format>
    <format dxfId="127">
      <pivotArea field="7" type="button" dataOnly="0" labelOnly="1" outline="0" axis="axisRow" fieldPosition="3"/>
    </format>
    <format dxfId="126">
      <pivotArea field="7" type="button" dataOnly="0" labelOnly="1" outline="0" axis="axisRow" fieldPosition="3"/>
    </format>
    <format dxfId="125">
      <pivotArea field="6" type="button" dataOnly="0" labelOnly="1" outline="0" axis="axisRow" fieldPosition="2"/>
    </format>
    <format dxfId="124">
      <pivotArea field="7" type="button" dataOnly="0" labelOnly="1" outline="0" axis="axisRow" fieldPosition="3"/>
    </format>
    <format dxfId="123">
      <pivotArea field="11" type="button" dataOnly="0" labelOnly="1" outline="0" axis="axisRow" fieldPosition="4"/>
    </format>
    <format dxfId="122">
      <pivotArea field="12" type="button" dataOnly="0" labelOnly="1" outline="0" axis="axisRow" fieldPosition="5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2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m="1" x="6"/>
        <item m="1" x="3"/>
        <item m="1" x="7"/>
        <item m="1" x="12"/>
        <item m="1" x="2"/>
        <item m="1" x="4"/>
        <item m="1" x="5"/>
        <item m="1" x="8"/>
        <item m="1" x="9"/>
        <item m="1" x="10"/>
        <item m="1" x="11"/>
        <item m="1" x="13"/>
        <item x="0"/>
        <item x="1"/>
      </items>
    </pivotField>
    <pivotField name="ANO" axis="axisRow" compact="0" outline="0" showAll="0" insertBlankRow="1" defaultSubtotal="0">
      <items count="7">
        <item m="1" x="2"/>
        <item m="1" x="4"/>
        <item m="1" x="6"/>
        <item x="1"/>
        <item m="1" x="3"/>
        <item x="0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3">
    <i>
      <x v="3"/>
    </i>
    <i>
      <x v="5"/>
    </i>
    <i t="grand">
      <x/>
    </i>
  </rowItems>
  <colItems count="1">
    <i/>
  </colItems>
  <dataFields count="1">
    <dataField name="PAGAMENTOS" fld="8" baseField="3" baseItem="0" numFmtId="44"/>
  </dataFields>
  <formats count="25">
    <format dxfId="155">
      <pivotArea type="all" dataOnly="0" outline="0" fieldPosition="0"/>
    </format>
    <format dxfId="154">
      <pivotArea outline="0" collapsedLevelsAreSubtotals="1" fieldPosition="0"/>
    </format>
    <format dxfId="153">
      <pivotArea field="12" type="button" dataOnly="0" labelOnly="1" outline="0" axis="axisRow" fieldPosition="0"/>
    </format>
    <format dxfId="152">
      <pivotArea dataOnly="0" labelOnly="1" outline="0" fieldPosition="0">
        <references count="1">
          <reference field="12" count="0"/>
        </references>
      </pivotArea>
    </format>
    <format dxfId="151">
      <pivotArea dataOnly="0" labelOnly="1" grandRow="1" outline="0" fieldPosition="0"/>
    </format>
    <format dxfId="150">
      <pivotArea dataOnly="0" labelOnly="1" outline="0" axis="axisValues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12" type="button" dataOnly="0" labelOnly="1" outline="0" axis="axisRow" fieldPosition="0"/>
    </format>
    <format dxfId="146">
      <pivotArea dataOnly="0" labelOnly="1" outline="0" fieldPosition="0">
        <references count="1">
          <reference field="12" count="0"/>
        </references>
      </pivotArea>
    </format>
    <format dxfId="145">
      <pivotArea dataOnly="0" labelOnly="1" grandRow="1" outline="0" fieldPosition="0"/>
    </format>
    <format dxfId="144">
      <pivotArea dataOnly="0" labelOnly="1" outline="0" axis="axisValues" fieldPosition="0"/>
    </format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12" type="button" dataOnly="0" labelOnly="1" outline="0" axis="axisRow" fieldPosition="0"/>
    </format>
    <format dxfId="140">
      <pivotArea dataOnly="0" labelOnly="1" outline="0" fieldPosition="0">
        <references count="1">
          <reference field="12" count="0"/>
        </references>
      </pivotArea>
    </format>
    <format dxfId="139">
      <pivotArea dataOnly="0" labelOnly="1" grandRow="1" outline="0" fieldPosition="0"/>
    </format>
    <format dxfId="138">
      <pivotArea dataOnly="0" labelOnly="1" outline="0" axis="axisValues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dataOnly="0" labelOnly="1" outline="0" fieldPosition="0">
        <references count="1">
          <reference field="12" count="0"/>
        </references>
      </pivotArea>
    </format>
    <format dxfId="134">
      <pivotArea field="12" type="button" dataOnly="0" labelOnly="1" outline="0" axis="axisRow" fieldPosition="0"/>
    </format>
    <format dxfId="133">
      <pivotArea dataOnly="0" labelOnly="1" outline="0" axis="axisValues" fieldPosition="0"/>
    </format>
    <format dxfId="132">
      <pivotArea grandRow="1" outline="0" collapsedLevelsAreSubtotals="1" fieldPosition="0"/>
    </format>
    <format dxfId="13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24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 fieldListSortAscending="1">
  <location ref="G2:I5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10">
        <item m="1" x="3"/>
        <item m="1" x="6"/>
        <item m="1" x="8"/>
        <item m="1" x="2"/>
        <item x="1"/>
        <item m="1" x="4"/>
        <item x="0"/>
        <item m="1" x="7"/>
        <item m="1" x="5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2"/>
        <item m="1" x="4"/>
        <item m="1" x="5"/>
        <item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3">
    <i>
      <x v="3"/>
      <x v="4"/>
    </i>
    <i>
      <x v="4"/>
      <x v="6"/>
    </i>
    <i t="grand">
      <x/>
    </i>
  </rowItems>
  <colItems count="1">
    <i/>
  </colItems>
  <dataFields count="1">
    <dataField name="VALOR DOS DOS SERVICOS" fld="8" baseField="9" baseItem="0" numFmtId="44"/>
  </dataFields>
  <formats count="42">
    <format dxfId="73">
      <pivotArea field="10" type="button" dataOnly="0" labelOnly="1" outline="0" axis="axisRow" fieldPosition="0"/>
    </format>
    <format dxfId="72">
      <pivotArea dataOnly="0" labelOnly="1" outline="0" fieldPosition="0">
        <references count="1">
          <reference field="10" count="0"/>
        </references>
      </pivotArea>
    </format>
    <format dxfId="71">
      <pivotArea dataOnly="0" labelOnly="1" grandRow="1" outline="0" fieldPosition="0"/>
    </format>
    <format dxfId="70">
      <pivotArea field="9" type="button" dataOnly="0" labelOnly="1" outline="0" axis="axisRow" fieldPosition="1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10" type="button" dataOnly="0" labelOnly="1" outline="0" axis="axisRow" fieldPosition="0"/>
    </format>
    <format dxfId="66">
      <pivotArea field="9" type="button" dataOnly="0" labelOnly="1" outline="0" axis="axisRow" fieldPosition="1"/>
    </format>
    <format dxfId="65">
      <pivotArea dataOnly="0" labelOnly="1" outline="0" fieldPosition="0">
        <references count="1">
          <reference field="10" count="0"/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62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61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60">
      <pivotArea dataOnly="0" labelOnly="1" outline="0" axis="axisValues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0" type="button" dataOnly="0" labelOnly="1" outline="0" axis="axisRow" fieldPosition="0"/>
    </format>
    <format dxfId="56">
      <pivotArea field="9" type="button" dataOnly="0" labelOnly="1" outline="0" axis="axisRow" fieldPosition="1"/>
    </format>
    <format dxfId="55">
      <pivotArea dataOnly="0" labelOnly="1" outline="0" fieldPosition="0">
        <references count="1">
          <reference field="10" count="0"/>
        </references>
      </pivotArea>
    </format>
    <format dxfId="54">
      <pivotArea dataOnly="0" labelOnly="1" grandRow="1" outline="0" fieldPosition="0"/>
    </format>
    <format dxfId="53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52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51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46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45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44">
      <pivotArea dataOnly="0" labelOnly="1" outline="0" axis="axisValues" fieldPosition="0"/>
    </format>
    <format dxfId="43">
      <pivotArea grandRow="1" outline="0" collapsedLevelsAreSubtotals="1" fieldPosition="0"/>
    </format>
    <format dxfId="42">
      <pivotArea grandRow="1" outline="0" collapsedLevelsAreSubtotals="1" fieldPosition="0"/>
    </format>
    <format dxfId="41">
      <pivotArea grandRow="1" outline="0" collapsedLevelsAreSubtotals="1" fieldPosition="0"/>
    </format>
    <format dxfId="40">
      <pivotArea field="10" type="button" dataOnly="0" labelOnly="1" outline="0" axis="axisRow" fieldPosition="0"/>
    </format>
    <format dxfId="39">
      <pivotArea field="9" type="button" dataOnly="0" labelOnly="1" outline="0" axis="axisRow" fieldPosition="1"/>
    </format>
    <format dxfId="38">
      <pivotArea dataOnly="0" labelOnly="1" outline="0" fieldPosition="0">
        <references count="1">
          <reference field="10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2">
          <reference field="9" count="3">
            <x v="1"/>
            <x v="5"/>
            <x v="7"/>
          </reference>
          <reference field="10" count="1" selected="0">
            <x v="1"/>
          </reference>
        </references>
      </pivotArea>
    </format>
    <format dxfId="35">
      <pivotArea dataOnly="0" labelOnly="1" outline="0" fieldPosition="0">
        <references count="2">
          <reference field="9" count="1">
            <x v="0"/>
          </reference>
          <reference field="10" count="1" selected="0">
            <x v="2"/>
          </reference>
        </references>
      </pivotArea>
    </format>
    <format dxfId="34">
      <pivotArea dataOnly="0" labelOnly="1" outline="0" fieldPosition="0">
        <references count="2">
          <reference field="9" count="1">
            <x v="4"/>
          </reference>
          <reference field="10" count="1" selected="0">
            <x v="3"/>
          </reference>
        </references>
      </pivotArea>
    </format>
    <format dxfId="33">
      <pivotArea dataOnly="0" labelOnly="1" outline="0" fieldPosition="0">
        <references count="2">
          <reference field="9" count="1">
            <x v="6"/>
          </reference>
          <reference field="10" count="1" selected="0">
            <x v="4"/>
          </reference>
        </references>
      </pivotArea>
    </format>
    <format dxfId="32">
      <pivotArea dataOnly="0" labelOnly="1" outline="0" fieldPosition="0">
        <references count="2">
          <reference field="9" count="1">
            <x v="5"/>
          </reference>
          <reference field="10" count="1" selected="0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5" firstHeaderRow="1" firstDataRow="1" firstDataCol="3"/>
  <pivotFields count="13">
    <pivotField axis="axisRow" compact="0" outline="0" showAll="0" defaultSubtotal="0">
      <items count="12">
        <item x="0"/>
        <item m="1" x="11"/>
        <item m="1" x="10"/>
        <item m="1" x="2"/>
        <item m="1" x="8"/>
        <item m="1" x="6"/>
        <item x="1"/>
        <item m="1" x="7"/>
        <item m="1" x="4"/>
        <item m="1" x="9"/>
        <item m="1" x="3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5">
        <item x="0"/>
        <item m="1" x="14"/>
        <item m="1" x="13"/>
        <item m="1" x="9"/>
        <item m="1" x="10"/>
        <item m="1" x="6"/>
        <item m="1" x="2"/>
        <item m="1" x="11"/>
        <item x="1"/>
        <item m="1" x="5"/>
        <item m="1" x="4"/>
        <item m="1" x="12"/>
        <item m="1" x="3"/>
        <item m="1" x="8"/>
        <item m="1" x="7"/>
      </items>
    </pivotField>
    <pivotField axis="axisRow" compact="0" outline="0" showAll="0" defaultSubtotal="0">
      <items count="20">
        <item m="1" x="6"/>
        <item m="1" x="13"/>
        <item m="1" x="5"/>
        <item m="1" x="19"/>
        <item m="1" x="3"/>
        <item x="1"/>
        <item m="1" x="16"/>
        <item m="1" x="7"/>
        <item m="1" x="11"/>
        <item m="1" x="10"/>
        <item m="1" x="9"/>
        <item sd="0" x="0"/>
        <item m="1" x="18"/>
        <item m="1" x="14"/>
        <item m="1" x="17"/>
        <item m="1" x="4"/>
        <item m="1" x="2"/>
        <item m="1" x="8"/>
        <item m="1" x="12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10">
        <item m="1" x="5"/>
        <item m="1" x="3"/>
        <item m="1" x="6"/>
        <item m="1" x="8"/>
        <item m="1" x="2"/>
        <item m="1" x="4"/>
        <item m="1" x="7"/>
        <item m="1" x="9"/>
        <item x="0"/>
        <item x="1"/>
      </items>
    </pivotField>
    <pivotField compact="0" outline="0" showAll="0" defaultSubtotal="0">
      <items count="6">
        <item m="1" x="2"/>
        <item m="1" x="4"/>
        <item m="1" x="5"/>
        <item m="1" x="3"/>
        <item x="0"/>
        <item x="1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3">
    <i>
      <x v="5"/>
      <x v="6"/>
      <x v="8"/>
    </i>
    <i>
      <x v="11"/>
    </i>
    <i t="grand">
      <x/>
    </i>
  </rowItems>
  <colItems count="1">
    <i/>
  </colItems>
  <dataFields count="1">
    <dataField name="Soma de VALOR PARCELA" fld="8" baseField="2" baseItem="1" numFmtId="44"/>
  </dataFields>
  <formats count="25">
    <format dxfId="98">
      <pivotArea field="3" type="button" dataOnly="0" labelOnly="1" outline="0" axis="axisRow" fieldPosition="0"/>
    </format>
    <format dxfId="97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3" type="button" dataOnly="0" labelOnly="1" outline="0" axis="axisRow" fieldPosition="0"/>
    </format>
    <format dxfId="92">
      <pivotArea field="0" type="button" dataOnly="0" labelOnly="1" outline="0" axis="axisRow" fieldPosition="1"/>
    </format>
    <format dxfId="91">
      <pivotArea field="2" type="button" dataOnly="0" labelOnly="1" outline="0" axis="axisRow" fieldPosition="2"/>
    </format>
    <format dxfId="90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89">
      <pivotArea dataOnly="0" labelOnly="1" grandRow="1" outline="0" fieldPosition="0"/>
    </format>
    <format dxfId="88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0"/>
          </reference>
        </references>
      </pivotArea>
    </format>
    <format dxfId="87">
      <pivotArea dataOnly="0" labelOnly="1" outline="0" fieldPosition="0">
        <references count="2">
          <reference field="0" count="1">
            <x v="4"/>
          </reference>
          <reference field="3" count="1" selected="0">
            <x v="1"/>
          </reference>
        </references>
      </pivotArea>
    </format>
    <format dxfId="86">
      <pivotArea dataOnly="0" labelOnly="1" outline="0" fieldPosition="0">
        <references count="2">
          <reference field="0" count="1">
            <x v="5"/>
          </reference>
          <reference field="3" count="1" selected="0">
            <x v="2"/>
          </reference>
        </references>
      </pivotArea>
    </format>
    <format dxfId="85">
      <pivotArea dataOnly="0" labelOnly="1" outline="0" fieldPosition="0">
        <references count="2">
          <reference field="0" count="1">
            <x v="1"/>
          </reference>
          <reference field="3" count="1" selected="0">
            <x v="3"/>
          </reference>
        </references>
      </pivotArea>
    </format>
    <format dxfId="84">
      <pivotArea dataOnly="0" labelOnly="1" outline="0" fieldPosition="0">
        <references count="2">
          <reference field="0" count="1">
            <x v="5"/>
          </reference>
          <reference field="3" count="1" selected="0">
            <x v="4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0"/>
          </reference>
        </references>
      </pivotArea>
    </format>
    <format dxfId="82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0"/>
          </reference>
        </references>
      </pivotArea>
    </format>
    <format dxfId="81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0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1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2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3"/>
          </reference>
        </references>
      </pivotArea>
    </format>
    <format dxfId="77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4"/>
          </reference>
        </references>
      </pivotArea>
    </format>
    <format dxfId="76">
      <pivotArea dataOnly="0" labelOnly="1" outline="0" axis="axisValues" fieldPosition="0"/>
    </format>
    <format dxfId="75">
      <pivotArea grandRow="1" outline="0" collapsedLevelsAreSubtotals="1" fieldPosition="0"/>
    </format>
    <format dxfId="74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6" firstHeaderRow="1" firstDataRow="1" firstDataCol="4"/>
  <pivotFields count="6">
    <pivotField axis="axisRow" compact="0" outline="0" showAll="0" insertBlankRow="1" defaultSubtotal="0">
      <items count="8">
        <item m="1" x="7"/>
        <item m="1" x="3"/>
        <item m="1" x="5"/>
        <item m="1" x="1"/>
        <item m="1" x="2"/>
        <item x="0"/>
        <item m="1" x="4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x="0"/>
        <item m="1" x="1"/>
        <item m="1" x="7"/>
        <item m="1" x="5"/>
        <item m="1" x="2"/>
        <item m="1" x="3"/>
        <item m="1" x="4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9">
        <item x="0"/>
        <item m="1" x="4"/>
        <item m="1" x="6"/>
        <item m="1" x="5"/>
        <item m="1" x="7"/>
        <item x="1"/>
        <item m="1" x="3"/>
        <item m="1" x="8"/>
        <item m="1" x="2"/>
      </items>
    </pivotField>
    <pivotField axis="axisRow" compact="0" outline="0" showAll="0" defaultSubtotal="0">
      <items count="6">
        <item m="1" x="3"/>
        <item x="1"/>
        <item m="1" x="4"/>
        <item m="1" x="2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4">
    <i>
      <x v="5"/>
      <x v="1"/>
      <x v="5"/>
      <x v="1"/>
    </i>
    <i r="1">
      <x v="5"/>
      <x/>
      <x v="1"/>
    </i>
    <i t="blank">
      <x v="5"/>
    </i>
    <i t="grand">
      <x/>
    </i>
  </rowItems>
  <colItems count="1">
    <i/>
  </colItems>
  <dataFields count="1">
    <dataField name="Soma de COMISSÃO" fld="3" baseField="1" baseItem="1" numFmtId="44"/>
  </dataFields>
  <formats count="32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0" type="button" dataOnly="0" labelOnly="1" outline="0" axis="axisRow" fieldPosition="0"/>
    </format>
    <format dxfId="28">
      <pivotArea field="5" type="button" dataOnly="0" labelOnly="1" outline="0" axis="axisRow" fieldPosition="1"/>
    </format>
    <format dxfId="27">
      <pivotArea field="4" type="button" dataOnly="0" labelOnly="1" outline="0" axis="axisRow" fieldPosition="2"/>
    </format>
    <format dxfId="26">
      <pivotArea field="1" type="button" dataOnly="0" labelOnly="1" outline="0" axis="axisRow" fieldPosition="3"/>
    </format>
    <format dxfId="25">
      <pivotArea dataOnly="0" labelOnly="1" outline="0" fieldPosition="0">
        <references count="1">
          <reference field="0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2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11">
      <pivotArea dataOnly="0" labelOnly="1" outline="0" axis="axisValues" fieldPosition="0"/>
    </format>
    <format dxfId="10">
      <pivotArea dataOnly="0" labelOnly="1" outline="0" fieldPosition="0">
        <references count="3">
          <reference field="0" count="1" selected="0">
            <x v="0"/>
          </reference>
          <reference field="4" count="2">
            <x v="1"/>
            <x v="6"/>
          </reference>
          <reference field="5" count="1" selected="0">
            <x v="0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1"/>
          </reference>
          <reference field="4" count="1">
            <x v="7"/>
          </reference>
          <reference field="5" count="1" selected="0">
            <x v="0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5"/>
          </reference>
          <reference field="4" count="1">
            <x v="5"/>
          </reference>
          <reference field="5" count="1" selected="0">
            <x v="1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7"/>
          </reference>
          <reference field="4" count="1">
            <x v="6"/>
          </reference>
          <reference field="5" count="1" selected="0">
            <x v="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"/>
          </reference>
          <reference field="5" count="1">
            <x v="0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5"/>
          </reference>
          <reference field="5" count="1">
            <x v="1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7"/>
          </reference>
          <reference field="5" count="1">
            <x v="0"/>
          </reference>
        </references>
      </pivotArea>
    </format>
    <format dxfId="2">
      <pivotArea field="1" type="button" dataOnly="0" labelOnly="1" outline="0" axis="axisRow" fieldPosition="3"/>
    </format>
    <format dxfId="1">
      <pivotArea field="5" type="button" dataOnly="0" labelOnly="1" outline="0" axis="axisRow" fieldPosition="1"/>
    </format>
    <format dxfId="0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0" s="1"/>
        <i x="6" s="1" nd="1"/>
        <i x="3" s="1" nd="1"/>
        <i x="7" s="1" nd="1"/>
        <i x="12" s="1" nd="1"/>
        <i x="2" s="1" nd="1"/>
        <i x="4" s="1" nd="1"/>
        <i x="5" s="1" nd="1"/>
        <i x="8" s="1" nd="1"/>
        <i x="9" s="1" nd="1"/>
        <i x="10" s="1" nd="1"/>
        <i x="11" s="1" nd="1"/>
        <i x="13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7">
        <i x="0" s="1"/>
        <i x="2" s="1" nd="1"/>
        <i x="4" s="1" nd="1"/>
        <i x="6" s="1" nd="1"/>
        <i x="3" s="1" nd="1"/>
        <i x="5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>
      <items count="10">
        <i x="0" s="1"/>
        <i x="5" s="1" nd="1"/>
        <i x="3" s="1" nd="1"/>
        <i x="6" s="1" nd="1"/>
        <i x="8" s="1" nd="1"/>
        <i x="2" s="1" nd="1"/>
        <i x="4" s="1" nd="1"/>
        <i x="7" s="1" nd="1"/>
        <i x="9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>
      <items count="6">
        <i x="0" s="1"/>
        <i x="2" s="1" nd="1"/>
        <i x="4" s="1" nd="1"/>
        <i x="5" s="1" nd="1"/>
        <i x="3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9">
        <i x="0" s="1"/>
        <i x="4" s="1" nd="1"/>
        <i x="6" s="1" nd="1"/>
        <i x="3" s="1" nd="1"/>
        <i x="5" s="1" nd="1"/>
        <i x="7" s="1" nd="1"/>
        <i x="8" s="1" nd="1"/>
        <i x="2" s="1" nd="1"/>
        <i x="1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6">
        <i x="0" s="1"/>
        <i x="2" s="1" nd="1"/>
        <i x="3" s="1" nd="1"/>
        <i x="4" s="1" nd="1"/>
        <i x="5" s="1" nd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3" totalsRowShown="0" headerRowDxfId="176" dataDxfId="174" headerRowBorderDxfId="175" tableBorderDxfId="173" totalsRowBorderDxfId="172">
  <tableColumns count="5">
    <tableColumn id="1" xr3:uid="{41BB5AD6-9B55-439B-A267-DB978778B081}" name="Nome" dataDxfId="171"/>
    <tableColumn id="2" xr3:uid="{86672887-135C-41F3-9F41-8482917D20CA}" name="CPF" dataDxfId="170"/>
    <tableColumn id="3" xr3:uid="{B5EE3CD0-BC0F-41A9-BFE6-58DE08DE13F1}" name="TELEFONE" dataDxfId="169"/>
    <tableColumn id="4" xr3:uid="{81D1564E-685F-4375-9298-A35D849043B6}" name="EMAIL" dataDxfId="168"/>
    <tableColumn id="5" xr3:uid="{A18125EC-5DCD-4DC7-B688-F3C3E0A62EBC}" name="DATA CADASTRO" dataDxfId="167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66" dataDxfId="164" headerRowBorderDxfId="165" tableBorderDxfId="163" totalsRowBorderDxfId="162">
  <tableColumns count="6">
    <tableColumn id="1" xr3:uid="{A992D616-629B-4ED4-9DDE-A36E7EE6A19C}" name="Nome" dataDxfId="161"/>
    <tableColumn id="2" xr3:uid="{BB8A4FB3-8149-4CC2-BF5E-D4B56B342B1E}" name="CPF" dataDxfId="160"/>
    <tableColumn id="3" xr3:uid="{1E0D060B-32BE-4491-92A7-1E999D2E55A0}" name="CARGO" dataDxfId="159"/>
    <tableColumn id="4" xr3:uid="{D7CA9B26-5B17-439F-B431-F248B3CA6288}" name="EMAIL" dataDxfId="158"/>
    <tableColumn id="5" xr3:uid="{13F9A03D-D712-4CB8-A749-74739C3539DA}" name="Admissão" dataDxfId="157" dataCellStyle="Moeda"/>
    <tableColumn id="6" xr3:uid="{A4871059-E9CC-4DBF-9FBF-CA4D96BB84BE}" name="COMISSÃO" dataDxfId="156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zoomScale="90" zoomScaleNormal="90" workbookViewId="0">
      <pane xSplit="19" ySplit="29" topLeftCell="T177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2" spans="1:19" ht="20.25" thickBot="1">
      <c r="A2" s="53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39">
        <f ca="1">TODAY()</f>
        <v>45119</v>
      </c>
      <c r="R2" s="140"/>
      <c r="S2" s="53"/>
    </row>
    <row r="3" spans="1:19" ht="61.5">
      <c r="A3" s="53"/>
      <c r="B3" s="54"/>
      <c r="C3" s="54"/>
      <c r="D3" s="54"/>
      <c r="E3" s="54"/>
      <c r="F3" s="54"/>
      <c r="G3" s="138"/>
      <c r="H3" s="138"/>
      <c r="I3" s="138"/>
      <c r="J3" s="138"/>
      <c r="K3" s="138"/>
      <c r="L3" s="138"/>
      <c r="M3" s="138"/>
      <c r="N3" s="54"/>
      <c r="O3" s="54"/>
      <c r="P3" s="54"/>
      <c r="Q3" s="54"/>
      <c r="R3" s="54"/>
      <c r="S3" s="53"/>
    </row>
    <row r="4" spans="1:19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3"/>
    </row>
    <row r="5" spans="1:19">
      <c r="A5" s="53"/>
      <c r="B5" s="54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4"/>
      <c r="S5" s="53"/>
    </row>
    <row r="6" spans="1:19">
      <c r="A6" s="53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4"/>
      <c r="S6" s="53"/>
    </row>
    <row r="7" spans="1:19">
      <c r="A7" s="53"/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4"/>
      <c r="S7" s="53"/>
    </row>
    <row r="8" spans="1:19">
      <c r="A8" s="53"/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4"/>
      <c r="S8" s="53"/>
    </row>
    <row r="9" spans="1:19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3"/>
    </row>
    <row r="10" spans="1:19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3"/>
    </row>
    <row r="11" spans="1:19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3"/>
    </row>
    <row r="12" spans="1:19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3"/>
    </row>
    <row r="13" spans="1:19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3"/>
    </row>
    <row r="14" spans="1:19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3"/>
    </row>
    <row r="15" spans="1:19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3"/>
    </row>
    <row r="16" spans="1:19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3"/>
    </row>
    <row r="17" spans="1:19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3"/>
    </row>
    <row r="18" spans="1:19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3"/>
    </row>
    <row r="19" spans="1:19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3"/>
    </row>
    <row r="20" spans="1:19">
      <c r="A20" s="53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3"/>
    </row>
    <row r="21" spans="1:19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3"/>
    </row>
    <row r="22" spans="1:19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3"/>
    </row>
    <row r="23" spans="1:19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3"/>
    </row>
    <row r="24" spans="1:19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3"/>
    </row>
    <row r="25" spans="1:19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3"/>
    </row>
    <row r="26" spans="1:19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3"/>
    </row>
    <row r="27" spans="1:19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3"/>
    </row>
    <row r="28" spans="1:19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3"/>
    </row>
    <row r="29" spans="1:19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showRowColHeaders="0" zoomScale="90" zoomScaleNormal="90" workbookViewId="0">
      <pane xSplit="13" ySplit="15" topLeftCell="N16" activePane="bottomRight" state="frozen"/>
      <selection pane="topRight" activeCell="N1" sqref="N1"/>
      <selection pane="bottomLeft" activeCell="A16" sqref="A16"/>
      <selection pane="bottomRight" activeCell="C4" sqref="C4"/>
    </sheetView>
  </sheetViews>
  <sheetFormatPr defaultColWidth="8.7109375" defaultRowHeight="15" zeroHeight="1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4" width="8.7109375" style="3"/>
    <col min="15" max="15" width="0" style="3" hidden="1" customWidth="1"/>
    <col min="16" max="16" width="16.28515625" style="3" hidden="1" customWidth="1"/>
    <col min="17" max="18" width="10.85546875" style="3" hidden="1" customWidth="1"/>
    <col min="19" max="20" width="10.42578125" style="3" hidden="1" customWidth="1"/>
    <col min="21" max="21" width="14" style="3" hidden="1" customWidth="1"/>
    <col min="22" max="22" width="11.5703125" style="64" hidden="1" customWidth="1"/>
    <col min="23" max="23" width="10.140625" style="64" hidden="1" customWidth="1"/>
    <col min="24" max="24" width="14.28515625" style="3" hidden="1" customWidth="1"/>
    <col min="25" max="29" width="0" style="3" hidden="1" customWidth="1"/>
    <col min="30" max="16384" width="8.710937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1" t="s">
        <v>11</v>
      </c>
      <c r="T1" s="22" t="s">
        <v>41</v>
      </c>
      <c r="U1" s="22" t="s">
        <v>20</v>
      </c>
      <c r="V1" s="61" t="s">
        <v>7</v>
      </c>
      <c r="W1" s="61" t="s">
        <v>39</v>
      </c>
      <c r="X1" s="22" t="s">
        <v>9</v>
      </c>
      <c r="Y1" s="22" t="s">
        <v>16</v>
      </c>
      <c r="Z1" s="22" t="s">
        <v>17</v>
      </c>
      <c r="AA1" s="62" t="s">
        <v>18</v>
      </c>
      <c r="AB1" s="62" t="s">
        <v>19</v>
      </c>
    </row>
    <row r="2" spans="1:28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65" t="str">
        <f t="shared" ref="P2:P7" si="0">IF(G7&lt;&gt;"",$C$6,"")</f>
        <v/>
      </c>
      <c r="Q2" s="65" t="str">
        <f>IF(G7&lt;&gt;"",$C$8,"")</f>
        <v/>
      </c>
      <c r="R2" s="65" t="str">
        <f>IF(G7&lt;&gt;"",$F$6,"")</f>
        <v/>
      </c>
      <c r="S2" s="66" t="str">
        <f>IF(G7&lt;&gt;"",$F$7,"")</f>
        <v/>
      </c>
      <c r="T2" s="66" t="str">
        <f>IF(G7&lt;&gt;"",H7,"")</f>
        <v/>
      </c>
      <c r="U2" s="67" t="str">
        <f>IF(G7&lt;&gt;"",$F$9,"")</f>
        <v/>
      </c>
      <c r="V2" s="68" t="str">
        <f>IF(G7&lt;&gt;"",$F$11,"")</f>
        <v/>
      </c>
      <c r="W2" s="68" t="str">
        <f>IF(G7&lt;&gt;"",G7,"")</f>
        <v/>
      </c>
      <c r="X2" s="67" t="str">
        <f>IF(G7&lt;&gt;"",$F$12,"")</f>
        <v/>
      </c>
      <c r="Y2" s="63" t="str">
        <f>IF(G7&lt;&gt;"",MONTH(S2),"")</f>
        <v/>
      </c>
      <c r="Z2" s="63" t="str">
        <f>IF(G7&lt;&gt;"",YEAR(S2),"")</f>
        <v/>
      </c>
      <c r="AA2" s="63" t="str">
        <f>IF(G7&lt;&gt;"",MONTH(T2),"")</f>
        <v/>
      </c>
      <c r="AB2" s="63" t="str">
        <f>IF(G7&lt;&gt;"",YEAR(T2),"")</f>
        <v/>
      </c>
    </row>
    <row r="3" spans="1:28" ht="20.100000000000001" customHeigh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65" t="str">
        <f t="shared" si="0"/>
        <v/>
      </c>
      <c r="Q3" s="65" t="str">
        <f t="shared" ref="Q3:Q7" si="1">IF(G8&lt;&gt;"",$C$8,"")</f>
        <v/>
      </c>
      <c r="R3" s="65" t="str">
        <f t="shared" ref="R3:R7" si="2">IF(G8&lt;&gt;"",$F$6,"")</f>
        <v/>
      </c>
      <c r="S3" s="66" t="str">
        <f t="shared" ref="S3:S7" si="3">IF(G8&lt;&gt;"",$F$7,"")</f>
        <v/>
      </c>
      <c r="T3" s="66" t="str">
        <f t="shared" ref="T3:T7" si="4">IF(G8&lt;&gt;"",H8,"")</f>
        <v/>
      </c>
      <c r="U3" s="67" t="str">
        <f t="shared" ref="U3:U7" si="5">IF(G8&lt;&gt;"",$F$9,"")</f>
        <v/>
      </c>
      <c r="V3" s="68" t="str">
        <f t="shared" ref="V3:V7" si="6">IF(G8&lt;&gt;"",$F$11,"")</f>
        <v/>
      </c>
      <c r="W3" s="68" t="str">
        <f t="shared" ref="W3:W7" si="7">IF(G8&lt;&gt;"",G8,"")</f>
        <v/>
      </c>
      <c r="X3" s="67" t="str">
        <f t="shared" ref="X3:X7" si="8">IF(G8&lt;&gt;"",$F$12,"")</f>
        <v/>
      </c>
      <c r="Y3" s="63" t="str">
        <f t="shared" ref="Y3:Y7" si="9">IF(G8&lt;&gt;"",MONTH(S3),"")</f>
        <v/>
      </c>
      <c r="Z3" s="63" t="str">
        <f t="shared" ref="Z3:Z7" si="10">IF(G8&lt;&gt;"",YEAR(S3),"")</f>
        <v/>
      </c>
      <c r="AA3" s="63" t="str">
        <f t="shared" ref="AA3:AA7" si="11">IF(G8&lt;&gt;"",MONTH(T3),"")</f>
        <v/>
      </c>
      <c r="AB3" s="63" t="str">
        <f t="shared" ref="AB3:AB7" si="12">IF(G8&lt;&gt;"",YEAR(T3),"")</f>
        <v/>
      </c>
    </row>
    <row r="4" spans="1:28" ht="20.100000000000001" customHeight="1">
      <c r="A4" s="2"/>
      <c r="B4" s="5" t="s">
        <v>4</v>
      </c>
      <c r="C4" s="37"/>
      <c r="D4" s="4"/>
      <c r="E4" s="4"/>
      <c r="F4" s="6" t="s">
        <v>40</v>
      </c>
      <c r="G4" s="144"/>
      <c r="H4" s="145"/>
      <c r="I4" s="146"/>
      <c r="J4" s="143" t="s">
        <v>21</v>
      </c>
      <c r="K4" s="143"/>
      <c r="L4" s="56" t="e">
        <f>VLOOKUP(G4,Tabela134[],6,'DADOS FUNCIONÁRIOS'!L270)</f>
        <v>#N/A</v>
      </c>
      <c r="M4" s="4"/>
      <c r="N4" s="2"/>
      <c r="P4" s="65" t="str">
        <f t="shared" si="0"/>
        <v/>
      </c>
      <c r="Q4" s="65" t="str">
        <f t="shared" si="1"/>
        <v/>
      </c>
      <c r="R4" s="65" t="str">
        <f t="shared" si="2"/>
        <v/>
      </c>
      <c r="S4" s="66" t="str">
        <f t="shared" si="3"/>
        <v/>
      </c>
      <c r="T4" s="66" t="str">
        <f t="shared" si="4"/>
        <v/>
      </c>
      <c r="U4" s="67" t="str">
        <f t="shared" si="5"/>
        <v/>
      </c>
      <c r="V4" s="68" t="str">
        <f t="shared" si="6"/>
        <v/>
      </c>
      <c r="W4" s="68" t="str">
        <f t="shared" si="7"/>
        <v/>
      </c>
      <c r="X4" s="67" t="str">
        <f t="shared" si="8"/>
        <v/>
      </c>
      <c r="Y4" s="63" t="str">
        <f t="shared" si="9"/>
        <v/>
      </c>
      <c r="Z4" s="63" t="str">
        <f t="shared" si="10"/>
        <v/>
      </c>
      <c r="AA4" s="63" t="str">
        <f t="shared" si="11"/>
        <v/>
      </c>
      <c r="AB4" s="63" t="str">
        <f t="shared" si="12"/>
        <v/>
      </c>
    </row>
    <row r="5" spans="1:28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65" t="str">
        <f t="shared" si="0"/>
        <v/>
      </c>
      <c r="Q5" s="65" t="str">
        <f t="shared" si="1"/>
        <v/>
      </c>
      <c r="R5" s="65" t="str">
        <f t="shared" si="2"/>
        <v/>
      </c>
      <c r="S5" s="66" t="str">
        <f t="shared" si="3"/>
        <v/>
      </c>
      <c r="T5" s="66" t="str">
        <f t="shared" si="4"/>
        <v/>
      </c>
      <c r="U5" s="67" t="str">
        <f t="shared" si="5"/>
        <v/>
      </c>
      <c r="V5" s="68" t="str">
        <f t="shared" si="6"/>
        <v/>
      </c>
      <c r="W5" s="68" t="str">
        <f t="shared" si="7"/>
        <v/>
      </c>
      <c r="X5" s="67" t="str">
        <f t="shared" si="8"/>
        <v/>
      </c>
      <c r="Y5" s="63" t="str">
        <f t="shared" si="9"/>
        <v/>
      </c>
      <c r="Z5" s="63" t="str">
        <f t="shared" si="10"/>
        <v/>
      </c>
      <c r="AA5" s="63" t="str">
        <f t="shared" si="11"/>
        <v/>
      </c>
      <c r="AB5" s="63" t="str">
        <f t="shared" si="12"/>
        <v/>
      </c>
    </row>
    <row r="6" spans="1:28" ht="20.100000000000001" customHeight="1" thickBot="1">
      <c r="A6" s="2"/>
      <c r="B6" s="5" t="s">
        <v>0</v>
      </c>
      <c r="C6" s="59" t="str">
        <f>IFERROR(VLOOKUP("*"&amp;$C$4&amp;"*",'DADOS CLIENTES'!A:Z,1,0),IFERROR(INDEX('DADOS CLIENTES'!A:A,MATCH($C$4,'DADOS CLIENTES'!B:B,0)),"ERRO"))</f>
        <v>Nome</v>
      </c>
      <c r="D6" s="4"/>
      <c r="E6" s="6" t="s">
        <v>6</v>
      </c>
      <c r="F6" s="110"/>
      <c r="G6" s="141" t="s">
        <v>8</v>
      </c>
      <c r="H6" s="141"/>
      <c r="I6" s="141"/>
      <c r="J6" s="141"/>
      <c r="K6" s="141"/>
      <c r="L6" s="142"/>
      <c r="M6" s="4"/>
      <c r="N6" s="2"/>
      <c r="P6" s="65" t="str">
        <f t="shared" si="0"/>
        <v/>
      </c>
      <c r="Q6" s="65" t="str">
        <f t="shared" si="1"/>
        <v/>
      </c>
      <c r="R6" s="65" t="str">
        <f t="shared" si="2"/>
        <v/>
      </c>
      <c r="S6" s="66" t="str">
        <f t="shared" si="3"/>
        <v/>
      </c>
      <c r="T6" s="66" t="str">
        <f t="shared" si="4"/>
        <v/>
      </c>
      <c r="U6" s="67" t="str">
        <f t="shared" si="5"/>
        <v/>
      </c>
      <c r="V6" s="68" t="str">
        <f t="shared" si="6"/>
        <v/>
      </c>
      <c r="W6" s="68" t="str">
        <f t="shared" si="7"/>
        <v/>
      </c>
      <c r="X6" s="67" t="str">
        <f t="shared" si="8"/>
        <v/>
      </c>
      <c r="Y6" s="63" t="str">
        <f t="shared" si="9"/>
        <v/>
      </c>
      <c r="Z6" s="63" t="str">
        <f t="shared" si="10"/>
        <v/>
      </c>
      <c r="AA6" s="63" t="str">
        <f t="shared" si="11"/>
        <v/>
      </c>
      <c r="AB6" s="63" t="str">
        <f t="shared" si="12"/>
        <v/>
      </c>
    </row>
    <row r="7" spans="1:28" ht="20.100000000000001" customHeight="1" thickBot="1">
      <c r="A7" s="2"/>
      <c r="B7" s="5"/>
      <c r="C7" s="4"/>
      <c r="D7" s="4"/>
      <c r="E7" s="6" t="s">
        <v>14</v>
      </c>
      <c r="F7" s="111"/>
      <c r="G7" s="75" t="str">
        <f>IF(F11&gt;0,1,"")</f>
        <v/>
      </c>
      <c r="H7" s="17" t="str">
        <f>IF(F11&lt;&gt;"",EDATE(F7,1),"")</f>
        <v/>
      </c>
      <c r="I7" s="11">
        <f t="shared" ref="I7:I12" si="13">IF($F$11&gt;=G7,$F$12,"")</f>
        <v>0</v>
      </c>
      <c r="J7" s="75" t="str">
        <f>IF($F$11&gt;G12,G12+1,"")</f>
        <v/>
      </c>
      <c r="K7" s="17" t="e">
        <f>IF(L7&lt;&gt;"",EDATE(H12,1),"")</f>
        <v>#VALUE!</v>
      </c>
      <c r="L7" s="14">
        <f t="shared" ref="L7:L12" si="14">IF($F$11&gt;=J7,$F$12,"")</f>
        <v>0</v>
      </c>
      <c r="M7" s="4"/>
      <c r="N7" s="2"/>
      <c r="P7" s="65" t="str">
        <f t="shared" si="0"/>
        <v/>
      </c>
      <c r="Q7" s="65" t="str">
        <f t="shared" si="1"/>
        <v/>
      </c>
      <c r="R7" s="65" t="str">
        <f t="shared" si="2"/>
        <v/>
      </c>
      <c r="S7" s="66" t="str">
        <f t="shared" si="3"/>
        <v/>
      </c>
      <c r="T7" s="66" t="str">
        <f t="shared" si="4"/>
        <v/>
      </c>
      <c r="U7" s="67" t="str">
        <f t="shared" si="5"/>
        <v/>
      </c>
      <c r="V7" s="68" t="str">
        <f t="shared" si="6"/>
        <v/>
      </c>
      <c r="W7" s="68" t="str">
        <f t="shared" si="7"/>
        <v/>
      </c>
      <c r="X7" s="67" t="str">
        <f t="shared" si="8"/>
        <v/>
      </c>
      <c r="Y7" s="63" t="str">
        <f t="shared" si="9"/>
        <v/>
      </c>
      <c r="Z7" s="63" t="str">
        <f t="shared" si="10"/>
        <v/>
      </c>
      <c r="AA7" s="63" t="str">
        <f t="shared" si="11"/>
        <v/>
      </c>
      <c r="AB7" s="63" t="str">
        <f t="shared" si="12"/>
        <v/>
      </c>
    </row>
    <row r="8" spans="1:28" ht="20.100000000000001" customHeight="1" thickBot="1">
      <c r="A8" s="2"/>
      <c r="B8" s="5" t="s">
        <v>1</v>
      </c>
      <c r="C8" s="121" t="str">
        <f>IFERROR(VLOOKUP("*"&amp;$C$4&amp;"*",'DADOS CLIENTES'!A:Z,2,0),IFERROR(INDEX('DADOS CLIENTES'!B:B,MATCH($C$4,'DADOS CLIENTES'!B:B,0)),"ERRO"))</f>
        <v>CPF</v>
      </c>
      <c r="D8" s="4"/>
      <c r="E8" s="6" t="s">
        <v>36</v>
      </c>
      <c r="F8" s="57">
        <f>G4</f>
        <v>0</v>
      </c>
      <c r="G8" s="75" t="str">
        <f>IF($F$11&gt;G7,G7+1,"")</f>
        <v/>
      </c>
      <c r="H8" s="18" t="e">
        <f>IF(I8&lt;&gt;"",EDATE(H7,1),"")</f>
        <v>#VALUE!</v>
      </c>
      <c r="I8" s="12">
        <f t="shared" si="13"/>
        <v>0</v>
      </c>
      <c r="J8" s="75" t="str">
        <f>IF($F$11&gt;J7,J7+1,"")</f>
        <v/>
      </c>
      <c r="K8" s="18" t="e">
        <f>IF(L8&lt;&gt;"",EDATE(K7,1),"")</f>
        <v>#VALUE!</v>
      </c>
      <c r="L8" s="15">
        <f t="shared" si="14"/>
        <v>0</v>
      </c>
      <c r="M8" s="4"/>
      <c r="N8" s="2"/>
      <c r="P8" s="65" t="str">
        <f t="shared" ref="P8:P13" si="15">IF(J7&lt;&gt;"",$C$6,"")</f>
        <v/>
      </c>
      <c r="Q8" s="65" t="str">
        <f>IF(J7&lt;&gt;"",$C$8,"")</f>
        <v/>
      </c>
      <c r="R8" s="65" t="str">
        <f>IF(J7&lt;&gt;"",$F$6,"")</f>
        <v/>
      </c>
      <c r="S8" s="66" t="str">
        <f>IF(J7&lt;&gt;"",$F$7,"")</f>
        <v/>
      </c>
      <c r="T8" s="66" t="str">
        <f>IF(J7&lt;&gt;"",K7,"")</f>
        <v/>
      </c>
      <c r="U8" s="67" t="str">
        <f>IF(J7&lt;&gt;"",$F$9,"")</f>
        <v/>
      </c>
      <c r="V8" s="68" t="str">
        <f>IF(J7&lt;&gt;"",$F$11,"")</f>
        <v/>
      </c>
      <c r="W8" s="68" t="str">
        <f>IF(J7&lt;&gt;"",J7,"")</f>
        <v/>
      </c>
      <c r="X8" s="67" t="str">
        <f>IF(J7&lt;&gt;"",$F$12,"")</f>
        <v/>
      </c>
      <c r="Y8" s="63" t="str">
        <f>IF(J7&lt;&gt;"",MONTH(S8),"")</f>
        <v/>
      </c>
      <c r="Z8" s="63" t="str">
        <f>IF(J7&lt;&gt;"",YEAR(S8),"")</f>
        <v/>
      </c>
      <c r="AA8" s="63" t="str">
        <f>IF(J7&lt;&gt;"",MONTH(T8),"")</f>
        <v/>
      </c>
      <c r="AB8" s="63" t="str">
        <f>IF(J7&lt;&gt;"",YEAR(T8),"")</f>
        <v/>
      </c>
    </row>
    <row r="9" spans="1:28" ht="20.100000000000001" customHeight="1" thickBot="1">
      <c r="A9" s="2"/>
      <c r="B9" s="5"/>
      <c r="C9" s="4"/>
      <c r="D9" s="4"/>
      <c r="E9" s="6" t="s">
        <v>38</v>
      </c>
      <c r="F9" s="112"/>
      <c r="G9" s="75" t="str">
        <f t="shared" ref="G9:G12" si="16">IF($F$11&gt;G8,G8+1,"")</f>
        <v/>
      </c>
      <c r="H9" s="18" t="e">
        <f t="shared" ref="H9:H12" si="17">IF(I9&lt;&gt;"",EDATE(H8,1),"")</f>
        <v>#VALUE!</v>
      </c>
      <c r="I9" s="12">
        <f t="shared" si="13"/>
        <v>0</v>
      </c>
      <c r="J9" s="75" t="str">
        <f t="shared" ref="J9:J12" si="18">IF($F$11&gt;J8,J8+1,"")</f>
        <v/>
      </c>
      <c r="K9" s="18" t="e">
        <f t="shared" ref="K9:K12" si="19">IF(L9&lt;&gt;"",EDATE(K8,1),"")</f>
        <v>#VALUE!</v>
      </c>
      <c r="L9" s="15">
        <f t="shared" si="14"/>
        <v>0</v>
      </c>
      <c r="M9" s="4"/>
      <c r="N9" s="2"/>
      <c r="P9" s="65" t="str">
        <f t="shared" si="15"/>
        <v/>
      </c>
      <c r="Q9" s="65" t="str">
        <f t="shared" ref="Q9:Q13" si="20">IF(J8&lt;&gt;"",$C$8,"")</f>
        <v/>
      </c>
      <c r="R9" s="65" t="str">
        <f t="shared" ref="R9:R13" si="21">IF(J8&lt;&gt;"",$F$6,"")</f>
        <v/>
      </c>
      <c r="S9" s="66" t="str">
        <f t="shared" ref="S9:S13" si="22">IF(J8&lt;&gt;"",$F$7,"")</f>
        <v/>
      </c>
      <c r="T9" s="66" t="str">
        <f t="shared" ref="T9:T13" si="23">IF(J8&lt;&gt;"",K8,"")</f>
        <v/>
      </c>
      <c r="U9" s="67" t="str">
        <f t="shared" ref="U9:U13" si="24">IF(J8&lt;&gt;"",$F$9,"")</f>
        <v/>
      </c>
      <c r="V9" s="68" t="str">
        <f t="shared" ref="V9:V13" si="25">IF(J8&lt;&gt;"",$F$11,"")</f>
        <v/>
      </c>
      <c r="W9" s="68" t="str">
        <f t="shared" ref="W9:W13" si="26">IF(J8&lt;&gt;"",J8,"")</f>
        <v/>
      </c>
      <c r="X9" s="67" t="str">
        <f t="shared" ref="X9:X13" si="27">IF(J8&lt;&gt;"",$F$12,"")</f>
        <v/>
      </c>
      <c r="Y9" s="63" t="str">
        <f t="shared" ref="Y9:Y13" si="28">IF(J8&lt;&gt;"",MONTH(S9),"")</f>
        <v/>
      </c>
      <c r="Z9" s="63" t="str">
        <f t="shared" ref="Z9:Z13" si="29">IF(J8&lt;&gt;"",YEAR(S9),"")</f>
        <v/>
      </c>
      <c r="AA9" s="63" t="str">
        <f t="shared" ref="AA9:AA13" si="30">IF(J8&lt;&gt;"",MONTH(T9),"")</f>
        <v/>
      </c>
      <c r="AB9" s="63" t="str">
        <f t="shared" ref="AB9:AB13" si="31">IF(J8&lt;&gt;"",YEAR(T9),"")</f>
        <v/>
      </c>
    </row>
    <row r="10" spans="1:28" ht="20.100000000000001" customHeight="1" thickBot="1">
      <c r="A10" s="2"/>
      <c r="B10" s="5" t="s">
        <v>2</v>
      </c>
      <c r="C10" s="121" t="str">
        <f>IFERROR(VLOOKUP("*"&amp;$C$4&amp;"*",'DADOS CLIENTES'!A:Z,3,0),IFERROR(INDEX('DADOS CLIENTES'!B:B,MATCH($C$4,'DADOS CLIENTES'!B:B,0)),"ERRO"))</f>
        <v>TELEFONE</v>
      </c>
      <c r="D10" s="4"/>
      <c r="E10" s="6" t="s">
        <v>37</v>
      </c>
      <c r="F10" s="58" t="e">
        <f>F9*L4</f>
        <v>#N/A</v>
      </c>
      <c r="G10" s="75" t="str">
        <f t="shared" si="16"/>
        <v/>
      </c>
      <c r="H10" s="18" t="e">
        <f t="shared" si="17"/>
        <v>#VALUE!</v>
      </c>
      <c r="I10" s="12">
        <f t="shared" si="13"/>
        <v>0</v>
      </c>
      <c r="J10" s="75" t="str">
        <f t="shared" si="18"/>
        <v/>
      </c>
      <c r="K10" s="18" t="e">
        <f t="shared" si="19"/>
        <v>#VALUE!</v>
      </c>
      <c r="L10" s="15">
        <f t="shared" si="14"/>
        <v>0</v>
      </c>
      <c r="M10" s="4"/>
      <c r="N10" s="2"/>
      <c r="P10" s="65" t="str">
        <f t="shared" si="15"/>
        <v/>
      </c>
      <c r="Q10" s="65" t="str">
        <f t="shared" si="20"/>
        <v/>
      </c>
      <c r="R10" s="65" t="str">
        <f t="shared" si="21"/>
        <v/>
      </c>
      <c r="S10" s="66" t="str">
        <f t="shared" si="22"/>
        <v/>
      </c>
      <c r="T10" s="66" t="str">
        <f t="shared" si="23"/>
        <v/>
      </c>
      <c r="U10" s="67" t="str">
        <f t="shared" si="24"/>
        <v/>
      </c>
      <c r="V10" s="68" t="str">
        <f t="shared" si="25"/>
        <v/>
      </c>
      <c r="W10" s="68" t="str">
        <f t="shared" si="26"/>
        <v/>
      </c>
      <c r="X10" s="67" t="str">
        <f t="shared" si="27"/>
        <v/>
      </c>
      <c r="Y10" s="63" t="str">
        <f t="shared" si="28"/>
        <v/>
      </c>
      <c r="Z10" s="63" t="str">
        <f t="shared" si="29"/>
        <v/>
      </c>
      <c r="AA10" s="63" t="str">
        <f t="shared" si="30"/>
        <v/>
      </c>
      <c r="AB10" s="63" t="str">
        <f t="shared" si="31"/>
        <v/>
      </c>
    </row>
    <row r="11" spans="1:28" ht="20.100000000000001" customHeight="1" thickBot="1">
      <c r="A11" s="2"/>
      <c r="B11" s="5"/>
      <c r="C11" s="4"/>
      <c r="D11" s="6"/>
      <c r="E11" s="6" t="s">
        <v>15</v>
      </c>
      <c r="F11" s="113"/>
      <c r="G11" s="75" t="str">
        <f t="shared" si="16"/>
        <v/>
      </c>
      <c r="H11" s="18" t="e">
        <f t="shared" si="17"/>
        <v>#VALUE!</v>
      </c>
      <c r="I11" s="12">
        <f t="shared" si="13"/>
        <v>0</v>
      </c>
      <c r="J11" s="75" t="str">
        <f t="shared" si="18"/>
        <v/>
      </c>
      <c r="K11" s="18" t="e">
        <f t="shared" si="19"/>
        <v>#VALUE!</v>
      </c>
      <c r="L11" s="15">
        <f t="shared" si="14"/>
        <v>0</v>
      </c>
      <c r="M11" s="4"/>
      <c r="N11" s="2"/>
      <c r="P11" s="65" t="str">
        <f t="shared" si="15"/>
        <v/>
      </c>
      <c r="Q11" s="65" t="str">
        <f t="shared" si="20"/>
        <v/>
      </c>
      <c r="R11" s="65" t="str">
        <f t="shared" si="21"/>
        <v/>
      </c>
      <c r="S11" s="66" t="str">
        <f t="shared" si="22"/>
        <v/>
      </c>
      <c r="T11" s="66" t="str">
        <f t="shared" si="23"/>
        <v/>
      </c>
      <c r="U11" s="67" t="str">
        <f t="shared" si="24"/>
        <v/>
      </c>
      <c r="V11" s="68" t="str">
        <f t="shared" si="25"/>
        <v/>
      </c>
      <c r="W11" s="68" t="str">
        <f t="shared" si="26"/>
        <v/>
      </c>
      <c r="X11" s="67" t="str">
        <f t="shared" si="27"/>
        <v/>
      </c>
      <c r="Y11" s="63" t="str">
        <f t="shared" si="28"/>
        <v/>
      </c>
      <c r="Z11" s="63" t="str">
        <f t="shared" si="29"/>
        <v/>
      </c>
      <c r="AA11" s="63" t="str">
        <f t="shared" si="30"/>
        <v/>
      </c>
      <c r="AB11" s="63" t="str">
        <f t="shared" si="31"/>
        <v/>
      </c>
    </row>
    <row r="12" spans="1:28" ht="20.100000000000001" customHeight="1" thickBot="1">
      <c r="A12" s="2"/>
      <c r="B12" s="5" t="s">
        <v>3</v>
      </c>
      <c r="C12" s="59" t="str">
        <f>IFERROR(VLOOKUP("*"&amp;$C$4&amp;"*",'DADOS CLIENTES'!A:Z,4,0),IFERROR(INDEX('DADOS CLIENTES'!D:D,MATCH($C$4,'DADOS CLIENTES'!B:B,0)),"ERRO"))</f>
        <v>EMAIL</v>
      </c>
      <c r="D12" s="4"/>
      <c r="E12" s="6" t="s">
        <v>10</v>
      </c>
      <c r="F12" s="137">
        <f>IF(F11&gt;0,F9/F11,0)</f>
        <v>0</v>
      </c>
      <c r="G12" s="75" t="str">
        <f t="shared" si="16"/>
        <v/>
      </c>
      <c r="H12" s="19" t="e">
        <f t="shared" si="17"/>
        <v>#VALUE!</v>
      </c>
      <c r="I12" s="13">
        <f t="shared" si="13"/>
        <v>0</v>
      </c>
      <c r="J12" s="75" t="str">
        <f t="shared" si="18"/>
        <v/>
      </c>
      <c r="K12" s="19" t="e">
        <f t="shared" si="19"/>
        <v>#VALUE!</v>
      </c>
      <c r="L12" s="16">
        <f t="shared" si="14"/>
        <v>0</v>
      </c>
      <c r="M12" s="4"/>
      <c r="N12" s="2"/>
      <c r="P12" s="65" t="str">
        <f t="shared" si="15"/>
        <v/>
      </c>
      <c r="Q12" s="65" t="str">
        <f t="shared" si="20"/>
        <v/>
      </c>
      <c r="R12" s="65" t="str">
        <f t="shared" si="21"/>
        <v/>
      </c>
      <c r="S12" s="66" t="str">
        <f t="shared" si="22"/>
        <v/>
      </c>
      <c r="T12" s="66" t="str">
        <f t="shared" si="23"/>
        <v/>
      </c>
      <c r="U12" s="67" t="str">
        <f t="shared" si="24"/>
        <v/>
      </c>
      <c r="V12" s="68" t="str">
        <f t="shared" si="25"/>
        <v/>
      </c>
      <c r="W12" s="68" t="str">
        <f t="shared" si="26"/>
        <v/>
      </c>
      <c r="X12" s="67" t="str">
        <f t="shared" si="27"/>
        <v/>
      </c>
      <c r="Y12" s="63" t="str">
        <f t="shared" si="28"/>
        <v/>
      </c>
      <c r="Z12" s="63" t="str">
        <f t="shared" si="29"/>
        <v/>
      </c>
      <c r="AA12" s="63" t="str">
        <f t="shared" si="30"/>
        <v/>
      </c>
      <c r="AB12" s="63" t="str">
        <f t="shared" si="31"/>
        <v/>
      </c>
    </row>
    <row r="13" spans="1:28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65" t="str">
        <f t="shared" si="15"/>
        <v/>
      </c>
      <c r="Q13" s="65" t="str">
        <f t="shared" si="20"/>
        <v/>
      </c>
      <c r="R13" s="65" t="str">
        <f t="shared" si="21"/>
        <v/>
      </c>
      <c r="S13" s="66" t="str">
        <f t="shared" si="22"/>
        <v/>
      </c>
      <c r="T13" s="66" t="str">
        <f t="shared" si="23"/>
        <v/>
      </c>
      <c r="U13" s="67" t="str">
        <f t="shared" si="24"/>
        <v/>
      </c>
      <c r="V13" s="68" t="str">
        <f t="shared" si="25"/>
        <v/>
      </c>
      <c r="W13" s="68" t="str">
        <f t="shared" si="26"/>
        <v/>
      </c>
      <c r="X13" s="67" t="str">
        <f t="shared" si="27"/>
        <v/>
      </c>
      <c r="Y13" s="63" t="str">
        <f t="shared" si="28"/>
        <v/>
      </c>
      <c r="Z13" s="63" t="str">
        <f t="shared" si="29"/>
        <v/>
      </c>
      <c r="AA13" s="63" t="str">
        <f t="shared" si="30"/>
        <v/>
      </c>
      <c r="AB13" s="63" t="str">
        <f t="shared" si="31"/>
        <v/>
      </c>
    </row>
    <row r="14" spans="1:28" ht="15.75" thickBot="1">
      <c r="A14" s="2"/>
      <c r="B14" s="5" t="s">
        <v>12</v>
      </c>
      <c r="C14" s="60" t="str">
        <f>IFERROR(VLOOKUP("*"&amp;$C$4&amp;"*",'DADOS CLIENTES'!A:Z,5,0),IFERROR(INDEX('DADOS CLIENTES'!E:E,MATCH($C$4,'DADOS CLIENTES'!B:B,0)),"ERRO"))</f>
        <v>DATA CADASTRO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electLockedCells="1"/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G29"/>
  <sheetViews>
    <sheetView showGridLines="0" zoomScale="90" zoomScaleNormal="90" workbookViewId="0">
      <pane xSplit="6" ySplit="28" topLeftCell="G77" activePane="bottomRight" state="frozen"/>
      <selection pane="topRight" activeCell="G1" sqref="G1"/>
      <selection pane="bottomLeft" activeCell="A29" sqref="A29"/>
      <selection pane="bottomRight"/>
    </sheetView>
  </sheetViews>
  <sheetFormatPr defaultColWidth="0"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3" customWidth="1"/>
    <col min="6" max="6" width="12" customWidth="1"/>
    <col min="7" max="7" width="13" customWidth="1"/>
    <col min="8" max="16384" width="9.140625" hidden="1"/>
  </cols>
  <sheetData>
    <row r="1" spans="1:5" s="46" customFormat="1">
      <c r="A1" s="43" t="s">
        <v>28</v>
      </c>
      <c r="B1" s="44" t="s">
        <v>1</v>
      </c>
      <c r="C1" s="44" t="s">
        <v>2</v>
      </c>
      <c r="D1" s="44" t="s">
        <v>30</v>
      </c>
      <c r="E1" s="45" t="s">
        <v>13</v>
      </c>
    </row>
    <row r="2" spans="1:5" s="33" customFormat="1">
      <c r="A2" s="34" t="s">
        <v>26</v>
      </c>
      <c r="B2" s="37">
        <v>6677993262</v>
      </c>
      <c r="C2" s="35" t="s">
        <v>56</v>
      </c>
      <c r="D2" s="35" t="s">
        <v>33</v>
      </c>
      <c r="E2" s="36">
        <v>43565</v>
      </c>
    </row>
    <row r="3" spans="1:5" s="33" customFormat="1">
      <c r="A3" s="34" t="s">
        <v>27</v>
      </c>
      <c r="B3" s="37">
        <v>13481923178</v>
      </c>
      <c r="C3" s="35" t="s">
        <v>57</v>
      </c>
      <c r="D3" s="35" t="s">
        <v>34</v>
      </c>
      <c r="E3" s="36">
        <v>43575</v>
      </c>
    </row>
    <row r="4" spans="1:5" s="33" customFormat="1">
      <c r="A4" s="34"/>
      <c r="B4" s="37"/>
      <c r="C4" s="35"/>
      <c r="D4" s="35"/>
      <c r="E4" s="36"/>
    </row>
    <row r="5" spans="1:5" s="33" customFormat="1">
      <c r="A5" s="34"/>
      <c r="B5" s="37"/>
      <c r="C5" s="35"/>
      <c r="D5" s="35"/>
      <c r="E5" s="36"/>
    </row>
    <row r="6" spans="1:5" s="33" customFormat="1">
      <c r="A6" s="34"/>
      <c r="B6" s="37"/>
      <c r="C6" s="35"/>
      <c r="D6" s="35"/>
      <c r="E6" s="36"/>
    </row>
    <row r="7" spans="1:5" s="33" customFormat="1">
      <c r="A7" s="34"/>
      <c r="B7" s="37"/>
      <c r="C7" s="35"/>
      <c r="D7" s="35"/>
      <c r="E7" s="36"/>
    </row>
    <row r="8" spans="1:5" s="33" customFormat="1">
      <c r="A8" s="34"/>
      <c r="B8" s="37"/>
      <c r="C8" s="35"/>
      <c r="D8" s="35"/>
      <c r="E8" s="36"/>
    </row>
    <row r="9" spans="1:5" s="33" customFormat="1">
      <c r="A9" s="34"/>
      <c r="B9" s="37"/>
      <c r="C9" s="35"/>
      <c r="D9" s="35"/>
      <c r="E9" s="36"/>
    </row>
    <row r="10" spans="1:5" s="33" customFormat="1">
      <c r="A10" s="34"/>
      <c r="B10" s="37"/>
      <c r="C10" s="35"/>
      <c r="D10" s="35"/>
      <c r="E10" s="36"/>
    </row>
    <row r="11" spans="1:5" s="33" customFormat="1">
      <c r="A11" s="34"/>
      <c r="B11" s="37"/>
      <c r="C11" s="35"/>
      <c r="D11" s="35"/>
      <c r="E11" s="36"/>
    </row>
    <row r="12" spans="1:5" s="33" customFormat="1">
      <c r="A12" s="34"/>
      <c r="B12" s="37"/>
      <c r="C12" s="35"/>
      <c r="D12" s="35"/>
      <c r="E12" s="36"/>
    </row>
    <row r="13" spans="1:5" s="33" customFormat="1">
      <c r="A13" s="34"/>
      <c r="B13" s="37"/>
      <c r="C13" s="35"/>
      <c r="D13" s="35"/>
      <c r="E13" s="36"/>
    </row>
    <row r="14" spans="1:5" s="33" customFormat="1">
      <c r="A14" s="34"/>
      <c r="B14" s="37"/>
      <c r="C14" s="35"/>
      <c r="D14" s="35"/>
      <c r="E14" s="36"/>
    </row>
    <row r="15" spans="1:5" s="33" customFormat="1">
      <c r="A15" s="34"/>
      <c r="B15" s="37"/>
      <c r="C15" s="35"/>
      <c r="D15" s="35"/>
      <c r="E15" s="36"/>
    </row>
    <row r="16" spans="1:5" s="33" customFormat="1">
      <c r="A16" s="34"/>
      <c r="B16" s="37"/>
      <c r="C16" s="35"/>
      <c r="D16" s="35"/>
      <c r="E16" s="36"/>
    </row>
    <row r="17" spans="1:5" s="33" customFormat="1">
      <c r="A17" s="34"/>
      <c r="B17" s="37"/>
      <c r="C17" s="35"/>
      <c r="D17" s="35"/>
      <c r="E17" s="36"/>
    </row>
    <row r="18" spans="1:5" s="33" customFormat="1">
      <c r="A18" s="34"/>
      <c r="B18" s="37"/>
      <c r="C18" s="35"/>
      <c r="D18" s="35"/>
      <c r="E18" s="36"/>
    </row>
    <row r="19" spans="1:5" s="33" customFormat="1">
      <c r="A19" s="34"/>
      <c r="B19" s="37"/>
      <c r="C19" s="35"/>
      <c r="D19" s="35"/>
      <c r="E19" s="36"/>
    </row>
    <row r="20" spans="1:5" s="33" customFormat="1">
      <c r="A20" s="34"/>
      <c r="B20" s="37"/>
      <c r="C20" s="35"/>
      <c r="D20" s="35"/>
      <c r="E20" s="36"/>
    </row>
    <row r="21" spans="1:5" s="33" customFormat="1">
      <c r="A21" s="34"/>
      <c r="B21" s="37"/>
      <c r="C21" s="35"/>
      <c r="D21" s="35"/>
      <c r="E21" s="36"/>
    </row>
    <row r="22" spans="1:5" s="33" customFormat="1">
      <c r="A22" s="34"/>
      <c r="B22" s="37"/>
      <c r="C22" s="35"/>
      <c r="D22" s="35"/>
      <c r="E22" s="36"/>
    </row>
    <row r="23" spans="1:5" s="33" customFormat="1">
      <c r="A23" s="38"/>
      <c r="B23" s="39"/>
      <c r="C23" s="40"/>
      <c r="D23" s="40"/>
      <c r="E23" s="41"/>
    </row>
    <row r="24" spans="1:5" s="33" customFormat="1">
      <c r="E24" s="42"/>
    </row>
    <row r="25" spans="1:5" s="33" customFormat="1">
      <c r="A25"/>
      <c r="B25"/>
      <c r="C25"/>
      <c r="D25"/>
      <c r="E25" s="23"/>
    </row>
    <row r="26" spans="1:5" s="33" customFormat="1">
      <c r="A26"/>
      <c r="B26"/>
      <c r="C26"/>
      <c r="D26"/>
      <c r="E26" s="23"/>
    </row>
    <row r="27" spans="1:5" s="33" customFormat="1">
      <c r="A27"/>
      <c r="B27"/>
      <c r="C27"/>
      <c r="D27"/>
      <c r="E27" s="23"/>
    </row>
    <row r="28" spans="1:5" s="33" customFormat="1">
      <c r="A28"/>
      <c r="B28"/>
      <c r="C28"/>
      <c r="D28"/>
      <c r="E28" s="23"/>
    </row>
    <row r="29" spans="1:5" s="33" customFormat="1">
      <c r="A29"/>
      <c r="B29"/>
      <c r="C29"/>
      <c r="D29"/>
      <c r="E29" s="23"/>
    </row>
  </sheetData>
  <sheetProtection selectLockedCells="1"/>
  <phoneticPr fontId="7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5"/>
  <sheetViews>
    <sheetView showGridLines="0" zoomScale="90" zoomScaleNormal="90" workbookViewId="0">
      <pane xSplit="6" ySplit="23" topLeftCell="G48" activePane="bottomRight" state="frozen"/>
      <selection pane="topRight" activeCell="G1" sqref="G1"/>
      <selection pane="bottomLeft" activeCell="A24" sqref="A24"/>
      <selection pane="bottomRight"/>
    </sheetView>
  </sheetViews>
  <sheetFormatPr defaultColWidth="9.140625" defaultRowHeight="15"/>
  <cols>
    <col min="1" max="1" width="24.28515625" bestFit="1" customWidth="1"/>
    <col min="2" max="2" width="20.5703125" customWidth="1"/>
    <col min="3" max="3" width="21.140625" customWidth="1"/>
    <col min="4" max="4" width="31.85546875" bestFit="1" customWidth="1"/>
    <col min="5" max="5" width="15.140625" bestFit="1" customWidth="1"/>
    <col min="6" max="6" width="16.85546875" customWidth="1"/>
    <col min="7" max="12" width="9.140625" customWidth="1"/>
  </cols>
  <sheetData>
    <row r="1" spans="1:12">
      <c r="A1" s="31" t="s">
        <v>28</v>
      </c>
      <c r="B1" s="31" t="s">
        <v>1</v>
      </c>
      <c r="C1" s="31" t="s">
        <v>29</v>
      </c>
      <c r="D1" s="31" t="s">
        <v>30</v>
      </c>
      <c r="E1" s="31" t="s">
        <v>35</v>
      </c>
      <c r="F1" s="26" t="s">
        <v>21</v>
      </c>
    </row>
    <row r="2" spans="1:12">
      <c r="A2" s="27" t="s">
        <v>22</v>
      </c>
      <c r="B2" s="25">
        <v>8244227427</v>
      </c>
      <c r="C2" s="24" t="s">
        <v>23</v>
      </c>
      <c r="D2" t="s">
        <v>31</v>
      </c>
      <c r="E2" s="10">
        <v>43545</v>
      </c>
      <c r="F2" s="32">
        <v>0.1</v>
      </c>
    </row>
    <row r="3" spans="1:12">
      <c r="A3" s="27" t="s">
        <v>24</v>
      </c>
      <c r="B3" s="25">
        <v>14042620752</v>
      </c>
      <c r="C3" s="24" t="s">
        <v>25</v>
      </c>
      <c r="D3" t="s">
        <v>32</v>
      </c>
      <c r="E3" s="10">
        <v>43555</v>
      </c>
      <c r="F3" s="32">
        <v>0.15</v>
      </c>
      <c r="H3" s="48"/>
    </row>
    <row r="4" spans="1:12">
      <c r="A4" s="27"/>
      <c r="B4" s="25"/>
      <c r="C4" s="24"/>
      <c r="E4" s="10"/>
      <c r="F4" s="32"/>
      <c r="H4" s="49"/>
    </row>
    <row r="5" spans="1:12">
      <c r="A5" s="27"/>
      <c r="B5" s="25"/>
      <c r="C5" s="24"/>
      <c r="E5" s="10"/>
      <c r="F5" s="32"/>
      <c r="H5" s="49"/>
      <c r="J5" s="48"/>
    </row>
    <row r="6" spans="1:12">
      <c r="A6" s="27"/>
      <c r="B6" s="25"/>
      <c r="C6" s="24"/>
      <c r="E6" s="10"/>
      <c r="F6" s="32"/>
      <c r="H6" s="49"/>
      <c r="J6" s="49"/>
    </row>
    <row r="7" spans="1:12">
      <c r="A7" s="27"/>
      <c r="B7" s="25"/>
      <c r="C7" s="24"/>
      <c r="E7" s="10"/>
      <c r="F7" s="32"/>
      <c r="H7" s="50"/>
      <c r="J7" s="49"/>
    </row>
    <row r="8" spans="1:12">
      <c r="A8" s="27"/>
      <c r="B8" s="25"/>
      <c r="C8" s="24"/>
      <c r="D8" s="7"/>
      <c r="E8" s="10"/>
      <c r="F8" s="32"/>
      <c r="H8" s="49"/>
      <c r="J8" s="49"/>
    </row>
    <row r="9" spans="1:12">
      <c r="A9" s="27"/>
      <c r="B9" s="25"/>
      <c r="C9" s="24"/>
      <c r="D9" s="7"/>
      <c r="E9" s="10"/>
      <c r="F9" s="32"/>
      <c r="H9" s="51"/>
      <c r="I9" s="33"/>
      <c r="J9" s="52"/>
      <c r="K9" s="33"/>
      <c r="L9" s="33"/>
    </row>
    <row r="10" spans="1:12">
      <c r="A10" s="27"/>
      <c r="B10" s="25"/>
      <c r="C10" s="24"/>
      <c r="E10" s="10"/>
      <c r="H10" s="51"/>
      <c r="I10" s="33"/>
      <c r="J10" s="51"/>
      <c r="K10" s="33"/>
      <c r="L10" s="33"/>
    </row>
    <row r="11" spans="1:12">
      <c r="A11" s="27"/>
      <c r="B11" s="25"/>
      <c r="C11" s="24"/>
      <c r="E11" s="10"/>
      <c r="H11" s="52"/>
      <c r="I11" s="33"/>
      <c r="J11" s="51"/>
      <c r="K11" s="33"/>
      <c r="L11" s="33"/>
    </row>
    <row r="12" spans="1:12">
      <c r="A12" s="27"/>
      <c r="B12" s="25"/>
      <c r="C12" s="24"/>
      <c r="E12" s="10"/>
      <c r="H12" s="51"/>
      <c r="I12" s="33"/>
      <c r="J12" s="51"/>
      <c r="K12" s="33"/>
      <c r="L12" s="33"/>
    </row>
    <row r="13" spans="1:12">
      <c r="A13" s="27"/>
      <c r="B13" s="25"/>
      <c r="C13" s="24"/>
      <c r="E13" s="10"/>
      <c r="H13" s="51"/>
      <c r="I13" s="33"/>
      <c r="J13" s="52"/>
      <c r="K13" s="33"/>
      <c r="L13" s="33"/>
    </row>
    <row r="14" spans="1:12">
      <c r="A14" s="27"/>
      <c r="B14" s="25"/>
      <c r="C14" s="24"/>
      <c r="E14" s="10"/>
      <c r="H14" s="51"/>
      <c r="I14" s="33"/>
      <c r="J14" s="51"/>
      <c r="K14" s="33"/>
      <c r="L14" s="33"/>
    </row>
    <row r="15" spans="1:12">
      <c r="A15" s="27"/>
      <c r="B15" s="25"/>
      <c r="C15" s="24"/>
      <c r="E15" s="10"/>
      <c r="H15" s="33"/>
      <c r="I15" s="33"/>
      <c r="J15" s="51"/>
      <c r="K15" s="33"/>
      <c r="L15" s="33"/>
    </row>
    <row r="16" spans="1:12">
      <c r="A16" s="27"/>
      <c r="B16" s="25"/>
      <c r="C16" s="24"/>
      <c r="E16" s="10"/>
      <c r="H16" s="33"/>
      <c r="I16" s="33"/>
      <c r="J16" s="51"/>
      <c r="K16" s="33"/>
      <c r="L16" s="33"/>
    </row>
    <row r="17" spans="1:12">
      <c r="A17" s="27"/>
      <c r="B17" s="25"/>
      <c r="C17" s="24"/>
      <c r="E17" s="10"/>
      <c r="H17" s="33"/>
      <c r="I17" s="33"/>
      <c r="J17" s="33"/>
      <c r="K17" s="33"/>
      <c r="L17" s="33"/>
    </row>
    <row r="18" spans="1:12">
      <c r="A18" s="27"/>
      <c r="B18" s="25"/>
      <c r="C18" s="24"/>
      <c r="E18" s="10"/>
      <c r="H18" s="33"/>
      <c r="I18" s="33"/>
      <c r="J18" s="33"/>
      <c r="K18" s="33"/>
      <c r="L18" s="33"/>
    </row>
    <row r="19" spans="1:12">
      <c r="A19" s="27"/>
      <c r="B19" s="25"/>
      <c r="C19" s="24"/>
      <c r="E19" s="10"/>
      <c r="H19" s="33"/>
      <c r="I19" s="33"/>
      <c r="J19" s="33"/>
      <c r="K19" s="33"/>
      <c r="L19" s="33"/>
    </row>
    <row r="20" spans="1:12">
      <c r="A20" s="27"/>
      <c r="B20" s="25"/>
      <c r="C20" s="24"/>
      <c r="E20" s="10"/>
      <c r="H20" s="33"/>
      <c r="I20" s="33"/>
      <c r="J20" s="33"/>
      <c r="K20" s="33"/>
      <c r="L20" s="33"/>
    </row>
    <row r="21" spans="1:12">
      <c r="A21" s="27"/>
      <c r="B21" s="25"/>
      <c r="C21" s="24"/>
      <c r="E21" s="10"/>
    </row>
    <row r="22" spans="1:12">
      <c r="A22" s="27"/>
      <c r="B22" s="25"/>
      <c r="C22" s="24"/>
      <c r="E22" s="10"/>
    </row>
    <row r="23" spans="1:12">
      <c r="A23" s="27"/>
      <c r="B23" s="25"/>
      <c r="C23" s="24"/>
      <c r="E23" s="10"/>
    </row>
    <row r="24" spans="1:12">
      <c r="A24" s="28"/>
      <c r="B24" s="30"/>
      <c r="C24" s="29"/>
      <c r="E24" s="10"/>
    </row>
    <row r="25" spans="1:12">
      <c r="A25" s="28"/>
      <c r="B25" s="30"/>
      <c r="C25" s="29"/>
      <c r="E25" s="10"/>
    </row>
  </sheetData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201"/>
  <sheetViews>
    <sheetView zoomScale="90" zoomScaleNormal="90" workbookViewId="0">
      <pane ySplit="1" topLeftCell="A2" activePane="bottomLeft" state="frozen"/>
      <selection pane="bottomLeft"/>
    </sheetView>
  </sheetViews>
  <sheetFormatPr defaultColWidth="0" defaultRowHeight="15"/>
  <cols>
    <col min="1" max="1" width="15.140625" customWidth="1"/>
    <col min="2" max="2" width="15.140625" bestFit="1" customWidth="1"/>
    <col min="3" max="3" width="15.5703125" bestFit="1" customWidth="1"/>
    <col min="4" max="4" width="13.5703125" style="10" customWidth="1"/>
    <col min="5" max="5" width="15.140625" style="9" customWidth="1"/>
    <col min="6" max="6" width="18.85546875" style="69" bestFit="1" customWidth="1"/>
    <col min="7" max="7" width="12.5703125" style="64" bestFit="1" customWidth="1"/>
    <col min="8" max="8" width="13.5703125" style="23" bestFit="1" customWidth="1"/>
    <col min="9" max="9" width="17.7109375" style="69" bestFit="1" customWidth="1"/>
    <col min="10" max="10" width="15" bestFit="1" customWidth="1"/>
    <col min="11" max="11" width="15.5703125" bestFit="1" customWidth="1"/>
    <col min="12" max="12" width="16.85546875" bestFit="1" customWidth="1"/>
    <col min="13" max="13" width="16.85546875" customWidth="1"/>
    <col min="14" max="14" width="17.85546875" customWidth="1"/>
    <col min="15" max="16384" width="16.85546875" hidden="1"/>
  </cols>
  <sheetData>
    <row r="1" spans="1:14" ht="60.75" customHeight="1" thickBot="1">
      <c r="A1" s="114" t="s">
        <v>5</v>
      </c>
      <c r="B1" s="115" t="s">
        <v>1</v>
      </c>
      <c r="C1" s="115" t="s">
        <v>6</v>
      </c>
      <c r="D1" s="116" t="s">
        <v>11</v>
      </c>
      <c r="E1" s="117" t="s">
        <v>41</v>
      </c>
      <c r="F1" s="118" t="s">
        <v>20</v>
      </c>
      <c r="G1" s="70" t="s">
        <v>7</v>
      </c>
      <c r="H1" s="70" t="s">
        <v>39</v>
      </c>
      <c r="I1" s="118" t="s">
        <v>9</v>
      </c>
      <c r="J1" s="115" t="s">
        <v>16</v>
      </c>
      <c r="K1" s="115" t="s">
        <v>17</v>
      </c>
      <c r="L1" s="119" t="s">
        <v>18</v>
      </c>
      <c r="M1" s="119" t="s">
        <v>19</v>
      </c>
      <c r="N1" s="3"/>
    </row>
    <row r="2" spans="1:14" ht="60.75" customHeight="1">
      <c r="A2" s="147" t="s">
        <v>58</v>
      </c>
      <c r="B2" s="147" t="s">
        <v>58</v>
      </c>
      <c r="C2" s="147" t="s">
        <v>58</v>
      </c>
      <c r="D2" s="148" t="s">
        <v>58</v>
      </c>
      <c r="E2" s="149" t="s">
        <v>58</v>
      </c>
      <c r="F2" s="126" t="s">
        <v>58</v>
      </c>
      <c r="G2" s="150" t="s">
        <v>58</v>
      </c>
      <c r="H2" s="150" t="s">
        <v>58</v>
      </c>
      <c r="I2" s="126" t="s">
        <v>58</v>
      </c>
      <c r="J2" s="147" t="s">
        <v>58</v>
      </c>
      <c r="K2" s="147" t="s">
        <v>58</v>
      </c>
      <c r="L2" s="147" t="s">
        <v>58</v>
      </c>
      <c r="M2" s="147" t="s">
        <v>58</v>
      </c>
      <c r="N2" s="3"/>
    </row>
    <row r="3" spans="1:14" ht="60.75" customHeight="1">
      <c r="A3" s="147" t="s">
        <v>58</v>
      </c>
      <c r="B3" s="147" t="s">
        <v>58</v>
      </c>
      <c r="C3" s="147" t="s">
        <v>58</v>
      </c>
      <c r="D3" s="148" t="s">
        <v>58</v>
      </c>
      <c r="E3" s="149" t="s">
        <v>58</v>
      </c>
      <c r="F3" s="126" t="s">
        <v>58</v>
      </c>
      <c r="G3" s="150" t="s">
        <v>58</v>
      </c>
      <c r="H3" s="150" t="s">
        <v>58</v>
      </c>
      <c r="I3" s="126" t="s">
        <v>58</v>
      </c>
      <c r="J3" s="147" t="s">
        <v>58</v>
      </c>
      <c r="K3" s="147" t="s">
        <v>58</v>
      </c>
      <c r="L3" s="147" t="s">
        <v>58</v>
      </c>
      <c r="M3" s="147" t="s">
        <v>58</v>
      </c>
      <c r="N3" s="3"/>
    </row>
    <row r="4" spans="1:14" ht="60.75" customHeight="1">
      <c r="A4" s="147" t="s">
        <v>58</v>
      </c>
      <c r="B4" s="147" t="s">
        <v>58</v>
      </c>
      <c r="C4" s="147" t="s">
        <v>58</v>
      </c>
      <c r="D4" s="148" t="s">
        <v>58</v>
      </c>
      <c r="E4" s="149" t="s">
        <v>58</v>
      </c>
      <c r="F4" s="126" t="s">
        <v>58</v>
      </c>
      <c r="G4" s="150" t="s">
        <v>58</v>
      </c>
      <c r="H4" s="150" t="s">
        <v>58</v>
      </c>
      <c r="I4" s="126" t="s">
        <v>58</v>
      </c>
      <c r="J4" s="147" t="s">
        <v>58</v>
      </c>
      <c r="K4" s="147" t="s">
        <v>58</v>
      </c>
      <c r="L4" s="147" t="s">
        <v>58</v>
      </c>
      <c r="M4" s="147" t="s">
        <v>58</v>
      </c>
      <c r="N4" s="3"/>
    </row>
    <row r="5" spans="1:14" ht="60.75" customHeight="1">
      <c r="A5" s="147" t="s">
        <v>58</v>
      </c>
      <c r="B5" s="147" t="s">
        <v>58</v>
      </c>
      <c r="C5" s="147" t="s">
        <v>58</v>
      </c>
      <c r="D5" s="148" t="s">
        <v>58</v>
      </c>
      <c r="E5" s="149" t="s">
        <v>58</v>
      </c>
      <c r="F5" s="126" t="s">
        <v>58</v>
      </c>
      <c r="G5" s="150" t="s">
        <v>58</v>
      </c>
      <c r="H5" s="150" t="s">
        <v>58</v>
      </c>
      <c r="I5" s="126" t="s">
        <v>58</v>
      </c>
      <c r="J5" s="147" t="s">
        <v>58</v>
      </c>
      <c r="K5" s="147" t="s">
        <v>58</v>
      </c>
      <c r="L5" s="147" t="s">
        <v>58</v>
      </c>
      <c r="M5" s="147" t="s">
        <v>58</v>
      </c>
      <c r="N5" s="3"/>
    </row>
    <row r="6" spans="1:14" ht="60.75" customHeight="1">
      <c r="A6" s="147" t="s">
        <v>58</v>
      </c>
      <c r="B6" s="147" t="s">
        <v>58</v>
      </c>
      <c r="C6" s="147" t="s">
        <v>58</v>
      </c>
      <c r="D6" s="148" t="s">
        <v>58</v>
      </c>
      <c r="E6" s="149" t="s">
        <v>58</v>
      </c>
      <c r="F6" s="126" t="s">
        <v>58</v>
      </c>
      <c r="G6" s="150" t="s">
        <v>58</v>
      </c>
      <c r="H6" s="150" t="s">
        <v>58</v>
      </c>
      <c r="I6" s="126" t="s">
        <v>58</v>
      </c>
      <c r="J6" s="147" t="s">
        <v>58</v>
      </c>
      <c r="K6" s="147" t="s">
        <v>58</v>
      </c>
      <c r="L6" s="147" t="s">
        <v>58</v>
      </c>
      <c r="M6" s="147" t="s">
        <v>58</v>
      </c>
      <c r="N6" s="3"/>
    </row>
    <row r="7" spans="1:14" ht="60.75" customHeight="1">
      <c r="A7" s="147" t="s">
        <v>58</v>
      </c>
      <c r="B7" s="147" t="s">
        <v>58</v>
      </c>
      <c r="C7" s="147" t="s">
        <v>58</v>
      </c>
      <c r="D7" s="148" t="s">
        <v>58</v>
      </c>
      <c r="E7" s="149" t="s">
        <v>58</v>
      </c>
      <c r="F7" s="126" t="s">
        <v>58</v>
      </c>
      <c r="G7" s="150" t="s">
        <v>58</v>
      </c>
      <c r="H7" s="150" t="s">
        <v>58</v>
      </c>
      <c r="I7" s="126" t="s">
        <v>58</v>
      </c>
      <c r="J7" s="147" t="s">
        <v>58</v>
      </c>
      <c r="K7" s="147" t="s">
        <v>58</v>
      </c>
      <c r="L7" s="147" t="s">
        <v>58</v>
      </c>
      <c r="M7" s="147" t="s">
        <v>58</v>
      </c>
      <c r="N7" s="3"/>
    </row>
    <row r="8" spans="1:14" ht="60.75" customHeight="1">
      <c r="A8" s="147" t="s">
        <v>58</v>
      </c>
      <c r="B8" s="147" t="s">
        <v>58</v>
      </c>
      <c r="C8" s="147" t="s">
        <v>58</v>
      </c>
      <c r="D8" s="148" t="s">
        <v>58</v>
      </c>
      <c r="E8" s="149" t="s">
        <v>58</v>
      </c>
      <c r="F8" s="126" t="s">
        <v>58</v>
      </c>
      <c r="G8" s="150" t="s">
        <v>58</v>
      </c>
      <c r="H8" s="150" t="s">
        <v>58</v>
      </c>
      <c r="I8" s="126" t="s">
        <v>58</v>
      </c>
      <c r="J8" s="147" t="s">
        <v>58</v>
      </c>
      <c r="K8" s="147" t="s">
        <v>58</v>
      </c>
      <c r="L8" s="147" t="s">
        <v>58</v>
      </c>
      <c r="M8" s="147" t="s">
        <v>58</v>
      </c>
      <c r="N8" s="3"/>
    </row>
    <row r="9" spans="1:14" ht="60.75" customHeight="1">
      <c r="A9" s="147" t="s">
        <v>58</v>
      </c>
      <c r="B9" s="147" t="s">
        <v>58</v>
      </c>
      <c r="C9" s="147" t="s">
        <v>58</v>
      </c>
      <c r="D9" s="148" t="s">
        <v>58</v>
      </c>
      <c r="E9" s="149" t="s">
        <v>58</v>
      </c>
      <c r="F9" s="126" t="s">
        <v>58</v>
      </c>
      <c r="G9" s="150" t="s">
        <v>58</v>
      </c>
      <c r="H9" s="150" t="s">
        <v>58</v>
      </c>
      <c r="I9" s="126" t="s">
        <v>58</v>
      </c>
      <c r="J9" s="147" t="s">
        <v>58</v>
      </c>
      <c r="K9" s="147" t="s">
        <v>58</v>
      </c>
      <c r="L9" s="147" t="s">
        <v>58</v>
      </c>
      <c r="M9" s="147" t="s">
        <v>58</v>
      </c>
      <c r="N9" s="3"/>
    </row>
    <row r="10" spans="1:14" ht="60.75" customHeight="1">
      <c r="A10" s="147" t="s">
        <v>58</v>
      </c>
      <c r="B10" s="147" t="s">
        <v>58</v>
      </c>
      <c r="C10" s="147" t="s">
        <v>58</v>
      </c>
      <c r="D10" s="148" t="s">
        <v>58</v>
      </c>
      <c r="E10" s="149" t="s">
        <v>58</v>
      </c>
      <c r="F10" s="126" t="s">
        <v>58</v>
      </c>
      <c r="G10" s="150" t="s">
        <v>58</v>
      </c>
      <c r="H10" s="150" t="s">
        <v>58</v>
      </c>
      <c r="I10" s="126" t="s">
        <v>58</v>
      </c>
      <c r="J10" s="147" t="s">
        <v>58</v>
      </c>
      <c r="K10" s="147" t="s">
        <v>58</v>
      </c>
      <c r="L10" s="147" t="s">
        <v>58</v>
      </c>
      <c r="M10" s="147" t="s">
        <v>58</v>
      </c>
      <c r="N10" s="3"/>
    </row>
    <row r="11" spans="1:14" ht="60.75" customHeight="1">
      <c r="A11" s="147" t="s">
        <v>58</v>
      </c>
      <c r="B11" s="147" t="s">
        <v>58</v>
      </c>
      <c r="C11" s="147" t="s">
        <v>58</v>
      </c>
      <c r="D11" s="148" t="s">
        <v>58</v>
      </c>
      <c r="E11" s="149" t="s">
        <v>58</v>
      </c>
      <c r="F11" s="126" t="s">
        <v>58</v>
      </c>
      <c r="G11" s="150" t="s">
        <v>58</v>
      </c>
      <c r="H11" s="150" t="s">
        <v>58</v>
      </c>
      <c r="I11" s="126" t="s">
        <v>58</v>
      </c>
      <c r="J11" s="147" t="s">
        <v>58</v>
      </c>
      <c r="K11" s="147" t="s">
        <v>58</v>
      </c>
      <c r="L11" s="147" t="s">
        <v>58</v>
      </c>
      <c r="M11" s="147" t="s">
        <v>58</v>
      </c>
      <c r="N11" s="3"/>
    </row>
    <row r="12" spans="1:14" ht="60.75" customHeight="1">
      <c r="A12" s="147" t="s">
        <v>58</v>
      </c>
      <c r="B12" s="147" t="s">
        <v>58</v>
      </c>
      <c r="C12" s="147" t="s">
        <v>58</v>
      </c>
      <c r="D12" s="148" t="s">
        <v>58</v>
      </c>
      <c r="E12" s="149" t="s">
        <v>58</v>
      </c>
      <c r="F12" s="126" t="s">
        <v>58</v>
      </c>
      <c r="G12" s="150" t="s">
        <v>58</v>
      </c>
      <c r="H12" s="150" t="s">
        <v>58</v>
      </c>
      <c r="I12" s="126" t="s">
        <v>58</v>
      </c>
      <c r="J12" s="147" t="s">
        <v>58</v>
      </c>
      <c r="K12" s="147" t="s">
        <v>58</v>
      </c>
      <c r="L12" s="147" t="s">
        <v>58</v>
      </c>
      <c r="M12" s="147" t="s">
        <v>58</v>
      </c>
      <c r="N12" s="3"/>
    </row>
    <row r="13" spans="1:14" ht="60.75" customHeight="1">
      <c r="A13" s="147" t="s">
        <v>58</v>
      </c>
      <c r="B13" s="147" t="s">
        <v>58</v>
      </c>
      <c r="C13" s="147" t="s">
        <v>58</v>
      </c>
      <c r="D13" s="148" t="s">
        <v>58</v>
      </c>
      <c r="E13" s="149" t="s">
        <v>58</v>
      </c>
      <c r="F13" s="126" t="s">
        <v>58</v>
      </c>
      <c r="G13" s="150" t="s">
        <v>58</v>
      </c>
      <c r="H13" s="150" t="s">
        <v>58</v>
      </c>
      <c r="I13" s="126" t="s">
        <v>58</v>
      </c>
      <c r="J13" s="147" t="s">
        <v>58</v>
      </c>
      <c r="K13" s="147" t="s">
        <v>58</v>
      </c>
      <c r="L13" s="147" t="s">
        <v>58</v>
      </c>
      <c r="M13" s="147" t="s">
        <v>58</v>
      </c>
      <c r="N13" s="3"/>
    </row>
    <row r="14" spans="1:14" ht="60.75" customHeight="1">
      <c r="A14" s="123"/>
      <c r="B14" s="123"/>
      <c r="C14" s="123"/>
      <c r="D14" s="124"/>
      <c r="E14" s="125"/>
      <c r="F14" s="126"/>
      <c r="G14" s="127"/>
      <c r="H14" s="127"/>
      <c r="I14" s="126"/>
      <c r="J14" s="123"/>
      <c r="K14" s="123"/>
      <c r="L14" s="123"/>
      <c r="M14" s="123"/>
      <c r="N14" s="3"/>
    </row>
    <row r="15" spans="1:14" ht="60.75" customHeight="1">
      <c r="A15" s="123"/>
      <c r="B15" s="123"/>
      <c r="C15" s="123"/>
      <c r="D15" s="124"/>
      <c r="E15" s="125"/>
      <c r="F15" s="126"/>
      <c r="G15" s="127"/>
      <c r="H15" s="127"/>
      <c r="I15" s="126"/>
      <c r="J15" s="123"/>
      <c r="K15" s="123"/>
      <c r="L15" s="123"/>
      <c r="M15" s="123"/>
      <c r="N15" s="3"/>
    </row>
    <row r="16" spans="1:14" ht="60.75" customHeight="1">
      <c r="A16" s="123"/>
      <c r="B16" s="123"/>
      <c r="C16" s="123"/>
      <c r="D16" s="124"/>
      <c r="E16" s="125"/>
      <c r="F16" s="126"/>
      <c r="G16" s="127"/>
      <c r="H16" s="127"/>
      <c r="I16" s="126"/>
      <c r="J16" s="123"/>
      <c r="K16" s="123"/>
      <c r="L16" s="123"/>
      <c r="M16" s="123"/>
      <c r="N16" s="3"/>
    </row>
    <row r="17" spans="1:14" ht="60.75" customHeight="1">
      <c r="A17" s="123"/>
      <c r="B17" s="123"/>
      <c r="C17" s="123"/>
      <c r="D17" s="124"/>
      <c r="E17" s="125"/>
      <c r="F17" s="126"/>
      <c r="G17" s="127"/>
      <c r="H17" s="127"/>
      <c r="I17" s="126"/>
      <c r="J17" s="123"/>
      <c r="K17" s="123"/>
      <c r="L17" s="123"/>
      <c r="M17" s="123"/>
      <c r="N17" s="3"/>
    </row>
    <row r="18" spans="1:14" ht="60.75" customHeight="1">
      <c r="A18" s="123"/>
      <c r="B18" s="123"/>
      <c r="C18" s="123"/>
      <c r="D18" s="124"/>
      <c r="E18" s="125"/>
      <c r="F18" s="126"/>
      <c r="G18" s="127"/>
      <c r="H18" s="127"/>
      <c r="I18" s="126"/>
      <c r="J18" s="123"/>
      <c r="K18" s="123"/>
      <c r="L18" s="123"/>
      <c r="M18" s="123"/>
      <c r="N18" s="3"/>
    </row>
    <row r="19" spans="1:14" ht="60.75" customHeight="1">
      <c r="A19" s="123"/>
      <c r="B19" s="123"/>
      <c r="C19" s="123"/>
      <c r="D19" s="124"/>
      <c r="E19" s="125"/>
      <c r="F19" s="126"/>
      <c r="G19" s="127"/>
      <c r="H19" s="127"/>
      <c r="I19" s="126"/>
      <c r="J19" s="123"/>
      <c r="K19" s="123"/>
      <c r="L19" s="123"/>
      <c r="M19" s="123"/>
      <c r="N19" s="3"/>
    </row>
    <row r="20" spans="1:14" ht="60.75" customHeight="1">
      <c r="A20" s="123"/>
      <c r="B20" s="123"/>
      <c r="C20" s="123"/>
      <c r="D20" s="124"/>
      <c r="E20" s="125"/>
      <c r="F20" s="126"/>
      <c r="G20" s="127"/>
      <c r="H20" s="127"/>
      <c r="I20" s="126"/>
      <c r="J20" s="123"/>
      <c r="K20" s="123"/>
      <c r="L20" s="123"/>
      <c r="M20" s="123"/>
      <c r="N20" s="3"/>
    </row>
    <row r="21" spans="1:14" ht="60.75" customHeight="1">
      <c r="A21" s="123"/>
      <c r="B21" s="123"/>
      <c r="C21" s="123"/>
      <c r="D21" s="124"/>
      <c r="E21" s="125"/>
      <c r="F21" s="126"/>
      <c r="G21" s="127"/>
      <c r="H21" s="127"/>
      <c r="I21" s="126"/>
      <c r="J21" s="123"/>
      <c r="K21" s="123"/>
      <c r="L21" s="123"/>
      <c r="M21" s="123"/>
      <c r="N21" s="3"/>
    </row>
    <row r="22" spans="1:14" ht="60.75" customHeight="1">
      <c r="A22" s="123"/>
      <c r="B22" s="123"/>
      <c r="C22" s="123"/>
      <c r="D22" s="124"/>
      <c r="E22" s="125"/>
      <c r="F22" s="126"/>
      <c r="G22" s="127"/>
      <c r="H22" s="127"/>
      <c r="I22" s="126"/>
      <c r="J22" s="123"/>
      <c r="K22" s="123"/>
      <c r="L22" s="123"/>
      <c r="M22" s="123"/>
      <c r="N22" s="3"/>
    </row>
    <row r="23" spans="1:14" ht="60.75" customHeight="1">
      <c r="A23" s="123"/>
      <c r="B23" s="123"/>
      <c r="C23" s="123"/>
      <c r="D23" s="124"/>
      <c r="E23" s="125"/>
      <c r="F23" s="126"/>
      <c r="G23" s="127"/>
      <c r="H23" s="127"/>
      <c r="I23" s="126"/>
      <c r="J23" s="123"/>
      <c r="K23" s="123"/>
      <c r="L23" s="123"/>
      <c r="M23" s="123"/>
      <c r="N23" s="3"/>
    </row>
    <row r="24" spans="1:14" ht="60.75" customHeight="1">
      <c r="A24" s="123"/>
      <c r="B24" s="123"/>
      <c r="C24" s="123"/>
      <c r="D24" s="124"/>
      <c r="E24" s="125"/>
      <c r="F24" s="126"/>
      <c r="G24" s="127"/>
      <c r="H24" s="127"/>
      <c r="I24" s="126"/>
      <c r="J24" s="123"/>
      <c r="K24" s="123"/>
      <c r="L24" s="123"/>
      <c r="M24" s="123"/>
      <c r="N24" s="3"/>
    </row>
    <row r="25" spans="1:14" ht="60.75" customHeight="1">
      <c r="A25" s="123"/>
      <c r="B25" s="123"/>
      <c r="C25" s="123"/>
      <c r="D25" s="124"/>
      <c r="E25" s="125"/>
      <c r="F25" s="126"/>
      <c r="G25" s="127"/>
      <c r="H25" s="127"/>
      <c r="I25" s="126"/>
      <c r="J25" s="123"/>
      <c r="K25" s="123"/>
      <c r="L25" s="123"/>
      <c r="M25" s="123"/>
      <c r="N25" s="3"/>
    </row>
    <row r="26" spans="1:14" ht="60.75" customHeight="1">
      <c r="A26" s="123"/>
      <c r="B26" s="123"/>
      <c r="C26" s="123"/>
      <c r="D26" s="124"/>
      <c r="E26" s="125"/>
      <c r="F26" s="126"/>
      <c r="G26" s="127"/>
      <c r="H26" s="127"/>
      <c r="I26" s="126"/>
      <c r="J26" s="123"/>
      <c r="K26" s="123"/>
      <c r="L26" s="123"/>
      <c r="M26" s="123"/>
      <c r="N26" s="3"/>
    </row>
    <row r="27" spans="1:14" ht="60.75" customHeight="1">
      <c r="A27" s="123"/>
      <c r="B27" s="123"/>
      <c r="C27" s="123"/>
      <c r="D27" s="124"/>
      <c r="E27" s="125"/>
      <c r="F27" s="126"/>
      <c r="G27" s="127"/>
      <c r="H27" s="127"/>
      <c r="I27" s="126"/>
      <c r="J27" s="123"/>
      <c r="K27" s="123"/>
      <c r="L27" s="123"/>
      <c r="M27" s="123"/>
      <c r="N27" s="3"/>
    </row>
    <row r="28" spans="1:14" ht="60.75" customHeight="1">
      <c r="A28" s="123"/>
      <c r="B28" s="123"/>
      <c r="C28" s="123"/>
      <c r="D28" s="124"/>
      <c r="E28" s="125"/>
      <c r="F28" s="126"/>
      <c r="G28" s="127"/>
      <c r="H28" s="127"/>
      <c r="I28" s="126"/>
      <c r="J28" s="123"/>
      <c r="K28" s="123"/>
      <c r="L28" s="123"/>
      <c r="M28" s="123"/>
      <c r="N28" s="3"/>
    </row>
    <row r="29" spans="1:14" ht="60.75" customHeight="1">
      <c r="A29" s="123"/>
      <c r="B29" s="123"/>
      <c r="C29" s="123"/>
      <c r="D29" s="124"/>
      <c r="E29" s="125"/>
      <c r="F29" s="126"/>
      <c r="G29" s="127"/>
      <c r="H29" s="127"/>
      <c r="I29" s="126"/>
      <c r="J29" s="123"/>
      <c r="K29" s="123"/>
      <c r="L29" s="123"/>
      <c r="M29" s="123"/>
      <c r="N29" s="3"/>
    </row>
    <row r="30" spans="1:14" ht="60.75" customHeight="1">
      <c r="A30" s="123"/>
      <c r="B30" s="123"/>
      <c r="C30" s="123"/>
      <c r="D30" s="124"/>
      <c r="E30" s="125"/>
      <c r="F30" s="126"/>
      <c r="G30" s="127"/>
      <c r="H30" s="127"/>
      <c r="I30" s="126"/>
      <c r="J30" s="123"/>
      <c r="K30" s="123"/>
      <c r="L30" s="123"/>
      <c r="M30" s="123"/>
      <c r="N30" s="3"/>
    </row>
    <row r="31" spans="1:14" ht="60.75" customHeight="1">
      <c r="A31" s="123"/>
      <c r="B31" s="123"/>
      <c r="C31" s="123"/>
      <c r="D31" s="124"/>
      <c r="E31" s="125"/>
      <c r="F31" s="126"/>
      <c r="G31" s="127"/>
      <c r="H31" s="127"/>
      <c r="I31" s="126"/>
      <c r="J31" s="123"/>
      <c r="K31" s="123"/>
      <c r="L31" s="123"/>
      <c r="M31" s="123"/>
      <c r="N31" s="3"/>
    </row>
    <row r="32" spans="1:14" ht="60.75" customHeight="1">
      <c r="A32" s="123"/>
      <c r="B32" s="123"/>
      <c r="C32" s="123"/>
      <c r="D32" s="124"/>
      <c r="E32" s="125"/>
      <c r="F32" s="126"/>
      <c r="G32" s="127"/>
      <c r="H32" s="127"/>
      <c r="I32" s="126"/>
      <c r="J32" s="123"/>
      <c r="K32" s="123"/>
      <c r="L32" s="123"/>
      <c r="M32" s="123"/>
      <c r="N32" s="3"/>
    </row>
    <row r="33" spans="1:14" ht="60.75" customHeight="1">
      <c r="A33" s="123"/>
      <c r="B33" s="123"/>
      <c r="C33" s="123"/>
      <c r="D33" s="124"/>
      <c r="E33" s="125"/>
      <c r="F33" s="126"/>
      <c r="G33" s="127"/>
      <c r="H33" s="127"/>
      <c r="I33" s="126"/>
      <c r="J33" s="123"/>
      <c r="K33" s="123"/>
      <c r="L33" s="123"/>
      <c r="M33" s="123"/>
      <c r="N33" s="3"/>
    </row>
    <row r="34" spans="1:14" ht="60.75" customHeight="1">
      <c r="A34" s="123"/>
      <c r="B34" s="123"/>
      <c r="C34" s="123"/>
      <c r="D34" s="124"/>
      <c r="E34" s="125"/>
      <c r="F34" s="126"/>
      <c r="G34" s="127"/>
      <c r="H34" s="127"/>
      <c r="I34" s="126"/>
      <c r="J34" s="123"/>
      <c r="K34" s="123"/>
      <c r="L34" s="123"/>
      <c r="M34" s="123"/>
      <c r="N34" s="3"/>
    </row>
    <row r="35" spans="1:14" ht="60.75" customHeight="1">
      <c r="A35" s="123"/>
      <c r="B35" s="123"/>
      <c r="C35" s="123"/>
      <c r="D35" s="124"/>
      <c r="E35" s="125"/>
      <c r="F35" s="126"/>
      <c r="G35" s="127"/>
      <c r="H35" s="127"/>
      <c r="I35" s="126"/>
      <c r="J35" s="123"/>
      <c r="K35" s="123"/>
      <c r="L35" s="123"/>
      <c r="M35" s="123"/>
      <c r="N35" s="3"/>
    </row>
    <row r="36" spans="1:14" ht="60.75" customHeight="1">
      <c r="A36" s="123"/>
      <c r="B36" s="123"/>
      <c r="C36" s="123"/>
      <c r="D36" s="124"/>
      <c r="E36" s="125"/>
      <c r="F36" s="126"/>
      <c r="G36" s="127"/>
      <c r="H36" s="127"/>
      <c r="I36" s="126"/>
      <c r="J36" s="123"/>
      <c r="K36" s="123"/>
      <c r="L36" s="123"/>
      <c r="M36" s="123"/>
      <c r="N36" s="3"/>
    </row>
    <row r="37" spans="1:14" ht="60.75" customHeight="1">
      <c r="A37" s="123"/>
      <c r="B37" s="123"/>
      <c r="C37" s="123"/>
      <c r="D37" s="124"/>
      <c r="E37" s="125"/>
      <c r="F37" s="126"/>
      <c r="G37" s="127"/>
      <c r="H37" s="127"/>
      <c r="I37" s="126"/>
      <c r="J37" s="123"/>
      <c r="K37" s="123"/>
      <c r="L37" s="123"/>
      <c r="M37" s="123"/>
      <c r="N37" s="3"/>
    </row>
    <row r="38" spans="1:14" ht="60.75" customHeight="1">
      <c r="A38" s="123"/>
      <c r="B38" s="123"/>
      <c r="C38" s="123"/>
      <c r="D38" s="124"/>
      <c r="E38" s="125"/>
      <c r="F38" s="126"/>
      <c r="G38" s="127"/>
      <c r="H38" s="127"/>
      <c r="I38" s="126"/>
      <c r="J38" s="123"/>
      <c r="K38" s="123"/>
      <c r="L38" s="123"/>
      <c r="M38" s="123"/>
      <c r="N38" s="3"/>
    </row>
    <row r="39" spans="1:14" ht="60.75" customHeight="1">
      <c r="A39" s="123"/>
      <c r="B39" s="123"/>
      <c r="C39" s="123"/>
      <c r="D39" s="124"/>
      <c r="E39" s="125"/>
      <c r="F39" s="126"/>
      <c r="G39" s="127"/>
      <c r="H39" s="127"/>
      <c r="I39" s="126"/>
      <c r="J39" s="123"/>
      <c r="K39" s="123"/>
      <c r="L39" s="123"/>
      <c r="M39" s="123"/>
      <c r="N39" s="3"/>
    </row>
    <row r="40" spans="1:14" ht="60.75" customHeight="1">
      <c r="A40" s="123"/>
      <c r="B40" s="123"/>
      <c r="C40" s="123"/>
      <c r="D40" s="124"/>
      <c r="E40" s="125"/>
      <c r="F40" s="126"/>
      <c r="G40" s="127"/>
      <c r="H40" s="127"/>
      <c r="I40" s="126"/>
      <c r="J40" s="123"/>
      <c r="K40" s="123"/>
      <c r="L40" s="123"/>
      <c r="M40" s="123"/>
      <c r="N40" s="3"/>
    </row>
    <row r="41" spans="1:14" ht="60.75" customHeight="1">
      <c r="A41" s="123"/>
      <c r="B41" s="123"/>
      <c r="C41" s="123"/>
      <c r="D41" s="124"/>
      <c r="E41" s="125"/>
      <c r="F41" s="126"/>
      <c r="G41" s="127"/>
      <c r="H41" s="127"/>
      <c r="I41" s="126"/>
      <c r="J41" s="123"/>
      <c r="K41" s="123"/>
      <c r="L41" s="123"/>
      <c r="M41" s="123"/>
      <c r="N41" s="3"/>
    </row>
    <row r="42" spans="1:14" ht="60.75" customHeight="1">
      <c r="A42" s="123"/>
      <c r="B42" s="123"/>
      <c r="C42" s="123"/>
      <c r="D42" s="124"/>
      <c r="E42" s="125"/>
      <c r="F42" s="126"/>
      <c r="G42" s="127"/>
      <c r="H42" s="127"/>
      <c r="I42" s="126"/>
      <c r="J42" s="123"/>
      <c r="K42" s="123"/>
      <c r="L42" s="123"/>
      <c r="M42" s="123"/>
      <c r="N42" s="3"/>
    </row>
    <row r="43" spans="1:14" ht="60.75" customHeight="1">
      <c r="A43" s="123"/>
      <c r="B43" s="123"/>
      <c r="C43" s="123"/>
      <c r="D43" s="124"/>
      <c r="E43" s="125"/>
      <c r="F43" s="126"/>
      <c r="G43" s="127"/>
      <c r="H43" s="127"/>
      <c r="I43" s="126"/>
      <c r="J43" s="123"/>
      <c r="K43" s="123"/>
      <c r="L43" s="123"/>
      <c r="M43" s="123"/>
      <c r="N43" s="3"/>
    </row>
    <row r="44" spans="1:14" ht="60.75" customHeight="1">
      <c r="A44" s="123"/>
      <c r="B44" s="123"/>
      <c r="C44" s="123"/>
      <c r="D44" s="124"/>
      <c r="E44" s="125"/>
      <c r="F44" s="126"/>
      <c r="G44" s="127"/>
      <c r="H44" s="127"/>
      <c r="I44" s="126"/>
      <c r="J44" s="123"/>
      <c r="K44" s="123"/>
      <c r="L44" s="123"/>
      <c r="M44" s="123"/>
      <c r="N44" s="3"/>
    </row>
    <row r="45" spans="1:14" ht="60.75" customHeight="1">
      <c r="A45" s="123"/>
      <c r="B45" s="123"/>
      <c r="C45" s="123"/>
      <c r="D45" s="124"/>
      <c r="E45" s="125"/>
      <c r="F45" s="126"/>
      <c r="G45" s="127"/>
      <c r="H45" s="127"/>
      <c r="I45" s="126"/>
      <c r="J45" s="123"/>
      <c r="K45" s="123"/>
      <c r="L45" s="123"/>
      <c r="M45" s="123"/>
      <c r="N45" s="3"/>
    </row>
    <row r="46" spans="1:14" ht="60.75" customHeight="1">
      <c r="A46" s="123"/>
      <c r="B46" s="123"/>
      <c r="C46" s="123"/>
      <c r="D46" s="124"/>
      <c r="E46" s="125"/>
      <c r="F46" s="126"/>
      <c r="G46" s="127"/>
      <c r="H46" s="127"/>
      <c r="I46" s="126"/>
      <c r="J46" s="123"/>
      <c r="K46" s="123"/>
      <c r="L46" s="123"/>
      <c r="M46" s="123"/>
      <c r="N46" s="3"/>
    </row>
    <row r="47" spans="1:14" ht="60.75" customHeight="1">
      <c r="A47" s="123"/>
      <c r="B47" s="123"/>
      <c r="C47" s="123"/>
      <c r="D47" s="124"/>
      <c r="E47" s="125"/>
      <c r="F47" s="126"/>
      <c r="G47" s="127"/>
      <c r="H47" s="127"/>
      <c r="I47" s="126"/>
      <c r="J47" s="123"/>
      <c r="K47" s="123"/>
      <c r="L47" s="123"/>
      <c r="M47" s="123"/>
      <c r="N47" s="3"/>
    </row>
    <row r="48" spans="1:14" ht="60.75" customHeight="1">
      <c r="A48" s="123"/>
      <c r="B48" s="123"/>
      <c r="C48" s="123"/>
      <c r="D48" s="124"/>
      <c r="E48" s="125"/>
      <c r="F48" s="126"/>
      <c r="G48" s="127"/>
      <c r="H48" s="127"/>
      <c r="I48" s="126"/>
      <c r="J48" s="123"/>
      <c r="K48" s="123"/>
      <c r="L48" s="123"/>
      <c r="M48" s="123"/>
      <c r="N48" s="3"/>
    </row>
    <row r="49" spans="1:14" ht="60.75" customHeight="1">
      <c r="A49" s="123"/>
      <c r="B49" s="123"/>
      <c r="C49" s="123"/>
      <c r="D49" s="124"/>
      <c r="E49" s="125"/>
      <c r="F49" s="126"/>
      <c r="G49" s="127"/>
      <c r="H49" s="127"/>
      <c r="I49" s="126"/>
      <c r="J49" s="123"/>
      <c r="K49" s="123"/>
      <c r="L49" s="123"/>
      <c r="M49" s="123"/>
      <c r="N49" s="3"/>
    </row>
    <row r="50" spans="1:14" ht="60.75" customHeight="1">
      <c r="A50" s="123"/>
      <c r="B50" s="123"/>
      <c r="C50" s="123"/>
      <c r="D50" s="124"/>
      <c r="E50" s="125"/>
      <c r="F50" s="126"/>
      <c r="G50" s="127"/>
      <c r="H50" s="127"/>
      <c r="I50" s="126"/>
      <c r="J50" s="123"/>
      <c r="K50" s="123"/>
      <c r="L50" s="123"/>
      <c r="M50" s="123"/>
      <c r="N50" s="3"/>
    </row>
    <row r="51" spans="1:14" ht="60.75" customHeight="1">
      <c r="A51" s="123"/>
      <c r="B51" s="123"/>
      <c r="C51" s="123"/>
      <c r="D51" s="124"/>
      <c r="E51" s="125"/>
      <c r="F51" s="126"/>
      <c r="G51" s="127"/>
      <c r="H51" s="127"/>
      <c r="I51" s="126"/>
      <c r="J51" s="123"/>
      <c r="K51" s="123"/>
      <c r="L51" s="123"/>
      <c r="M51" s="123"/>
      <c r="N51" s="3"/>
    </row>
    <row r="52" spans="1:14" ht="60.75" customHeight="1">
      <c r="A52" s="123"/>
      <c r="B52" s="123"/>
      <c r="C52" s="123"/>
      <c r="D52" s="124"/>
      <c r="E52" s="125"/>
      <c r="F52" s="126"/>
      <c r="G52" s="127"/>
      <c r="H52" s="127"/>
      <c r="I52" s="126"/>
      <c r="J52" s="123"/>
      <c r="K52" s="123"/>
      <c r="L52" s="123"/>
      <c r="M52" s="123"/>
      <c r="N52" s="3"/>
    </row>
    <row r="53" spans="1:14" ht="60.75" customHeight="1">
      <c r="A53" s="123"/>
      <c r="B53" s="123"/>
      <c r="C53" s="123"/>
      <c r="D53" s="124"/>
      <c r="E53" s="125"/>
      <c r="F53" s="126"/>
      <c r="G53" s="127"/>
      <c r="H53" s="127"/>
      <c r="I53" s="126"/>
      <c r="J53" s="123"/>
      <c r="K53" s="123"/>
      <c r="L53" s="123"/>
      <c r="M53" s="123"/>
      <c r="N53" s="3"/>
    </row>
    <row r="54" spans="1:14" ht="60.75" customHeight="1">
      <c r="A54" s="123"/>
      <c r="B54" s="123"/>
      <c r="C54" s="123"/>
      <c r="D54" s="124"/>
      <c r="E54" s="125"/>
      <c r="F54" s="126"/>
      <c r="G54" s="127"/>
      <c r="H54" s="127"/>
      <c r="I54" s="126"/>
      <c r="J54" s="123"/>
      <c r="K54" s="123"/>
      <c r="L54" s="123"/>
      <c r="M54" s="123"/>
      <c r="N54" s="3"/>
    </row>
    <row r="55" spans="1:14" ht="60.75" customHeight="1">
      <c r="A55" s="123"/>
      <c r="B55" s="123"/>
      <c r="C55" s="123"/>
      <c r="D55" s="124"/>
      <c r="E55" s="125"/>
      <c r="F55" s="126"/>
      <c r="G55" s="127"/>
      <c r="H55" s="127"/>
      <c r="I55" s="126"/>
      <c r="J55" s="123"/>
      <c r="K55" s="123"/>
      <c r="L55" s="123"/>
      <c r="M55" s="123"/>
      <c r="N55" s="3"/>
    </row>
    <row r="56" spans="1:14" ht="60.75" customHeight="1">
      <c r="A56" s="123"/>
      <c r="B56" s="123"/>
      <c r="C56" s="123"/>
      <c r="D56" s="124"/>
      <c r="E56" s="125"/>
      <c r="F56" s="126"/>
      <c r="G56" s="127"/>
      <c r="H56" s="127"/>
      <c r="I56" s="126"/>
      <c r="J56" s="123"/>
      <c r="K56" s="123"/>
      <c r="L56" s="123"/>
      <c r="M56" s="123"/>
      <c r="N56" s="3"/>
    </row>
    <row r="57" spans="1:14" ht="60.75" customHeight="1">
      <c r="A57" s="123"/>
      <c r="B57" s="123"/>
      <c r="C57" s="123"/>
      <c r="D57" s="124"/>
      <c r="E57" s="125"/>
      <c r="F57" s="126"/>
      <c r="G57" s="127"/>
      <c r="H57" s="127"/>
      <c r="I57" s="126"/>
      <c r="J57" s="123"/>
      <c r="K57" s="123"/>
      <c r="L57" s="123"/>
      <c r="M57" s="123"/>
      <c r="N57" s="3"/>
    </row>
    <row r="58" spans="1:14" ht="60.75" customHeight="1">
      <c r="A58" s="123"/>
      <c r="B58" s="123"/>
      <c r="C58" s="123"/>
      <c r="D58" s="124"/>
      <c r="E58" s="125"/>
      <c r="F58" s="126"/>
      <c r="G58" s="127"/>
      <c r="H58" s="127"/>
      <c r="I58" s="126"/>
      <c r="J58" s="123"/>
      <c r="K58" s="123"/>
      <c r="L58" s="123"/>
      <c r="M58" s="123"/>
      <c r="N58" s="3"/>
    </row>
    <row r="59" spans="1:14" ht="60.75" customHeight="1">
      <c r="A59" s="123"/>
      <c r="B59" s="123"/>
      <c r="C59" s="123"/>
      <c r="D59" s="124"/>
      <c r="E59" s="125"/>
      <c r="F59" s="126"/>
      <c r="G59" s="127"/>
      <c r="H59" s="127"/>
      <c r="I59" s="126"/>
      <c r="J59" s="123"/>
      <c r="K59" s="123"/>
      <c r="L59" s="123"/>
      <c r="M59" s="123"/>
      <c r="N59" s="3"/>
    </row>
    <row r="60" spans="1:14" ht="60.75" customHeight="1">
      <c r="A60" s="123"/>
      <c r="B60" s="123"/>
      <c r="C60" s="123"/>
      <c r="D60" s="124"/>
      <c r="E60" s="125"/>
      <c r="F60" s="126"/>
      <c r="G60" s="127"/>
      <c r="H60" s="127"/>
      <c r="I60" s="126"/>
      <c r="J60" s="123"/>
      <c r="K60" s="123"/>
      <c r="L60" s="123"/>
      <c r="M60" s="123"/>
      <c r="N60" s="3"/>
    </row>
    <row r="61" spans="1:14" ht="60.75" customHeight="1">
      <c r="A61" s="123"/>
      <c r="B61" s="123"/>
      <c r="C61" s="123"/>
      <c r="D61" s="124"/>
      <c r="E61" s="125"/>
      <c r="F61" s="126"/>
      <c r="G61" s="127"/>
      <c r="H61" s="127"/>
      <c r="I61" s="126"/>
      <c r="J61" s="123"/>
      <c r="K61" s="123"/>
      <c r="L61" s="123"/>
      <c r="M61" s="123"/>
      <c r="N61" s="3"/>
    </row>
    <row r="62" spans="1:14" ht="60.75" customHeight="1">
      <c r="A62" s="123"/>
      <c r="B62" s="123"/>
      <c r="C62" s="123"/>
      <c r="D62" s="124"/>
      <c r="E62" s="125"/>
      <c r="F62" s="126"/>
      <c r="G62" s="127"/>
      <c r="H62" s="127"/>
      <c r="I62" s="126"/>
      <c r="J62" s="123"/>
      <c r="K62" s="123"/>
      <c r="L62" s="123"/>
      <c r="M62" s="123"/>
      <c r="N62" s="3"/>
    </row>
    <row r="63" spans="1:14" ht="60.75" customHeight="1">
      <c r="A63" s="123"/>
      <c r="B63" s="123"/>
      <c r="C63" s="123"/>
      <c r="D63" s="124"/>
      <c r="E63" s="125"/>
      <c r="F63" s="126"/>
      <c r="G63" s="127"/>
      <c r="H63" s="127"/>
      <c r="I63" s="126"/>
      <c r="J63" s="123"/>
      <c r="K63" s="123"/>
      <c r="L63" s="123"/>
      <c r="M63" s="123"/>
      <c r="N63" s="3"/>
    </row>
    <row r="64" spans="1:14" ht="60.75" customHeight="1">
      <c r="A64" s="123"/>
      <c r="B64" s="123"/>
      <c r="C64" s="123"/>
      <c r="D64" s="124"/>
      <c r="E64" s="125"/>
      <c r="F64" s="126"/>
      <c r="G64" s="127"/>
      <c r="H64" s="127"/>
      <c r="I64" s="126"/>
      <c r="J64" s="123"/>
      <c r="K64" s="123"/>
      <c r="L64" s="123"/>
      <c r="M64" s="123"/>
      <c r="N64" s="3"/>
    </row>
    <row r="65" spans="1:14" ht="60.75" customHeight="1">
      <c r="A65" s="123"/>
      <c r="B65" s="123"/>
      <c r="C65" s="123"/>
      <c r="D65" s="124"/>
      <c r="E65" s="125"/>
      <c r="F65" s="126"/>
      <c r="G65" s="127"/>
      <c r="H65" s="127"/>
      <c r="I65" s="126"/>
      <c r="J65" s="123"/>
      <c r="K65" s="123"/>
      <c r="L65" s="123"/>
      <c r="M65" s="123"/>
      <c r="N65" s="3"/>
    </row>
    <row r="66" spans="1:14" ht="60.75" customHeight="1">
      <c r="A66" s="123"/>
      <c r="B66" s="123"/>
      <c r="C66" s="123"/>
      <c r="D66" s="124"/>
      <c r="E66" s="125"/>
      <c r="F66" s="126"/>
      <c r="G66" s="127"/>
      <c r="H66" s="127"/>
      <c r="I66" s="126"/>
      <c r="J66" s="123"/>
      <c r="K66" s="123"/>
      <c r="L66" s="123"/>
      <c r="M66" s="123"/>
      <c r="N66" s="3"/>
    </row>
    <row r="67" spans="1:14" ht="60.75" customHeight="1">
      <c r="A67" s="123"/>
      <c r="B67" s="123"/>
      <c r="C67" s="123"/>
      <c r="D67" s="124"/>
      <c r="E67" s="125"/>
      <c r="F67" s="126"/>
      <c r="G67" s="127"/>
      <c r="H67" s="127"/>
      <c r="I67" s="126"/>
      <c r="J67" s="123"/>
      <c r="K67" s="123"/>
      <c r="L67" s="123"/>
      <c r="M67" s="123"/>
      <c r="N67" s="3"/>
    </row>
    <row r="68" spans="1:14" ht="60.75" customHeight="1">
      <c r="A68" s="123"/>
      <c r="B68" s="123"/>
      <c r="C68" s="123"/>
      <c r="D68" s="124"/>
      <c r="E68" s="125"/>
      <c r="F68" s="126"/>
      <c r="G68" s="127"/>
      <c r="H68" s="127"/>
      <c r="I68" s="126"/>
      <c r="J68" s="123"/>
      <c r="K68" s="123"/>
      <c r="L68" s="123"/>
      <c r="M68" s="123"/>
      <c r="N68" s="3"/>
    </row>
    <row r="69" spans="1:14" ht="60.75" customHeight="1">
      <c r="A69" s="123"/>
      <c r="B69" s="123"/>
      <c r="C69" s="123"/>
      <c r="D69" s="124"/>
      <c r="E69" s="125"/>
      <c r="F69" s="126"/>
      <c r="G69" s="127"/>
      <c r="H69" s="127"/>
      <c r="I69" s="126"/>
      <c r="J69" s="123"/>
      <c r="K69" s="123"/>
      <c r="L69" s="123"/>
      <c r="M69" s="123"/>
      <c r="N69" s="3"/>
    </row>
    <row r="70" spans="1:14" ht="60.75" customHeight="1">
      <c r="A70" s="123"/>
      <c r="B70" s="123"/>
      <c r="C70" s="123"/>
      <c r="D70" s="124"/>
      <c r="E70" s="125"/>
      <c r="F70" s="126"/>
      <c r="G70" s="127"/>
      <c r="H70" s="127"/>
      <c r="I70" s="126"/>
      <c r="J70" s="123"/>
      <c r="K70" s="123"/>
      <c r="L70" s="123"/>
      <c r="M70" s="123"/>
      <c r="N70" s="3"/>
    </row>
    <row r="71" spans="1:14" ht="60.75" customHeight="1">
      <c r="A71" s="123"/>
      <c r="B71" s="123"/>
      <c r="C71" s="123"/>
      <c r="D71" s="124"/>
      <c r="E71" s="125"/>
      <c r="F71" s="126"/>
      <c r="G71" s="127"/>
      <c r="H71" s="127"/>
      <c r="I71" s="126"/>
      <c r="J71" s="123"/>
      <c r="K71" s="123"/>
      <c r="L71" s="123"/>
      <c r="M71" s="123"/>
      <c r="N71" s="3"/>
    </row>
    <row r="72" spans="1:14" ht="60.75" customHeight="1">
      <c r="A72" s="123"/>
      <c r="B72" s="123"/>
      <c r="C72" s="123"/>
      <c r="D72" s="124"/>
      <c r="E72" s="125"/>
      <c r="F72" s="126"/>
      <c r="G72" s="127"/>
      <c r="H72" s="127"/>
      <c r="I72" s="126"/>
      <c r="J72" s="123"/>
      <c r="K72" s="123"/>
      <c r="L72" s="123"/>
      <c r="M72" s="123"/>
      <c r="N72" s="3"/>
    </row>
    <row r="73" spans="1:14" ht="60.75" customHeight="1">
      <c r="A73" s="123"/>
      <c r="B73" s="123"/>
      <c r="C73" s="123"/>
      <c r="D73" s="124"/>
      <c r="E73" s="125"/>
      <c r="F73" s="126"/>
      <c r="G73" s="127"/>
      <c r="H73" s="127"/>
      <c r="I73" s="126"/>
      <c r="J73" s="123"/>
      <c r="K73" s="123"/>
      <c r="L73" s="123"/>
      <c r="M73" s="123"/>
      <c r="N73" s="3"/>
    </row>
    <row r="74" spans="1:14" ht="60.75" customHeight="1">
      <c r="A74" s="123"/>
      <c r="B74" s="123"/>
      <c r="C74" s="123"/>
      <c r="D74" s="124"/>
      <c r="E74" s="125"/>
      <c r="F74" s="126"/>
      <c r="G74" s="127"/>
      <c r="H74" s="127"/>
      <c r="I74" s="126"/>
      <c r="J74" s="123"/>
      <c r="K74" s="123"/>
      <c r="L74" s="123"/>
      <c r="M74" s="123"/>
      <c r="N74" s="3"/>
    </row>
    <row r="75" spans="1:14" ht="60.75" customHeight="1">
      <c r="A75" s="123"/>
      <c r="B75" s="123"/>
      <c r="C75" s="123"/>
      <c r="D75" s="124"/>
      <c r="E75" s="125"/>
      <c r="F75" s="126"/>
      <c r="G75" s="127"/>
      <c r="H75" s="127"/>
      <c r="I75" s="126"/>
      <c r="J75" s="123"/>
      <c r="K75" s="123"/>
      <c r="L75" s="123"/>
      <c r="M75" s="123"/>
      <c r="N75" s="3"/>
    </row>
    <row r="76" spans="1:14" ht="60.75" customHeight="1">
      <c r="A76" s="123"/>
      <c r="B76" s="123"/>
      <c r="C76" s="123"/>
      <c r="D76" s="124"/>
      <c r="E76" s="125"/>
      <c r="F76" s="126"/>
      <c r="G76" s="127"/>
      <c r="H76" s="127"/>
      <c r="I76" s="126"/>
      <c r="J76" s="123"/>
      <c r="K76" s="123"/>
      <c r="L76" s="123"/>
      <c r="M76" s="123"/>
      <c r="N76" s="3"/>
    </row>
    <row r="77" spans="1:14" ht="60.75" customHeight="1">
      <c r="A77" s="123"/>
      <c r="B77" s="123"/>
      <c r="C77" s="123"/>
      <c r="D77" s="124"/>
      <c r="E77" s="125"/>
      <c r="F77" s="126"/>
      <c r="G77" s="127"/>
      <c r="H77" s="127"/>
      <c r="I77" s="126"/>
      <c r="J77" s="123"/>
      <c r="K77" s="123"/>
      <c r="L77" s="123"/>
      <c r="M77" s="123"/>
      <c r="N77" s="3"/>
    </row>
    <row r="78" spans="1:14" ht="60.75" customHeight="1">
      <c r="A78" s="123"/>
      <c r="B78" s="123"/>
      <c r="C78" s="123"/>
      <c r="D78" s="124"/>
      <c r="E78" s="125"/>
      <c r="F78" s="126"/>
      <c r="G78" s="127"/>
      <c r="H78" s="127"/>
      <c r="I78" s="126"/>
      <c r="J78" s="123"/>
      <c r="K78" s="123"/>
      <c r="L78" s="123"/>
      <c r="M78" s="123"/>
      <c r="N78" s="3"/>
    </row>
    <row r="79" spans="1:14" ht="60.75" customHeight="1">
      <c r="A79" s="123"/>
      <c r="B79" s="123"/>
      <c r="C79" s="123"/>
      <c r="D79" s="124"/>
      <c r="E79" s="125"/>
      <c r="F79" s="126"/>
      <c r="G79" s="127"/>
      <c r="H79" s="127"/>
      <c r="I79" s="126"/>
      <c r="J79" s="123"/>
      <c r="K79" s="123"/>
      <c r="L79" s="123"/>
      <c r="M79" s="123"/>
      <c r="N79" s="3"/>
    </row>
    <row r="80" spans="1:14" ht="60.75" customHeight="1">
      <c r="A80" s="123"/>
      <c r="B80" s="123"/>
      <c r="C80" s="123"/>
      <c r="D80" s="124"/>
      <c r="E80" s="125"/>
      <c r="F80" s="126"/>
      <c r="G80" s="127"/>
      <c r="H80" s="127"/>
      <c r="I80" s="126"/>
      <c r="J80" s="123"/>
      <c r="K80" s="123"/>
      <c r="L80" s="123"/>
      <c r="M80" s="123"/>
      <c r="N80" s="3"/>
    </row>
    <row r="81" spans="1:14" ht="60.75" customHeight="1">
      <c r="A81" s="123"/>
      <c r="B81" s="123"/>
      <c r="C81" s="123"/>
      <c r="D81" s="124"/>
      <c r="E81" s="125"/>
      <c r="F81" s="126"/>
      <c r="G81" s="127"/>
      <c r="H81" s="127"/>
      <c r="I81" s="126"/>
      <c r="J81" s="123"/>
      <c r="K81" s="123"/>
      <c r="L81" s="123"/>
      <c r="M81" s="123"/>
      <c r="N81" s="3"/>
    </row>
    <row r="82" spans="1:14" ht="60.75" customHeight="1">
      <c r="A82" s="123"/>
      <c r="B82" s="123"/>
      <c r="C82" s="123"/>
      <c r="D82" s="124"/>
      <c r="E82" s="125"/>
      <c r="F82" s="126"/>
      <c r="G82" s="127"/>
      <c r="H82" s="127"/>
      <c r="I82" s="126"/>
      <c r="J82" s="123"/>
      <c r="K82" s="123"/>
      <c r="L82" s="123"/>
      <c r="M82" s="123"/>
      <c r="N82" s="3"/>
    </row>
    <row r="83" spans="1:14" ht="60.75" customHeight="1">
      <c r="A83" s="123"/>
      <c r="B83" s="123"/>
      <c r="C83" s="123"/>
      <c r="D83" s="124"/>
      <c r="E83" s="125"/>
      <c r="F83" s="126"/>
      <c r="G83" s="127"/>
      <c r="H83" s="127"/>
      <c r="I83" s="126"/>
      <c r="J83" s="123"/>
      <c r="K83" s="123"/>
      <c r="L83" s="123"/>
      <c r="M83" s="123"/>
      <c r="N83" s="3"/>
    </row>
    <row r="84" spans="1:14" ht="60.75" customHeight="1">
      <c r="A84" s="123"/>
      <c r="B84" s="123"/>
      <c r="C84" s="123"/>
      <c r="D84" s="124"/>
      <c r="E84" s="125"/>
      <c r="F84" s="126"/>
      <c r="G84" s="127"/>
      <c r="H84" s="127"/>
      <c r="I84" s="126"/>
      <c r="J84" s="123"/>
      <c r="K84" s="123"/>
      <c r="L84" s="123"/>
      <c r="M84" s="123"/>
      <c r="N84" s="3"/>
    </row>
    <row r="85" spans="1:14" ht="60.75" customHeight="1">
      <c r="A85" s="123"/>
      <c r="B85" s="123"/>
      <c r="C85" s="123"/>
      <c r="D85" s="124"/>
      <c r="E85" s="125"/>
      <c r="F85" s="126"/>
      <c r="G85" s="127"/>
      <c r="H85" s="127"/>
      <c r="I85" s="126"/>
      <c r="J85" s="123"/>
      <c r="K85" s="123"/>
      <c r="L85" s="123"/>
      <c r="M85" s="123"/>
      <c r="N85" s="3"/>
    </row>
    <row r="86" spans="1:14" ht="60.75" customHeight="1">
      <c r="A86" s="123"/>
      <c r="B86" s="123"/>
      <c r="C86" s="123"/>
      <c r="D86" s="124"/>
      <c r="E86" s="125"/>
      <c r="F86" s="126"/>
      <c r="G86" s="127"/>
      <c r="H86" s="127"/>
      <c r="I86" s="126"/>
      <c r="J86" s="123"/>
      <c r="K86" s="123"/>
      <c r="L86" s="123"/>
      <c r="M86" s="123"/>
      <c r="N86" s="3"/>
    </row>
    <row r="87" spans="1:14" ht="60.75" customHeight="1">
      <c r="A87" s="123"/>
      <c r="B87" s="123"/>
      <c r="C87" s="123"/>
      <c r="D87" s="124"/>
      <c r="E87" s="125"/>
      <c r="F87" s="126"/>
      <c r="G87" s="127"/>
      <c r="H87" s="127"/>
      <c r="I87" s="126"/>
      <c r="J87" s="123"/>
      <c r="K87" s="123"/>
      <c r="L87" s="123"/>
      <c r="M87" s="123"/>
      <c r="N87" s="3"/>
    </row>
    <row r="88" spans="1:14" ht="60.75" customHeight="1">
      <c r="A88" s="123"/>
      <c r="B88" s="123"/>
      <c r="C88" s="123"/>
      <c r="D88" s="124"/>
      <c r="E88" s="125"/>
      <c r="F88" s="126"/>
      <c r="G88" s="127"/>
      <c r="H88" s="127"/>
      <c r="I88" s="126"/>
      <c r="J88" s="123"/>
      <c r="K88" s="123"/>
      <c r="L88" s="123"/>
      <c r="M88" s="123"/>
      <c r="N88" s="3"/>
    </row>
    <row r="89" spans="1:14" ht="60.75" customHeight="1">
      <c r="A89" s="123"/>
      <c r="B89" s="123"/>
      <c r="C89" s="123"/>
      <c r="D89" s="124"/>
      <c r="E89" s="125"/>
      <c r="F89" s="126"/>
      <c r="G89" s="127"/>
      <c r="H89" s="127"/>
      <c r="I89" s="126"/>
      <c r="J89" s="123"/>
      <c r="K89" s="123"/>
      <c r="L89" s="123"/>
      <c r="M89" s="123"/>
      <c r="N89" s="3"/>
    </row>
    <row r="90" spans="1:14" ht="60.75" customHeight="1">
      <c r="A90" s="123"/>
      <c r="B90" s="123"/>
      <c r="C90" s="123"/>
      <c r="D90" s="124"/>
      <c r="E90" s="125"/>
      <c r="F90" s="126"/>
      <c r="G90" s="127"/>
      <c r="H90" s="127"/>
      <c r="I90" s="126"/>
      <c r="J90" s="123"/>
      <c r="K90" s="123"/>
      <c r="L90" s="123"/>
      <c r="M90" s="123"/>
      <c r="N90" s="3"/>
    </row>
    <row r="91" spans="1:14" ht="60.75" customHeight="1">
      <c r="A91" s="123"/>
      <c r="B91" s="123"/>
      <c r="C91" s="123"/>
      <c r="D91" s="124"/>
      <c r="E91" s="125"/>
      <c r="F91" s="126"/>
      <c r="G91" s="127"/>
      <c r="H91" s="127"/>
      <c r="I91" s="126"/>
      <c r="J91" s="123"/>
      <c r="K91" s="123"/>
      <c r="L91" s="123"/>
      <c r="M91" s="123"/>
      <c r="N91" s="3"/>
    </row>
    <row r="92" spans="1:14" ht="60.75" customHeight="1">
      <c r="A92" s="123"/>
      <c r="B92" s="123"/>
      <c r="C92" s="123"/>
      <c r="D92" s="124"/>
      <c r="E92" s="125"/>
      <c r="F92" s="126"/>
      <c r="G92" s="127"/>
      <c r="H92" s="127"/>
      <c r="I92" s="126"/>
      <c r="J92" s="123"/>
      <c r="K92" s="123"/>
      <c r="L92" s="123"/>
      <c r="M92" s="123"/>
      <c r="N92" s="3"/>
    </row>
    <row r="93" spans="1:14" ht="60.75" customHeight="1">
      <c r="A93" s="123"/>
      <c r="B93" s="123"/>
      <c r="C93" s="123"/>
      <c r="D93" s="124"/>
      <c r="E93" s="125"/>
      <c r="F93" s="126"/>
      <c r="G93" s="127"/>
      <c r="H93" s="127"/>
      <c r="I93" s="126"/>
      <c r="J93" s="123"/>
      <c r="K93" s="123"/>
      <c r="L93" s="123"/>
      <c r="M93" s="123"/>
      <c r="N93" s="3"/>
    </row>
    <row r="94" spans="1:14" ht="60.75" customHeight="1">
      <c r="A94" s="123"/>
      <c r="B94" s="123"/>
      <c r="C94" s="123"/>
      <c r="D94" s="124"/>
      <c r="E94" s="125"/>
      <c r="F94" s="126"/>
      <c r="G94" s="127"/>
      <c r="H94" s="127"/>
      <c r="I94" s="126"/>
      <c r="J94" s="123"/>
      <c r="K94" s="123"/>
      <c r="L94" s="123"/>
      <c r="M94" s="123"/>
      <c r="N94" s="3"/>
    </row>
    <row r="95" spans="1:14" ht="60.75" customHeight="1">
      <c r="A95" s="123"/>
      <c r="B95" s="123"/>
      <c r="C95" s="123"/>
      <c r="D95" s="124"/>
      <c r="E95" s="125"/>
      <c r="F95" s="126"/>
      <c r="G95" s="127"/>
      <c r="H95" s="127"/>
      <c r="I95" s="126"/>
      <c r="J95" s="123"/>
      <c r="K95" s="123"/>
      <c r="L95" s="123"/>
      <c r="M95" s="123"/>
      <c r="N95" s="3"/>
    </row>
    <row r="96" spans="1:14" ht="60.75" customHeight="1">
      <c r="A96" s="123"/>
      <c r="B96" s="123"/>
      <c r="C96" s="123"/>
      <c r="D96" s="124"/>
      <c r="E96" s="125"/>
      <c r="F96" s="126"/>
      <c r="G96" s="127"/>
      <c r="H96" s="127"/>
      <c r="I96" s="126"/>
      <c r="J96" s="123"/>
      <c r="K96" s="123"/>
      <c r="L96" s="123"/>
      <c r="M96" s="123"/>
      <c r="N96" s="3"/>
    </row>
    <row r="97" spans="1:14" ht="60.75" customHeight="1">
      <c r="A97" s="123"/>
      <c r="B97" s="123"/>
      <c r="C97" s="123"/>
      <c r="D97" s="124"/>
      <c r="E97" s="125"/>
      <c r="F97" s="126"/>
      <c r="G97" s="127"/>
      <c r="H97" s="127"/>
      <c r="I97" s="126"/>
      <c r="J97" s="123"/>
      <c r="K97" s="123"/>
      <c r="L97" s="123"/>
      <c r="M97" s="123"/>
      <c r="N97" s="3"/>
    </row>
    <row r="98" spans="1:14" ht="60.75" customHeight="1">
      <c r="A98" s="123"/>
      <c r="B98" s="123"/>
      <c r="C98" s="123"/>
      <c r="D98" s="124"/>
      <c r="E98" s="125"/>
      <c r="F98" s="126"/>
      <c r="G98" s="127"/>
      <c r="H98" s="127"/>
      <c r="I98" s="126"/>
      <c r="J98" s="123"/>
      <c r="K98" s="123"/>
      <c r="L98" s="123"/>
      <c r="M98" s="123"/>
      <c r="N98" s="3"/>
    </row>
    <row r="99" spans="1:14" ht="60.75" customHeight="1">
      <c r="A99" s="123"/>
      <c r="B99" s="123"/>
      <c r="C99" s="123"/>
      <c r="D99" s="124"/>
      <c r="E99" s="125"/>
      <c r="F99" s="126"/>
      <c r="G99" s="127"/>
      <c r="H99" s="127"/>
      <c r="I99" s="126"/>
      <c r="J99" s="123"/>
      <c r="K99" s="123"/>
      <c r="L99" s="123"/>
      <c r="M99" s="123"/>
      <c r="N99" s="3"/>
    </row>
    <row r="100" spans="1:14" ht="60.75" customHeight="1">
      <c r="A100" s="123"/>
      <c r="B100" s="123"/>
      <c r="C100" s="123"/>
      <c r="D100" s="124"/>
      <c r="E100" s="125"/>
      <c r="F100" s="126"/>
      <c r="G100" s="127"/>
      <c r="H100" s="127"/>
      <c r="I100" s="126"/>
      <c r="J100" s="123"/>
      <c r="K100" s="123"/>
      <c r="L100" s="123"/>
      <c r="M100" s="123"/>
      <c r="N100" s="3"/>
    </row>
    <row r="101" spans="1:14" ht="60.75" customHeight="1">
      <c r="A101" s="123"/>
      <c r="B101" s="123"/>
      <c r="C101" s="123"/>
      <c r="D101" s="124"/>
      <c r="E101" s="125"/>
      <c r="F101" s="126"/>
      <c r="G101" s="127"/>
      <c r="H101" s="127"/>
      <c r="I101" s="126"/>
      <c r="J101" s="123"/>
      <c r="K101" s="123"/>
      <c r="L101" s="123"/>
      <c r="M101" s="123"/>
      <c r="N101" s="3"/>
    </row>
    <row r="102" spans="1:14" ht="60.75" customHeight="1">
      <c r="A102" s="123"/>
      <c r="B102" s="123"/>
      <c r="C102" s="123"/>
      <c r="D102" s="124"/>
      <c r="E102" s="125"/>
      <c r="F102" s="126"/>
      <c r="G102" s="127"/>
      <c r="H102" s="127"/>
      <c r="I102" s="126"/>
      <c r="J102" s="123"/>
      <c r="K102" s="123"/>
      <c r="L102" s="123"/>
      <c r="M102" s="123"/>
      <c r="N102" s="3"/>
    </row>
    <row r="103" spans="1:14" ht="60.75" customHeight="1">
      <c r="A103" s="123"/>
      <c r="B103" s="123"/>
      <c r="C103" s="123"/>
      <c r="D103" s="124"/>
      <c r="E103" s="125"/>
      <c r="F103" s="126"/>
      <c r="G103" s="127"/>
      <c r="H103" s="127"/>
      <c r="I103" s="126"/>
      <c r="J103" s="123"/>
      <c r="K103" s="123"/>
      <c r="L103" s="123"/>
      <c r="M103" s="123"/>
      <c r="N103" s="3"/>
    </row>
    <row r="104" spans="1:14" ht="60.75" customHeight="1">
      <c r="A104" s="123"/>
      <c r="B104" s="123"/>
      <c r="C104" s="123"/>
      <c r="D104" s="124"/>
      <c r="E104" s="125"/>
      <c r="F104" s="126"/>
      <c r="G104" s="127"/>
      <c r="H104" s="127"/>
      <c r="I104" s="126"/>
      <c r="J104" s="123"/>
      <c r="K104" s="123"/>
      <c r="L104" s="123"/>
      <c r="M104" s="123"/>
      <c r="N104" s="3"/>
    </row>
    <row r="105" spans="1:14" ht="60.75" customHeight="1">
      <c r="A105" s="123"/>
      <c r="B105" s="123"/>
      <c r="C105" s="123"/>
      <c r="D105" s="124"/>
      <c r="E105" s="125"/>
      <c r="F105" s="126"/>
      <c r="G105" s="127"/>
      <c r="H105" s="127"/>
      <c r="I105" s="126"/>
      <c r="J105" s="123"/>
      <c r="K105" s="123"/>
      <c r="L105" s="123"/>
      <c r="M105" s="123"/>
      <c r="N105" s="3"/>
    </row>
    <row r="106" spans="1:14" ht="60.75" customHeight="1">
      <c r="A106" s="123"/>
      <c r="B106" s="123"/>
      <c r="C106" s="123"/>
      <c r="D106" s="124"/>
      <c r="E106" s="125"/>
      <c r="F106" s="126"/>
      <c r="G106" s="127"/>
      <c r="H106" s="127"/>
      <c r="I106" s="126"/>
      <c r="J106" s="123"/>
      <c r="K106" s="123"/>
      <c r="L106" s="123"/>
      <c r="M106" s="123"/>
      <c r="N106" s="3"/>
    </row>
    <row r="107" spans="1:14" ht="60.75" customHeight="1">
      <c r="A107" s="123"/>
      <c r="B107" s="123"/>
      <c r="C107" s="123"/>
      <c r="D107" s="124"/>
      <c r="E107" s="125"/>
      <c r="F107" s="126"/>
      <c r="G107" s="127"/>
      <c r="H107" s="127"/>
      <c r="I107" s="126"/>
      <c r="J107" s="123"/>
      <c r="K107" s="123"/>
      <c r="L107" s="123"/>
      <c r="M107" s="123"/>
      <c r="N107" s="3"/>
    </row>
    <row r="108" spans="1:14" ht="60.75" customHeight="1">
      <c r="A108" s="123"/>
      <c r="B108" s="123"/>
      <c r="C108" s="123"/>
      <c r="D108" s="124"/>
      <c r="E108" s="125"/>
      <c r="F108" s="126"/>
      <c r="G108" s="127"/>
      <c r="H108" s="127"/>
      <c r="I108" s="126"/>
      <c r="J108" s="123"/>
      <c r="K108" s="123"/>
      <c r="L108" s="123"/>
      <c r="M108" s="123"/>
      <c r="N108" s="3"/>
    </row>
    <row r="109" spans="1:14" ht="60.75" customHeight="1">
      <c r="A109" s="123"/>
      <c r="B109" s="123"/>
      <c r="C109" s="123"/>
      <c r="D109" s="124"/>
      <c r="E109" s="125"/>
      <c r="F109" s="126"/>
      <c r="G109" s="127"/>
      <c r="H109" s="127"/>
      <c r="I109" s="126"/>
      <c r="J109" s="123"/>
      <c r="K109" s="123"/>
      <c r="L109" s="123"/>
      <c r="M109" s="123"/>
      <c r="N109" s="3"/>
    </row>
    <row r="110" spans="1:14" ht="60.75" customHeight="1">
      <c r="A110" s="123"/>
      <c r="B110" s="123"/>
      <c r="C110" s="123"/>
      <c r="D110" s="124"/>
      <c r="E110" s="125"/>
      <c r="F110" s="126"/>
      <c r="G110" s="127"/>
      <c r="H110" s="127"/>
      <c r="I110" s="126"/>
      <c r="J110" s="123"/>
      <c r="K110" s="123"/>
      <c r="L110" s="123"/>
      <c r="M110" s="123"/>
      <c r="N110" s="3"/>
    </row>
    <row r="111" spans="1:14" ht="60.75" customHeight="1">
      <c r="A111" s="123"/>
      <c r="B111" s="123"/>
      <c r="C111" s="123"/>
      <c r="D111" s="124"/>
      <c r="E111" s="125"/>
      <c r="F111" s="126"/>
      <c r="G111" s="127"/>
      <c r="H111" s="127"/>
      <c r="I111" s="126"/>
      <c r="J111" s="123"/>
      <c r="K111" s="123"/>
      <c r="L111" s="123"/>
      <c r="M111" s="123"/>
      <c r="N111" s="3"/>
    </row>
    <row r="112" spans="1:14" ht="60.75" customHeight="1">
      <c r="A112" s="123"/>
      <c r="B112" s="123"/>
      <c r="C112" s="123"/>
      <c r="D112" s="124"/>
      <c r="E112" s="125"/>
      <c r="F112" s="126"/>
      <c r="G112" s="127"/>
      <c r="H112" s="127"/>
      <c r="I112" s="126"/>
      <c r="J112" s="123"/>
      <c r="K112" s="123"/>
      <c r="L112" s="123"/>
      <c r="M112" s="123"/>
      <c r="N112" s="3"/>
    </row>
    <row r="113" spans="1:14" ht="60.75" customHeight="1">
      <c r="A113" s="123"/>
      <c r="B113" s="123"/>
      <c r="C113" s="123"/>
      <c r="D113" s="124"/>
      <c r="E113" s="125"/>
      <c r="F113" s="126"/>
      <c r="G113" s="127"/>
      <c r="H113" s="127"/>
      <c r="I113" s="126"/>
      <c r="J113" s="123"/>
      <c r="K113" s="123"/>
      <c r="L113" s="123"/>
      <c r="M113" s="123"/>
      <c r="N113" s="3"/>
    </row>
    <row r="114" spans="1:14" ht="60.75" customHeight="1">
      <c r="A114" s="123"/>
      <c r="B114" s="123"/>
      <c r="C114" s="123"/>
      <c r="D114" s="124"/>
      <c r="E114" s="125"/>
      <c r="F114" s="126"/>
      <c r="G114" s="127"/>
      <c r="H114" s="127"/>
      <c r="I114" s="126"/>
      <c r="J114" s="123"/>
      <c r="K114" s="123"/>
      <c r="L114" s="123"/>
      <c r="M114" s="123"/>
      <c r="N114" s="3"/>
    </row>
    <row r="115" spans="1:14" ht="60.75" customHeight="1">
      <c r="A115" s="123"/>
      <c r="B115" s="123"/>
      <c r="C115" s="123"/>
      <c r="D115" s="124"/>
      <c r="E115" s="125"/>
      <c r="F115" s="126"/>
      <c r="G115" s="127"/>
      <c r="H115" s="127"/>
      <c r="I115" s="126"/>
      <c r="J115" s="123"/>
      <c r="K115" s="123"/>
      <c r="L115" s="123"/>
      <c r="M115" s="123"/>
      <c r="N115" s="3"/>
    </row>
    <row r="116" spans="1:14" ht="60.75" customHeight="1">
      <c r="A116" s="123"/>
      <c r="B116" s="123"/>
      <c r="C116" s="123"/>
      <c r="D116" s="124"/>
      <c r="E116" s="125"/>
      <c r="F116" s="126"/>
      <c r="G116" s="127"/>
      <c r="H116" s="127"/>
      <c r="I116" s="126"/>
      <c r="J116" s="123"/>
      <c r="K116" s="123"/>
      <c r="L116" s="123"/>
      <c r="M116" s="123"/>
      <c r="N116" s="3"/>
    </row>
    <row r="117" spans="1:14" ht="60.75" customHeight="1">
      <c r="A117" s="123"/>
      <c r="B117" s="123"/>
      <c r="C117" s="123"/>
      <c r="D117" s="124"/>
      <c r="E117" s="125"/>
      <c r="F117" s="126"/>
      <c r="G117" s="127"/>
      <c r="H117" s="127"/>
      <c r="I117" s="126"/>
      <c r="J117" s="123"/>
      <c r="K117" s="123"/>
      <c r="L117" s="123"/>
      <c r="M117" s="123"/>
      <c r="N117" s="3"/>
    </row>
    <row r="118" spans="1:14" ht="60.75" customHeight="1">
      <c r="A118" s="123"/>
      <c r="B118" s="123"/>
      <c r="C118" s="123"/>
      <c r="D118" s="124"/>
      <c r="E118" s="125"/>
      <c r="F118" s="126"/>
      <c r="G118" s="127"/>
      <c r="H118" s="127"/>
      <c r="I118" s="126"/>
      <c r="J118" s="123"/>
      <c r="K118" s="123"/>
      <c r="L118" s="123"/>
      <c r="M118" s="123"/>
      <c r="N118" s="3"/>
    </row>
    <row r="119" spans="1:14" ht="60.75" customHeight="1">
      <c r="A119" s="123"/>
      <c r="B119" s="123"/>
      <c r="C119" s="123"/>
      <c r="D119" s="124"/>
      <c r="E119" s="125"/>
      <c r="F119" s="126"/>
      <c r="G119" s="127"/>
      <c r="H119" s="127"/>
      <c r="I119" s="126"/>
      <c r="J119" s="123"/>
      <c r="K119" s="123"/>
      <c r="L119" s="123"/>
      <c r="M119" s="123"/>
      <c r="N119" s="3"/>
    </row>
    <row r="120" spans="1:14" ht="60.75" customHeight="1">
      <c r="A120" s="123"/>
      <c r="B120" s="123"/>
      <c r="C120" s="123"/>
      <c r="D120" s="124"/>
      <c r="E120" s="125"/>
      <c r="F120" s="126"/>
      <c r="G120" s="127"/>
      <c r="H120" s="127"/>
      <c r="I120" s="126"/>
      <c r="J120" s="123"/>
      <c r="K120" s="123"/>
      <c r="L120" s="123"/>
      <c r="M120" s="123"/>
      <c r="N120" s="3"/>
    </row>
    <row r="121" spans="1:14" ht="60.75" customHeight="1">
      <c r="A121" s="123"/>
      <c r="B121" s="123"/>
      <c r="C121" s="123"/>
      <c r="D121" s="124"/>
      <c r="E121" s="125"/>
      <c r="F121" s="126"/>
      <c r="G121" s="127"/>
      <c r="H121" s="127"/>
      <c r="I121" s="126"/>
      <c r="J121" s="123"/>
      <c r="K121" s="123"/>
      <c r="L121" s="123"/>
      <c r="M121" s="123"/>
      <c r="N121" s="3"/>
    </row>
    <row r="122" spans="1:14" ht="60.75" customHeight="1">
      <c r="A122" s="123"/>
      <c r="B122" s="123"/>
      <c r="C122" s="123"/>
      <c r="D122" s="124"/>
      <c r="E122" s="125"/>
      <c r="F122" s="126"/>
      <c r="G122" s="127"/>
      <c r="H122" s="127"/>
      <c r="I122" s="126"/>
      <c r="J122" s="123"/>
      <c r="K122" s="123"/>
      <c r="L122" s="123"/>
      <c r="M122" s="123"/>
      <c r="N122" s="3"/>
    </row>
    <row r="123" spans="1:14" ht="60.75" customHeight="1">
      <c r="A123" s="123"/>
      <c r="B123" s="123"/>
      <c r="C123" s="123"/>
      <c r="D123" s="124"/>
      <c r="E123" s="125"/>
      <c r="F123" s="126"/>
      <c r="G123" s="127"/>
      <c r="H123" s="127"/>
      <c r="I123" s="126"/>
      <c r="J123" s="123"/>
      <c r="K123" s="123"/>
      <c r="L123" s="123"/>
      <c r="M123" s="123"/>
      <c r="N123" s="3"/>
    </row>
    <row r="124" spans="1:14" ht="60.75" customHeight="1">
      <c r="A124" s="123"/>
      <c r="B124" s="123"/>
      <c r="C124" s="123"/>
      <c r="D124" s="124"/>
      <c r="E124" s="125"/>
      <c r="F124" s="126"/>
      <c r="G124" s="127"/>
      <c r="H124" s="127"/>
      <c r="I124" s="126"/>
      <c r="J124" s="123"/>
      <c r="K124" s="123"/>
      <c r="L124" s="123"/>
      <c r="M124" s="123"/>
      <c r="N124" s="3"/>
    </row>
    <row r="125" spans="1:14" ht="60.75" customHeight="1">
      <c r="A125" s="123"/>
      <c r="B125" s="123"/>
      <c r="C125" s="123"/>
      <c r="D125" s="124"/>
      <c r="E125" s="125"/>
      <c r="F125" s="126"/>
      <c r="G125" s="127"/>
      <c r="H125" s="127"/>
      <c r="I125" s="126"/>
      <c r="J125" s="123"/>
      <c r="K125" s="123"/>
      <c r="L125" s="123"/>
      <c r="M125" s="123"/>
      <c r="N125" s="3"/>
    </row>
    <row r="126" spans="1:14" ht="60.75" customHeight="1">
      <c r="A126" s="123"/>
      <c r="B126" s="123"/>
      <c r="C126" s="123"/>
      <c r="D126" s="124"/>
      <c r="E126" s="125"/>
      <c r="F126" s="126"/>
      <c r="G126" s="127"/>
      <c r="H126" s="127"/>
      <c r="I126" s="126"/>
      <c r="J126" s="123"/>
      <c r="K126" s="123"/>
      <c r="L126" s="123"/>
      <c r="M126" s="123"/>
      <c r="N126" s="3"/>
    </row>
    <row r="127" spans="1:14" ht="60.75" customHeight="1">
      <c r="A127" s="123"/>
      <c r="B127" s="123"/>
      <c r="C127" s="123"/>
      <c r="D127" s="124"/>
      <c r="E127" s="125"/>
      <c r="F127" s="126"/>
      <c r="G127" s="127"/>
      <c r="H127" s="127"/>
      <c r="I127" s="126"/>
      <c r="J127" s="123"/>
      <c r="K127" s="123"/>
      <c r="L127" s="123"/>
      <c r="M127" s="123"/>
      <c r="N127" s="3"/>
    </row>
    <row r="128" spans="1:14" ht="60.75" customHeight="1">
      <c r="A128" s="123"/>
      <c r="B128" s="123"/>
      <c r="C128" s="123"/>
      <c r="D128" s="124"/>
      <c r="E128" s="125"/>
      <c r="F128" s="126"/>
      <c r="G128" s="127"/>
      <c r="H128" s="127"/>
      <c r="I128" s="126"/>
      <c r="J128" s="123"/>
      <c r="K128" s="123"/>
      <c r="L128" s="123"/>
      <c r="M128" s="123"/>
      <c r="N128" s="3"/>
    </row>
    <row r="129" spans="1:14" ht="60.75" customHeight="1">
      <c r="A129" s="123"/>
      <c r="B129" s="123"/>
      <c r="C129" s="123"/>
      <c r="D129" s="124"/>
      <c r="E129" s="125"/>
      <c r="F129" s="126"/>
      <c r="G129" s="127"/>
      <c r="H129" s="127"/>
      <c r="I129" s="126"/>
      <c r="J129" s="123"/>
      <c r="K129" s="123"/>
      <c r="L129" s="123"/>
      <c r="M129" s="123"/>
      <c r="N129" s="3"/>
    </row>
    <row r="130" spans="1:14" ht="60.75" customHeight="1">
      <c r="A130" s="123"/>
      <c r="B130" s="123"/>
      <c r="C130" s="123"/>
      <c r="D130" s="124"/>
      <c r="E130" s="125"/>
      <c r="F130" s="126"/>
      <c r="G130" s="127"/>
      <c r="H130" s="127"/>
      <c r="I130" s="126"/>
      <c r="J130" s="123"/>
      <c r="K130" s="123"/>
      <c r="L130" s="123"/>
      <c r="M130" s="123"/>
      <c r="N130" s="3"/>
    </row>
    <row r="131" spans="1:14" ht="60.75" customHeight="1">
      <c r="A131" s="123"/>
      <c r="B131" s="123"/>
      <c r="C131" s="123"/>
      <c r="D131" s="124"/>
      <c r="E131" s="125"/>
      <c r="F131" s="126"/>
      <c r="G131" s="127"/>
      <c r="H131" s="127"/>
      <c r="I131" s="126"/>
      <c r="J131" s="123"/>
      <c r="K131" s="123"/>
      <c r="L131" s="123"/>
      <c r="M131" s="123"/>
      <c r="N131" s="3"/>
    </row>
    <row r="132" spans="1:14" ht="60.75" customHeight="1">
      <c r="A132" s="123"/>
      <c r="B132" s="123"/>
      <c r="C132" s="123"/>
      <c r="D132" s="124"/>
      <c r="E132" s="125"/>
      <c r="F132" s="126"/>
      <c r="G132" s="127"/>
      <c r="H132" s="127"/>
      <c r="I132" s="126"/>
      <c r="J132" s="123"/>
      <c r="K132" s="123"/>
      <c r="L132" s="123"/>
      <c r="M132" s="123"/>
      <c r="N132" s="3"/>
    </row>
    <row r="133" spans="1:14" ht="60.75" customHeight="1">
      <c r="A133" s="123"/>
      <c r="B133" s="123"/>
      <c r="C133" s="123"/>
      <c r="D133" s="124"/>
      <c r="E133" s="125"/>
      <c r="F133" s="126"/>
      <c r="G133" s="127"/>
      <c r="H133" s="127"/>
      <c r="I133" s="126"/>
      <c r="J133" s="123"/>
      <c r="K133" s="123"/>
      <c r="L133" s="123"/>
      <c r="M133" s="123"/>
      <c r="N133" s="3"/>
    </row>
    <row r="134" spans="1:14" ht="60.75" customHeight="1">
      <c r="A134" s="123"/>
      <c r="B134" s="123"/>
      <c r="C134" s="123"/>
      <c r="D134" s="124"/>
      <c r="E134" s="125"/>
      <c r="F134" s="126"/>
      <c r="G134" s="127"/>
      <c r="H134" s="127"/>
      <c r="I134" s="126"/>
      <c r="J134" s="123"/>
      <c r="K134" s="123"/>
      <c r="L134" s="123"/>
      <c r="M134" s="123"/>
      <c r="N134" s="3"/>
    </row>
    <row r="135" spans="1:14" ht="60.75" customHeight="1">
      <c r="A135" s="123"/>
      <c r="B135" s="123"/>
      <c r="C135" s="123"/>
      <c r="D135" s="124"/>
      <c r="E135" s="125"/>
      <c r="F135" s="126"/>
      <c r="G135" s="127"/>
      <c r="H135" s="127"/>
      <c r="I135" s="126"/>
      <c r="J135" s="123"/>
      <c r="K135" s="123"/>
      <c r="L135" s="123"/>
      <c r="M135" s="123"/>
      <c r="N135" s="3"/>
    </row>
    <row r="136" spans="1:14" ht="60.75" customHeight="1">
      <c r="A136" s="123"/>
      <c r="B136" s="123"/>
      <c r="C136" s="123"/>
      <c r="D136" s="124"/>
      <c r="E136" s="125"/>
      <c r="F136" s="126"/>
      <c r="G136" s="127"/>
      <c r="H136" s="127"/>
      <c r="I136" s="126"/>
      <c r="J136" s="123"/>
      <c r="K136" s="123"/>
      <c r="L136" s="123"/>
      <c r="M136" s="123"/>
      <c r="N136" s="3"/>
    </row>
    <row r="137" spans="1:14" ht="60.75" customHeight="1">
      <c r="A137" s="123"/>
      <c r="B137" s="123"/>
      <c r="C137" s="123"/>
      <c r="D137" s="124"/>
      <c r="E137" s="125"/>
      <c r="F137" s="126"/>
      <c r="G137" s="127"/>
      <c r="H137" s="127"/>
      <c r="I137" s="126"/>
      <c r="J137" s="123"/>
      <c r="K137" s="123"/>
      <c r="L137" s="123"/>
      <c r="M137" s="123"/>
      <c r="N137" s="3"/>
    </row>
    <row r="138" spans="1:14" ht="60.75" customHeight="1">
      <c r="A138" s="123"/>
      <c r="B138" s="123"/>
      <c r="C138" s="123"/>
      <c r="D138" s="124"/>
      <c r="E138" s="125"/>
      <c r="F138" s="126"/>
      <c r="G138" s="127"/>
      <c r="H138" s="127"/>
      <c r="I138" s="126"/>
      <c r="J138" s="123"/>
      <c r="K138" s="123"/>
      <c r="L138" s="123"/>
      <c r="M138" s="123"/>
      <c r="N138" s="3"/>
    </row>
    <row r="139" spans="1:14" ht="60.75" customHeight="1">
      <c r="A139" s="123"/>
      <c r="B139" s="123"/>
      <c r="C139" s="123"/>
      <c r="D139" s="124"/>
      <c r="E139" s="125"/>
      <c r="F139" s="126"/>
      <c r="G139" s="127"/>
      <c r="H139" s="127"/>
      <c r="I139" s="126"/>
      <c r="J139" s="123"/>
      <c r="K139" s="123"/>
      <c r="L139" s="123"/>
      <c r="M139" s="123"/>
      <c r="N139" s="3"/>
    </row>
    <row r="140" spans="1:14" ht="60.75" customHeight="1">
      <c r="A140" s="123"/>
      <c r="B140" s="123"/>
      <c r="C140" s="123"/>
      <c r="D140" s="124"/>
      <c r="E140" s="125"/>
      <c r="F140" s="126"/>
      <c r="G140" s="127"/>
      <c r="H140" s="127"/>
      <c r="I140" s="126"/>
      <c r="J140" s="123"/>
      <c r="K140" s="123"/>
      <c r="L140" s="123"/>
      <c r="M140" s="123"/>
      <c r="N140" s="3"/>
    </row>
    <row r="141" spans="1:14" ht="60.75" customHeight="1">
      <c r="A141" s="123"/>
      <c r="B141" s="123"/>
      <c r="C141" s="123"/>
      <c r="D141" s="124"/>
      <c r="E141" s="125"/>
      <c r="F141" s="126"/>
      <c r="G141" s="127"/>
      <c r="H141" s="127"/>
      <c r="I141" s="126"/>
      <c r="J141" s="123"/>
      <c r="K141" s="123"/>
      <c r="L141" s="123"/>
      <c r="M141" s="123"/>
      <c r="N141" s="3"/>
    </row>
    <row r="142" spans="1:14" ht="60.75" customHeight="1">
      <c r="A142" s="123"/>
      <c r="B142" s="123"/>
      <c r="C142" s="123"/>
      <c r="D142" s="124"/>
      <c r="E142" s="125"/>
      <c r="F142" s="126"/>
      <c r="G142" s="127"/>
      <c r="H142" s="127"/>
      <c r="I142" s="126"/>
      <c r="J142" s="123"/>
      <c r="K142" s="123"/>
      <c r="L142" s="123"/>
      <c r="M142" s="123"/>
      <c r="N142" s="3"/>
    </row>
    <row r="143" spans="1:14" ht="60.75" customHeight="1">
      <c r="A143" s="123"/>
      <c r="B143" s="123"/>
      <c r="C143" s="123"/>
      <c r="D143" s="124"/>
      <c r="E143" s="125"/>
      <c r="F143" s="126"/>
      <c r="G143" s="127"/>
      <c r="H143" s="127"/>
      <c r="I143" s="126"/>
      <c r="J143" s="123"/>
      <c r="K143" s="123"/>
      <c r="L143" s="123"/>
      <c r="M143" s="123"/>
      <c r="N143" s="3"/>
    </row>
    <row r="144" spans="1:14" ht="60.75" customHeight="1">
      <c r="A144" s="123"/>
      <c r="B144" s="123"/>
      <c r="C144" s="123"/>
      <c r="D144" s="124"/>
      <c r="E144" s="125"/>
      <c r="F144" s="126"/>
      <c r="G144" s="127"/>
      <c r="H144" s="127"/>
      <c r="I144" s="126"/>
      <c r="J144" s="123"/>
      <c r="K144" s="123"/>
      <c r="L144" s="123"/>
      <c r="M144" s="123"/>
      <c r="N144" s="3"/>
    </row>
    <row r="145" spans="1:14" ht="60.75" customHeight="1">
      <c r="A145" s="123"/>
      <c r="B145" s="123"/>
      <c r="C145" s="123"/>
      <c r="D145" s="124"/>
      <c r="E145" s="125"/>
      <c r="F145" s="126"/>
      <c r="G145" s="127"/>
      <c r="H145" s="127"/>
      <c r="I145" s="126"/>
      <c r="J145" s="123"/>
      <c r="K145" s="123"/>
      <c r="L145" s="123"/>
      <c r="M145" s="123"/>
      <c r="N145" s="3"/>
    </row>
    <row r="146" spans="1:14" ht="60.75" customHeight="1">
      <c r="A146" s="123"/>
      <c r="B146" s="123"/>
      <c r="C146" s="123"/>
      <c r="D146" s="124"/>
      <c r="E146" s="125"/>
      <c r="F146" s="126"/>
      <c r="G146" s="127"/>
      <c r="H146" s="127"/>
      <c r="I146" s="126"/>
      <c r="J146" s="123"/>
      <c r="K146" s="123"/>
      <c r="L146" s="123"/>
      <c r="M146" s="123"/>
      <c r="N146" s="3"/>
    </row>
    <row r="147" spans="1:14" ht="60.75" customHeight="1">
      <c r="A147" s="123"/>
      <c r="B147" s="123"/>
      <c r="C147" s="123"/>
      <c r="D147" s="124"/>
      <c r="E147" s="125"/>
      <c r="F147" s="126"/>
      <c r="G147" s="127"/>
      <c r="H147" s="127"/>
      <c r="I147" s="126"/>
      <c r="J147" s="123"/>
      <c r="K147" s="123"/>
      <c r="L147" s="123"/>
      <c r="M147" s="123"/>
      <c r="N147" s="3"/>
    </row>
    <row r="148" spans="1:14" ht="60.75" customHeight="1">
      <c r="A148" s="123"/>
      <c r="B148" s="123"/>
      <c r="C148" s="123"/>
      <c r="D148" s="124"/>
      <c r="E148" s="125"/>
      <c r="F148" s="126"/>
      <c r="G148" s="127"/>
      <c r="H148" s="127"/>
      <c r="I148" s="126"/>
      <c r="J148" s="123"/>
      <c r="K148" s="123"/>
      <c r="L148" s="123"/>
      <c r="M148" s="123"/>
      <c r="N148" s="3"/>
    </row>
    <row r="149" spans="1:14" ht="60.75" customHeight="1">
      <c r="A149" s="123"/>
      <c r="B149" s="123"/>
      <c r="C149" s="123"/>
      <c r="D149" s="124"/>
      <c r="E149" s="125"/>
      <c r="F149" s="126"/>
      <c r="G149" s="127"/>
      <c r="H149" s="127"/>
      <c r="I149" s="126"/>
      <c r="J149" s="123"/>
      <c r="K149" s="123"/>
      <c r="L149" s="123"/>
      <c r="M149" s="123"/>
      <c r="N149" s="3"/>
    </row>
    <row r="150" spans="1:14" ht="60.75" customHeight="1">
      <c r="A150" s="123"/>
      <c r="B150" s="123"/>
      <c r="C150" s="123"/>
      <c r="D150" s="124"/>
      <c r="E150" s="125"/>
      <c r="F150" s="126"/>
      <c r="G150" s="127"/>
      <c r="H150" s="127"/>
      <c r="I150" s="126"/>
      <c r="J150" s="123"/>
      <c r="K150" s="123"/>
      <c r="L150" s="123"/>
      <c r="M150" s="123"/>
      <c r="N150" s="3"/>
    </row>
    <row r="151" spans="1:14" ht="60.75" customHeight="1">
      <c r="A151" s="123"/>
      <c r="B151" s="123"/>
      <c r="C151" s="123"/>
      <c r="D151" s="124"/>
      <c r="E151" s="125"/>
      <c r="F151" s="126"/>
      <c r="G151" s="127"/>
      <c r="H151" s="127"/>
      <c r="I151" s="126"/>
      <c r="J151" s="123"/>
      <c r="K151" s="123"/>
      <c r="L151" s="123"/>
      <c r="M151" s="123"/>
      <c r="N151" s="3"/>
    </row>
    <row r="152" spans="1:14" ht="60.75" customHeight="1">
      <c r="A152" s="123"/>
      <c r="B152" s="123"/>
      <c r="C152" s="123"/>
      <c r="D152" s="124"/>
      <c r="E152" s="125"/>
      <c r="F152" s="126"/>
      <c r="G152" s="127"/>
      <c r="H152" s="127"/>
      <c r="I152" s="126"/>
      <c r="J152" s="123"/>
      <c r="K152" s="123"/>
      <c r="L152" s="123"/>
      <c r="M152" s="123"/>
      <c r="N152" s="3"/>
    </row>
    <row r="153" spans="1:14" ht="60.75" customHeight="1">
      <c r="A153" s="123"/>
      <c r="B153" s="123"/>
      <c r="C153" s="123"/>
      <c r="D153" s="124"/>
      <c r="E153" s="125"/>
      <c r="F153" s="126"/>
      <c r="G153" s="127"/>
      <c r="H153" s="127"/>
      <c r="I153" s="126"/>
      <c r="J153" s="123"/>
      <c r="K153" s="123"/>
      <c r="L153" s="123"/>
      <c r="M153" s="123"/>
      <c r="N153" s="3"/>
    </row>
    <row r="154" spans="1:14" ht="60.75" customHeight="1">
      <c r="A154" s="123"/>
      <c r="B154" s="123"/>
      <c r="C154" s="123"/>
      <c r="D154" s="124"/>
      <c r="E154" s="125"/>
      <c r="F154" s="126"/>
      <c r="G154" s="127"/>
      <c r="H154" s="127"/>
      <c r="I154" s="126"/>
      <c r="J154" s="123"/>
      <c r="K154" s="123"/>
      <c r="L154" s="123"/>
      <c r="M154" s="123"/>
      <c r="N154" s="3"/>
    </row>
    <row r="155" spans="1:14" ht="60.75" customHeight="1">
      <c r="A155" s="123"/>
      <c r="B155" s="123"/>
      <c r="C155" s="123"/>
      <c r="D155" s="124"/>
      <c r="E155" s="125"/>
      <c r="F155" s="126"/>
      <c r="G155" s="127"/>
      <c r="H155" s="127"/>
      <c r="I155" s="126"/>
      <c r="J155" s="123"/>
      <c r="K155" s="123"/>
      <c r="L155" s="123"/>
      <c r="M155" s="123"/>
      <c r="N155" s="3"/>
    </row>
    <row r="156" spans="1:14" ht="60.75" customHeight="1">
      <c r="A156" s="123"/>
      <c r="B156" s="123"/>
      <c r="C156" s="123"/>
      <c r="D156" s="124"/>
      <c r="E156" s="125"/>
      <c r="F156" s="126"/>
      <c r="G156" s="127"/>
      <c r="H156" s="127"/>
      <c r="I156" s="126"/>
      <c r="J156" s="123"/>
      <c r="K156" s="123"/>
      <c r="L156" s="123"/>
      <c r="M156" s="123"/>
      <c r="N156" s="3"/>
    </row>
    <row r="157" spans="1:14" ht="60.75" customHeight="1">
      <c r="A157" s="123"/>
      <c r="B157" s="123"/>
      <c r="C157" s="123"/>
      <c r="D157" s="124"/>
      <c r="E157" s="125"/>
      <c r="F157" s="126"/>
      <c r="G157" s="127"/>
      <c r="H157" s="127"/>
      <c r="I157" s="126"/>
      <c r="J157" s="123"/>
      <c r="K157" s="123"/>
      <c r="L157" s="123"/>
      <c r="M157" s="123"/>
      <c r="N157" s="3"/>
    </row>
    <row r="158" spans="1:14" ht="60.75" customHeight="1">
      <c r="A158" s="123"/>
      <c r="B158" s="123"/>
      <c r="C158" s="123"/>
      <c r="D158" s="124"/>
      <c r="E158" s="125"/>
      <c r="F158" s="126"/>
      <c r="G158" s="127"/>
      <c r="H158" s="127"/>
      <c r="I158" s="126"/>
      <c r="J158" s="123"/>
      <c r="K158" s="123"/>
      <c r="L158" s="123"/>
      <c r="M158" s="123"/>
      <c r="N158" s="3"/>
    </row>
    <row r="159" spans="1:14" ht="60.75" customHeight="1">
      <c r="A159" s="123"/>
      <c r="B159" s="123"/>
      <c r="C159" s="123"/>
      <c r="D159" s="124"/>
      <c r="E159" s="125"/>
      <c r="F159" s="126"/>
      <c r="G159" s="127"/>
      <c r="H159" s="127"/>
      <c r="I159" s="126"/>
      <c r="J159" s="123"/>
      <c r="K159" s="123"/>
      <c r="L159" s="123"/>
      <c r="M159" s="123"/>
      <c r="N159" s="3"/>
    </row>
    <row r="160" spans="1:14" ht="60.75" customHeight="1">
      <c r="A160" s="123"/>
      <c r="B160" s="123"/>
      <c r="C160" s="123"/>
      <c r="D160" s="124"/>
      <c r="E160" s="125"/>
      <c r="F160" s="126"/>
      <c r="G160" s="127"/>
      <c r="H160" s="127"/>
      <c r="I160" s="126"/>
      <c r="J160" s="123"/>
      <c r="K160" s="123"/>
      <c r="L160" s="123"/>
      <c r="M160" s="123"/>
      <c r="N160" s="3"/>
    </row>
    <row r="161" spans="1:14" ht="60.75" customHeight="1">
      <c r="A161" s="123"/>
      <c r="B161" s="123"/>
      <c r="C161" s="123"/>
      <c r="D161" s="124"/>
      <c r="E161" s="125"/>
      <c r="F161" s="126"/>
      <c r="G161" s="127"/>
      <c r="H161" s="127"/>
      <c r="I161" s="126"/>
      <c r="J161" s="123"/>
      <c r="K161" s="123"/>
      <c r="L161" s="123"/>
      <c r="M161" s="123"/>
      <c r="N161" s="3"/>
    </row>
    <row r="162" spans="1:14" ht="60.75" customHeight="1">
      <c r="A162" s="123"/>
      <c r="B162" s="123"/>
      <c r="C162" s="123"/>
      <c r="D162" s="124"/>
      <c r="E162" s="125"/>
      <c r="F162" s="126"/>
      <c r="G162" s="127"/>
      <c r="H162" s="127"/>
      <c r="I162" s="126"/>
      <c r="J162" s="123"/>
      <c r="K162" s="123"/>
      <c r="L162" s="123"/>
      <c r="M162" s="123"/>
      <c r="N162" s="3"/>
    </row>
    <row r="163" spans="1:14" ht="60.75" customHeight="1">
      <c r="A163" s="123"/>
      <c r="B163" s="123"/>
      <c r="C163" s="123"/>
      <c r="D163" s="124"/>
      <c r="E163" s="125"/>
      <c r="F163" s="126"/>
      <c r="G163" s="127"/>
      <c r="H163" s="127"/>
      <c r="I163" s="126"/>
      <c r="J163" s="123"/>
      <c r="K163" s="123"/>
      <c r="L163" s="123"/>
      <c r="M163" s="123"/>
      <c r="N163" s="3"/>
    </row>
    <row r="164" spans="1:14" ht="60.75" customHeight="1">
      <c r="A164" s="123"/>
      <c r="B164" s="123"/>
      <c r="C164" s="123"/>
      <c r="D164" s="124"/>
      <c r="E164" s="125"/>
      <c r="F164" s="126"/>
      <c r="G164" s="127"/>
      <c r="H164" s="127"/>
      <c r="I164" s="126"/>
      <c r="J164" s="123"/>
      <c r="K164" s="123"/>
      <c r="L164" s="123"/>
      <c r="M164" s="123"/>
      <c r="N164" s="3"/>
    </row>
    <row r="165" spans="1:14" ht="60.75" customHeight="1">
      <c r="A165" s="123"/>
      <c r="B165" s="123"/>
      <c r="C165" s="123"/>
      <c r="D165" s="124"/>
      <c r="E165" s="125"/>
      <c r="F165" s="126"/>
      <c r="G165" s="127"/>
      <c r="H165" s="127"/>
      <c r="I165" s="126"/>
      <c r="J165" s="123"/>
      <c r="K165" s="123"/>
      <c r="L165" s="123"/>
      <c r="M165" s="123"/>
      <c r="N165" s="3"/>
    </row>
    <row r="166" spans="1:14" ht="60.75" customHeight="1">
      <c r="A166" s="123"/>
      <c r="B166" s="123"/>
      <c r="C166" s="123"/>
      <c r="D166" s="124"/>
      <c r="E166" s="125"/>
      <c r="F166" s="126"/>
      <c r="G166" s="127"/>
      <c r="H166" s="127"/>
      <c r="I166" s="126"/>
      <c r="J166" s="123"/>
      <c r="K166" s="123"/>
      <c r="L166" s="123"/>
      <c r="M166" s="123"/>
      <c r="N166" s="3"/>
    </row>
    <row r="167" spans="1:14" ht="60.75" customHeight="1">
      <c r="A167" s="123"/>
      <c r="B167" s="123"/>
      <c r="C167" s="123"/>
      <c r="D167" s="124"/>
      <c r="E167" s="125"/>
      <c r="F167" s="126"/>
      <c r="G167" s="127"/>
      <c r="H167" s="127"/>
      <c r="I167" s="126"/>
      <c r="J167" s="123"/>
      <c r="K167" s="123"/>
      <c r="L167" s="123"/>
      <c r="M167" s="123"/>
      <c r="N167" s="3"/>
    </row>
    <row r="168" spans="1:14" ht="60.75" customHeight="1">
      <c r="A168" s="123"/>
      <c r="B168" s="123"/>
      <c r="C168" s="123"/>
      <c r="D168" s="124"/>
      <c r="E168" s="125"/>
      <c r="F168" s="126"/>
      <c r="G168" s="127"/>
      <c r="H168" s="127"/>
      <c r="I168" s="126"/>
      <c r="J168" s="123"/>
      <c r="K168" s="123"/>
      <c r="L168" s="123"/>
      <c r="M168" s="123"/>
      <c r="N168" s="3"/>
    </row>
    <row r="169" spans="1:14" ht="60.75" customHeight="1">
      <c r="A169" s="123"/>
      <c r="B169" s="123"/>
      <c r="C169" s="123"/>
      <c r="D169" s="124"/>
      <c r="E169" s="125"/>
      <c r="F169" s="126"/>
      <c r="G169" s="127"/>
      <c r="H169" s="127"/>
      <c r="I169" s="126"/>
      <c r="J169" s="123"/>
      <c r="K169" s="123"/>
      <c r="L169" s="123"/>
      <c r="M169" s="123"/>
      <c r="N169" s="3"/>
    </row>
    <row r="170" spans="1:14" ht="60.75" customHeight="1">
      <c r="A170" s="123"/>
      <c r="B170" s="123"/>
      <c r="C170" s="123"/>
      <c r="D170" s="124"/>
      <c r="E170" s="125"/>
      <c r="F170" s="126"/>
      <c r="G170" s="127"/>
      <c r="H170" s="127"/>
      <c r="I170" s="126"/>
      <c r="J170" s="123"/>
      <c r="K170" s="123"/>
      <c r="L170" s="123"/>
      <c r="M170" s="123"/>
      <c r="N170" s="3"/>
    </row>
    <row r="171" spans="1:14" ht="60.75" customHeight="1">
      <c r="A171" s="123"/>
      <c r="B171" s="123"/>
      <c r="C171" s="123"/>
      <c r="D171" s="124"/>
      <c r="E171" s="125"/>
      <c r="F171" s="126"/>
      <c r="G171" s="127"/>
      <c r="H171" s="127"/>
      <c r="I171" s="126"/>
      <c r="J171" s="123"/>
      <c r="K171" s="123"/>
      <c r="L171" s="123"/>
      <c r="M171" s="123"/>
      <c r="N171" s="3"/>
    </row>
    <row r="172" spans="1:14" ht="60.75" customHeight="1">
      <c r="A172" s="123"/>
      <c r="B172" s="123"/>
      <c r="C172" s="123"/>
      <c r="D172" s="124"/>
      <c r="E172" s="125"/>
      <c r="F172" s="126"/>
      <c r="G172" s="127"/>
      <c r="H172" s="127"/>
      <c r="I172" s="126"/>
      <c r="J172" s="123"/>
      <c r="K172" s="123"/>
      <c r="L172" s="123"/>
      <c r="M172" s="123"/>
      <c r="N172" s="3"/>
    </row>
    <row r="173" spans="1:14" ht="60.75" customHeight="1">
      <c r="A173" s="123"/>
      <c r="B173" s="123"/>
      <c r="C173" s="123"/>
      <c r="D173" s="124"/>
      <c r="E173" s="125"/>
      <c r="F173" s="126"/>
      <c r="G173" s="127"/>
      <c r="H173" s="127"/>
      <c r="I173" s="126"/>
      <c r="J173" s="123"/>
      <c r="K173" s="123"/>
      <c r="L173" s="123"/>
      <c r="M173" s="123"/>
      <c r="N173" s="3"/>
    </row>
    <row r="174" spans="1:14" ht="60.75" customHeight="1">
      <c r="A174" s="123"/>
      <c r="B174" s="123"/>
      <c r="C174" s="123"/>
      <c r="D174" s="124"/>
      <c r="E174" s="125"/>
      <c r="F174" s="126"/>
      <c r="G174" s="127"/>
      <c r="H174" s="127"/>
      <c r="I174" s="126"/>
      <c r="J174" s="123"/>
      <c r="K174" s="123"/>
      <c r="L174" s="123"/>
      <c r="M174" s="123"/>
      <c r="N174" s="3"/>
    </row>
    <row r="175" spans="1:14" ht="60.75" customHeight="1">
      <c r="A175" s="123"/>
      <c r="B175" s="123"/>
      <c r="C175" s="123"/>
      <c r="D175" s="124"/>
      <c r="E175" s="125"/>
      <c r="F175" s="126"/>
      <c r="G175" s="127"/>
      <c r="H175" s="127"/>
      <c r="I175" s="126"/>
      <c r="J175" s="123"/>
      <c r="K175" s="123"/>
      <c r="L175" s="123"/>
      <c r="M175" s="123"/>
      <c r="N175" s="3"/>
    </row>
    <row r="176" spans="1:14" ht="60.75" customHeight="1">
      <c r="A176" s="123"/>
      <c r="B176" s="123"/>
      <c r="C176" s="123"/>
      <c r="D176" s="124"/>
      <c r="E176" s="125"/>
      <c r="F176" s="126"/>
      <c r="G176" s="127"/>
      <c r="H176" s="127"/>
      <c r="I176" s="126"/>
      <c r="J176" s="123"/>
      <c r="K176" s="123"/>
      <c r="L176" s="123"/>
      <c r="M176" s="123"/>
      <c r="N176" s="3"/>
    </row>
    <row r="177" spans="1:14" ht="60.75" customHeight="1">
      <c r="A177" s="123"/>
      <c r="B177" s="123"/>
      <c r="C177" s="123"/>
      <c r="D177" s="124"/>
      <c r="E177" s="125"/>
      <c r="F177" s="126"/>
      <c r="G177" s="127"/>
      <c r="H177" s="127"/>
      <c r="I177" s="126"/>
      <c r="J177" s="123"/>
      <c r="K177" s="123"/>
      <c r="L177" s="123"/>
      <c r="M177" s="123"/>
      <c r="N177" s="3"/>
    </row>
    <row r="178" spans="1:14" ht="60.75" customHeight="1">
      <c r="A178" s="123"/>
      <c r="B178" s="123"/>
      <c r="C178" s="123"/>
      <c r="D178" s="124"/>
      <c r="E178" s="125"/>
      <c r="F178" s="126"/>
      <c r="G178" s="127"/>
      <c r="H178" s="127"/>
      <c r="I178" s="126"/>
      <c r="J178" s="123"/>
      <c r="K178" s="123"/>
      <c r="L178" s="123"/>
      <c r="M178" s="123"/>
      <c r="N178" s="3"/>
    </row>
    <row r="179" spans="1:14" ht="60.75" customHeight="1">
      <c r="A179" s="123"/>
      <c r="B179" s="123"/>
      <c r="C179" s="123"/>
      <c r="D179" s="124"/>
      <c r="E179" s="125"/>
      <c r="F179" s="126"/>
      <c r="G179" s="127"/>
      <c r="H179" s="127"/>
      <c r="I179" s="126"/>
      <c r="J179" s="123"/>
      <c r="K179" s="123"/>
      <c r="L179" s="123"/>
      <c r="M179" s="123"/>
      <c r="N179" s="3"/>
    </row>
    <row r="180" spans="1:14" ht="60.75" customHeight="1">
      <c r="A180" s="123"/>
      <c r="B180" s="123"/>
      <c r="C180" s="123"/>
      <c r="D180" s="124"/>
      <c r="E180" s="125"/>
      <c r="F180" s="126"/>
      <c r="G180" s="127"/>
      <c r="H180" s="127"/>
      <c r="I180" s="126"/>
      <c r="J180" s="123"/>
      <c r="K180" s="123"/>
      <c r="L180" s="123"/>
      <c r="M180" s="123"/>
      <c r="N180" s="3"/>
    </row>
    <row r="181" spans="1:14" ht="60.75" customHeight="1">
      <c r="A181" s="123"/>
      <c r="B181" s="123"/>
      <c r="C181" s="123"/>
      <c r="D181" s="124"/>
      <c r="E181" s="125"/>
      <c r="F181" s="126"/>
      <c r="G181" s="127"/>
      <c r="H181" s="127"/>
      <c r="I181" s="126"/>
      <c r="J181" s="123"/>
      <c r="K181" s="123"/>
      <c r="L181" s="123"/>
      <c r="M181" s="123"/>
      <c r="N181" s="3"/>
    </row>
    <row r="182" spans="1:14" ht="60.75" customHeight="1">
      <c r="A182" s="123"/>
      <c r="B182" s="123"/>
      <c r="C182" s="123"/>
      <c r="D182" s="124"/>
      <c r="E182" s="125"/>
      <c r="F182" s="126"/>
      <c r="G182" s="127"/>
      <c r="H182" s="127"/>
      <c r="I182" s="126"/>
      <c r="J182" s="123"/>
      <c r="K182" s="123"/>
      <c r="L182" s="123"/>
      <c r="M182" s="123"/>
      <c r="N182" s="3"/>
    </row>
    <row r="183" spans="1:14" ht="60.75" customHeight="1">
      <c r="A183" s="123"/>
      <c r="B183" s="123"/>
      <c r="C183" s="123"/>
      <c r="D183" s="124"/>
      <c r="E183" s="125"/>
      <c r="F183" s="126"/>
      <c r="G183" s="127"/>
      <c r="H183" s="127"/>
      <c r="I183" s="126"/>
      <c r="J183" s="123"/>
      <c r="K183" s="123"/>
      <c r="L183" s="123"/>
      <c r="M183" s="123"/>
      <c r="N183" s="3"/>
    </row>
    <row r="184" spans="1:14" ht="60.75" customHeight="1">
      <c r="A184" s="123"/>
      <c r="B184" s="123"/>
      <c r="C184" s="123"/>
      <c r="D184" s="124"/>
      <c r="E184" s="125"/>
      <c r="F184" s="126"/>
      <c r="G184" s="127"/>
      <c r="H184" s="127"/>
      <c r="I184" s="126"/>
      <c r="J184" s="123"/>
      <c r="K184" s="123"/>
      <c r="L184" s="123"/>
      <c r="M184" s="123"/>
      <c r="N184" s="3"/>
    </row>
    <row r="185" spans="1:14" ht="60.75" customHeight="1">
      <c r="A185" s="123"/>
      <c r="B185" s="123"/>
      <c r="C185" s="123"/>
      <c r="D185" s="124"/>
      <c r="E185" s="125"/>
      <c r="F185" s="126"/>
      <c r="G185" s="127"/>
      <c r="H185" s="127"/>
      <c r="I185" s="126"/>
      <c r="J185" s="123"/>
      <c r="K185" s="123"/>
      <c r="L185" s="123"/>
      <c r="M185" s="123"/>
      <c r="N185" s="3"/>
    </row>
    <row r="186" spans="1:14" ht="60.75" customHeight="1">
      <c r="A186" s="123"/>
      <c r="B186" s="123"/>
      <c r="C186" s="123"/>
      <c r="D186" s="124"/>
      <c r="E186" s="125"/>
      <c r="F186" s="126"/>
      <c r="G186" s="127"/>
      <c r="H186" s="127"/>
      <c r="I186" s="126"/>
      <c r="J186" s="123"/>
      <c r="K186" s="123"/>
      <c r="L186" s="123"/>
      <c r="M186" s="123"/>
      <c r="N186" s="3"/>
    </row>
    <row r="187" spans="1:14" ht="60.75" customHeight="1">
      <c r="A187" s="123"/>
      <c r="B187" s="123"/>
      <c r="C187" s="123"/>
      <c r="D187" s="124"/>
      <c r="E187" s="125"/>
      <c r="F187" s="126"/>
      <c r="G187" s="127"/>
      <c r="H187" s="127"/>
      <c r="I187" s="126"/>
      <c r="J187" s="123"/>
      <c r="K187" s="123"/>
      <c r="L187" s="123"/>
      <c r="M187" s="123"/>
      <c r="N187" s="3"/>
    </row>
    <row r="188" spans="1:14" ht="60.75" customHeight="1">
      <c r="A188" s="123"/>
      <c r="B188" s="123"/>
      <c r="C188" s="123"/>
      <c r="D188" s="124"/>
      <c r="E188" s="125"/>
      <c r="F188" s="126"/>
      <c r="G188" s="127"/>
      <c r="H188" s="127"/>
      <c r="I188" s="126"/>
      <c r="J188" s="123"/>
      <c r="K188" s="123"/>
      <c r="L188" s="123"/>
      <c r="M188" s="123"/>
      <c r="N188" s="3"/>
    </row>
    <row r="189" spans="1:14" ht="60.75" customHeight="1">
      <c r="A189" s="123"/>
      <c r="B189" s="123"/>
      <c r="C189" s="123"/>
      <c r="D189" s="124"/>
      <c r="E189" s="125"/>
      <c r="F189" s="126"/>
      <c r="G189" s="127"/>
      <c r="H189" s="127"/>
      <c r="I189" s="126"/>
      <c r="J189" s="123"/>
      <c r="K189" s="123"/>
      <c r="L189" s="123"/>
      <c r="M189" s="123"/>
      <c r="N189" s="3"/>
    </row>
    <row r="190" spans="1:14" ht="60.75" customHeight="1">
      <c r="A190" s="123"/>
      <c r="B190" s="123"/>
      <c r="C190" s="123"/>
      <c r="D190" s="124"/>
      <c r="E190" s="125"/>
      <c r="F190" s="126"/>
      <c r="G190" s="127"/>
      <c r="H190" s="127"/>
      <c r="I190" s="126"/>
      <c r="J190" s="123"/>
      <c r="K190" s="123"/>
      <c r="L190" s="123"/>
      <c r="M190" s="123"/>
      <c r="N190" s="3"/>
    </row>
    <row r="191" spans="1:14" ht="60.75" customHeight="1">
      <c r="A191" s="123"/>
      <c r="B191" s="123"/>
      <c r="C191" s="123"/>
      <c r="D191" s="124"/>
      <c r="E191" s="125"/>
      <c r="F191" s="126"/>
      <c r="G191" s="127"/>
      <c r="H191" s="127"/>
      <c r="I191" s="126"/>
      <c r="J191" s="123"/>
      <c r="K191" s="123"/>
      <c r="L191" s="123"/>
      <c r="M191" s="123"/>
      <c r="N191" s="3"/>
    </row>
    <row r="192" spans="1:14" ht="60.75" customHeight="1">
      <c r="A192" s="123"/>
      <c r="B192" s="123"/>
      <c r="C192" s="123"/>
      <c r="D192" s="124"/>
      <c r="E192" s="125"/>
      <c r="F192" s="126"/>
      <c r="G192" s="127"/>
      <c r="H192" s="127"/>
      <c r="I192" s="126"/>
      <c r="J192" s="123"/>
      <c r="K192" s="123"/>
      <c r="L192" s="123"/>
      <c r="M192" s="123"/>
      <c r="N192" s="3"/>
    </row>
    <row r="193" spans="1:14" ht="60.75" customHeight="1">
      <c r="A193" s="123"/>
      <c r="B193" s="123"/>
      <c r="C193" s="123"/>
      <c r="D193" s="124"/>
      <c r="E193" s="125"/>
      <c r="F193" s="126"/>
      <c r="G193" s="127"/>
      <c r="H193" s="127"/>
      <c r="I193" s="126"/>
      <c r="J193" s="123"/>
      <c r="K193" s="123"/>
      <c r="L193" s="123"/>
      <c r="M193" s="123"/>
      <c r="N193" s="3"/>
    </row>
    <row r="194" spans="1:14" ht="60.75" customHeight="1">
      <c r="A194" s="123"/>
      <c r="B194" s="123"/>
      <c r="C194" s="123"/>
      <c r="D194" s="124"/>
      <c r="E194" s="125"/>
      <c r="F194" s="126"/>
      <c r="G194" s="127"/>
      <c r="H194" s="127"/>
      <c r="I194" s="126"/>
      <c r="J194" s="123"/>
      <c r="K194" s="123"/>
      <c r="L194" s="123"/>
      <c r="M194" s="123"/>
      <c r="N194" s="3"/>
    </row>
    <row r="195" spans="1:14" ht="60.75" customHeight="1">
      <c r="A195" s="123"/>
      <c r="B195" s="123"/>
      <c r="C195" s="123"/>
      <c r="D195" s="124"/>
      <c r="E195" s="125"/>
      <c r="F195" s="126"/>
      <c r="G195" s="127"/>
      <c r="H195" s="127"/>
      <c r="I195" s="126"/>
      <c r="J195" s="123"/>
      <c r="K195" s="123"/>
      <c r="L195" s="123"/>
      <c r="M195" s="123"/>
      <c r="N195" s="3"/>
    </row>
    <row r="196" spans="1:14" ht="60.75" customHeight="1">
      <c r="A196" s="123"/>
      <c r="B196" s="123"/>
      <c r="C196" s="123"/>
      <c r="D196" s="124"/>
      <c r="E196" s="125"/>
      <c r="F196" s="126"/>
      <c r="G196" s="127"/>
      <c r="H196" s="127"/>
      <c r="I196" s="126"/>
      <c r="J196" s="123"/>
      <c r="K196" s="123"/>
      <c r="L196" s="123"/>
      <c r="M196" s="123"/>
      <c r="N196" s="3"/>
    </row>
    <row r="197" spans="1:14" ht="60.75" customHeight="1">
      <c r="A197" s="123"/>
      <c r="B197" s="123"/>
      <c r="C197" s="123"/>
      <c r="D197" s="124"/>
      <c r="E197" s="125"/>
      <c r="F197" s="126"/>
      <c r="G197" s="127"/>
      <c r="H197" s="127"/>
      <c r="I197" s="126"/>
      <c r="J197" s="123"/>
      <c r="K197" s="123"/>
      <c r="L197" s="123"/>
      <c r="M197" s="123"/>
      <c r="N197" s="3"/>
    </row>
    <row r="198" spans="1:14" ht="60.75" customHeight="1">
      <c r="A198" s="123"/>
      <c r="B198" s="123"/>
      <c r="C198" s="123"/>
      <c r="D198" s="124"/>
      <c r="E198" s="125"/>
      <c r="F198" s="126"/>
      <c r="G198" s="127"/>
      <c r="H198" s="127"/>
      <c r="I198" s="126"/>
      <c r="J198" s="123"/>
      <c r="K198" s="123"/>
      <c r="L198" s="123"/>
      <c r="M198" s="123"/>
      <c r="N198" s="3"/>
    </row>
    <row r="199" spans="1:14" ht="60.75" customHeight="1">
      <c r="A199" s="123"/>
      <c r="B199" s="123"/>
      <c r="C199" s="123"/>
      <c r="D199" s="124"/>
      <c r="E199" s="125"/>
      <c r="F199" s="126"/>
      <c r="G199" s="127"/>
      <c r="H199" s="127"/>
      <c r="I199" s="126"/>
      <c r="J199" s="123"/>
      <c r="K199" s="123"/>
      <c r="L199" s="123"/>
      <c r="M199" s="123"/>
      <c r="N199" s="3"/>
    </row>
    <row r="200" spans="1:14" ht="60.75" customHeight="1">
      <c r="A200" s="123"/>
      <c r="B200" s="123"/>
      <c r="C200" s="123"/>
      <c r="D200" s="124"/>
      <c r="E200" s="125"/>
      <c r="F200" s="126"/>
      <c r="G200" s="127"/>
      <c r="H200" s="127"/>
      <c r="I200" s="126"/>
      <c r="J200" s="123"/>
      <c r="K200" s="123"/>
      <c r="L200" s="123"/>
      <c r="M200" s="123"/>
      <c r="N200" s="3"/>
    </row>
    <row r="201" spans="1:14" ht="60.75" customHeight="1">
      <c r="A201" s="123"/>
      <c r="B201" s="123"/>
      <c r="C201" s="123"/>
      <c r="D201" s="124"/>
      <c r="E201" s="125"/>
      <c r="F201" s="126"/>
      <c r="G201" s="127"/>
      <c r="H201" s="127"/>
      <c r="I201" s="126"/>
      <c r="J201" s="123"/>
      <c r="K201" s="123"/>
      <c r="L201" s="123"/>
      <c r="M201" s="123"/>
      <c r="N201" s="3"/>
    </row>
  </sheetData>
  <autoFilter ref="A1:M201" xr:uid="{0AEDBB6B-BD16-4B33-8CC1-8281D4967915}">
    <sortState xmlns:xlrd2="http://schemas.microsoft.com/office/spreadsheetml/2017/richdata2" ref="A2:M201">
      <sortCondition descending="1" ref="A1:A50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2"/>
  <sheetViews>
    <sheetView zoomScale="90" zoomScaleNormal="90" workbookViewId="0">
      <pane ySplit="1" topLeftCell="A2" activePane="bottomLeft" state="frozen"/>
      <selection pane="bottomLeft"/>
    </sheetView>
  </sheetViews>
  <sheetFormatPr defaultColWidth="0" defaultRowHeight="15"/>
  <cols>
    <col min="1" max="1" width="26.5703125" customWidth="1"/>
    <col min="2" max="2" width="24.42578125" customWidth="1"/>
    <col min="3" max="3" width="20.5703125" customWidth="1"/>
    <col min="4" max="4" width="18.140625" style="20" customWidth="1"/>
    <col min="5" max="5" width="20.5703125" style="23" customWidth="1"/>
    <col min="6" max="6" width="17.42578125" style="23" bestFit="1" customWidth="1"/>
    <col min="7" max="7" width="15.85546875" customWidth="1"/>
    <col min="8" max="16384" width="9.140625" hidden="1"/>
  </cols>
  <sheetData>
    <row r="1" spans="1:6" s="3" customFormat="1" ht="60" customHeight="1" thickBot="1">
      <c r="A1" s="114" t="s">
        <v>5</v>
      </c>
      <c r="B1" s="115" t="s">
        <v>54</v>
      </c>
      <c r="C1" s="115" t="s">
        <v>11</v>
      </c>
      <c r="D1" s="120" t="s">
        <v>21</v>
      </c>
      <c r="E1" s="70" t="s">
        <v>52</v>
      </c>
      <c r="F1" s="70" t="s">
        <v>53</v>
      </c>
    </row>
    <row r="2" spans="1:6" s="3" customFormat="1" ht="60" customHeight="1">
      <c r="A2" s="147"/>
      <c r="B2" s="147"/>
      <c r="C2" s="149"/>
      <c r="D2" s="128"/>
      <c r="E2" s="64"/>
      <c r="F2" s="64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zoomScale="90" zoomScaleNormal="90" workbookViewId="0">
      <pane ySplit="2" topLeftCell="A3" activePane="bottomLeft" state="frozen"/>
      <selection pane="bottomLeft"/>
    </sheetView>
  </sheetViews>
  <sheetFormatPr defaultColWidth="0" defaultRowHeight="15"/>
  <cols>
    <col min="1" max="1" width="3.140625" style="8" customWidth="1"/>
    <col min="2" max="2" width="2.7109375" style="8" customWidth="1"/>
    <col min="3" max="3" width="10.7109375" style="77" bestFit="1" customWidth="1"/>
    <col min="4" max="4" width="14" style="78" bestFit="1" customWidth="1"/>
    <col min="5" max="5" width="2.7109375" style="8" customWidth="1"/>
    <col min="6" max="6" width="5.5703125" style="8" customWidth="1"/>
    <col min="7" max="7" width="14.5703125" style="47" customWidth="1"/>
    <col min="8" max="8" width="9.85546875" style="73" bestFit="1" customWidth="1"/>
    <col min="9" max="9" width="14" style="73" bestFit="1" customWidth="1"/>
    <col min="10" max="10" width="2.7109375" style="76" customWidth="1"/>
    <col min="11" max="11" width="25" style="47" bestFit="1" customWidth="1"/>
    <col min="12" max="12" width="17.140625" style="47" customWidth="1"/>
    <col min="13" max="13" width="16.7109375" style="47" customWidth="1"/>
    <col min="14" max="14" width="10.85546875" style="47" bestFit="1" customWidth="1"/>
    <col min="15" max="15" width="9.140625" style="47" bestFit="1" customWidth="1"/>
    <col min="16" max="16" width="9.85546875" style="23" bestFit="1" customWidth="1"/>
    <col min="17" max="17" width="15.7109375" style="77" bestFit="1" customWidth="1"/>
    <col min="18" max="18" width="10.85546875" hidden="1" customWidth="1"/>
    <col min="19" max="19" width="15.85546875" hidden="1" customWidth="1"/>
    <col min="20" max="20" width="22" hidden="1" customWidth="1"/>
    <col min="21" max="21" width="22.28515625" hidden="1" customWidth="1"/>
    <col min="22" max="22" width="23.7109375" hidden="1" customWidth="1"/>
    <col min="23" max="16384" width="9.140625" hidden="1"/>
  </cols>
  <sheetData>
    <row r="1" spans="7:17" ht="66.75" customHeight="1">
      <c r="G1" s="80"/>
      <c r="H1" s="79"/>
      <c r="I1" s="79"/>
      <c r="K1" s="80"/>
      <c r="L1" s="80"/>
      <c r="M1" s="80"/>
      <c r="N1" s="80"/>
      <c r="O1" s="80"/>
      <c r="P1" s="77"/>
    </row>
    <row r="2" spans="7:17">
      <c r="G2" s="104" t="s">
        <v>45</v>
      </c>
      <c r="H2" s="72" t="s">
        <v>46</v>
      </c>
      <c r="I2" s="23" t="s">
        <v>44</v>
      </c>
      <c r="K2" s="71" t="s">
        <v>5</v>
      </c>
      <c r="L2" s="71" t="s">
        <v>6</v>
      </c>
      <c r="M2" s="72" t="s">
        <v>7</v>
      </c>
      <c r="N2" s="122" t="s">
        <v>47</v>
      </c>
      <c r="O2" s="72" t="s">
        <v>48</v>
      </c>
      <c r="P2" s="72" t="s">
        <v>45</v>
      </c>
      <c r="Q2" s="23" t="s">
        <v>49</v>
      </c>
    </row>
    <row r="3" spans="7:17">
      <c r="G3" s="64" t="s">
        <v>42</v>
      </c>
      <c r="H3" s="23" t="s">
        <v>42</v>
      </c>
      <c r="I3" s="74"/>
      <c r="K3" t="s">
        <v>58</v>
      </c>
      <c r="L3" t="s">
        <v>58</v>
      </c>
      <c r="M3" t="s">
        <v>58</v>
      </c>
      <c r="N3" t="s">
        <v>58</v>
      </c>
      <c r="O3" t="s">
        <v>58</v>
      </c>
      <c r="P3"/>
      <c r="Q3" s="74">
        <v>0</v>
      </c>
    </row>
    <row r="4" spans="7:17">
      <c r="G4" s="23"/>
      <c r="H4" s="23"/>
      <c r="I4" s="74"/>
      <c r="K4"/>
      <c r="L4"/>
      <c r="M4"/>
      <c r="N4"/>
      <c r="O4"/>
      <c r="P4"/>
      <c r="Q4" s="74"/>
    </row>
    <row r="5" spans="7:17">
      <c r="G5" s="64" t="s">
        <v>58</v>
      </c>
      <c r="H5" s="23"/>
      <c r="I5" s="74">
        <v>0</v>
      </c>
      <c r="K5" t="s">
        <v>42</v>
      </c>
      <c r="L5" t="s">
        <v>42</v>
      </c>
      <c r="M5" t="s">
        <v>42</v>
      </c>
      <c r="N5" t="s">
        <v>42</v>
      </c>
      <c r="O5" t="s">
        <v>42</v>
      </c>
      <c r="P5" t="s">
        <v>42</v>
      </c>
      <c r="Q5" s="74">
        <v>0</v>
      </c>
    </row>
    <row r="6" spans="7:17">
      <c r="G6" s="23"/>
      <c r="H6" s="23"/>
      <c r="I6" s="74"/>
      <c r="K6"/>
      <c r="L6"/>
      <c r="M6"/>
      <c r="N6"/>
      <c r="O6"/>
      <c r="P6"/>
      <c r="Q6" s="74"/>
    </row>
    <row r="7" spans="7:17">
      <c r="G7" s="64" t="s">
        <v>43</v>
      </c>
      <c r="H7" s="64"/>
      <c r="I7" s="74">
        <v>0</v>
      </c>
      <c r="K7" t="s">
        <v>43</v>
      </c>
      <c r="L7"/>
      <c r="M7"/>
      <c r="N7"/>
      <c r="O7"/>
      <c r="P7"/>
      <c r="Q7" s="74">
        <v>0</v>
      </c>
    </row>
    <row r="8" spans="7:17">
      <c r="G8"/>
      <c r="H8"/>
      <c r="I8"/>
      <c r="K8"/>
      <c r="L8"/>
      <c r="M8"/>
      <c r="N8"/>
      <c r="O8"/>
      <c r="P8"/>
      <c r="Q8"/>
    </row>
    <row r="9" spans="7:17">
      <c r="G9"/>
      <c r="H9"/>
      <c r="I9"/>
      <c r="K9"/>
      <c r="L9"/>
      <c r="M9"/>
      <c r="N9"/>
      <c r="O9"/>
      <c r="P9"/>
      <c r="Q9"/>
    </row>
    <row r="10" spans="7:17">
      <c r="G10"/>
      <c r="H10"/>
      <c r="I10"/>
      <c r="K10"/>
      <c r="L10"/>
      <c r="M10"/>
      <c r="N10"/>
      <c r="O10"/>
      <c r="P10"/>
      <c r="Q10"/>
    </row>
    <row r="11" spans="7:17">
      <c r="G11"/>
      <c r="H11"/>
      <c r="I11"/>
      <c r="K11"/>
      <c r="L11"/>
      <c r="M11"/>
      <c r="N11"/>
      <c r="O11"/>
      <c r="P11"/>
      <c r="Q11"/>
    </row>
    <row r="12" spans="7:17">
      <c r="G12"/>
      <c r="H12"/>
      <c r="I12"/>
      <c r="K12"/>
      <c r="L12"/>
      <c r="M12"/>
      <c r="N12"/>
      <c r="O12"/>
      <c r="P12"/>
      <c r="Q12"/>
    </row>
    <row r="13" spans="7:17">
      <c r="G13"/>
      <c r="H13"/>
      <c r="I13"/>
      <c r="K13"/>
      <c r="L13"/>
      <c r="M13"/>
      <c r="N13"/>
      <c r="O13"/>
      <c r="P13"/>
      <c r="Q13"/>
    </row>
    <row r="14" spans="7:17">
      <c r="G14"/>
      <c r="H14"/>
      <c r="I14"/>
      <c r="K14"/>
      <c r="L14"/>
      <c r="M14"/>
      <c r="N14"/>
      <c r="O14"/>
      <c r="P14"/>
      <c r="Q14"/>
    </row>
    <row r="15" spans="7:17">
      <c r="G15"/>
      <c r="H15"/>
      <c r="I15"/>
      <c r="J15" s="8"/>
      <c r="K15"/>
      <c r="L15"/>
      <c r="M15"/>
      <c r="N15"/>
      <c r="O15"/>
      <c r="P15"/>
      <c r="Q15"/>
    </row>
    <row r="16" spans="7:17">
      <c r="G16"/>
      <c r="H16"/>
      <c r="I16"/>
      <c r="J16" s="8"/>
      <c r="K16"/>
      <c r="L16"/>
      <c r="M16"/>
      <c r="N16"/>
      <c r="O16"/>
      <c r="P16"/>
      <c r="Q16"/>
    </row>
    <row r="17" spans="3:17">
      <c r="G17"/>
      <c r="H17"/>
      <c r="I17"/>
      <c r="J17" s="8"/>
      <c r="K17"/>
      <c r="L17"/>
      <c r="M17"/>
      <c r="N17"/>
      <c r="O17"/>
      <c r="P17"/>
      <c r="Q17"/>
    </row>
    <row r="18" spans="3:17">
      <c r="G18"/>
      <c r="H18"/>
      <c r="I18"/>
      <c r="J18" s="8"/>
      <c r="K18"/>
      <c r="L18"/>
      <c r="M18"/>
      <c r="N18"/>
      <c r="O18"/>
      <c r="P18"/>
      <c r="Q18"/>
    </row>
    <row r="19" spans="3:17">
      <c r="C19" s="83" t="s">
        <v>45</v>
      </c>
      <c r="D19" s="83" t="s">
        <v>44</v>
      </c>
      <c r="G19"/>
      <c r="H19"/>
      <c r="I19"/>
      <c r="J19" s="8"/>
      <c r="K19"/>
      <c r="L19"/>
      <c r="M19"/>
      <c r="N19"/>
      <c r="O19"/>
      <c r="P19"/>
      <c r="Q19"/>
    </row>
    <row r="20" spans="3:17">
      <c r="C20" s="81" t="s">
        <v>42</v>
      </c>
      <c r="D20" s="82"/>
      <c r="G20"/>
      <c r="H20"/>
      <c r="I20"/>
      <c r="J20" s="8"/>
      <c r="K20"/>
      <c r="L20"/>
      <c r="M20"/>
      <c r="N20"/>
      <c r="O20"/>
      <c r="P20"/>
      <c r="Q20"/>
    </row>
    <row r="21" spans="3:17">
      <c r="C21" s="81"/>
      <c r="D21" s="82">
        <v>0</v>
      </c>
      <c r="G21"/>
      <c r="H21"/>
      <c r="I21"/>
      <c r="J21" s="8"/>
      <c r="K21"/>
      <c r="L21"/>
      <c r="M21"/>
      <c r="N21"/>
      <c r="O21"/>
      <c r="P21"/>
      <c r="Q21"/>
    </row>
    <row r="22" spans="3:17">
      <c r="C22" s="84" t="s">
        <v>43</v>
      </c>
      <c r="D22" s="85">
        <v>0</v>
      </c>
      <c r="G22"/>
      <c r="H22"/>
      <c r="I22"/>
      <c r="J22" s="8"/>
      <c r="K22"/>
      <c r="L22"/>
      <c r="M22"/>
      <c r="N22"/>
      <c r="O22"/>
      <c r="P22"/>
      <c r="Q22"/>
    </row>
    <row r="23" spans="3:17">
      <c r="C23"/>
      <c r="D23"/>
      <c r="G23"/>
      <c r="H23"/>
      <c r="I23"/>
      <c r="J23" s="8"/>
      <c r="K23"/>
      <c r="L23"/>
      <c r="M23"/>
      <c r="N23"/>
      <c r="O23"/>
      <c r="P23"/>
      <c r="Q23"/>
    </row>
    <row r="24" spans="3:17">
      <c r="C24"/>
      <c r="D24"/>
      <c r="G24"/>
      <c r="H24"/>
      <c r="I24"/>
      <c r="J24" s="8"/>
      <c r="K24"/>
      <c r="L24"/>
      <c r="M24"/>
      <c r="N24"/>
      <c r="O24"/>
      <c r="P24"/>
      <c r="Q24"/>
    </row>
    <row r="25" spans="3:17">
      <c r="C25"/>
      <c r="D25"/>
      <c r="G25"/>
      <c r="H25"/>
      <c r="I25"/>
      <c r="J25" s="8"/>
      <c r="K25"/>
      <c r="L25"/>
      <c r="M25"/>
      <c r="N25"/>
      <c r="O25"/>
      <c r="P25"/>
      <c r="Q25"/>
    </row>
    <row r="26" spans="3:17">
      <c r="C26"/>
      <c r="D26"/>
      <c r="G26"/>
      <c r="H26"/>
      <c r="I26"/>
      <c r="J26" s="8"/>
      <c r="K26"/>
      <c r="L26"/>
      <c r="M26"/>
      <c r="N26"/>
      <c r="O26"/>
      <c r="P26"/>
      <c r="Q26"/>
    </row>
    <row r="27" spans="3:17">
      <c r="C27"/>
      <c r="D27"/>
      <c r="G27"/>
      <c r="H27"/>
      <c r="I27"/>
      <c r="K27"/>
      <c r="L27"/>
      <c r="M27"/>
      <c r="N27"/>
      <c r="O27"/>
      <c r="P27"/>
      <c r="Q27"/>
    </row>
    <row r="28" spans="3:17">
      <c r="G28"/>
      <c r="H28"/>
      <c r="I28"/>
      <c r="K28"/>
      <c r="L28"/>
      <c r="M28"/>
      <c r="N28"/>
      <c r="O28"/>
      <c r="P28"/>
      <c r="Q28"/>
    </row>
    <row r="29" spans="3:17">
      <c r="G29"/>
      <c r="H29"/>
      <c r="I29"/>
      <c r="K29"/>
      <c r="L29"/>
      <c r="M29"/>
      <c r="N29"/>
      <c r="O29"/>
      <c r="P29"/>
      <c r="Q29"/>
    </row>
    <row r="30" spans="3:17">
      <c r="G30"/>
      <c r="H30"/>
      <c r="I30"/>
      <c r="K30"/>
      <c r="L30"/>
      <c r="M30"/>
      <c r="N30"/>
      <c r="O30"/>
      <c r="P30"/>
      <c r="Q30"/>
    </row>
    <row r="31" spans="3:17">
      <c r="G31"/>
      <c r="H31"/>
      <c r="I31"/>
      <c r="K31"/>
      <c r="L31"/>
      <c r="M31"/>
      <c r="N31"/>
      <c r="O31"/>
      <c r="P31"/>
      <c r="Q31"/>
    </row>
    <row r="32" spans="3:17">
      <c r="G32"/>
      <c r="H32"/>
      <c r="I32"/>
      <c r="K32"/>
      <c r="L32"/>
      <c r="M32"/>
      <c r="N32"/>
      <c r="O32"/>
      <c r="P32"/>
      <c r="Q32"/>
    </row>
    <row r="33" spans="3:17">
      <c r="C33" s="8"/>
      <c r="D33" s="8"/>
      <c r="G33"/>
      <c r="H33"/>
      <c r="I33"/>
      <c r="K33"/>
      <c r="L33"/>
      <c r="M33"/>
      <c r="N33"/>
      <c r="O33"/>
      <c r="P33"/>
      <c r="Q33"/>
    </row>
    <row r="34" spans="3:17">
      <c r="C34" s="8"/>
      <c r="D34" s="8"/>
      <c r="G34"/>
      <c r="H34"/>
      <c r="I34"/>
      <c r="K34"/>
      <c r="L34"/>
      <c r="M34"/>
      <c r="N34"/>
      <c r="O34"/>
      <c r="P34"/>
      <c r="Q34"/>
    </row>
    <row r="35" spans="3:17">
      <c r="C35" s="8"/>
      <c r="D35" s="8"/>
      <c r="G35"/>
      <c r="H35"/>
      <c r="I35"/>
      <c r="K35"/>
      <c r="L35"/>
      <c r="M35"/>
      <c r="N35"/>
      <c r="O35"/>
      <c r="P35"/>
      <c r="Q35"/>
    </row>
    <row r="36" spans="3:17">
      <c r="C36" s="8"/>
      <c r="D36" s="8"/>
      <c r="G36"/>
      <c r="H36"/>
      <c r="I36"/>
      <c r="K36"/>
      <c r="L36"/>
      <c r="M36"/>
      <c r="N36"/>
      <c r="O36"/>
      <c r="P36"/>
      <c r="Q36"/>
    </row>
    <row r="37" spans="3:17">
      <c r="C37" s="8"/>
      <c r="D37" s="8"/>
      <c r="G37"/>
      <c r="H37"/>
      <c r="I37"/>
      <c r="K37"/>
      <c r="L37"/>
      <c r="M37"/>
      <c r="N37"/>
      <c r="O37"/>
      <c r="P37"/>
      <c r="Q37"/>
    </row>
    <row r="38" spans="3:17">
      <c r="C38" s="8"/>
      <c r="D38" s="8"/>
      <c r="G38"/>
      <c r="H38"/>
      <c r="I38"/>
      <c r="K38"/>
      <c r="L38"/>
      <c r="M38"/>
      <c r="N38"/>
      <c r="O38"/>
      <c r="P38"/>
      <c r="Q38"/>
    </row>
    <row r="39" spans="3:17">
      <c r="C39" s="8"/>
      <c r="D39" s="8"/>
      <c r="G39" s="64"/>
      <c r="H39" s="23"/>
      <c r="I39" s="23"/>
      <c r="K39"/>
      <c r="L39"/>
      <c r="M39"/>
      <c r="N39"/>
      <c r="O39"/>
      <c r="P39"/>
      <c r="Q39"/>
    </row>
    <row r="40" spans="3:17">
      <c r="C40" s="8"/>
      <c r="D40" s="8"/>
      <c r="G40" s="64"/>
      <c r="H40" s="23"/>
      <c r="I40" s="23"/>
      <c r="K40"/>
      <c r="L40"/>
      <c r="M40"/>
      <c r="N40"/>
      <c r="O40"/>
      <c r="P40"/>
      <c r="Q40"/>
    </row>
    <row r="41" spans="3:17">
      <c r="C41" s="8"/>
      <c r="D41" s="8"/>
      <c r="G41" s="64"/>
      <c r="H41" s="23"/>
      <c r="I41" s="23"/>
      <c r="K41"/>
      <c r="L41"/>
      <c r="M41"/>
      <c r="N41"/>
      <c r="O41"/>
      <c r="P41"/>
      <c r="Q41"/>
    </row>
    <row r="42" spans="3:17">
      <c r="C42" s="8"/>
      <c r="D42" s="8"/>
      <c r="G42" s="64"/>
      <c r="H42" s="23"/>
      <c r="I42" s="23"/>
      <c r="K42"/>
      <c r="L42"/>
      <c r="M42"/>
      <c r="N42"/>
      <c r="O42"/>
      <c r="P42"/>
      <c r="Q42"/>
    </row>
    <row r="43" spans="3:17">
      <c r="C43" s="8"/>
      <c r="D43" s="8"/>
      <c r="G43" s="64"/>
      <c r="H43" s="23"/>
      <c r="I43" s="23"/>
      <c r="K43"/>
      <c r="L43"/>
      <c r="M43"/>
      <c r="N43"/>
      <c r="O43"/>
      <c r="P43"/>
      <c r="Q43"/>
    </row>
    <row r="44" spans="3:17">
      <c r="C44" s="8"/>
      <c r="D44" s="8"/>
      <c r="G44" s="64"/>
      <c r="H44" s="23"/>
      <c r="I44" s="23"/>
      <c r="K44"/>
      <c r="L44"/>
      <c r="M44"/>
      <c r="N44"/>
      <c r="O44"/>
      <c r="P44"/>
      <c r="Q44"/>
    </row>
    <row r="45" spans="3:17">
      <c r="C45" s="8"/>
      <c r="D45" s="8"/>
      <c r="G45" s="64"/>
      <c r="H45" s="23"/>
      <c r="I45" s="23"/>
      <c r="K45"/>
      <c r="L45"/>
      <c r="M45"/>
      <c r="N45"/>
      <c r="O45"/>
      <c r="P45"/>
      <c r="Q45"/>
    </row>
    <row r="46" spans="3:17">
      <c r="C46" s="8"/>
      <c r="D46" s="8"/>
      <c r="G46" s="64"/>
      <c r="K46"/>
      <c r="L46"/>
      <c r="M46"/>
      <c r="N46"/>
      <c r="O46"/>
      <c r="P46"/>
      <c r="Q46"/>
    </row>
    <row r="47" spans="3:17">
      <c r="C47" s="8"/>
      <c r="D47" s="8"/>
      <c r="G47" s="64"/>
      <c r="K47"/>
      <c r="L47"/>
      <c r="M47"/>
      <c r="N47"/>
      <c r="O47"/>
      <c r="P47"/>
      <c r="Q47"/>
    </row>
    <row r="48" spans="3:17">
      <c r="C48" s="8"/>
      <c r="D48" s="8"/>
      <c r="G48" s="64"/>
      <c r="K48"/>
      <c r="L48"/>
      <c r="M48"/>
      <c r="N48"/>
      <c r="O48"/>
      <c r="P48"/>
      <c r="Q48"/>
    </row>
    <row r="49" spans="3:17">
      <c r="C49" s="8"/>
      <c r="D49" s="8"/>
      <c r="G49" s="64"/>
      <c r="K49"/>
      <c r="L49"/>
      <c r="M49"/>
      <c r="N49"/>
      <c r="O49"/>
      <c r="P49"/>
      <c r="Q49"/>
    </row>
    <row r="50" spans="3:17">
      <c r="C50" s="8"/>
      <c r="D50" s="8"/>
      <c r="G50" s="64"/>
      <c r="K50"/>
      <c r="L50"/>
      <c r="M50"/>
      <c r="N50"/>
      <c r="O50"/>
      <c r="P50"/>
      <c r="Q50"/>
    </row>
    <row r="51" spans="3:17">
      <c r="C51" s="8"/>
      <c r="D51" s="8"/>
      <c r="G51" s="64"/>
      <c r="K51"/>
      <c r="L51"/>
      <c r="M51"/>
      <c r="N51"/>
      <c r="O51"/>
      <c r="P51"/>
      <c r="Q51"/>
    </row>
    <row r="52" spans="3:17">
      <c r="C52" s="8"/>
      <c r="D52" s="8"/>
      <c r="G52" s="64"/>
      <c r="K52"/>
      <c r="L52"/>
      <c r="M52"/>
      <c r="N52"/>
      <c r="O52"/>
      <c r="P52"/>
      <c r="Q52"/>
    </row>
    <row r="53" spans="3:17">
      <c r="K53"/>
      <c r="L53"/>
      <c r="M53"/>
      <c r="N53"/>
      <c r="O53"/>
      <c r="P53"/>
      <c r="Q53"/>
    </row>
    <row r="54" spans="3:17">
      <c r="K54"/>
      <c r="L54"/>
      <c r="M54"/>
      <c r="N54"/>
      <c r="O54"/>
      <c r="P54"/>
      <c r="Q54"/>
    </row>
    <row r="55" spans="3:17">
      <c r="K55"/>
      <c r="L55"/>
      <c r="M55"/>
      <c r="N55"/>
      <c r="O55"/>
      <c r="P55"/>
      <c r="Q55"/>
    </row>
    <row r="56" spans="3:17">
      <c r="K56"/>
      <c r="L56"/>
      <c r="M56"/>
      <c r="N56"/>
      <c r="O56"/>
      <c r="P56"/>
      <c r="Q56"/>
    </row>
    <row r="57" spans="3:17">
      <c r="K57"/>
      <c r="L57"/>
      <c r="M57"/>
      <c r="N57"/>
      <c r="O57"/>
      <c r="P57"/>
      <c r="Q57"/>
    </row>
    <row r="58" spans="3:17">
      <c r="K58"/>
      <c r="L58"/>
      <c r="M58"/>
      <c r="N58"/>
      <c r="O58"/>
      <c r="P58"/>
      <c r="Q58"/>
    </row>
    <row r="59" spans="3:17">
      <c r="K59"/>
      <c r="L59"/>
      <c r="M59"/>
      <c r="N59"/>
      <c r="O59"/>
      <c r="P59"/>
      <c r="Q59"/>
    </row>
    <row r="60" spans="3:17">
      <c r="K60"/>
      <c r="L60"/>
      <c r="M60"/>
      <c r="N60"/>
      <c r="O60"/>
      <c r="P60"/>
      <c r="Q60"/>
    </row>
    <row r="61" spans="3:17">
      <c r="K61"/>
      <c r="L61"/>
      <c r="M61"/>
      <c r="N61"/>
      <c r="O61"/>
      <c r="P61"/>
      <c r="Q61"/>
    </row>
    <row r="62" spans="3:17">
      <c r="K62"/>
      <c r="L62"/>
      <c r="M62"/>
      <c r="N62"/>
      <c r="O62"/>
      <c r="P62"/>
      <c r="Q62"/>
    </row>
    <row r="63" spans="3:17">
      <c r="K63"/>
      <c r="L63"/>
      <c r="M63"/>
      <c r="N63"/>
      <c r="O63"/>
      <c r="P63"/>
      <c r="Q63"/>
    </row>
    <row r="64" spans="3:17">
      <c r="K64"/>
      <c r="L64"/>
      <c r="M64"/>
      <c r="N64"/>
      <c r="O64"/>
      <c r="P64"/>
      <c r="Q64"/>
    </row>
    <row r="65" spans="11:17">
      <c r="K65"/>
      <c r="L65"/>
      <c r="M65"/>
      <c r="N65"/>
      <c r="O65"/>
      <c r="P65"/>
      <c r="Q65"/>
    </row>
    <row r="66" spans="11:17">
      <c r="K66"/>
      <c r="L66"/>
      <c r="M66"/>
      <c r="N66"/>
      <c r="O66"/>
      <c r="P66"/>
      <c r="Q66"/>
    </row>
    <row r="67" spans="11:17">
      <c r="K67"/>
      <c r="L67"/>
      <c r="M67"/>
      <c r="N67"/>
      <c r="O67"/>
      <c r="P67"/>
      <c r="Q67"/>
    </row>
    <row r="68" spans="11:17">
      <c r="K68"/>
      <c r="L68"/>
      <c r="M68"/>
      <c r="N68"/>
      <c r="O68"/>
      <c r="P68"/>
      <c r="Q68"/>
    </row>
    <row r="69" spans="11:17">
      <c r="K69"/>
      <c r="L69"/>
      <c r="M69"/>
      <c r="N69"/>
      <c r="O69"/>
      <c r="P69"/>
      <c r="Q69"/>
    </row>
    <row r="70" spans="11:17">
      <c r="K70"/>
      <c r="L70"/>
      <c r="M70"/>
      <c r="N70"/>
      <c r="O70"/>
      <c r="P70"/>
      <c r="Q70"/>
    </row>
    <row r="71" spans="11:17">
      <c r="K71"/>
      <c r="L71"/>
      <c r="M71"/>
      <c r="N71"/>
      <c r="O71"/>
      <c r="P71"/>
      <c r="Q71"/>
    </row>
    <row r="72" spans="11:17">
      <c r="K72"/>
      <c r="L72"/>
      <c r="M72"/>
      <c r="N72"/>
      <c r="O72"/>
      <c r="P72"/>
      <c r="Q72"/>
    </row>
    <row r="73" spans="11:17">
      <c r="K73"/>
      <c r="L73"/>
      <c r="M73"/>
      <c r="N73"/>
      <c r="O73"/>
      <c r="P73"/>
      <c r="Q73"/>
    </row>
    <row r="74" spans="11:17">
      <c r="K74"/>
      <c r="L74"/>
      <c r="M74"/>
      <c r="N74"/>
      <c r="O74"/>
      <c r="P74"/>
      <c r="Q74"/>
    </row>
    <row r="75" spans="11:17">
      <c r="K75"/>
      <c r="L75"/>
      <c r="M75"/>
      <c r="N75"/>
      <c r="O75"/>
      <c r="P75"/>
      <c r="Q75"/>
    </row>
    <row r="76" spans="11:17">
      <c r="K76"/>
      <c r="L76"/>
      <c r="M76"/>
      <c r="N76"/>
      <c r="O76"/>
      <c r="P76"/>
      <c r="Q76"/>
    </row>
    <row r="77" spans="11:17">
      <c r="K77"/>
      <c r="L77"/>
      <c r="M77"/>
      <c r="N77"/>
      <c r="O77"/>
      <c r="P77"/>
      <c r="Q77"/>
    </row>
    <row r="78" spans="11:17">
      <c r="K78"/>
      <c r="L78"/>
      <c r="M78"/>
      <c r="N78"/>
      <c r="O78"/>
      <c r="P78"/>
      <c r="Q78"/>
    </row>
    <row r="79" spans="11:17">
      <c r="K79"/>
      <c r="L79"/>
      <c r="M79"/>
      <c r="N79"/>
      <c r="O79"/>
      <c r="P79"/>
      <c r="Q79"/>
    </row>
    <row r="80" spans="11:17">
      <c r="K80"/>
      <c r="L80"/>
      <c r="M80"/>
      <c r="N80"/>
      <c r="O80"/>
      <c r="P80"/>
      <c r="Q80"/>
    </row>
    <row r="81" spans="11:17">
      <c r="K81"/>
      <c r="L81"/>
      <c r="M81"/>
      <c r="N81"/>
      <c r="O81"/>
      <c r="P81"/>
      <c r="Q81"/>
    </row>
    <row r="82" spans="11:17">
      <c r="K82"/>
      <c r="L82"/>
      <c r="M82"/>
      <c r="N82"/>
      <c r="O82"/>
      <c r="P82"/>
      <c r="Q82"/>
    </row>
    <row r="83" spans="11:17">
      <c r="K83"/>
      <c r="L83"/>
      <c r="M83"/>
      <c r="N83"/>
      <c r="O83"/>
      <c r="P83"/>
      <c r="Q83"/>
    </row>
    <row r="84" spans="11:17">
      <c r="K84"/>
      <c r="L84"/>
      <c r="M84"/>
      <c r="N84"/>
      <c r="O84"/>
      <c r="P84"/>
      <c r="Q84"/>
    </row>
    <row r="85" spans="11:17">
      <c r="K85"/>
      <c r="L85"/>
      <c r="M85"/>
      <c r="N85"/>
      <c r="O85"/>
      <c r="P85"/>
      <c r="Q85"/>
    </row>
    <row r="86" spans="11:17">
      <c r="K86"/>
      <c r="L86"/>
      <c r="M86"/>
      <c r="N86"/>
      <c r="O86"/>
      <c r="P86"/>
      <c r="Q86"/>
    </row>
    <row r="87" spans="11:17">
      <c r="K87"/>
      <c r="L87"/>
      <c r="M87"/>
      <c r="N87"/>
      <c r="O87"/>
      <c r="P87"/>
      <c r="Q87"/>
    </row>
    <row r="88" spans="11:17">
      <c r="K88"/>
      <c r="L88"/>
      <c r="M88"/>
      <c r="N88"/>
      <c r="O88"/>
      <c r="P88"/>
      <c r="Q88"/>
    </row>
    <row r="89" spans="11:17">
      <c r="K89"/>
      <c r="L89"/>
      <c r="M89"/>
      <c r="N89"/>
      <c r="O89"/>
      <c r="P89"/>
      <c r="Q89"/>
    </row>
    <row r="90" spans="11:17">
      <c r="K90"/>
      <c r="L90"/>
      <c r="M90"/>
      <c r="N90"/>
      <c r="O90"/>
      <c r="P90"/>
      <c r="Q90"/>
    </row>
    <row r="91" spans="11:17">
      <c r="K91"/>
      <c r="L91"/>
      <c r="M91"/>
      <c r="N91"/>
      <c r="O91"/>
      <c r="P91"/>
      <c r="Q91"/>
    </row>
    <row r="92" spans="11:17">
      <c r="K92"/>
      <c r="L92"/>
      <c r="M92"/>
      <c r="N92"/>
      <c r="O92"/>
      <c r="P92"/>
      <c r="Q92"/>
    </row>
    <row r="93" spans="11:17">
      <c r="K93"/>
      <c r="L93"/>
      <c r="M93"/>
      <c r="N93"/>
      <c r="O93"/>
      <c r="P93"/>
      <c r="Q93"/>
    </row>
    <row r="94" spans="11:17">
      <c r="K94"/>
      <c r="L94"/>
      <c r="M94"/>
      <c r="N94"/>
      <c r="O94"/>
      <c r="P94"/>
      <c r="Q94"/>
    </row>
    <row r="95" spans="11:17">
      <c r="K95"/>
      <c r="L95"/>
      <c r="M95"/>
      <c r="N95"/>
      <c r="O95"/>
      <c r="P95"/>
      <c r="Q95"/>
    </row>
    <row r="96" spans="11:17">
      <c r="K96"/>
      <c r="L96"/>
      <c r="M96"/>
      <c r="N96"/>
      <c r="O96"/>
      <c r="P96"/>
      <c r="Q96"/>
    </row>
    <row r="97" spans="11:17">
      <c r="K97"/>
      <c r="L97"/>
      <c r="M97"/>
      <c r="N97"/>
      <c r="O97"/>
      <c r="P97"/>
      <c r="Q97"/>
    </row>
    <row r="98" spans="11:17">
      <c r="K98"/>
      <c r="L98"/>
      <c r="M98"/>
      <c r="N98"/>
      <c r="O98"/>
      <c r="P98"/>
      <c r="Q98"/>
    </row>
    <row r="99" spans="11:17">
      <c r="K99"/>
      <c r="L99"/>
      <c r="M99"/>
      <c r="N99"/>
      <c r="O99"/>
      <c r="P99"/>
      <c r="Q99"/>
    </row>
    <row r="100" spans="11:17">
      <c r="K100"/>
      <c r="L100"/>
      <c r="M100"/>
      <c r="N100"/>
      <c r="O100"/>
      <c r="P100"/>
      <c r="Q100"/>
    </row>
    <row r="101" spans="11:17">
      <c r="K101"/>
      <c r="L101"/>
      <c r="M101"/>
      <c r="N101"/>
      <c r="O101"/>
      <c r="P101"/>
      <c r="Q101"/>
    </row>
    <row r="102" spans="11:17">
      <c r="K102"/>
      <c r="L102"/>
      <c r="M102"/>
      <c r="N102"/>
      <c r="O102"/>
      <c r="P102"/>
      <c r="Q102"/>
    </row>
    <row r="103" spans="11:17">
      <c r="K103"/>
      <c r="L103"/>
      <c r="M103"/>
      <c r="N103"/>
      <c r="O103"/>
      <c r="P103"/>
      <c r="Q103"/>
    </row>
    <row r="104" spans="11:17">
      <c r="K104"/>
      <c r="L104"/>
      <c r="M104"/>
      <c r="N104"/>
      <c r="O104"/>
      <c r="P104"/>
      <c r="Q104"/>
    </row>
    <row r="105" spans="11:17">
      <c r="K105"/>
      <c r="L105"/>
      <c r="M105"/>
      <c r="N105"/>
      <c r="O105"/>
      <c r="P105"/>
      <c r="Q105"/>
    </row>
    <row r="106" spans="11:17">
      <c r="K106"/>
      <c r="L106"/>
      <c r="M106"/>
      <c r="N106"/>
      <c r="O106"/>
      <c r="P106"/>
      <c r="Q106"/>
    </row>
    <row r="107" spans="11:17">
      <c r="K107"/>
      <c r="L107"/>
      <c r="M107"/>
      <c r="N107"/>
      <c r="O107"/>
      <c r="P107"/>
      <c r="Q107"/>
    </row>
    <row r="108" spans="11:17">
      <c r="K108"/>
      <c r="L108"/>
      <c r="M108"/>
      <c r="N108"/>
      <c r="O108"/>
      <c r="P108"/>
      <c r="Q108"/>
    </row>
    <row r="109" spans="11:17">
      <c r="K109"/>
      <c r="L109"/>
      <c r="M109"/>
      <c r="N109"/>
      <c r="O109"/>
      <c r="P109"/>
      <c r="Q109"/>
    </row>
    <row r="110" spans="11:17">
      <c r="K110"/>
      <c r="L110"/>
      <c r="M110"/>
      <c r="N110"/>
      <c r="O110"/>
      <c r="P110"/>
      <c r="Q110"/>
    </row>
    <row r="111" spans="11:17">
      <c r="K111"/>
      <c r="L111"/>
      <c r="M111"/>
      <c r="N111"/>
      <c r="O111"/>
      <c r="P111"/>
      <c r="Q111"/>
    </row>
    <row r="112" spans="11:17">
      <c r="K112"/>
      <c r="L112"/>
      <c r="M112"/>
      <c r="N112"/>
      <c r="O112"/>
      <c r="P112"/>
      <c r="Q112"/>
    </row>
    <row r="113" spans="11:17">
      <c r="K113"/>
      <c r="L113"/>
      <c r="M113"/>
      <c r="N113"/>
      <c r="O113"/>
      <c r="P113"/>
      <c r="Q113"/>
    </row>
    <row r="114" spans="11:17">
      <c r="K114"/>
      <c r="L114"/>
      <c r="M114"/>
      <c r="N114"/>
      <c r="O114"/>
      <c r="P114"/>
      <c r="Q114"/>
    </row>
    <row r="115" spans="11:17">
      <c r="K115"/>
      <c r="L115"/>
      <c r="M115"/>
      <c r="N115"/>
      <c r="O115"/>
      <c r="P115"/>
      <c r="Q115"/>
    </row>
    <row r="116" spans="11:17">
      <c r="K116"/>
      <c r="L116"/>
      <c r="M116"/>
      <c r="N116"/>
      <c r="O116"/>
      <c r="P116"/>
      <c r="Q116"/>
    </row>
    <row r="117" spans="11:17">
      <c r="K117"/>
      <c r="L117"/>
      <c r="M117"/>
      <c r="N117"/>
      <c r="O117"/>
      <c r="P117"/>
      <c r="Q117"/>
    </row>
    <row r="118" spans="11:17">
      <c r="K118"/>
      <c r="L118"/>
      <c r="M118"/>
      <c r="N118"/>
      <c r="O118"/>
      <c r="P118"/>
      <c r="Q118"/>
    </row>
    <row r="119" spans="11:17">
      <c r="K119"/>
      <c r="L119"/>
      <c r="M119"/>
      <c r="N119"/>
      <c r="O119"/>
      <c r="P119"/>
      <c r="Q119"/>
    </row>
    <row r="120" spans="11:17">
      <c r="K120"/>
      <c r="L120"/>
      <c r="M120" s="23"/>
      <c r="N120" s="23"/>
      <c r="O120" s="23"/>
    </row>
    <row r="121" spans="11:17">
      <c r="K121"/>
      <c r="L121"/>
      <c r="M121" s="23"/>
      <c r="N121" s="23"/>
      <c r="O121" s="23"/>
    </row>
    <row r="122" spans="11:17">
      <c r="K122"/>
      <c r="L122"/>
      <c r="M122" s="23"/>
      <c r="N122" s="23"/>
      <c r="O122" s="23"/>
    </row>
    <row r="123" spans="11:17">
      <c r="K123"/>
      <c r="L123"/>
      <c r="M123" s="23"/>
      <c r="N123" s="23"/>
      <c r="O123" s="23"/>
    </row>
    <row r="124" spans="11:17">
      <c r="K124"/>
      <c r="L124"/>
      <c r="M124" s="23"/>
      <c r="N124" s="23"/>
      <c r="O124" s="23"/>
    </row>
    <row r="125" spans="11:17">
      <c r="K125"/>
      <c r="L125"/>
      <c r="M125" s="23"/>
      <c r="N125" s="23"/>
      <c r="O125" s="23"/>
    </row>
    <row r="126" spans="11:17">
      <c r="K126"/>
      <c r="L126"/>
      <c r="M126" s="23"/>
      <c r="N126" s="23"/>
      <c r="O126" s="23"/>
    </row>
    <row r="127" spans="11:17">
      <c r="K127"/>
      <c r="L127"/>
      <c r="M127" s="23"/>
      <c r="N127" s="23"/>
      <c r="O127" s="23"/>
    </row>
    <row r="128" spans="11:17">
      <c r="K128"/>
      <c r="L128"/>
      <c r="M128" s="23"/>
      <c r="N128" s="23"/>
      <c r="O128" s="23"/>
    </row>
    <row r="129" spans="11:15">
      <c r="K129"/>
      <c r="L129"/>
      <c r="M129" s="23"/>
      <c r="N129" s="23"/>
      <c r="O129" s="23"/>
    </row>
    <row r="130" spans="11:15">
      <c r="K130"/>
      <c r="L130"/>
      <c r="M130" s="23"/>
      <c r="N130" s="23"/>
      <c r="O130" s="23"/>
    </row>
    <row r="131" spans="11:15">
      <c r="K131"/>
      <c r="L131"/>
      <c r="M131" s="23"/>
      <c r="N131" s="23"/>
      <c r="O131" s="23"/>
    </row>
    <row r="132" spans="11:15">
      <c r="K132"/>
      <c r="L132"/>
      <c r="M132" s="23"/>
      <c r="N132" s="23"/>
      <c r="O132" s="23"/>
    </row>
    <row r="133" spans="11:15">
      <c r="K133"/>
      <c r="L133"/>
      <c r="M133" s="23"/>
      <c r="N133" s="23"/>
      <c r="O133" s="23"/>
    </row>
    <row r="134" spans="11:15">
      <c r="K134"/>
      <c r="L134"/>
      <c r="M134" s="23"/>
      <c r="N134" s="23"/>
      <c r="O134" s="23"/>
    </row>
    <row r="135" spans="11:15">
      <c r="K135"/>
      <c r="L135"/>
      <c r="M135" s="23"/>
      <c r="N135" s="23"/>
      <c r="O135" s="23"/>
    </row>
    <row r="136" spans="11:15">
      <c r="K136"/>
      <c r="L136"/>
      <c r="M136" s="23"/>
      <c r="N136" s="23"/>
      <c r="O136" s="23"/>
    </row>
    <row r="137" spans="11:15">
      <c r="K137"/>
      <c r="L137"/>
      <c r="M137" s="23"/>
      <c r="N137" s="23"/>
      <c r="O137" s="23"/>
    </row>
    <row r="138" spans="11:15">
      <c r="K138"/>
      <c r="L138"/>
      <c r="M138" s="23"/>
      <c r="N138" s="23"/>
      <c r="O138" s="23"/>
    </row>
    <row r="139" spans="11:15">
      <c r="K139"/>
      <c r="L139"/>
      <c r="M139" s="23"/>
      <c r="N139" s="23"/>
      <c r="O139" s="23"/>
    </row>
    <row r="140" spans="11:15">
      <c r="M140" s="23"/>
      <c r="N140" s="23"/>
      <c r="O140" s="23"/>
    </row>
    <row r="141" spans="11:15">
      <c r="M141" s="23"/>
      <c r="N141" s="23"/>
      <c r="O141" s="23"/>
    </row>
    <row r="142" spans="11:15">
      <c r="M142" s="23"/>
      <c r="N142" s="23"/>
      <c r="O142" s="23"/>
    </row>
    <row r="143" spans="11:15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26"/>
  <sheetViews>
    <sheetView showGridLines="0" zoomScale="90" zoomScaleNormal="90" workbookViewId="0">
      <pane xSplit="14" ySplit="25" topLeftCell="W26" activePane="bottomRight" state="frozen"/>
      <selection pane="topRight" activeCell="O1" sqref="O1"/>
      <selection pane="bottomLeft" activeCell="A26" sqref="A26"/>
      <selection pane="bottomRight" activeCell="G2" sqref="G2"/>
    </sheetView>
  </sheetViews>
  <sheetFormatPr defaultColWidth="9.140625" defaultRowHeight="15" zeroHeight="1"/>
  <cols>
    <col min="1" max="1" width="3.140625" customWidth="1"/>
    <col min="2" max="2" width="2.7109375" customWidth="1"/>
    <col min="3" max="3" width="18.140625" style="64" customWidth="1"/>
    <col min="4" max="4" width="2.140625" style="97" customWidth="1"/>
    <col min="5" max="5" width="18.42578125" style="64" customWidth="1"/>
    <col min="6" max="6" width="2.28515625" style="99" customWidth="1"/>
    <col min="7" max="8" width="17.42578125" style="23" bestFit="1" customWidth="1"/>
    <col min="9" max="9" width="24.7109375" bestFit="1" customWidth="1"/>
    <col min="10" max="10" width="2.140625" style="99" customWidth="1"/>
    <col min="11" max="11" width="16.28515625" style="23" bestFit="1" customWidth="1"/>
    <col min="12" max="12" width="25" bestFit="1" customWidth="1"/>
    <col min="13" max="13" width="11" bestFit="1" customWidth="1"/>
    <col min="14" max="14" width="23.85546875" bestFit="1" customWidth="1"/>
    <col min="15" max="15" width="14" customWidth="1"/>
    <col min="16" max="16" width="23.7109375" customWidth="1"/>
    <col min="17" max="17" width="2.5703125" customWidth="1"/>
  </cols>
  <sheetData>
    <row r="1" spans="1:14" ht="54" customHeight="1" thickBot="1">
      <c r="A1" s="1"/>
    </row>
    <row r="2" spans="1:14" ht="19.5" thickBot="1">
      <c r="A2" s="1"/>
      <c r="C2" s="86"/>
      <c r="D2" s="98"/>
      <c r="G2" s="91" t="s">
        <v>17</v>
      </c>
      <c r="H2" s="91" t="s">
        <v>16</v>
      </c>
      <c r="I2" s="94" t="s">
        <v>51</v>
      </c>
      <c r="K2" s="87" t="s">
        <v>11</v>
      </c>
      <c r="L2" s="100" t="s">
        <v>5</v>
      </c>
      <c r="M2" s="100" t="s">
        <v>6</v>
      </c>
      <c r="N2" s="90" t="s">
        <v>50</v>
      </c>
    </row>
    <row r="3" spans="1:14">
      <c r="A3" s="1"/>
      <c r="G3" s="131" t="s">
        <v>42</v>
      </c>
      <c r="H3" s="152" t="s">
        <v>42</v>
      </c>
      <c r="I3" s="95"/>
      <c r="K3" s="134" t="s">
        <v>42</v>
      </c>
      <c r="L3" s="151" t="s">
        <v>42</v>
      </c>
      <c r="M3" s="151" t="s">
        <v>42</v>
      </c>
      <c r="N3" s="129"/>
    </row>
    <row r="4" spans="1:14" ht="15.75" thickBot="1">
      <c r="A4" s="1"/>
      <c r="G4" s="132" t="s">
        <v>58</v>
      </c>
      <c r="H4" s="152"/>
      <c r="I4" s="133">
        <v>0</v>
      </c>
      <c r="K4" s="134" t="s">
        <v>58</v>
      </c>
      <c r="L4" s="151"/>
      <c r="M4" s="151"/>
      <c r="N4" s="130">
        <v>0</v>
      </c>
    </row>
    <row r="5" spans="1:14" ht="19.5" thickBot="1">
      <c r="A5" s="1"/>
      <c r="G5" s="92" t="s">
        <v>43</v>
      </c>
      <c r="H5" s="93"/>
      <c r="I5" s="96">
        <v>0</v>
      </c>
      <c r="K5" s="88" t="s">
        <v>43</v>
      </c>
      <c r="L5" s="101"/>
      <c r="M5" s="89"/>
      <c r="N5" s="135">
        <v>0</v>
      </c>
    </row>
    <row r="6" spans="1:14">
      <c r="A6" s="1"/>
      <c r="G6"/>
      <c r="H6"/>
      <c r="K6"/>
    </row>
    <row r="7" spans="1:14">
      <c r="A7" s="1"/>
      <c r="G7"/>
      <c r="H7"/>
      <c r="K7"/>
    </row>
    <row r="8" spans="1:14">
      <c r="A8" s="1"/>
      <c r="G8"/>
      <c r="H8"/>
      <c r="K8"/>
    </row>
    <row r="9" spans="1:14">
      <c r="A9" s="1"/>
      <c r="G9"/>
      <c r="H9"/>
      <c r="K9"/>
    </row>
    <row r="10" spans="1:14">
      <c r="A10" s="1"/>
      <c r="G10"/>
      <c r="H10"/>
      <c r="K10"/>
    </row>
    <row r="11" spans="1:14">
      <c r="A11" s="1"/>
      <c r="G11"/>
      <c r="H11"/>
      <c r="K11"/>
    </row>
    <row r="12" spans="1:14" ht="15.75" thickBot="1">
      <c r="A12" s="1"/>
      <c r="G12"/>
      <c r="H12"/>
      <c r="K12"/>
    </row>
    <row r="13" spans="1:14" ht="16.5" thickBot="1">
      <c r="A13" s="1"/>
      <c r="G13"/>
      <c r="H13"/>
      <c r="K13"/>
    </row>
    <row r="14" spans="1:14" ht="19.5" thickBot="1">
      <c r="A14" s="1"/>
      <c r="K14"/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20"/>
  <sheetViews>
    <sheetView showGridLines="0" zoomScale="90" zoomScaleNormal="90" workbookViewId="0"/>
  </sheetViews>
  <sheetFormatPr defaultColWidth="0" defaultRowHeight="15"/>
  <cols>
    <col min="1" max="1" width="3.140625" style="3" customWidth="1"/>
    <col min="2" max="2" width="2.7109375" style="3" customWidth="1"/>
    <col min="3" max="3" width="26.140625" style="3" bestFit="1" customWidth="1"/>
    <col min="4" max="4" width="15.42578125" style="3" bestFit="1" customWidth="1"/>
    <col min="5" max="5" width="2.5703125" style="64" customWidth="1"/>
    <col min="6" max="6" width="2.85546875" style="3" customWidth="1"/>
    <col min="7" max="7" width="26.140625" style="3" bestFit="1" customWidth="1"/>
    <col min="8" max="8" width="12.28515625" style="64" bestFit="1" customWidth="1"/>
    <col min="9" max="9" width="16.5703125" style="64" bestFit="1" customWidth="1"/>
    <col min="10" max="10" width="13.42578125" style="64" bestFit="1" customWidth="1"/>
    <col min="11" max="11" width="19" style="3" bestFit="1" customWidth="1"/>
    <col min="12" max="15" width="9" style="3" customWidth="1"/>
    <col min="16" max="16" width="9" style="3" hidden="1" customWidth="1"/>
    <col min="17" max="16384" width="8.7109375" style="3" hidden="1"/>
  </cols>
  <sheetData>
    <row r="1" spans="1:15" ht="54" customHeight="1">
      <c r="A1" s="2"/>
      <c r="B1" s="4"/>
      <c r="C1" s="105"/>
      <c r="D1" s="105"/>
      <c r="E1" s="109"/>
      <c r="F1" s="2"/>
      <c r="G1" s="105"/>
      <c r="H1" s="136"/>
      <c r="I1" s="136"/>
      <c r="J1" s="136"/>
      <c r="K1" s="105"/>
      <c r="L1" s="2"/>
      <c r="M1" s="2"/>
      <c r="N1" s="2"/>
      <c r="O1" s="106"/>
    </row>
    <row r="2" spans="1:15" ht="18.75">
      <c r="A2" s="2"/>
      <c r="B2" s="4"/>
      <c r="E2" s="109"/>
      <c r="F2" s="2"/>
      <c r="G2" s="102" t="s">
        <v>5</v>
      </c>
      <c r="H2" s="104" t="s">
        <v>53</v>
      </c>
      <c r="I2" s="104" t="s">
        <v>52</v>
      </c>
      <c r="J2" s="104" t="s">
        <v>54</v>
      </c>
      <c r="K2" s="3" t="s">
        <v>55</v>
      </c>
      <c r="L2" s="2"/>
      <c r="M2" s="2"/>
      <c r="N2" s="108"/>
      <c r="O2" s="106"/>
    </row>
    <row r="3" spans="1:15">
      <c r="A3" s="2"/>
      <c r="B3" s="4"/>
      <c r="E3" s="109"/>
      <c r="F3" s="2"/>
      <c r="G3" s="3" t="s">
        <v>42</v>
      </c>
      <c r="H3" s="64" t="s">
        <v>42</v>
      </c>
      <c r="I3" s="64" t="s">
        <v>42</v>
      </c>
      <c r="J3" s="3" t="s">
        <v>42</v>
      </c>
      <c r="K3" s="103"/>
      <c r="L3" s="2"/>
      <c r="M3" s="2"/>
      <c r="N3" s="2"/>
      <c r="O3" s="106"/>
    </row>
    <row r="4" spans="1:15">
      <c r="A4" s="2"/>
      <c r="B4" s="4"/>
      <c r="E4" s="109"/>
      <c r="F4" s="2"/>
      <c r="G4" s="3" t="s">
        <v>42</v>
      </c>
      <c r="H4" s="3">
        <v>1900</v>
      </c>
      <c r="I4" s="3">
        <v>1</v>
      </c>
      <c r="J4" s="3" t="s">
        <v>42</v>
      </c>
      <c r="K4" s="103" t="e">
        <v>#N/A</v>
      </c>
      <c r="L4" s="2"/>
      <c r="M4" s="2"/>
      <c r="N4" s="2"/>
      <c r="O4" s="106"/>
    </row>
    <row r="5" spans="1:15">
      <c r="A5" s="2"/>
      <c r="B5" s="4"/>
      <c r="E5" s="109"/>
      <c r="F5" s="2"/>
      <c r="H5" s="3"/>
      <c r="I5" s="3"/>
      <c r="J5" s="3"/>
      <c r="K5" s="103"/>
      <c r="L5" s="2"/>
      <c r="M5" s="2"/>
      <c r="N5" s="2"/>
      <c r="O5" s="106"/>
    </row>
    <row r="6" spans="1:15">
      <c r="A6" s="2"/>
      <c r="B6" s="4"/>
      <c r="E6" s="109"/>
      <c r="F6" s="2"/>
      <c r="G6" s="3" t="s">
        <v>43</v>
      </c>
      <c r="H6" s="3"/>
      <c r="I6" s="3"/>
      <c r="J6" s="3"/>
      <c r="K6" s="103" t="e">
        <v>#N/A</v>
      </c>
      <c r="L6" s="2"/>
      <c r="M6" s="2"/>
      <c r="N6" s="2"/>
      <c r="O6" s="106"/>
    </row>
    <row r="7" spans="1:15">
      <c r="A7" s="2"/>
      <c r="B7" s="4"/>
      <c r="E7" s="109"/>
      <c r="F7" s="2"/>
      <c r="G7"/>
      <c r="H7"/>
      <c r="I7"/>
      <c r="J7"/>
      <c r="K7"/>
      <c r="L7" s="2"/>
      <c r="M7" s="2"/>
      <c r="N7" s="2"/>
      <c r="O7" s="106"/>
    </row>
    <row r="8" spans="1:15">
      <c r="A8" s="2"/>
      <c r="B8" s="4"/>
      <c r="E8" s="109"/>
      <c r="F8" s="2"/>
      <c r="G8"/>
      <c r="H8"/>
      <c r="I8"/>
      <c r="J8"/>
      <c r="K8"/>
      <c r="L8" s="2"/>
      <c r="M8" s="2"/>
      <c r="N8" s="2"/>
      <c r="O8" s="106"/>
    </row>
    <row r="9" spans="1:15">
      <c r="A9" s="2"/>
      <c r="B9" s="4"/>
      <c r="E9" s="109"/>
      <c r="F9" s="2"/>
      <c r="G9"/>
      <c r="H9"/>
      <c r="I9"/>
      <c r="J9"/>
      <c r="K9"/>
      <c r="L9" s="2"/>
      <c r="M9" s="2"/>
      <c r="N9" s="2"/>
      <c r="O9" s="106"/>
    </row>
    <row r="10" spans="1:15">
      <c r="A10" s="2"/>
      <c r="B10" s="4"/>
      <c r="E10" s="109"/>
      <c r="F10" s="2"/>
      <c r="G10"/>
      <c r="H10"/>
      <c r="I10"/>
      <c r="J10"/>
      <c r="K10"/>
      <c r="L10" s="2"/>
      <c r="M10" s="2"/>
      <c r="N10" s="2"/>
      <c r="O10" s="106"/>
    </row>
    <row r="11" spans="1:15">
      <c r="A11" s="2"/>
      <c r="B11" s="4"/>
      <c r="E11" s="109"/>
      <c r="F11" s="2"/>
      <c r="G11"/>
      <c r="H11"/>
      <c r="I11"/>
      <c r="J11"/>
      <c r="K11"/>
      <c r="L11" s="2"/>
      <c r="M11" s="2"/>
      <c r="N11" s="2"/>
      <c r="O11" s="106"/>
    </row>
    <row r="12" spans="1:15">
      <c r="A12" s="2"/>
      <c r="B12" s="4"/>
      <c r="E12" s="109"/>
      <c r="F12" s="2"/>
      <c r="G12"/>
      <c r="H12"/>
      <c r="I12"/>
      <c r="J12"/>
      <c r="K12"/>
      <c r="L12" s="105"/>
      <c r="M12" s="105"/>
      <c r="N12" s="105"/>
      <c r="O12" s="106"/>
    </row>
    <row r="13" spans="1:15">
      <c r="A13" s="2"/>
      <c r="B13" s="4"/>
      <c r="E13" s="109"/>
      <c r="F13" s="2"/>
      <c r="G13"/>
      <c r="H13"/>
      <c r="I13"/>
      <c r="J13"/>
      <c r="K13"/>
      <c r="L13" s="105"/>
      <c r="M13" s="105"/>
      <c r="N13" s="105"/>
      <c r="O13" s="106"/>
    </row>
    <row r="14" spans="1:15">
      <c r="A14" s="2"/>
      <c r="B14" s="4"/>
      <c r="E14" s="109"/>
      <c r="F14" s="2"/>
      <c r="G14"/>
      <c r="H14"/>
      <c r="I14"/>
      <c r="J14"/>
      <c r="K14"/>
      <c r="L14" s="105"/>
      <c r="M14" s="105"/>
      <c r="N14" s="105"/>
      <c r="O14" s="106"/>
    </row>
    <row r="15" spans="1:15">
      <c r="A15" s="2"/>
      <c r="B15" s="4"/>
      <c r="E15" s="109"/>
      <c r="F15" s="2"/>
      <c r="G15"/>
      <c r="H15"/>
      <c r="I15"/>
      <c r="J15"/>
      <c r="K15"/>
      <c r="L15" s="105"/>
      <c r="M15" s="105"/>
      <c r="N15" s="105"/>
      <c r="O15" s="106"/>
    </row>
    <row r="16" spans="1:15">
      <c r="A16" s="2"/>
      <c r="B16" s="107"/>
      <c r="C16" s="107"/>
      <c r="D16" s="107"/>
      <c r="E16" s="107"/>
      <c r="F16" s="106"/>
      <c r="G16"/>
      <c r="H16"/>
      <c r="I16"/>
      <c r="J16"/>
      <c r="K16"/>
      <c r="L16" s="106"/>
      <c r="M16" s="106"/>
      <c r="N16" s="106"/>
      <c r="O16" s="106"/>
    </row>
    <row r="17" spans="1:15">
      <c r="A17" s="2"/>
      <c r="B17" s="107"/>
      <c r="C17" s="107"/>
      <c r="D17" s="107"/>
      <c r="E17" s="107"/>
      <c r="F17" s="106"/>
      <c r="G17"/>
      <c r="H17"/>
      <c r="I17"/>
      <c r="J17"/>
      <c r="K17"/>
      <c r="L17" s="106"/>
      <c r="M17" s="106"/>
      <c r="N17" s="106"/>
      <c r="O17" s="106"/>
    </row>
    <row r="18" spans="1:15">
      <c r="A18" s="2"/>
      <c r="B18" s="107"/>
      <c r="C18" s="107"/>
      <c r="D18" s="107"/>
      <c r="E18" s="107"/>
      <c r="F18" s="106"/>
      <c r="G18"/>
      <c r="H18"/>
      <c r="I18"/>
      <c r="J18"/>
      <c r="K18"/>
      <c r="L18" s="106"/>
      <c r="M18" s="106"/>
      <c r="N18" s="106"/>
      <c r="O18" s="106"/>
    </row>
    <row r="19" spans="1:15">
      <c r="A19" s="2"/>
      <c r="B19" s="107"/>
      <c r="C19" s="107"/>
      <c r="D19" s="107"/>
      <c r="E19" s="107"/>
      <c r="F19" s="106"/>
      <c r="G19"/>
      <c r="H19"/>
      <c r="I19"/>
      <c r="J19"/>
      <c r="K19"/>
      <c r="L19" s="106"/>
      <c r="M19" s="106"/>
      <c r="N19" s="106"/>
      <c r="O19" s="106"/>
    </row>
    <row r="20" spans="1:15">
      <c r="G20"/>
      <c r="H20"/>
      <c r="I20"/>
      <c r="J20"/>
      <c r="K20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MENU</vt:lpstr>
      <vt:lpstr>SERVIÇOS</vt:lpstr>
      <vt:lpstr>DADOS CLIENTES</vt:lpstr>
      <vt:lpstr>DADOS FUNCIONÁRIOS</vt:lpstr>
      <vt:lpstr>DADOS SERVICOS</vt:lpstr>
      <vt:lpstr>COMISSÕES</vt:lpstr>
      <vt:lpstr>RESUMOS PAGAMENTOS</vt:lpstr>
      <vt:lpstr>RESUMO SERVICOS</vt:lpstr>
      <vt:lpstr>RESUMOS COMISSÕES</vt:lpstr>
      <vt:lpstr>'RESUMO SERVICOS'!Area_de_impressao</vt:lpstr>
      <vt:lpstr>TELA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2023-07-12T16:53:29Z</dcterms:modified>
</cp:coreProperties>
</file>