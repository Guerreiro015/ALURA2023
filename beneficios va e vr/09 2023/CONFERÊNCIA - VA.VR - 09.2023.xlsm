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62F9E958-00F4-224C-1CEB-3A4BEE276A53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Y:\Recursos Humanos\Antonio.Neto ECOSAMPA\VA\2023\09 2023\"/>
    </mc:Choice>
  </mc:AlternateContent>
  <xr:revisionPtr revIDLastSave="0" documentId="13_ncr:1_{E2CE981A-438E-44DF-82FF-924A1FBC8C3C}" xr6:coauthVersionLast="47" xr6:coauthVersionMax="47" xr10:uidLastSave="{00000000-0000-0000-0000-000000000000}"/>
  <bookViews>
    <workbookView xWindow="28680" yWindow="1440" windowWidth="20730" windowHeight="11160" tabRatio="886" xr2:uid="{00000000-000D-0000-FFFF-FFFF00000000}"/>
  </bookViews>
  <sheets>
    <sheet name="CONFERÊNCIA" sheetId="15" r:id="rId1"/>
    <sheet name="FALTAS" sheetId="81" r:id="rId2"/>
    <sheet name="VA" sheetId="83" r:id="rId3"/>
    <sheet name="VR" sheetId="82" r:id="rId4"/>
    <sheet name="2vias" sheetId="98" r:id="rId5"/>
    <sheet name="RELATORIO" sheetId="85" r:id="rId6"/>
    <sheet name="RESUMO" sheetId="84" r:id="rId7"/>
    <sheet name="TABELA VA.VR " sheetId="86" r:id="rId8"/>
    <sheet name="TABELA" sheetId="97" r:id="rId9"/>
    <sheet name="MES A MES" sheetId="96" r:id="rId10"/>
  </sheets>
  <externalReferences>
    <externalReference r:id="rId11"/>
  </externalReferences>
  <definedNames>
    <definedName name="_xlnm._FilterDatabase" localSheetId="0" hidden="1">CONFERÊNCIA!$A$1:$K$1453</definedName>
    <definedName name="_xlnm._FilterDatabase" localSheetId="1" hidden="1">FALTAS!$A$1:$E$79</definedName>
    <definedName name="_xlnm._FilterDatabase" localSheetId="9" hidden="1">'MES A MES'!$A$1:$I$1447</definedName>
    <definedName name="_xlnm._FilterDatabase" localSheetId="2" hidden="1">VA!$A$1:$M$1407</definedName>
    <definedName name="_xlnm._FilterDatabase" localSheetId="3" hidden="1">VR!$B$1:$M$1396</definedName>
    <definedName name="_xlnm.Print_Area" localSheetId="4">'2vias'!$A$1:$E$21</definedName>
    <definedName name="_xlnm.Print_Area" localSheetId="0">CONFERÊNCIA!$B$1:$B$771</definedName>
    <definedName name="_xlnm.Print_Area" localSheetId="5">RELATORIO!#REF!</definedName>
    <definedName name="_xlnm.Print_Area" localSheetId="6">RESUMO!$A$1:$M$35</definedName>
    <definedName name="_xlnm.Print_Area" localSheetId="7">'TABELA VA.VR '!$B$1:$H$9</definedName>
  </definedNames>
  <calcPr calcId="191029"/>
  <pivotCaches>
    <pivotCache cacheId="8" r:id="rId12"/>
    <pivotCache cacheId="9" r:id="rId13"/>
  </pivotCaches>
</workbook>
</file>

<file path=xl/calcChain.xml><?xml version="1.0" encoding="utf-8"?>
<calcChain xmlns="http://schemas.openxmlformats.org/spreadsheetml/2006/main">
  <c r="L300" i="15" l="1"/>
  <c r="B4" i="98"/>
  <c r="C4" i="98"/>
  <c r="D4" i="98"/>
  <c r="B5" i="98"/>
  <c r="C5" i="98"/>
  <c r="D5" i="98"/>
  <c r="B6" i="98"/>
  <c r="C6" i="98"/>
  <c r="D6" i="98"/>
  <c r="B7" i="98"/>
  <c r="C7" i="98"/>
  <c r="D7" i="98"/>
  <c r="B8" i="98"/>
  <c r="C8" i="98"/>
  <c r="D8" i="98"/>
  <c r="B9" i="98"/>
  <c r="C9" i="98"/>
  <c r="D9" i="98"/>
  <c r="B10" i="98"/>
  <c r="C10" i="98"/>
  <c r="D10" i="98"/>
  <c r="B11" i="98"/>
  <c r="C11" i="98"/>
  <c r="D11" i="98"/>
  <c r="B12" i="98"/>
  <c r="C12" i="98"/>
  <c r="D12" i="98"/>
  <c r="B13" i="98"/>
  <c r="C13" i="98"/>
  <c r="D13" i="98"/>
  <c r="B14" i="98"/>
  <c r="C14" i="98"/>
  <c r="D14" i="98"/>
  <c r="B15" i="98"/>
  <c r="C15" i="98"/>
  <c r="D15" i="98"/>
  <c r="B16" i="98"/>
  <c r="C16" i="98"/>
  <c r="D16" i="98"/>
  <c r="B17" i="98"/>
  <c r="C17" i="98"/>
  <c r="D17" i="98"/>
  <c r="B18" i="98"/>
  <c r="C18" i="98"/>
  <c r="D18" i="98"/>
  <c r="D3" i="98"/>
  <c r="C3" i="98"/>
  <c r="B3" i="98"/>
  <c r="E19" i="98" l="1"/>
  <c r="G9" i="86"/>
  <c r="E9" i="86"/>
  <c r="C9" i="86"/>
  <c r="K12" i="84"/>
  <c r="J12" i="84"/>
  <c r="I12" i="84"/>
  <c r="H12" i="84"/>
  <c r="H15" i="84" s="1"/>
  <c r="G12" i="84"/>
  <c r="F12" i="84"/>
  <c r="F15" i="84" s="1"/>
  <c r="E12" i="84"/>
  <c r="D12" i="84"/>
  <c r="C12" i="84"/>
  <c r="B12" i="84"/>
  <c r="D33" i="97"/>
  <c r="D32" i="97"/>
  <c r="D31" i="97"/>
  <c r="D30" i="97"/>
  <c r="D29" i="97"/>
  <c r="D28" i="97"/>
  <c r="D9" i="86"/>
  <c r="F21" i="86"/>
  <c r="E21" i="86"/>
  <c r="D21" i="86"/>
  <c r="C21" i="86"/>
  <c r="G20" i="86"/>
  <c r="G19" i="86"/>
  <c r="G18" i="86"/>
  <c r="G17" i="86"/>
  <c r="G16" i="86"/>
  <c r="G21" i="86" l="1"/>
  <c r="I1447" i="96" l="1"/>
  <c r="F1447" i="96"/>
  <c r="H1474" i="15" l="1"/>
  <c r="I1423" i="82" l="1"/>
  <c r="I1422" i="82"/>
  <c r="I1421" i="82"/>
  <c r="I1420" i="82"/>
  <c r="I1419" i="82"/>
  <c r="I1418" i="82"/>
  <c r="I1417" i="82"/>
  <c r="I1416" i="82"/>
  <c r="I1415" i="82"/>
  <c r="I1414" i="82"/>
  <c r="I1413" i="82"/>
  <c r="I1412" i="82"/>
  <c r="I1411" i="82"/>
  <c r="I1410" i="82"/>
  <c r="I1409" i="82"/>
  <c r="I1408" i="82"/>
  <c r="I1407" i="82"/>
  <c r="I1406" i="82"/>
  <c r="I1405" i="82"/>
  <c r="I1404" i="82"/>
  <c r="I1403" i="82"/>
  <c r="I1402" i="82"/>
  <c r="I1401" i="82"/>
  <c r="I1400" i="82"/>
  <c r="I1399" i="82"/>
  <c r="I1398" i="82"/>
  <c r="I1397" i="82"/>
  <c r="I1396" i="82"/>
  <c r="I1395" i="82"/>
  <c r="I1394" i="82"/>
  <c r="I1393" i="82"/>
  <c r="I1392" i="82"/>
  <c r="I1391" i="82"/>
  <c r="I1390" i="82"/>
  <c r="I1389" i="82"/>
  <c r="I1388" i="82"/>
  <c r="I1387" i="82"/>
  <c r="I1386" i="82"/>
  <c r="I1385" i="82"/>
  <c r="I1384" i="82"/>
  <c r="I1383" i="82"/>
  <c r="I1382" i="82"/>
  <c r="I1381" i="82"/>
  <c r="I1380" i="82"/>
  <c r="I1379" i="82"/>
  <c r="I1378" i="82"/>
  <c r="I1377" i="82"/>
  <c r="I1376" i="82"/>
  <c r="I1375" i="82"/>
  <c r="I1374" i="82"/>
  <c r="I1373" i="82"/>
  <c r="I1372" i="82"/>
  <c r="I1371" i="82"/>
  <c r="I1370" i="82"/>
  <c r="I1369" i="82"/>
  <c r="I1368" i="82"/>
  <c r="I1367" i="82"/>
  <c r="I1366" i="82"/>
  <c r="I1365" i="82"/>
  <c r="I1364" i="82"/>
  <c r="I1363" i="82"/>
  <c r="I1362" i="82"/>
  <c r="I1361" i="82"/>
  <c r="I1360" i="82"/>
  <c r="I1359" i="82"/>
  <c r="I1358" i="82"/>
  <c r="I1357" i="82"/>
  <c r="I1356" i="82"/>
  <c r="I1355" i="82"/>
  <c r="I1354" i="82"/>
  <c r="I1353" i="82"/>
  <c r="I1352" i="82"/>
  <c r="I1351" i="82"/>
  <c r="I1350" i="82"/>
  <c r="I1349" i="82"/>
  <c r="I1348" i="82"/>
  <c r="I1347" i="82"/>
  <c r="I1346" i="82"/>
  <c r="I1345" i="82"/>
  <c r="I1344" i="82"/>
  <c r="I1343" i="82"/>
  <c r="I1342" i="82"/>
  <c r="I1341" i="82"/>
  <c r="I1340" i="82"/>
  <c r="I1339" i="82"/>
  <c r="I1338" i="82"/>
  <c r="I1337" i="82"/>
  <c r="I1336" i="82"/>
  <c r="I1335" i="82"/>
  <c r="I1334" i="82"/>
  <c r="I1333" i="82"/>
  <c r="I1332" i="82"/>
  <c r="I1331" i="82"/>
  <c r="I1330" i="82"/>
  <c r="I1329" i="82"/>
  <c r="I1328" i="82"/>
  <c r="I1327" i="82"/>
  <c r="I1326" i="82"/>
  <c r="I1325" i="82"/>
  <c r="I1324" i="82"/>
  <c r="I1323" i="82"/>
  <c r="I1322" i="82"/>
  <c r="I1321" i="82"/>
  <c r="I1320" i="82"/>
  <c r="I1319" i="82"/>
  <c r="I1318" i="82"/>
  <c r="I1317" i="82"/>
  <c r="I1316" i="82"/>
  <c r="I1315" i="82"/>
  <c r="I1314" i="82"/>
  <c r="I1313" i="82"/>
  <c r="I1312" i="82"/>
  <c r="I1311" i="82"/>
  <c r="I1310" i="82"/>
  <c r="I1309" i="82"/>
  <c r="I1308" i="82"/>
  <c r="I1307" i="82"/>
  <c r="I1306" i="82"/>
  <c r="I1305" i="82"/>
  <c r="I1304" i="82"/>
  <c r="I1303" i="82"/>
  <c r="I1302" i="82"/>
  <c r="I1301" i="82"/>
  <c r="I1300" i="82"/>
  <c r="I1299" i="82"/>
  <c r="I1298" i="82"/>
  <c r="I1297" i="82"/>
  <c r="I1296" i="82"/>
  <c r="I1295" i="82"/>
  <c r="I1294" i="82"/>
  <c r="I1293" i="82"/>
  <c r="I1292" i="82"/>
  <c r="I1291" i="82"/>
  <c r="I1290" i="82"/>
  <c r="I1289" i="82"/>
  <c r="I1288" i="82"/>
  <c r="I1287" i="82"/>
  <c r="I1286" i="82"/>
  <c r="I1285" i="82"/>
  <c r="I1284" i="82"/>
  <c r="I1283" i="82"/>
  <c r="I1282" i="82"/>
  <c r="I1281" i="82"/>
  <c r="I1280" i="82"/>
  <c r="I1279" i="82"/>
  <c r="I1278" i="82"/>
  <c r="I1277" i="82"/>
  <c r="I1276" i="82"/>
  <c r="I1275" i="82"/>
  <c r="I1274" i="82"/>
  <c r="I1273" i="82"/>
  <c r="I1272" i="82"/>
  <c r="I1271" i="82"/>
  <c r="I1270" i="82"/>
  <c r="I1269" i="82"/>
  <c r="I1268" i="82"/>
  <c r="I1267" i="82"/>
  <c r="I1266" i="82"/>
  <c r="I1265" i="82"/>
  <c r="I1264" i="82"/>
  <c r="I1263" i="82"/>
  <c r="I1262" i="82"/>
  <c r="I1261" i="82"/>
  <c r="I1260" i="82"/>
  <c r="I1259" i="82"/>
  <c r="I1258" i="82"/>
  <c r="I1257" i="82"/>
  <c r="I1256" i="82"/>
  <c r="I1255" i="82"/>
  <c r="I1254" i="82"/>
  <c r="I1253" i="82"/>
  <c r="I1252" i="82"/>
  <c r="I1251" i="82"/>
  <c r="I1250" i="82"/>
  <c r="I1249" i="82"/>
  <c r="I1248" i="82"/>
  <c r="I1247" i="82"/>
  <c r="I1246" i="82"/>
  <c r="I1245" i="82"/>
  <c r="I1244" i="82"/>
  <c r="I1243" i="82"/>
  <c r="I1242" i="82"/>
  <c r="I1241" i="82"/>
  <c r="I1240" i="82"/>
  <c r="I1239" i="82"/>
  <c r="I1238" i="82"/>
  <c r="I1237" i="82"/>
  <c r="I1236" i="82"/>
  <c r="I1235" i="82"/>
  <c r="I1234" i="82"/>
  <c r="I1233" i="82"/>
  <c r="I1232" i="82"/>
  <c r="I1231" i="82"/>
  <c r="I1230" i="82"/>
  <c r="I1229" i="82"/>
  <c r="I1228" i="82"/>
  <c r="I1227" i="82"/>
  <c r="I1226" i="82"/>
  <c r="I1225" i="82"/>
  <c r="I1224" i="82"/>
  <c r="I1223" i="82"/>
  <c r="I1222" i="82"/>
  <c r="I1221" i="82"/>
  <c r="I1220" i="82"/>
  <c r="I1219" i="82"/>
  <c r="I1218" i="82"/>
  <c r="I1217" i="82"/>
  <c r="I1216" i="82"/>
  <c r="I1215" i="82"/>
  <c r="I1214" i="82"/>
  <c r="I1213" i="82"/>
  <c r="I1212" i="82"/>
  <c r="I1211" i="82"/>
  <c r="I1210" i="82"/>
  <c r="I1209" i="82"/>
  <c r="I1208" i="82"/>
  <c r="I1207" i="82"/>
  <c r="I1206" i="82"/>
  <c r="I1205" i="82"/>
  <c r="I1204" i="82"/>
  <c r="I1203" i="82"/>
  <c r="I1202" i="82"/>
  <c r="I1201" i="82"/>
  <c r="I1200" i="82"/>
  <c r="I1199" i="82"/>
  <c r="I1198" i="82"/>
  <c r="I1197" i="82"/>
  <c r="I1196" i="82"/>
  <c r="I1195" i="82"/>
  <c r="I1194" i="82"/>
  <c r="I1193" i="82"/>
  <c r="I1192" i="82"/>
  <c r="I1191" i="82"/>
  <c r="I1190" i="82"/>
  <c r="I1189" i="82"/>
  <c r="I1188" i="82"/>
  <c r="I1187" i="82"/>
  <c r="I1186" i="82"/>
  <c r="I1185" i="82"/>
  <c r="I1184" i="82"/>
  <c r="I1183" i="82"/>
  <c r="I1182" i="82"/>
  <c r="I1181" i="82"/>
  <c r="I1180" i="82"/>
  <c r="I1179" i="82"/>
  <c r="I1178" i="82"/>
  <c r="I1177" i="82"/>
  <c r="I1176" i="82"/>
  <c r="I1175" i="82"/>
  <c r="I1174" i="82"/>
  <c r="I1173" i="82"/>
  <c r="I1172" i="82"/>
  <c r="I1171" i="82"/>
  <c r="I1170" i="82"/>
  <c r="I1169" i="82"/>
  <c r="I1168" i="82"/>
  <c r="I1167" i="82"/>
  <c r="I1166" i="82"/>
  <c r="I1165" i="82"/>
  <c r="I1164" i="82"/>
  <c r="I1163" i="82"/>
  <c r="I1162" i="82"/>
  <c r="I1161" i="82"/>
  <c r="I1160" i="82"/>
  <c r="I1159" i="82"/>
  <c r="I1158" i="82"/>
  <c r="I1157" i="82"/>
  <c r="I1156" i="82"/>
  <c r="I1155" i="82"/>
  <c r="I1154" i="82"/>
  <c r="I1153" i="82"/>
  <c r="I1152" i="82"/>
  <c r="I1151" i="82"/>
  <c r="I1150" i="82"/>
  <c r="I1149" i="82"/>
  <c r="I1148" i="82"/>
  <c r="I1147" i="82"/>
  <c r="I1146" i="82"/>
  <c r="I1145" i="82"/>
  <c r="I1144" i="82"/>
  <c r="I1143" i="82"/>
  <c r="I1142" i="82"/>
  <c r="I1141" i="82"/>
  <c r="I1140" i="82"/>
  <c r="I1139" i="82"/>
  <c r="I1138" i="82"/>
  <c r="I1137" i="82"/>
  <c r="I1136" i="82"/>
  <c r="I1135" i="82"/>
  <c r="I1134" i="82"/>
  <c r="I1133" i="82"/>
  <c r="I1132" i="82"/>
  <c r="I1131" i="82"/>
  <c r="I1130" i="82"/>
  <c r="I1129" i="82"/>
  <c r="I1128" i="82"/>
  <c r="I1127" i="82"/>
  <c r="I1126" i="82"/>
  <c r="I1125" i="82"/>
  <c r="I1124" i="82"/>
  <c r="I1123" i="82"/>
  <c r="I1122" i="82"/>
  <c r="I1121" i="82"/>
  <c r="I1120" i="82"/>
  <c r="I1119" i="82"/>
  <c r="I1118" i="82"/>
  <c r="I1117" i="82"/>
  <c r="I1116" i="82"/>
  <c r="I1115" i="82"/>
  <c r="I1114" i="82"/>
  <c r="I1113" i="82"/>
  <c r="I1112" i="82"/>
  <c r="I1111" i="82"/>
  <c r="I1110" i="82"/>
  <c r="I1109" i="82"/>
  <c r="I1108" i="82"/>
  <c r="I1107" i="82"/>
  <c r="I1106" i="82"/>
  <c r="I1105" i="82"/>
  <c r="I1104" i="82"/>
  <c r="I1103" i="82"/>
  <c r="I1102" i="82"/>
  <c r="I1101" i="82"/>
  <c r="I1100" i="82"/>
  <c r="I1099" i="82"/>
  <c r="I1098" i="82"/>
  <c r="I1097" i="82"/>
  <c r="I1096" i="82"/>
  <c r="I1095" i="82"/>
  <c r="I1094" i="82"/>
  <c r="I1093" i="82"/>
  <c r="I1092" i="82"/>
  <c r="I1091" i="82"/>
  <c r="I1090" i="82"/>
  <c r="I1089" i="82"/>
  <c r="I1088" i="82"/>
  <c r="I1087" i="82"/>
  <c r="I1086" i="82"/>
  <c r="I1085" i="82"/>
  <c r="I1084" i="82"/>
  <c r="I1083" i="82"/>
  <c r="I1082" i="82"/>
  <c r="I1081" i="82"/>
  <c r="I1080" i="82"/>
  <c r="I1079" i="82"/>
  <c r="I1078" i="82"/>
  <c r="I1077" i="82"/>
  <c r="I1076" i="82"/>
  <c r="I1075" i="82"/>
  <c r="I1074" i="82"/>
  <c r="I1073" i="82"/>
  <c r="I1072" i="82"/>
  <c r="I1071" i="82"/>
  <c r="I1070" i="82"/>
  <c r="I1069" i="82"/>
  <c r="I1068" i="82"/>
  <c r="I1067" i="82"/>
  <c r="I1066" i="82"/>
  <c r="I1065" i="82"/>
  <c r="I1064" i="82"/>
  <c r="I1063" i="82"/>
  <c r="I1062" i="82"/>
  <c r="I1061" i="82"/>
  <c r="I1060" i="82"/>
  <c r="I1059" i="82"/>
  <c r="I1058" i="82"/>
  <c r="I1057" i="82"/>
  <c r="I1056" i="82"/>
  <c r="I1055" i="82"/>
  <c r="I1054" i="82"/>
  <c r="I1053" i="82"/>
  <c r="I1052" i="82"/>
  <c r="I1051" i="82"/>
  <c r="I1050" i="82"/>
  <c r="I1049" i="82"/>
  <c r="I1048" i="82"/>
  <c r="I1047" i="82"/>
  <c r="I1046" i="82"/>
  <c r="I1045" i="82"/>
  <c r="I1044" i="82"/>
  <c r="I1043" i="82"/>
  <c r="I1042" i="82"/>
  <c r="I1041" i="82"/>
  <c r="I1040" i="82"/>
  <c r="I1039" i="82"/>
  <c r="I1038" i="82"/>
  <c r="I1037" i="82"/>
  <c r="I1036" i="82"/>
  <c r="I1035" i="82"/>
  <c r="I1034" i="82"/>
  <c r="I1033" i="82"/>
  <c r="I1032" i="82"/>
  <c r="I1031" i="82"/>
  <c r="I1030" i="82"/>
  <c r="I1029" i="82"/>
  <c r="I1028" i="82"/>
  <c r="I1027" i="82"/>
  <c r="I1026" i="82"/>
  <c r="I1025" i="82"/>
  <c r="I1024" i="82"/>
  <c r="I1023" i="82"/>
  <c r="I1022" i="82"/>
  <c r="I1021" i="82"/>
  <c r="I1020" i="82"/>
  <c r="I1019" i="82"/>
  <c r="I1018" i="82"/>
  <c r="I1017" i="82"/>
  <c r="I1016" i="82"/>
  <c r="I1015" i="82"/>
  <c r="I1014" i="82"/>
  <c r="I1013" i="82"/>
  <c r="I1012" i="82"/>
  <c r="I1011" i="82"/>
  <c r="I1010" i="82"/>
  <c r="I1009" i="82"/>
  <c r="I1008" i="82"/>
  <c r="I1007" i="82"/>
  <c r="I1006" i="82"/>
  <c r="I1005" i="82"/>
  <c r="I1004" i="82"/>
  <c r="I1003" i="82"/>
  <c r="I1002" i="82"/>
  <c r="I1001" i="82"/>
  <c r="I1000" i="82"/>
  <c r="I999" i="82"/>
  <c r="I998" i="82"/>
  <c r="I997" i="82"/>
  <c r="I996" i="82"/>
  <c r="I995" i="82"/>
  <c r="I994" i="82"/>
  <c r="I993" i="82"/>
  <c r="I992" i="82"/>
  <c r="I991" i="82"/>
  <c r="I990" i="82"/>
  <c r="I989" i="82"/>
  <c r="I988" i="82"/>
  <c r="I987" i="82"/>
  <c r="I986" i="82"/>
  <c r="I985" i="82"/>
  <c r="I984" i="82"/>
  <c r="I983" i="82"/>
  <c r="I982" i="82"/>
  <c r="I981" i="82"/>
  <c r="I980" i="82"/>
  <c r="I979" i="82"/>
  <c r="I978" i="82"/>
  <c r="I977" i="82"/>
  <c r="I976" i="82"/>
  <c r="I975" i="82"/>
  <c r="I974" i="82"/>
  <c r="I973" i="82"/>
  <c r="I972" i="82"/>
  <c r="I971" i="82"/>
  <c r="I970" i="82"/>
  <c r="I969" i="82"/>
  <c r="I968" i="82"/>
  <c r="I967" i="82"/>
  <c r="I966" i="82"/>
  <c r="I965" i="82"/>
  <c r="I964" i="82"/>
  <c r="I963" i="82"/>
  <c r="I962" i="82"/>
  <c r="I961" i="82"/>
  <c r="I960" i="82"/>
  <c r="I959" i="82"/>
  <c r="I958" i="82"/>
  <c r="I957" i="82"/>
  <c r="I956" i="82"/>
  <c r="I955" i="82"/>
  <c r="I954" i="82"/>
  <c r="I953" i="82"/>
  <c r="I952" i="82"/>
  <c r="I951" i="82"/>
  <c r="I950" i="82"/>
  <c r="I949" i="82"/>
  <c r="I948" i="82"/>
  <c r="I947" i="82"/>
  <c r="I946" i="82"/>
  <c r="I945" i="82"/>
  <c r="I944" i="82"/>
  <c r="I943" i="82"/>
  <c r="I942" i="82"/>
  <c r="I941" i="82"/>
  <c r="I940" i="82"/>
  <c r="I939" i="82"/>
  <c r="I938" i="82"/>
  <c r="I937" i="82"/>
  <c r="I936" i="82"/>
  <c r="I935" i="82"/>
  <c r="I934" i="82"/>
  <c r="I933" i="82"/>
  <c r="I932" i="82"/>
  <c r="I931" i="82"/>
  <c r="I930" i="82"/>
  <c r="I929" i="82"/>
  <c r="I928" i="82"/>
  <c r="I927" i="82"/>
  <c r="I926" i="82"/>
  <c r="I925" i="82"/>
  <c r="I924" i="82"/>
  <c r="I923" i="82"/>
  <c r="I922" i="82"/>
  <c r="I921" i="82"/>
  <c r="I920" i="82"/>
  <c r="I919" i="82"/>
  <c r="I918" i="82"/>
  <c r="I917" i="82"/>
  <c r="I916" i="82"/>
  <c r="I915" i="82"/>
  <c r="I914" i="82"/>
  <c r="I913" i="82"/>
  <c r="I912" i="82"/>
  <c r="I911" i="82"/>
  <c r="I910" i="82"/>
  <c r="I909" i="82"/>
  <c r="I908" i="82"/>
  <c r="I907" i="82"/>
  <c r="I906" i="82"/>
  <c r="I905" i="82"/>
  <c r="I904" i="82"/>
  <c r="I903" i="82"/>
  <c r="I902" i="82"/>
  <c r="I901" i="82"/>
  <c r="I900" i="82"/>
  <c r="I899" i="82"/>
  <c r="I898" i="82"/>
  <c r="I897" i="82"/>
  <c r="I896" i="82"/>
  <c r="I895" i="82"/>
  <c r="I894" i="82"/>
  <c r="I893" i="82"/>
  <c r="I892" i="82"/>
  <c r="I891" i="82"/>
  <c r="I890" i="82"/>
  <c r="I889" i="82"/>
  <c r="I888" i="82"/>
  <c r="I887" i="82"/>
  <c r="I886" i="82"/>
  <c r="I885" i="82"/>
  <c r="I884" i="82"/>
  <c r="I883" i="82"/>
  <c r="I882" i="82"/>
  <c r="I881" i="82"/>
  <c r="I880" i="82"/>
  <c r="I879" i="82"/>
  <c r="I878" i="82"/>
  <c r="I877" i="82"/>
  <c r="I876" i="82"/>
  <c r="I875" i="82"/>
  <c r="I874" i="82"/>
  <c r="I873" i="82"/>
  <c r="I872" i="82"/>
  <c r="I871" i="82"/>
  <c r="I870" i="82"/>
  <c r="I869" i="82"/>
  <c r="I868" i="82"/>
  <c r="I867" i="82"/>
  <c r="I866" i="82"/>
  <c r="I865" i="82"/>
  <c r="I864" i="82"/>
  <c r="I863" i="82"/>
  <c r="I862" i="82"/>
  <c r="I861" i="82"/>
  <c r="I860" i="82"/>
  <c r="I859" i="82"/>
  <c r="I858" i="82"/>
  <c r="I857" i="82"/>
  <c r="I856" i="82"/>
  <c r="I855" i="82"/>
  <c r="I854" i="82"/>
  <c r="I853" i="82"/>
  <c r="I852" i="82"/>
  <c r="I851" i="82"/>
  <c r="I850" i="82"/>
  <c r="I849" i="82"/>
  <c r="I848" i="82"/>
  <c r="I847" i="82"/>
  <c r="I846" i="82"/>
  <c r="I845" i="82"/>
  <c r="I844" i="82"/>
  <c r="I843" i="82"/>
  <c r="I842" i="82"/>
  <c r="I841" i="82"/>
  <c r="I840" i="82"/>
  <c r="I839" i="82"/>
  <c r="I838" i="82"/>
  <c r="I837" i="82"/>
  <c r="I836" i="82"/>
  <c r="I835" i="82"/>
  <c r="I834" i="82"/>
  <c r="I833" i="82"/>
  <c r="I832" i="82"/>
  <c r="I831" i="82"/>
  <c r="I830" i="82"/>
  <c r="I829" i="82"/>
  <c r="I828" i="82"/>
  <c r="I827" i="82"/>
  <c r="I826" i="82"/>
  <c r="I825" i="82"/>
  <c r="I824" i="82"/>
  <c r="I823" i="82"/>
  <c r="I822" i="82"/>
  <c r="I821" i="82"/>
  <c r="I820" i="82"/>
  <c r="I819" i="82"/>
  <c r="I818" i="82"/>
  <c r="I817" i="82"/>
  <c r="I816" i="82"/>
  <c r="I815" i="82"/>
  <c r="I814" i="82"/>
  <c r="I813" i="82"/>
  <c r="I812" i="82"/>
  <c r="I811" i="82"/>
  <c r="I810" i="82"/>
  <c r="I809" i="82"/>
  <c r="I808" i="82"/>
  <c r="I807" i="82"/>
  <c r="I806" i="82"/>
  <c r="I805" i="82"/>
  <c r="I804" i="82"/>
  <c r="I803" i="82"/>
  <c r="I802" i="82"/>
  <c r="I801" i="82"/>
  <c r="I800" i="82"/>
  <c r="I799" i="82"/>
  <c r="I798" i="82"/>
  <c r="I797" i="82"/>
  <c r="I796" i="82"/>
  <c r="I795" i="82"/>
  <c r="I794" i="82"/>
  <c r="I793" i="82"/>
  <c r="I792" i="82"/>
  <c r="I791" i="82"/>
  <c r="I790" i="82"/>
  <c r="I789" i="82"/>
  <c r="I788" i="82"/>
  <c r="I787" i="82"/>
  <c r="I786" i="82"/>
  <c r="I785" i="82"/>
  <c r="I784" i="82"/>
  <c r="I783" i="82"/>
  <c r="I782" i="82"/>
  <c r="I781" i="82"/>
  <c r="I780" i="82"/>
  <c r="I779" i="82"/>
  <c r="I778" i="82"/>
  <c r="I777" i="82"/>
  <c r="I776" i="82"/>
  <c r="I775" i="82"/>
  <c r="I774" i="82"/>
  <c r="I773" i="82"/>
  <c r="I772" i="82"/>
  <c r="I771" i="82"/>
  <c r="I770" i="82"/>
  <c r="I769" i="82"/>
  <c r="I768" i="82"/>
  <c r="I767" i="82"/>
  <c r="I766" i="82"/>
  <c r="I765" i="82"/>
  <c r="I764" i="82"/>
  <c r="I763" i="82"/>
  <c r="I762" i="82"/>
  <c r="I761" i="82"/>
  <c r="I760" i="82"/>
  <c r="I759" i="82"/>
  <c r="I758" i="82"/>
  <c r="I757" i="82"/>
  <c r="I756" i="82"/>
  <c r="I755" i="82"/>
  <c r="I754" i="82"/>
  <c r="I753" i="82"/>
  <c r="I752" i="82"/>
  <c r="I751" i="82"/>
  <c r="I750" i="82"/>
  <c r="I749" i="82"/>
  <c r="I748" i="82"/>
  <c r="I747" i="82"/>
  <c r="I746" i="82"/>
  <c r="I745" i="82"/>
  <c r="I744" i="82"/>
  <c r="I743" i="82"/>
  <c r="I742" i="82"/>
  <c r="I741" i="82"/>
  <c r="I740" i="82"/>
  <c r="I739" i="82"/>
  <c r="I738" i="82"/>
  <c r="I737" i="82"/>
  <c r="I736" i="82"/>
  <c r="I735" i="82"/>
  <c r="I734" i="82"/>
  <c r="I733" i="82"/>
  <c r="I732" i="82"/>
  <c r="I731" i="82"/>
  <c r="I730" i="82"/>
  <c r="I729" i="82"/>
  <c r="I728" i="82"/>
  <c r="I727" i="82"/>
  <c r="I726" i="82"/>
  <c r="I725" i="82"/>
  <c r="I724" i="82"/>
  <c r="I723" i="82"/>
  <c r="I722" i="82"/>
  <c r="I721" i="82"/>
  <c r="I720" i="82"/>
  <c r="I719" i="82"/>
  <c r="I718" i="82"/>
  <c r="I717" i="82"/>
  <c r="I716" i="82"/>
  <c r="I715" i="82"/>
  <c r="I714" i="82"/>
  <c r="I713" i="82"/>
  <c r="I712" i="82"/>
  <c r="I711" i="82"/>
  <c r="I710" i="82"/>
  <c r="I709" i="82"/>
  <c r="I708" i="82"/>
  <c r="I707" i="82"/>
  <c r="I706" i="82"/>
  <c r="I705" i="82"/>
  <c r="I704" i="82"/>
  <c r="I703" i="82"/>
  <c r="I702" i="82"/>
  <c r="I701" i="82"/>
  <c r="I700" i="82"/>
  <c r="I699" i="82"/>
  <c r="I698" i="82"/>
  <c r="I697" i="82"/>
  <c r="I696" i="82"/>
  <c r="I695" i="82"/>
  <c r="I694" i="82"/>
  <c r="I693" i="82"/>
  <c r="I692" i="82"/>
  <c r="I691" i="82"/>
  <c r="I690" i="82"/>
  <c r="I689" i="82"/>
  <c r="I688" i="82"/>
  <c r="I687" i="82"/>
  <c r="I686" i="82"/>
  <c r="I685" i="82"/>
  <c r="I684" i="82"/>
  <c r="I683" i="82"/>
  <c r="I682" i="82"/>
  <c r="I681" i="82"/>
  <c r="I680" i="82"/>
  <c r="I679" i="82"/>
  <c r="I678" i="82"/>
  <c r="I677" i="82"/>
  <c r="I676" i="82"/>
  <c r="I675" i="82"/>
  <c r="I674" i="82"/>
  <c r="I673" i="82"/>
  <c r="I672" i="82"/>
  <c r="I671" i="82"/>
  <c r="I670" i="82"/>
  <c r="I669" i="82"/>
  <c r="I668" i="82"/>
  <c r="I667" i="82"/>
  <c r="I666" i="82"/>
  <c r="I665" i="82"/>
  <c r="I664" i="82"/>
  <c r="I663" i="82"/>
  <c r="I662" i="82"/>
  <c r="I661" i="82"/>
  <c r="I660" i="82"/>
  <c r="I659" i="82"/>
  <c r="I658" i="82"/>
  <c r="I657" i="82"/>
  <c r="I656" i="82"/>
  <c r="I655" i="82"/>
  <c r="I654" i="82"/>
  <c r="I653" i="82"/>
  <c r="I652" i="82"/>
  <c r="I651" i="82"/>
  <c r="I650" i="82"/>
  <c r="I649" i="82"/>
  <c r="I648" i="82"/>
  <c r="I647" i="82"/>
  <c r="I646" i="82"/>
  <c r="I645" i="82"/>
  <c r="I644" i="82"/>
  <c r="I643" i="82"/>
  <c r="I642" i="82"/>
  <c r="I641" i="82"/>
  <c r="I640" i="82"/>
  <c r="I639" i="82"/>
  <c r="I638" i="82"/>
  <c r="I637" i="82"/>
  <c r="I636" i="82"/>
  <c r="I635" i="82"/>
  <c r="I634" i="82"/>
  <c r="I633" i="82"/>
  <c r="I632" i="82"/>
  <c r="I631" i="82"/>
  <c r="I630" i="82"/>
  <c r="I629" i="82"/>
  <c r="I628" i="82"/>
  <c r="I627" i="82"/>
  <c r="I626" i="82"/>
  <c r="I625" i="82"/>
  <c r="I624" i="82"/>
  <c r="I623" i="82"/>
  <c r="I622" i="82"/>
  <c r="I621" i="82"/>
  <c r="I620" i="82"/>
  <c r="I619" i="82"/>
  <c r="I618" i="82"/>
  <c r="I617" i="82"/>
  <c r="I616" i="82"/>
  <c r="I615" i="82"/>
  <c r="I614" i="82"/>
  <c r="I613" i="82"/>
  <c r="I612" i="82"/>
  <c r="I611" i="82"/>
  <c r="I610" i="82"/>
  <c r="I609" i="82"/>
  <c r="I608" i="82"/>
  <c r="I607" i="82"/>
  <c r="I606" i="82"/>
  <c r="I605" i="82"/>
  <c r="I604" i="82"/>
  <c r="I603" i="82"/>
  <c r="I602" i="82"/>
  <c r="I601" i="82"/>
  <c r="I600" i="82"/>
  <c r="I599" i="82"/>
  <c r="I598" i="82"/>
  <c r="I597" i="82"/>
  <c r="I596" i="82"/>
  <c r="I595" i="82"/>
  <c r="I594" i="82"/>
  <c r="I593" i="82"/>
  <c r="I592" i="82"/>
  <c r="I591" i="82"/>
  <c r="I590" i="82"/>
  <c r="I589" i="82"/>
  <c r="I588" i="82"/>
  <c r="I587" i="82"/>
  <c r="I586" i="82"/>
  <c r="I585" i="82"/>
  <c r="I584" i="82"/>
  <c r="I583" i="82"/>
  <c r="I582" i="82"/>
  <c r="I581" i="82"/>
  <c r="I580" i="82"/>
  <c r="I579" i="82"/>
  <c r="I578" i="82"/>
  <c r="I577" i="82"/>
  <c r="I576" i="82"/>
  <c r="I575" i="82"/>
  <c r="I574" i="82"/>
  <c r="I573" i="82"/>
  <c r="I572" i="82"/>
  <c r="I571" i="82"/>
  <c r="I441" i="15" s="1"/>
  <c r="I570" i="82"/>
  <c r="I569" i="82"/>
  <c r="I568" i="82"/>
  <c r="I567" i="82"/>
  <c r="I566" i="82"/>
  <c r="I565" i="82"/>
  <c r="I564" i="82"/>
  <c r="I563" i="82"/>
  <c r="I562" i="82"/>
  <c r="I561" i="82"/>
  <c r="I560" i="82"/>
  <c r="I559" i="82"/>
  <c r="I558" i="82"/>
  <c r="I557" i="82"/>
  <c r="I556" i="82"/>
  <c r="I555" i="82"/>
  <c r="I554" i="82"/>
  <c r="I553" i="82"/>
  <c r="I552" i="82"/>
  <c r="I551" i="82"/>
  <c r="I550" i="82"/>
  <c r="I549" i="82"/>
  <c r="I548" i="82"/>
  <c r="I547" i="82"/>
  <c r="I546" i="82"/>
  <c r="I545" i="82"/>
  <c r="I544" i="82"/>
  <c r="I543" i="82"/>
  <c r="I542" i="82"/>
  <c r="I541" i="82"/>
  <c r="I540" i="82"/>
  <c r="I539" i="82"/>
  <c r="I538" i="82"/>
  <c r="I537" i="82"/>
  <c r="I536" i="82"/>
  <c r="I535" i="82"/>
  <c r="I534" i="82"/>
  <c r="I533" i="82"/>
  <c r="I532" i="82"/>
  <c r="I531" i="82"/>
  <c r="I530" i="82"/>
  <c r="I529" i="82"/>
  <c r="I528" i="82"/>
  <c r="I527" i="82"/>
  <c r="I526" i="82"/>
  <c r="I525" i="82"/>
  <c r="I524" i="82"/>
  <c r="I523" i="82"/>
  <c r="I522" i="82"/>
  <c r="I521" i="82"/>
  <c r="I520" i="82"/>
  <c r="I519" i="82"/>
  <c r="I518" i="82"/>
  <c r="I517" i="82"/>
  <c r="I516" i="82"/>
  <c r="I515" i="82"/>
  <c r="I514" i="82"/>
  <c r="I513" i="82"/>
  <c r="I512" i="82"/>
  <c r="I511" i="82"/>
  <c r="I510" i="82"/>
  <c r="I509" i="82"/>
  <c r="I508" i="82"/>
  <c r="I507" i="82"/>
  <c r="I506" i="82"/>
  <c r="I505" i="82"/>
  <c r="I504" i="82"/>
  <c r="I503" i="82"/>
  <c r="I502" i="82"/>
  <c r="I501" i="82"/>
  <c r="I500" i="82"/>
  <c r="I499" i="82"/>
  <c r="I498" i="82"/>
  <c r="I497" i="82"/>
  <c r="I496" i="82"/>
  <c r="I495" i="82"/>
  <c r="I494" i="82"/>
  <c r="I493" i="82"/>
  <c r="I492" i="82"/>
  <c r="I491" i="82"/>
  <c r="I490" i="82"/>
  <c r="I489" i="82"/>
  <c r="I488" i="82"/>
  <c r="I487" i="82"/>
  <c r="I486" i="82"/>
  <c r="I485" i="82"/>
  <c r="I484" i="82"/>
  <c r="I483" i="82"/>
  <c r="I482" i="82"/>
  <c r="I481" i="82"/>
  <c r="I480" i="82"/>
  <c r="I479" i="82"/>
  <c r="I478" i="82"/>
  <c r="I477" i="82"/>
  <c r="I476" i="82"/>
  <c r="I475" i="82"/>
  <c r="I474" i="82"/>
  <c r="I473" i="82"/>
  <c r="I472" i="82"/>
  <c r="I471" i="82"/>
  <c r="I470" i="82"/>
  <c r="I469" i="82"/>
  <c r="I468" i="82"/>
  <c r="I467" i="82"/>
  <c r="I466" i="82"/>
  <c r="I465" i="82"/>
  <c r="I464" i="82"/>
  <c r="I463" i="82"/>
  <c r="I462" i="82"/>
  <c r="I461" i="82"/>
  <c r="I460" i="82"/>
  <c r="I459" i="82"/>
  <c r="I458" i="82"/>
  <c r="I457" i="82"/>
  <c r="I456" i="82"/>
  <c r="I455" i="82"/>
  <c r="I454" i="82"/>
  <c r="I453" i="82"/>
  <c r="I452" i="82"/>
  <c r="I451" i="82"/>
  <c r="I450" i="82"/>
  <c r="I449" i="82"/>
  <c r="I448" i="82"/>
  <c r="I447" i="82"/>
  <c r="I446" i="82"/>
  <c r="I445" i="82"/>
  <c r="I444" i="82"/>
  <c r="I443" i="82"/>
  <c r="I442" i="82"/>
  <c r="I441" i="82"/>
  <c r="I440" i="82"/>
  <c r="I439" i="82"/>
  <c r="I438" i="82"/>
  <c r="I437" i="82"/>
  <c r="I436" i="82"/>
  <c r="I435" i="82"/>
  <c r="I434" i="82"/>
  <c r="I433" i="82"/>
  <c r="I432" i="82"/>
  <c r="I431" i="82"/>
  <c r="I430" i="82"/>
  <c r="I429" i="82"/>
  <c r="I428" i="82"/>
  <c r="I427" i="82"/>
  <c r="I426" i="82"/>
  <c r="I425" i="82"/>
  <c r="I424" i="82"/>
  <c r="I423" i="82"/>
  <c r="I422" i="82"/>
  <c r="I421" i="82"/>
  <c r="I420" i="82"/>
  <c r="I419" i="82"/>
  <c r="I418" i="82"/>
  <c r="I417" i="82"/>
  <c r="I416" i="82"/>
  <c r="I415" i="82"/>
  <c r="I414" i="82"/>
  <c r="I413" i="82"/>
  <c r="I412" i="82"/>
  <c r="I411" i="82"/>
  <c r="I410" i="82"/>
  <c r="I409" i="82"/>
  <c r="I408" i="82"/>
  <c r="I407" i="82"/>
  <c r="I406" i="82"/>
  <c r="I405" i="82"/>
  <c r="I404" i="82"/>
  <c r="I403" i="82"/>
  <c r="I402" i="82"/>
  <c r="I401" i="82"/>
  <c r="I400" i="82"/>
  <c r="I399" i="82"/>
  <c r="I398" i="82"/>
  <c r="I397" i="82"/>
  <c r="I396" i="82"/>
  <c r="I395" i="82"/>
  <c r="I394" i="82"/>
  <c r="I393" i="82"/>
  <c r="I392" i="82"/>
  <c r="I391" i="82"/>
  <c r="I390" i="82"/>
  <c r="I389" i="82"/>
  <c r="I388" i="82"/>
  <c r="I387" i="82"/>
  <c r="I386" i="82"/>
  <c r="I385" i="82"/>
  <c r="I384" i="82"/>
  <c r="I383" i="82"/>
  <c r="I382" i="82"/>
  <c r="I381" i="82"/>
  <c r="I380" i="82"/>
  <c r="I379" i="82"/>
  <c r="I378" i="82"/>
  <c r="I377" i="82"/>
  <c r="I376" i="82"/>
  <c r="I375" i="82"/>
  <c r="I374" i="82"/>
  <c r="I373" i="82"/>
  <c r="I372" i="82"/>
  <c r="I371" i="82"/>
  <c r="I370" i="82"/>
  <c r="I369" i="82"/>
  <c r="I368" i="82"/>
  <c r="I367" i="82"/>
  <c r="I366" i="82"/>
  <c r="I365" i="82"/>
  <c r="I364" i="82"/>
  <c r="I363" i="82"/>
  <c r="I362" i="82"/>
  <c r="I361" i="82"/>
  <c r="I360" i="82"/>
  <c r="I359" i="82"/>
  <c r="I358" i="82"/>
  <c r="I357" i="82"/>
  <c r="I356" i="82"/>
  <c r="I355" i="82"/>
  <c r="I354" i="82"/>
  <c r="I353" i="82"/>
  <c r="I352" i="82"/>
  <c r="I351" i="82"/>
  <c r="I350" i="82"/>
  <c r="I349" i="82"/>
  <c r="I348" i="82"/>
  <c r="I347" i="82"/>
  <c r="I346" i="82"/>
  <c r="I345" i="82"/>
  <c r="I344" i="82"/>
  <c r="I343" i="82"/>
  <c r="I342" i="82"/>
  <c r="I341" i="82"/>
  <c r="I340" i="82"/>
  <c r="I339" i="82"/>
  <c r="I338" i="82"/>
  <c r="I337" i="82"/>
  <c r="I336" i="82"/>
  <c r="I335" i="82"/>
  <c r="I334" i="82"/>
  <c r="I333" i="82"/>
  <c r="I332" i="82"/>
  <c r="I331" i="82"/>
  <c r="I330" i="82"/>
  <c r="I329" i="82"/>
  <c r="I328" i="82"/>
  <c r="I327" i="82"/>
  <c r="I326" i="82"/>
  <c r="I325" i="82"/>
  <c r="I324" i="82"/>
  <c r="I323" i="82"/>
  <c r="I322" i="82"/>
  <c r="I321" i="82"/>
  <c r="I320" i="82"/>
  <c r="I319" i="82"/>
  <c r="I318" i="82"/>
  <c r="I317" i="82"/>
  <c r="I316" i="82"/>
  <c r="I315" i="82"/>
  <c r="I314" i="82"/>
  <c r="I313" i="82"/>
  <c r="I312" i="82"/>
  <c r="I311" i="82"/>
  <c r="I310" i="82"/>
  <c r="I309" i="82"/>
  <c r="I308" i="82"/>
  <c r="I307" i="82"/>
  <c r="I306" i="82"/>
  <c r="I305" i="82"/>
  <c r="I304" i="82"/>
  <c r="I303" i="82"/>
  <c r="I302" i="82"/>
  <c r="I301" i="82"/>
  <c r="I300" i="82"/>
  <c r="I299" i="82"/>
  <c r="I298" i="82"/>
  <c r="I297" i="82"/>
  <c r="I296" i="82"/>
  <c r="I295" i="82"/>
  <c r="I294" i="82"/>
  <c r="I293" i="82"/>
  <c r="I292" i="82"/>
  <c r="I291" i="82"/>
  <c r="I290" i="82"/>
  <c r="I289" i="82"/>
  <c r="I288" i="82"/>
  <c r="I287" i="82"/>
  <c r="I286" i="82"/>
  <c r="I285" i="82"/>
  <c r="I284" i="82"/>
  <c r="I283" i="82"/>
  <c r="I282" i="82"/>
  <c r="I281" i="82"/>
  <c r="I280" i="82"/>
  <c r="I279" i="82"/>
  <c r="I278" i="82"/>
  <c r="I277" i="82"/>
  <c r="I276" i="82"/>
  <c r="I275" i="82"/>
  <c r="I274" i="82"/>
  <c r="I273" i="82"/>
  <c r="I272" i="82"/>
  <c r="I271" i="82"/>
  <c r="I270" i="82"/>
  <c r="I269" i="82"/>
  <c r="I268" i="82"/>
  <c r="I267" i="82"/>
  <c r="I266" i="82"/>
  <c r="I265" i="82"/>
  <c r="I264" i="82"/>
  <c r="I263" i="82"/>
  <c r="I262" i="82"/>
  <c r="I261" i="82"/>
  <c r="I260" i="82"/>
  <c r="I259" i="82"/>
  <c r="I258" i="82"/>
  <c r="I257" i="82"/>
  <c r="I256" i="82"/>
  <c r="I255" i="82"/>
  <c r="I254" i="82"/>
  <c r="I253" i="82"/>
  <c r="I252" i="82"/>
  <c r="I251" i="82"/>
  <c r="I250" i="82"/>
  <c r="I249" i="82"/>
  <c r="I248" i="82"/>
  <c r="I247" i="82"/>
  <c r="I246" i="82"/>
  <c r="I245" i="82"/>
  <c r="I244" i="82"/>
  <c r="I243" i="82"/>
  <c r="I242" i="82"/>
  <c r="I241" i="82"/>
  <c r="I240" i="82"/>
  <c r="I239" i="82"/>
  <c r="I238" i="82"/>
  <c r="I237" i="82"/>
  <c r="I236" i="82"/>
  <c r="I235" i="82"/>
  <c r="I234" i="82"/>
  <c r="I233" i="82"/>
  <c r="I232" i="82"/>
  <c r="I231" i="82"/>
  <c r="I230" i="82"/>
  <c r="I229" i="82"/>
  <c r="I228" i="82"/>
  <c r="I227" i="82"/>
  <c r="I226" i="82"/>
  <c r="I225" i="82"/>
  <c r="I224" i="82"/>
  <c r="I223" i="82"/>
  <c r="I222" i="82"/>
  <c r="I221" i="82"/>
  <c r="I220" i="82"/>
  <c r="I219" i="82"/>
  <c r="I218" i="82"/>
  <c r="I217" i="82"/>
  <c r="I216" i="82"/>
  <c r="I215" i="82"/>
  <c r="I214" i="82"/>
  <c r="I213" i="82"/>
  <c r="I212" i="82"/>
  <c r="I211" i="82"/>
  <c r="I210" i="82"/>
  <c r="I209" i="82"/>
  <c r="I208" i="82"/>
  <c r="I207" i="82"/>
  <c r="I206" i="82"/>
  <c r="I205" i="82"/>
  <c r="I204" i="82"/>
  <c r="I203" i="82"/>
  <c r="I202" i="82"/>
  <c r="I201" i="82"/>
  <c r="I200" i="82"/>
  <c r="I199" i="82"/>
  <c r="I198" i="82"/>
  <c r="I197" i="82"/>
  <c r="I196" i="82"/>
  <c r="I195" i="82"/>
  <c r="I194" i="82"/>
  <c r="I193" i="82"/>
  <c r="I192" i="82"/>
  <c r="I191" i="82"/>
  <c r="I190" i="82"/>
  <c r="I189" i="82"/>
  <c r="I188" i="82"/>
  <c r="I187" i="82"/>
  <c r="I186" i="82"/>
  <c r="I185" i="82"/>
  <c r="I184" i="82"/>
  <c r="I183" i="82"/>
  <c r="I182" i="82"/>
  <c r="I181" i="82"/>
  <c r="I180" i="82"/>
  <c r="I179" i="82"/>
  <c r="I178" i="82"/>
  <c r="I177" i="82"/>
  <c r="I176" i="82"/>
  <c r="I175" i="82"/>
  <c r="I174" i="82"/>
  <c r="I173" i="82"/>
  <c r="I172" i="82"/>
  <c r="I171" i="82"/>
  <c r="I170" i="82"/>
  <c r="I169" i="82"/>
  <c r="I168" i="82"/>
  <c r="I167" i="82"/>
  <c r="I166" i="82"/>
  <c r="I165" i="82"/>
  <c r="I164" i="82"/>
  <c r="I163" i="82"/>
  <c r="I162" i="82"/>
  <c r="I161" i="82"/>
  <c r="I160" i="82"/>
  <c r="I159" i="82"/>
  <c r="I158" i="82"/>
  <c r="I157" i="82"/>
  <c r="I156" i="82"/>
  <c r="I155" i="82"/>
  <c r="I154" i="82"/>
  <c r="I153" i="82"/>
  <c r="I152" i="82"/>
  <c r="I151" i="82"/>
  <c r="I150" i="82"/>
  <c r="I149" i="82"/>
  <c r="I148" i="82"/>
  <c r="I147" i="82"/>
  <c r="I146" i="82"/>
  <c r="I145" i="82"/>
  <c r="I144" i="82"/>
  <c r="I143" i="82"/>
  <c r="I142" i="82"/>
  <c r="I141" i="82"/>
  <c r="I140" i="82"/>
  <c r="I139" i="82"/>
  <c r="I138" i="82"/>
  <c r="I137" i="82"/>
  <c r="I136" i="82"/>
  <c r="I135" i="82"/>
  <c r="I134" i="82"/>
  <c r="I133" i="82"/>
  <c r="I132" i="82"/>
  <c r="I131" i="82"/>
  <c r="I130" i="82"/>
  <c r="I129" i="82"/>
  <c r="I128" i="82"/>
  <c r="I127" i="82"/>
  <c r="I126" i="82"/>
  <c r="I125" i="82"/>
  <c r="I124" i="82"/>
  <c r="I123" i="82"/>
  <c r="I122" i="82"/>
  <c r="I121" i="82"/>
  <c r="I120" i="82"/>
  <c r="I119" i="82"/>
  <c r="I118" i="82"/>
  <c r="I117" i="82"/>
  <c r="I116" i="82"/>
  <c r="I115" i="82"/>
  <c r="I114" i="82"/>
  <c r="I113" i="82"/>
  <c r="I112" i="82"/>
  <c r="I111" i="82"/>
  <c r="I110" i="82"/>
  <c r="I109" i="82"/>
  <c r="I108" i="82"/>
  <c r="I107" i="82"/>
  <c r="I106" i="82"/>
  <c r="I105" i="82"/>
  <c r="I104" i="82"/>
  <c r="I103" i="82"/>
  <c r="I102" i="82"/>
  <c r="I101" i="82"/>
  <c r="I100" i="82"/>
  <c r="I99" i="82"/>
  <c r="I98" i="82"/>
  <c r="I97" i="82"/>
  <c r="I96" i="82"/>
  <c r="I95" i="82"/>
  <c r="I94" i="82"/>
  <c r="I93" i="82"/>
  <c r="I92" i="82"/>
  <c r="I91" i="82"/>
  <c r="I90" i="82"/>
  <c r="I89" i="82"/>
  <c r="I88" i="82"/>
  <c r="I87" i="82"/>
  <c r="I86" i="82"/>
  <c r="I85" i="82"/>
  <c r="I84" i="82"/>
  <c r="I83" i="82"/>
  <c r="I82" i="82"/>
  <c r="I81" i="82"/>
  <c r="I80" i="82"/>
  <c r="I79" i="82"/>
  <c r="I78" i="82"/>
  <c r="I77" i="82"/>
  <c r="I76" i="82"/>
  <c r="I75" i="82"/>
  <c r="I74" i="82"/>
  <c r="I73" i="82"/>
  <c r="I72" i="82"/>
  <c r="I71" i="82"/>
  <c r="I70" i="82"/>
  <c r="I69" i="82"/>
  <c r="I68" i="82"/>
  <c r="I67" i="82"/>
  <c r="I66" i="82"/>
  <c r="I65" i="82"/>
  <c r="I64" i="82"/>
  <c r="I63" i="82"/>
  <c r="I62" i="82"/>
  <c r="I61" i="82"/>
  <c r="I60" i="82"/>
  <c r="I59" i="82"/>
  <c r="I58" i="82"/>
  <c r="I57" i="82"/>
  <c r="I56" i="82"/>
  <c r="I55" i="82"/>
  <c r="I54" i="82"/>
  <c r="I53" i="82"/>
  <c r="I52" i="82"/>
  <c r="I51" i="82"/>
  <c r="I50" i="82"/>
  <c r="I49" i="82"/>
  <c r="I48" i="82"/>
  <c r="I47" i="82"/>
  <c r="I46" i="82"/>
  <c r="I45" i="82"/>
  <c r="I44" i="82"/>
  <c r="I43" i="82"/>
  <c r="I42" i="82"/>
  <c r="I41" i="82"/>
  <c r="I40" i="82"/>
  <c r="I39" i="82"/>
  <c r="I38" i="82"/>
  <c r="I37" i="82"/>
  <c r="I36" i="82"/>
  <c r="I35" i="82"/>
  <c r="I34" i="82"/>
  <c r="I33" i="82"/>
  <c r="I32" i="82"/>
  <c r="I31" i="82"/>
  <c r="I30" i="82"/>
  <c r="I29" i="82"/>
  <c r="I28" i="82"/>
  <c r="I27" i="82"/>
  <c r="I26" i="82"/>
  <c r="I25" i="82"/>
  <c r="I24" i="82"/>
  <c r="I23" i="82"/>
  <c r="I22" i="82"/>
  <c r="I21" i="82"/>
  <c r="I20" i="82"/>
  <c r="I19" i="82"/>
  <c r="I18" i="82"/>
  <c r="I17" i="82"/>
  <c r="I16" i="82"/>
  <c r="I15" i="82"/>
  <c r="I14" i="82"/>
  <c r="I13" i="82"/>
  <c r="I12" i="82"/>
  <c r="I11" i="82"/>
  <c r="I10" i="82"/>
  <c r="I9" i="82"/>
  <c r="I8" i="82"/>
  <c r="I7" i="82"/>
  <c r="I6" i="82"/>
  <c r="I5" i="82"/>
  <c r="I4" i="82"/>
  <c r="I3" i="82"/>
  <c r="I2" i="82"/>
  <c r="H1408" i="83"/>
  <c r="I1407" i="83"/>
  <c r="I1406" i="83"/>
  <c r="I1405" i="83"/>
  <c r="I1404" i="83"/>
  <c r="I1403" i="83"/>
  <c r="I1402" i="83"/>
  <c r="I1401" i="83"/>
  <c r="I1400" i="83"/>
  <c r="I1399" i="83"/>
  <c r="I1398" i="83"/>
  <c r="I1397" i="83"/>
  <c r="I1396" i="83"/>
  <c r="I1395" i="83"/>
  <c r="I1394" i="83"/>
  <c r="I1393" i="83"/>
  <c r="I1392" i="83"/>
  <c r="I1391" i="83"/>
  <c r="I1390" i="83"/>
  <c r="I1389" i="83"/>
  <c r="I1388" i="83"/>
  <c r="I1387" i="83"/>
  <c r="I1386" i="83"/>
  <c r="I1385" i="83"/>
  <c r="I1384" i="83"/>
  <c r="I1383" i="83"/>
  <c r="I1382" i="83"/>
  <c r="I1381" i="83"/>
  <c r="I1380" i="83"/>
  <c r="I1379" i="83"/>
  <c r="I1378" i="83"/>
  <c r="I1377" i="83"/>
  <c r="I1376" i="83"/>
  <c r="I1375" i="83"/>
  <c r="I1374" i="83"/>
  <c r="I1373" i="83"/>
  <c r="I1372" i="83"/>
  <c r="I1371" i="83"/>
  <c r="I1370" i="83"/>
  <c r="I1369" i="83"/>
  <c r="I1368" i="83"/>
  <c r="I1367" i="83"/>
  <c r="I1366" i="83"/>
  <c r="I1365" i="83"/>
  <c r="I1364" i="83"/>
  <c r="I1363" i="83"/>
  <c r="I1362" i="83"/>
  <c r="I1361" i="83"/>
  <c r="I1360" i="83"/>
  <c r="I1359" i="83"/>
  <c r="I1358" i="83"/>
  <c r="I1357" i="83"/>
  <c r="I1356" i="83"/>
  <c r="I1355" i="83"/>
  <c r="I1354" i="83"/>
  <c r="I1353" i="83"/>
  <c r="I1352" i="83"/>
  <c r="I1351" i="83"/>
  <c r="I1350" i="83"/>
  <c r="I1349" i="83"/>
  <c r="I1348" i="83"/>
  <c r="I1347" i="83"/>
  <c r="I1346" i="83"/>
  <c r="I1345" i="83"/>
  <c r="I1344" i="83"/>
  <c r="I1343" i="83"/>
  <c r="I1342" i="83"/>
  <c r="I1341" i="83"/>
  <c r="I1340" i="83"/>
  <c r="I1339" i="83"/>
  <c r="I1338" i="83"/>
  <c r="I1337" i="83"/>
  <c r="I1336" i="83"/>
  <c r="I1335" i="83"/>
  <c r="I1334" i="83"/>
  <c r="I1333" i="83"/>
  <c r="I1332" i="83"/>
  <c r="I1331" i="83"/>
  <c r="I1330" i="83"/>
  <c r="I1329" i="83"/>
  <c r="I1328" i="83"/>
  <c r="I1327" i="83"/>
  <c r="I1326" i="83"/>
  <c r="I1325" i="83"/>
  <c r="I1324" i="83"/>
  <c r="I1323" i="83"/>
  <c r="I1322" i="83"/>
  <c r="I1321" i="83"/>
  <c r="I1320" i="83"/>
  <c r="I1319" i="83"/>
  <c r="I1318" i="83"/>
  <c r="I1317" i="83"/>
  <c r="I1316" i="83"/>
  <c r="I1315" i="83"/>
  <c r="I1314" i="83"/>
  <c r="I1313" i="83"/>
  <c r="I1312" i="83"/>
  <c r="I1311" i="83"/>
  <c r="I1310" i="83"/>
  <c r="I1309" i="83"/>
  <c r="I1308" i="83"/>
  <c r="I1307" i="83"/>
  <c r="I1306" i="83"/>
  <c r="I1305" i="83"/>
  <c r="I1304" i="83"/>
  <c r="I1303" i="83"/>
  <c r="I1302" i="83"/>
  <c r="I1301" i="83"/>
  <c r="I1300" i="83"/>
  <c r="I1299" i="83"/>
  <c r="I1298" i="83"/>
  <c r="I1297" i="83"/>
  <c r="I1296" i="83"/>
  <c r="I1295" i="83"/>
  <c r="I1294" i="83"/>
  <c r="I1293" i="83"/>
  <c r="I1292" i="83"/>
  <c r="I1291" i="83"/>
  <c r="I1290" i="83"/>
  <c r="I1289" i="83"/>
  <c r="I1288" i="83"/>
  <c r="I1287" i="83"/>
  <c r="I1286" i="83"/>
  <c r="I1285" i="83"/>
  <c r="I1284" i="83"/>
  <c r="I1283" i="83"/>
  <c r="I1282" i="83"/>
  <c r="I1281" i="83"/>
  <c r="I1280" i="83"/>
  <c r="I1279" i="83"/>
  <c r="I1278" i="83"/>
  <c r="I1277" i="83"/>
  <c r="I1276" i="83"/>
  <c r="I1275" i="83"/>
  <c r="I1274" i="83"/>
  <c r="I1273" i="83"/>
  <c r="I1272" i="83"/>
  <c r="I1271" i="83"/>
  <c r="I1270" i="83"/>
  <c r="I1269" i="83"/>
  <c r="I1268" i="83"/>
  <c r="I1267" i="83"/>
  <c r="I1266" i="83"/>
  <c r="I1265" i="83"/>
  <c r="I1264" i="83"/>
  <c r="I1263" i="83"/>
  <c r="I1262" i="83"/>
  <c r="I1261" i="83"/>
  <c r="I1260" i="83"/>
  <c r="I1259" i="83"/>
  <c r="I1258" i="83"/>
  <c r="I1257" i="83"/>
  <c r="I1256" i="83"/>
  <c r="I1255" i="83"/>
  <c r="I1254" i="83"/>
  <c r="I1253" i="83"/>
  <c r="I1252" i="83"/>
  <c r="I1251" i="83"/>
  <c r="I1250" i="83"/>
  <c r="I1249" i="83"/>
  <c r="I1248" i="83"/>
  <c r="I1247" i="83"/>
  <c r="I1246" i="83"/>
  <c r="I1245" i="83"/>
  <c r="I1244" i="83"/>
  <c r="I1243" i="83"/>
  <c r="I1242" i="83"/>
  <c r="I1241" i="83"/>
  <c r="I1240" i="83"/>
  <c r="I1239" i="83"/>
  <c r="I1238" i="83"/>
  <c r="I1237" i="83"/>
  <c r="I1236" i="83"/>
  <c r="I1235" i="83"/>
  <c r="I1234" i="83"/>
  <c r="I1233" i="83"/>
  <c r="I1232" i="83"/>
  <c r="I1231" i="83"/>
  <c r="I1230" i="83"/>
  <c r="I1229" i="83"/>
  <c r="I1228" i="83"/>
  <c r="I1227" i="83"/>
  <c r="I1226" i="83"/>
  <c r="I1225" i="83"/>
  <c r="I1224" i="83"/>
  <c r="I1223" i="83"/>
  <c r="I1222" i="83"/>
  <c r="I1221" i="83"/>
  <c r="I1220" i="83"/>
  <c r="I1219" i="83"/>
  <c r="I1218" i="83"/>
  <c r="I1217" i="83"/>
  <c r="I1216" i="83"/>
  <c r="I1215" i="83"/>
  <c r="I1214" i="83"/>
  <c r="I1213" i="83"/>
  <c r="I1212" i="83"/>
  <c r="I1211" i="83"/>
  <c r="I1210" i="83"/>
  <c r="I1209" i="83"/>
  <c r="I1208" i="83"/>
  <c r="I1207" i="83"/>
  <c r="I1206" i="83"/>
  <c r="I1205" i="83"/>
  <c r="I1204" i="83"/>
  <c r="I1203" i="83"/>
  <c r="I1202" i="83"/>
  <c r="I1201" i="83"/>
  <c r="I1200" i="83"/>
  <c r="I1199" i="83"/>
  <c r="I1198" i="83"/>
  <c r="I1197" i="83"/>
  <c r="I1196" i="83"/>
  <c r="I1195" i="83"/>
  <c r="I1194" i="83"/>
  <c r="I1193" i="83"/>
  <c r="I1192" i="83"/>
  <c r="I1191" i="83"/>
  <c r="I1190" i="83"/>
  <c r="I1189" i="83"/>
  <c r="I1188" i="83"/>
  <c r="I1187" i="83"/>
  <c r="I1186" i="83"/>
  <c r="I1185" i="83"/>
  <c r="I1184" i="83"/>
  <c r="I1183" i="83"/>
  <c r="I1182" i="83"/>
  <c r="I1181" i="83"/>
  <c r="I1180" i="83"/>
  <c r="I1179" i="83"/>
  <c r="I1178" i="83"/>
  <c r="I1177" i="83"/>
  <c r="I1176" i="83"/>
  <c r="I1175" i="83"/>
  <c r="I1174" i="83"/>
  <c r="I1173" i="83"/>
  <c r="I1172" i="83"/>
  <c r="I1171" i="83"/>
  <c r="I1170" i="83"/>
  <c r="I1169" i="83"/>
  <c r="I1168" i="83"/>
  <c r="I1167" i="83"/>
  <c r="I1166" i="83"/>
  <c r="I1165" i="83"/>
  <c r="I1164" i="83"/>
  <c r="I1163" i="83"/>
  <c r="I1162" i="83"/>
  <c r="I1161" i="83"/>
  <c r="I1160" i="83"/>
  <c r="I1159" i="83"/>
  <c r="I1158" i="83"/>
  <c r="I1157" i="83"/>
  <c r="I1156" i="83"/>
  <c r="I1155" i="83"/>
  <c r="I1154" i="83"/>
  <c r="I1153" i="83"/>
  <c r="I1152" i="83"/>
  <c r="I1151" i="83"/>
  <c r="I1150" i="83"/>
  <c r="I1149" i="83"/>
  <c r="I1148" i="83"/>
  <c r="I1147" i="83"/>
  <c r="I1146" i="83"/>
  <c r="I1145" i="83"/>
  <c r="I1144" i="83"/>
  <c r="I1143" i="83"/>
  <c r="I1142" i="83"/>
  <c r="I1141" i="83"/>
  <c r="I1140" i="83"/>
  <c r="I1139" i="83"/>
  <c r="I1138" i="83"/>
  <c r="I1137" i="83"/>
  <c r="I1136" i="83"/>
  <c r="I1135" i="83"/>
  <c r="I1134" i="83"/>
  <c r="I1133" i="83"/>
  <c r="I1132" i="83"/>
  <c r="I1131" i="83"/>
  <c r="I1130" i="83"/>
  <c r="I1129" i="83"/>
  <c r="I1128" i="83"/>
  <c r="I1127" i="83"/>
  <c r="I1126" i="83"/>
  <c r="I1125" i="83"/>
  <c r="I1124" i="83"/>
  <c r="I1123" i="83"/>
  <c r="I1122" i="83"/>
  <c r="I1121" i="83"/>
  <c r="I1120" i="83"/>
  <c r="I1119" i="83"/>
  <c r="I1118" i="83"/>
  <c r="I1117" i="83"/>
  <c r="I1116" i="83"/>
  <c r="I1115" i="83"/>
  <c r="I1114" i="83"/>
  <c r="I1113" i="83"/>
  <c r="I1112" i="83"/>
  <c r="I1111" i="83"/>
  <c r="I1110" i="83"/>
  <c r="I1109" i="83"/>
  <c r="I1108" i="83"/>
  <c r="I1107" i="83"/>
  <c r="I1106" i="83"/>
  <c r="I1105" i="83"/>
  <c r="I1104" i="83"/>
  <c r="I1103" i="83"/>
  <c r="I1102" i="83"/>
  <c r="I1101" i="83"/>
  <c r="I1100" i="83"/>
  <c r="I1099" i="83"/>
  <c r="I1098" i="83"/>
  <c r="I1097" i="83"/>
  <c r="I1096" i="83"/>
  <c r="I1095" i="83"/>
  <c r="I1094" i="83"/>
  <c r="I1093" i="83"/>
  <c r="I1092" i="83"/>
  <c r="I1091" i="83"/>
  <c r="I1090" i="83"/>
  <c r="I1089" i="83"/>
  <c r="I1088" i="83"/>
  <c r="I1087" i="83"/>
  <c r="I1086" i="83"/>
  <c r="I1085" i="83"/>
  <c r="I1084" i="83"/>
  <c r="I1083" i="83"/>
  <c r="I1082" i="83"/>
  <c r="I1081" i="83"/>
  <c r="I1080" i="83"/>
  <c r="I1079" i="83"/>
  <c r="I1078" i="83"/>
  <c r="I1077" i="83"/>
  <c r="I1076" i="83"/>
  <c r="I1075" i="83"/>
  <c r="I1074" i="83"/>
  <c r="I1073" i="83"/>
  <c r="I1072" i="83"/>
  <c r="I1071" i="83"/>
  <c r="I1070" i="83"/>
  <c r="I1069" i="83"/>
  <c r="I1068" i="83"/>
  <c r="I1067" i="83"/>
  <c r="I1066" i="83"/>
  <c r="I1065" i="83"/>
  <c r="I1064" i="83"/>
  <c r="I1063" i="83"/>
  <c r="I1062" i="83"/>
  <c r="I1061" i="83"/>
  <c r="I1060" i="83"/>
  <c r="I1059" i="83"/>
  <c r="I1058" i="83"/>
  <c r="I1057" i="83"/>
  <c r="I1056" i="83"/>
  <c r="I1055" i="83"/>
  <c r="I1054" i="83"/>
  <c r="I1053" i="83"/>
  <c r="I1052" i="83"/>
  <c r="I1051" i="83"/>
  <c r="I1050" i="83"/>
  <c r="I1049" i="83"/>
  <c r="I1048" i="83"/>
  <c r="I1047" i="83"/>
  <c r="I1046" i="83"/>
  <c r="I1045" i="83"/>
  <c r="I1044" i="83"/>
  <c r="I1043" i="83"/>
  <c r="I1042" i="83"/>
  <c r="I1041" i="83"/>
  <c r="I1040" i="83"/>
  <c r="I1039" i="83"/>
  <c r="I1038" i="83"/>
  <c r="I1037" i="83"/>
  <c r="I1036" i="83"/>
  <c r="I1035" i="83"/>
  <c r="I1034" i="83"/>
  <c r="I1033" i="83"/>
  <c r="I1032" i="83"/>
  <c r="I1031" i="83"/>
  <c r="I1030" i="83"/>
  <c r="I1029" i="83"/>
  <c r="I1028" i="83"/>
  <c r="I1027" i="83"/>
  <c r="I1026" i="83"/>
  <c r="I1025" i="83"/>
  <c r="I1024" i="83"/>
  <c r="I1023" i="83"/>
  <c r="I1022" i="83"/>
  <c r="I1021" i="83"/>
  <c r="I1020" i="83"/>
  <c r="I1019" i="83"/>
  <c r="I1018" i="83"/>
  <c r="I1017" i="83"/>
  <c r="I1016" i="83"/>
  <c r="I1015" i="83"/>
  <c r="I1014" i="83"/>
  <c r="I1013" i="83"/>
  <c r="I1012" i="83"/>
  <c r="I1011" i="83"/>
  <c r="I1010" i="83"/>
  <c r="I1009" i="83"/>
  <c r="I1008" i="83"/>
  <c r="I1007" i="83"/>
  <c r="I1006" i="83"/>
  <c r="I1005" i="83"/>
  <c r="I1004" i="83"/>
  <c r="I1003" i="83"/>
  <c r="I1002" i="83"/>
  <c r="I1001" i="83"/>
  <c r="I1000" i="83"/>
  <c r="I999" i="83"/>
  <c r="I998" i="83"/>
  <c r="I997" i="83"/>
  <c r="I996" i="83"/>
  <c r="I995" i="83"/>
  <c r="I994" i="83"/>
  <c r="I993" i="83"/>
  <c r="I992" i="83"/>
  <c r="I991" i="83"/>
  <c r="I990" i="83"/>
  <c r="I989" i="83"/>
  <c r="I988" i="83"/>
  <c r="I987" i="83"/>
  <c r="I986" i="83"/>
  <c r="I985" i="83"/>
  <c r="I984" i="83"/>
  <c r="I983" i="83"/>
  <c r="I982" i="83"/>
  <c r="I981" i="83"/>
  <c r="I980" i="83"/>
  <c r="I979" i="83"/>
  <c r="I978" i="83"/>
  <c r="I977" i="83"/>
  <c r="I976" i="83"/>
  <c r="I975" i="83"/>
  <c r="I974" i="83"/>
  <c r="I973" i="83"/>
  <c r="I972" i="83"/>
  <c r="I971" i="83"/>
  <c r="I970" i="83"/>
  <c r="I969" i="83"/>
  <c r="I968" i="83"/>
  <c r="I967" i="83"/>
  <c r="I966" i="83"/>
  <c r="I965" i="83"/>
  <c r="I964" i="83"/>
  <c r="I963" i="83"/>
  <c r="I962" i="83"/>
  <c r="I961" i="83"/>
  <c r="I960" i="83"/>
  <c r="I959" i="83"/>
  <c r="I958" i="83"/>
  <c r="I957" i="83"/>
  <c r="I956" i="83"/>
  <c r="I955" i="83"/>
  <c r="I954" i="83"/>
  <c r="I953" i="83"/>
  <c r="I952" i="83"/>
  <c r="I951" i="83"/>
  <c r="I950" i="83"/>
  <c r="I949" i="83"/>
  <c r="I948" i="83"/>
  <c r="I947" i="83"/>
  <c r="I946" i="83"/>
  <c r="I945" i="83"/>
  <c r="I944" i="83"/>
  <c r="I943" i="83"/>
  <c r="I942" i="83"/>
  <c r="I941" i="83"/>
  <c r="I940" i="83"/>
  <c r="I939" i="83"/>
  <c r="I938" i="83"/>
  <c r="I937" i="83"/>
  <c r="I936" i="83"/>
  <c r="I935" i="83"/>
  <c r="I934" i="83"/>
  <c r="I933" i="83"/>
  <c r="I932" i="83"/>
  <c r="I931" i="83"/>
  <c r="I930" i="83"/>
  <c r="I929" i="83"/>
  <c r="I928" i="83"/>
  <c r="I927" i="83"/>
  <c r="I926" i="83"/>
  <c r="I925" i="83"/>
  <c r="I924" i="83"/>
  <c r="I923" i="83"/>
  <c r="I922" i="83"/>
  <c r="I921" i="83"/>
  <c r="I920" i="83"/>
  <c r="I919" i="83"/>
  <c r="I918" i="83"/>
  <c r="I917" i="83"/>
  <c r="I916" i="83"/>
  <c r="I915" i="83"/>
  <c r="I914" i="83"/>
  <c r="I913" i="83"/>
  <c r="I912" i="83"/>
  <c r="I911" i="83"/>
  <c r="I910" i="83"/>
  <c r="I909" i="83"/>
  <c r="I908" i="83"/>
  <c r="I907" i="83"/>
  <c r="I906" i="83"/>
  <c r="I905" i="83"/>
  <c r="I904" i="83"/>
  <c r="I903" i="83"/>
  <c r="I902" i="83"/>
  <c r="I901" i="83"/>
  <c r="I900" i="83"/>
  <c r="I899" i="83"/>
  <c r="I898" i="83"/>
  <c r="I897" i="83"/>
  <c r="I896" i="83"/>
  <c r="I895" i="83"/>
  <c r="I894" i="83"/>
  <c r="I893" i="83"/>
  <c r="I892" i="83"/>
  <c r="I891" i="83"/>
  <c r="I890" i="83"/>
  <c r="I889" i="83"/>
  <c r="I888" i="83"/>
  <c r="I887" i="83"/>
  <c r="I886" i="83"/>
  <c r="I885" i="83"/>
  <c r="I884" i="83"/>
  <c r="I883" i="83"/>
  <c r="I882" i="83"/>
  <c r="I881" i="83"/>
  <c r="I880" i="83"/>
  <c r="I879" i="83"/>
  <c r="I878" i="83"/>
  <c r="I877" i="83"/>
  <c r="I876" i="83"/>
  <c r="I875" i="83"/>
  <c r="I874" i="83"/>
  <c r="I873" i="83"/>
  <c r="I872" i="83"/>
  <c r="I871" i="83"/>
  <c r="I870" i="83"/>
  <c r="I869" i="83"/>
  <c r="I868" i="83"/>
  <c r="I867" i="83"/>
  <c r="I866" i="83"/>
  <c r="I865" i="83"/>
  <c r="I864" i="83"/>
  <c r="I863" i="83"/>
  <c r="I862" i="83"/>
  <c r="I861" i="83"/>
  <c r="I860" i="83"/>
  <c r="I859" i="83"/>
  <c r="I858" i="83"/>
  <c r="I857" i="83"/>
  <c r="I856" i="83"/>
  <c r="I855" i="83"/>
  <c r="I854" i="83"/>
  <c r="I853" i="83"/>
  <c r="I852" i="83"/>
  <c r="I851" i="83"/>
  <c r="I850" i="83"/>
  <c r="I849" i="83"/>
  <c r="I848" i="83"/>
  <c r="I847" i="83"/>
  <c r="I846" i="83"/>
  <c r="I845" i="83"/>
  <c r="I844" i="83"/>
  <c r="I843" i="83"/>
  <c r="I842" i="83"/>
  <c r="I841" i="83"/>
  <c r="I840" i="83"/>
  <c r="I839" i="83"/>
  <c r="I838" i="83"/>
  <c r="I837" i="83"/>
  <c r="I836" i="83"/>
  <c r="I835" i="83"/>
  <c r="I834" i="83"/>
  <c r="I833" i="83"/>
  <c r="I832" i="83"/>
  <c r="I831" i="83"/>
  <c r="I830" i="83"/>
  <c r="I829" i="83"/>
  <c r="I828" i="83"/>
  <c r="I827" i="83"/>
  <c r="I826" i="83"/>
  <c r="I825" i="83"/>
  <c r="I824" i="83"/>
  <c r="I823" i="83"/>
  <c r="I822" i="83"/>
  <c r="I821" i="83"/>
  <c r="I820" i="83"/>
  <c r="I819" i="83"/>
  <c r="I818" i="83"/>
  <c r="I817" i="83"/>
  <c r="I816" i="83"/>
  <c r="I815" i="83"/>
  <c r="I814" i="83"/>
  <c r="I813" i="83"/>
  <c r="I812" i="83"/>
  <c r="I811" i="83"/>
  <c r="I810" i="83"/>
  <c r="I809" i="83"/>
  <c r="I808" i="83"/>
  <c r="I807" i="83"/>
  <c r="I806" i="83"/>
  <c r="I805" i="83"/>
  <c r="I804" i="83"/>
  <c r="I803" i="83"/>
  <c r="I802" i="83"/>
  <c r="I801" i="83"/>
  <c r="I800" i="83"/>
  <c r="I799" i="83"/>
  <c r="I798" i="83"/>
  <c r="I797" i="83"/>
  <c r="I796" i="83"/>
  <c r="I795" i="83"/>
  <c r="I794" i="83"/>
  <c r="I793" i="83"/>
  <c r="I792" i="83"/>
  <c r="I791" i="83"/>
  <c r="I790" i="83"/>
  <c r="I789" i="83"/>
  <c r="I788" i="83"/>
  <c r="I787" i="83"/>
  <c r="I786" i="83"/>
  <c r="I785" i="83"/>
  <c r="I784" i="83"/>
  <c r="I783" i="83"/>
  <c r="I782" i="83"/>
  <c r="I781" i="83"/>
  <c r="I780" i="83"/>
  <c r="I779" i="83"/>
  <c r="I778" i="83"/>
  <c r="I777" i="83"/>
  <c r="I776" i="83"/>
  <c r="I775" i="83"/>
  <c r="I774" i="83"/>
  <c r="I773" i="83"/>
  <c r="I772" i="83"/>
  <c r="I771" i="83"/>
  <c r="I770" i="83"/>
  <c r="I769" i="83"/>
  <c r="I768" i="83"/>
  <c r="I767" i="83"/>
  <c r="I766" i="83"/>
  <c r="I765" i="83"/>
  <c r="I764" i="83"/>
  <c r="I763" i="83"/>
  <c r="I762" i="83"/>
  <c r="I761" i="83"/>
  <c r="I760" i="83"/>
  <c r="I759" i="83"/>
  <c r="I758" i="83"/>
  <c r="I757" i="83"/>
  <c r="I756" i="83"/>
  <c r="I755" i="83"/>
  <c r="I754" i="83"/>
  <c r="I753" i="83"/>
  <c r="I752" i="83"/>
  <c r="I751" i="83"/>
  <c r="I750" i="83"/>
  <c r="I749" i="83"/>
  <c r="I748" i="83"/>
  <c r="I747" i="83"/>
  <c r="I746" i="83"/>
  <c r="I745" i="83"/>
  <c r="I744" i="83"/>
  <c r="I743" i="83"/>
  <c r="I742" i="83"/>
  <c r="I741" i="83"/>
  <c r="I740" i="83"/>
  <c r="I739" i="83"/>
  <c r="I738" i="83"/>
  <c r="I737" i="83"/>
  <c r="I736" i="83"/>
  <c r="I735" i="83"/>
  <c r="I734" i="83"/>
  <c r="I733" i="83"/>
  <c r="I732" i="83"/>
  <c r="I731" i="83"/>
  <c r="I730" i="83"/>
  <c r="I729" i="83"/>
  <c r="I728" i="83"/>
  <c r="I727" i="83"/>
  <c r="I726" i="83"/>
  <c r="I725" i="83"/>
  <c r="I724" i="83"/>
  <c r="I723" i="83"/>
  <c r="I722" i="83"/>
  <c r="I721" i="83"/>
  <c r="I720" i="83"/>
  <c r="I719" i="83"/>
  <c r="I718" i="83"/>
  <c r="I717" i="83"/>
  <c r="I716" i="83"/>
  <c r="I715" i="83"/>
  <c r="I714" i="83"/>
  <c r="I713" i="83"/>
  <c r="I712" i="83"/>
  <c r="I711" i="83"/>
  <c r="I710" i="83"/>
  <c r="I709" i="83"/>
  <c r="I708" i="83"/>
  <c r="I707" i="83"/>
  <c r="I706" i="83"/>
  <c r="I705" i="83"/>
  <c r="I704" i="83"/>
  <c r="I703" i="83"/>
  <c r="I702" i="83"/>
  <c r="I701" i="83"/>
  <c r="I700" i="83"/>
  <c r="I699" i="83"/>
  <c r="I698" i="83"/>
  <c r="I697" i="83"/>
  <c r="I696" i="83"/>
  <c r="I695" i="83"/>
  <c r="I694" i="83"/>
  <c r="I693" i="83"/>
  <c r="I692" i="83"/>
  <c r="I691" i="83"/>
  <c r="I690" i="83"/>
  <c r="I689" i="83"/>
  <c r="I688" i="83"/>
  <c r="I687" i="83"/>
  <c r="I686" i="83"/>
  <c r="I685" i="83"/>
  <c r="I684" i="83"/>
  <c r="I683" i="83"/>
  <c r="I682" i="83"/>
  <c r="I681" i="83"/>
  <c r="I680" i="83"/>
  <c r="I679" i="83"/>
  <c r="I678" i="83"/>
  <c r="I677" i="83"/>
  <c r="I676" i="83"/>
  <c r="I675" i="83"/>
  <c r="I674" i="83"/>
  <c r="I673" i="83"/>
  <c r="I672" i="83"/>
  <c r="I671" i="83"/>
  <c r="I670" i="83"/>
  <c r="I669" i="83"/>
  <c r="I668" i="83"/>
  <c r="I667" i="83"/>
  <c r="I666" i="83"/>
  <c r="I665" i="83"/>
  <c r="I664" i="83"/>
  <c r="I663" i="83"/>
  <c r="I662" i="83"/>
  <c r="I661" i="83"/>
  <c r="I660" i="83"/>
  <c r="I659" i="83"/>
  <c r="I658" i="83"/>
  <c r="I657" i="83"/>
  <c r="I656" i="83"/>
  <c r="I655" i="83"/>
  <c r="I654" i="83"/>
  <c r="I653" i="83"/>
  <c r="I652" i="83"/>
  <c r="I651" i="83"/>
  <c r="I650" i="83"/>
  <c r="I649" i="83"/>
  <c r="I648" i="83"/>
  <c r="I647" i="83"/>
  <c r="I646" i="83"/>
  <c r="I645" i="83"/>
  <c r="I644" i="83"/>
  <c r="I643" i="83"/>
  <c r="I642" i="83"/>
  <c r="I641" i="83"/>
  <c r="I640" i="83"/>
  <c r="I639" i="83"/>
  <c r="I638" i="83"/>
  <c r="I637" i="83"/>
  <c r="I636" i="83"/>
  <c r="I635" i="83"/>
  <c r="I634" i="83"/>
  <c r="I633" i="83"/>
  <c r="I632" i="83"/>
  <c r="I631" i="83"/>
  <c r="I630" i="83"/>
  <c r="I629" i="83"/>
  <c r="I628" i="83"/>
  <c r="I627" i="83"/>
  <c r="I626" i="83"/>
  <c r="I625" i="83"/>
  <c r="I624" i="83"/>
  <c r="I623" i="83"/>
  <c r="I622" i="83"/>
  <c r="I621" i="83"/>
  <c r="I620" i="83"/>
  <c r="I619" i="83"/>
  <c r="I618" i="83"/>
  <c r="I617" i="83"/>
  <c r="I616" i="83"/>
  <c r="I615" i="83"/>
  <c r="I614" i="83"/>
  <c r="I613" i="83"/>
  <c r="I612" i="83"/>
  <c r="I611" i="83"/>
  <c r="I610" i="83"/>
  <c r="I609" i="83"/>
  <c r="I608" i="83"/>
  <c r="I607" i="83"/>
  <c r="I606" i="83"/>
  <c r="I605" i="83"/>
  <c r="I604" i="83"/>
  <c r="I603" i="83"/>
  <c r="I602" i="83"/>
  <c r="I601" i="83"/>
  <c r="I600" i="83"/>
  <c r="I599" i="83"/>
  <c r="I598" i="83"/>
  <c r="I597" i="83"/>
  <c r="I596" i="83"/>
  <c r="I595" i="83"/>
  <c r="I594" i="83"/>
  <c r="I593" i="83"/>
  <c r="I592" i="83"/>
  <c r="I591" i="83"/>
  <c r="I590" i="83"/>
  <c r="I589" i="83"/>
  <c r="I588" i="83"/>
  <c r="I587" i="83"/>
  <c r="I586" i="83"/>
  <c r="I585" i="83"/>
  <c r="I584" i="83"/>
  <c r="I583" i="83"/>
  <c r="I582" i="83"/>
  <c r="I581" i="83"/>
  <c r="I580" i="83"/>
  <c r="I579" i="83"/>
  <c r="I578" i="83"/>
  <c r="I577" i="83"/>
  <c r="I576" i="83"/>
  <c r="I575" i="83"/>
  <c r="I574" i="83"/>
  <c r="I573" i="83"/>
  <c r="I572" i="83"/>
  <c r="I571" i="83"/>
  <c r="I570" i="83"/>
  <c r="I569" i="83"/>
  <c r="I568" i="83"/>
  <c r="I567" i="83"/>
  <c r="I566" i="83"/>
  <c r="I565" i="83"/>
  <c r="I564" i="83"/>
  <c r="I563" i="83"/>
  <c r="I562" i="83"/>
  <c r="I561" i="83"/>
  <c r="I560" i="83"/>
  <c r="I559" i="83"/>
  <c r="I558" i="83"/>
  <c r="I557" i="83"/>
  <c r="I556" i="83"/>
  <c r="I555" i="83"/>
  <c r="I554" i="83"/>
  <c r="I553" i="83"/>
  <c r="I552" i="83"/>
  <c r="I551" i="83"/>
  <c r="I550" i="83"/>
  <c r="I549" i="83"/>
  <c r="I548" i="83"/>
  <c r="I547" i="83"/>
  <c r="I546" i="83"/>
  <c r="I545" i="83"/>
  <c r="I544" i="83"/>
  <c r="I543" i="83"/>
  <c r="I542" i="83"/>
  <c r="I541" i="83"/>
  <c r="I540" i="83"/>
  <c r="I539" i="83"/>
  <c r="I538" i="83"/>
  <c r="I537" i="83"/>
  <c r="I536" i="83"/>
  <c r="I535" i="83"/>
  <c r="I534" i="83"/>
  <c r="I533" i="83"/>
  <c r="I532" i="83"/>
  <c r="I531" i="83"/>
  <c r="I530" i="83"/>
  <c r="I529" i="83"/>
  <c r="I528" i="83"/>
  <c r="I527" i="83"/>
  <c r="I526" i="83"/>
  <c r="I525" i="83"/>
  <c r="I524" i="83"/>
  <c r="I523" i="83"/>
  <c r="I522" i="83"/>
  <c r="I521" i="83"/>
  <c r="I520" i="83"/>
  <c r="I519" i="83"/>
  <c r="I518" i="83"/>
  <c r="I517" i="83"/>
  <c r="I516" i="83"/>
  <c r="I515" i="83"/>
  <c r="I514" i="83"/>
  <c r="I513" i="83"/>
  <c r="I512" i="83"/>
  <c r="I511" i="83"/>
  <c r="I510" i="83"/>
  <c r="I509" i="83"/>
  <c r="I508" i="83"/>
  <c r="I507" i="83"/>
  <c r="I506" i="83"/>
  <c r="I505" i="83"/>
  <c r="I504" i="83"/>
  <c r="I503" i="83"/>
  <c r="I502" i="83"/>
  <c r="I501" i="83"/>
  <c r="I500" i="83"/>
  <c r="I499" i="83"/>
  <c r="I498" i="83"/>
  <c r="I497" i="83"/>
  <c r="I496" i="83"/>
  <c r="I495" i="83"/>
  <c r="I494" i="83"/>
  <c r="I493" i="83"/>
  <c r="I492" i="83"/>
  <c r="I491" i="83"/>
  <c r="I490" i="83"/>
  <c r="I489" i="83"/>
  <c r="I488" i="83"/>
  <c r="I487" i="83"/>
  <c r="I486" i="83"/>
  <c r="I485" i="83"/>
  <c r="I484" i="83"/>
  <c r="I483" i="83"/>
  <c r="I482" i="83"/>
  <c r="I481" i="83"/>
  <c r="I480" i="83"/>
  <c r="I479" i="83"/>
  <c r="I478" i="83"/>
  <c r="I477" i="83"/>
  <c r="I476" i="83"/>
  <c r="I475" i="83"/>
  <c r="I474" i="83"/>
  <c r="I473" i="83"/>
  <c r="I472" i="83"/>
  <c r="I471" i="83"/>
  <c r="I470" i="83"/>
  <c r="I469" i="83"/>
  <c r="I468" i="83"/>
  <c r="I467" i="83"/>
  <c r="I466" i="83"/>
  <c r="I465" i="83"/>
  <c r="I464" i="83"/>
  <c r="I463" i="83"/>
  <c r="I462" i="83"/>
  <c r="I461" i="83"/>
  <c r="I460" i="83"/>
  <c r="I459" i="83"/>
  <c r="I458" i="83"/>
  <c r="I457" i="83"/>
  <c r="I456" i="83"/>
  <c r="I455" i="83"/>
  <c r="I454" i="83"/>
  <c r="I453" i="83"/>
  <c r="I452" i="83"/>
  <c r="I451" i="83"/>
  <c r="I450" i="83"/>
  <c r="I449" i="83"/>
  <c r="I448" i="83"/>
  <c r="I447" i="83"/>
  <c r="I446" i="83"/>
  <c r="I445" i="83"/>
  <c r="I444" i="83"/>
  <c r="I443" i="83"/>
  <c r="I442" i="83"/>
  <c r="I441" i="83"/>
  <c r="I440" i="83"/>
  <c r="I439" i="83"/>
  <c r="I438" i="83"/>
  <c r="I437" i="83"/>
  <c r="I436" i="83"/>
  <c r="I435" i="83"/>
  <c r="I434" i="83"/>
  <c r="I433" i="83"/>
  <c r="I432" i="83"/>
  <c r="I431" i="83"/>
  <c r="I430" i="83"/>
  <c r="I429" i="83"/>
  <c r="I428" i="83"/>
  <c r="I427" i="83"/>
  <c r="I426" i="83"/>
  <c r="I425" i="83"/>
  <c r="I424" i="83"/>
  <c r="I423" i="83"/>
  <c r="I422" i="83"/>
  <c r="I421" i="83"/>
  <c r="I420" i="83"/>
  <c r="I419" i="83"/>
  <c r="I418" i="83"/>
  <c r="I417" i="83"/>
  <c r="I416" i="83"/>
  <c r="I415" i="83"/>
  <c r="I414" i="83"/>
  <c r="I413" i="83"/>
  <c r="I412" i="83"/>
  <c r="I411" i="83"/>
  <c r="I410" i="83"/>
  <c r="I409" i="83"/>
  <c r="I408" i="83"/>
  <c r="I407" i="83"/>
  <c r="I406" i="83"/>
  <c r="I405" i="83"/>
  <c r="I404" i="83"/>
  <c r="I403" i="83"/>
  <c r="I402" i="83"/>
  <c r="I401" i="83"/>
  <c r="I400" i="83"/>
  <c r="I399" i="83"/>
  <c r="I398" i="83"/>
  <c r="I397" i="83"/>
  <c r="I396" i="83"/>
  <c r="I395" i="83"/>
  <c r="I394" i="83"/>
  <c r="I393" i="83"/>
  <c r="I392" i="83"/>
  <c r="I391" i="83"/>
  <c r="I390" i="83"/>
  <c r="I389" i="83"/>
  <c r="I388" i="83"/>
  <c r="I387" i="83"/>
  <c r="I386" i="83"/>
  <c r="I385" i="83"/>
  <c r="I384" i="83"/>
  <c r="I383" i="83"/>
  <c r="I382" i="83"/>
  <c r="I381" i="83"/>
  <c r="I380" i="83"/>
  <c r="I379" i="83"/>
  <c r="I378" i="83"/>
  <c r="I377" i="83"/>
  <c r="I376" i="83"/>
  <c r="I375" i="83"/>
  <c r="I374" i="83"/>
  <c r="I373" i="83"/>
  <c r="I372" i="83"/>
  <c r="I371" i="83"/>
  <c r="I370" i="83"/>
  <c r="I369" i="83"/>
  <c r="I368" i="83"/>
  <c r="I367" i="83"/>
  <c r="I366" i="83"/>
  <c r="I365" i="83"/>
  <c r="I364" i="83"/>
  <c r="I363" i="83"/>
  <c r="I362" i="83"/>
  <c r="I361" i="83"/>
  <c r="I360" i="83"/>
  <c r="I359" i="83"/>
  <c r="I358" i="83"/>
  <c r="I357" i="83"/>
  <c r="I356" i="83"/>
  <c r="I355" i="83"/>
  <c r="I354" i="83"/>
  <c r="I353" i="83"/>
  <c r="I352" i="83"/>
  <c r="I351" i="83"/>
  <c r="I350" i="83"/>
  <c r="I349" i="83"/>
  <c r="I348" i="83"/>
  <c r="I347" i="83"/>
  <c r="I346" i="83"/>
  <c r="I345" i="83"/>
  <c r="I344" i="83"/>
  <c r="I343" i="83"/>
  <c r="I342" i="83"/>
  <c r="I341" i="83"/>
  <c r="I340" i="83"/>
  <c r="I339" i="83"/>
  <c r="I338" i="83"/>
  <c r="I337" i="83"/>
  <c r="I336" i="83"/>
  <c r="I335" i="83"/>
  <c r="I334" i="83"/>
  <c r="I333" i="83"/>
  <c r="I332" i="83"/>
  <c r="I331" i="83"/>
  <c r="I330" i="83"/>
  <c r="I329" i="83"/>
  <c r="I328" i="83"/>
  <c r="I327" i="83"/>
  <c r="I326" i="83"/>
  <c r="I325" i="83"/>
  <c r="I324" i="83"/>
  <c r="I323" i="83"/>
  <c r="I322" i="83"/>
  <c r="I321" i="83"/>
  <c r="I320" i="83"/>
  <c r="I319" i="83"/>
  <c r="I318" i="83"/>
  <c r="I317" i="83"/>
  <c r="I316" i="83"/>
  <c r="I315" i="83"/>
  <c r="I314" i="83"/>
  <c r="I313" i="83"/>
  <c r="I312" i="83"/>
  <c r="I311" i="83"/>
  <c r="I310" i="83"/>
  <c r="I309" i="83"/>
  <c r="I308" i="83"/>
  <c r="I307" i="83"/>
  <c r="I306" i="83"/>
  <c r="I305" i="83"/>
  <c r="I304" i="83"/>
  <c r="I303" i="83"/>
  <c r="I302" i="83"/>
  <c r="I301" i="83"/>
  <c r="I300" i="83"/>
  <c r="I299" i="83"/>
  <c r="I298" i="83"/>
  <c r="I297" i="83"/>
  <c r="I296" i="83"/>
  <c r="I295" i="83"/>
  <c r="I294" i="83"/>
  <c r="I293" i="83"/>
  <c r="I292" i="83"/>
  <c r="I291" i="83"/>
  <c r="I290" i="83"/>
  <c r="I289" i="83"/>
  <c r="I288" i="83"/>
  <c r="I287" i="83"/>
  <c r="I286" i="83"/>
  <c r="I285" i="83"/>
  <c r="I284" i="83"/>
  <c r="I283" i="83"/>
  <c r="I282" i="83"/>
  <c r="I281" i="83"/>
  <c r="I280" i="83"/>
  <c r="I279" i="83"/>
  <c r="I278" i="83"/>
  <c r="I277" i="83"/>
  <c r="I276" i="83"/>
  <c r="I275" i="83"/>
  <c r="I274" i="83"/>
  <c r="I273" i="83"/>
  <c r="I272" i="83"/>
  <c r="I271" i="83"/>
  <c r="I270" i="83"/>
  <c r="I269" i="83"/>
  <c r="I268" i="83"/>
  <c r="I267" i="83"/>
  <c r="I266" i="83"/>
  <c r="I265" i="83"/>
  <c r="I264" i="83"/>
  <c r="I263" i="83"/>
  <c r="I262" i="83"/>
  <c r="I261" i="83"/>
  <c r="I260" i="83"/>
  <c r="I259" i="83"/>
  <c r="I258" i="83"/>
  <c r="I257" i="83"/>
  <c r="I256" i="83"/>
  <c r="I255" i="83"/>
  <c r="I254" i="83"/>
  <c r="I253" i="83"/>
  <c r="I252" i="83"/>
  <c r="I251" i="83"/>
  <c r="I250" i="83"/>
  <c r="I249" i="83"/>
  <c r="I248" i="83"/>
  <c r="I247" i="83"/>
  <c r="I246" i="83"/>
  <c r="I245" i="83"/>
  <c r="I244" i="83"/>
  <c r="I243" i="83"/>
  <c r="I242" i="83"/>
  <c r="I241" i="83"/>
  <c r="I240" i="83"/>
  <c r="I239" i="83"/>
  <c r="I238" i="83"/>
  <c r="I237" i="83"/>
  <c r="I236" i="83"/>
  <c r="I235" i="83"/>
  <c r="I234" i="83"/>
  <c r="I233" i="83"/>
  <c r="I232" i="83"/>
  <c r="I231" i="83"/>
  <c r="I230" i="83"/>
  <c r="I229" i="83"/>
  <c r="I228" i="83"/>
  <c r="I227" i="83"/>
  <c r="I226" i="83"/>
  <c r="I225" i="83"/>
  <c r="I224" i="83"/>
  <c r="I223" i="83"/>
  <c r="I222" i="83"/>
  <c r="I221" i="83"/>
  <c r="I220" i="83"/>
  <c r="I219" i="83"/>
  <c r="I218" i="83"/>
  <c r="I217" i="83"/>
  <c r="I216" i="83"/>
  <c r="I215" i="83"/>
  <c r="I214" i="83"/>
  <c r="I213" i="83"/>
  <c r="I212" i="83"/>
  <c r="I211" i="83"/>
  <c r="I210" i="83"/>
  <c r="I209" i="83"/>
  <c r="I208" i="83"/>
  <c r="I207" i="83"/>
  <c r="I206" i="83"/>
  <c r="I205" i="83"/>
  <c r="I204" i="83"/>
  <c r="I203" i="83"/>
  <c r="I202" i="83"/>
  <c r="I201" i="83"/>
  <c r="I200" i="83"/>
  <c r="I199" i="83"/>
  <c r="I198" i="83"/>
  <c r="I197" i="83"/>
  <c r="I196" i="83"/>
  <c r="I195" i="83"/>
  <c r="I194" i="83"/>
  <c r="I193" i="83"/>
  <c r="I192" i="83"/>
  <c r="I191" i="83"/>
  <c r="I190" i="83"/>
  <c r="I189" i="83"/>
  <c r="I188" i="83"/>
  <c r="I187" i="83"/>
  <c r="I186" i="83"/>
  <c r="I185" i="83"/>
  <c r="I184" i="83"/>
  <c r="I183" i="83"/>
  <c r="I182" i="83"/>
  <c r="I181" i="83"/>
  <c r="I180" i="83"/>
  <c r="I179" i="83"/>
  <c r="I178" i="83"/>
  <c r="I177" i="83"/>
  <c r="I176" i="83"/>
  <c r="I175" i="83"/>
  <c r="I174" i="83"/>
  <c r="I173" i="83"/>
  <c r="I172" i="83"/>
  <c r="I171" i="83"/>
  <c r="I170" i="83"/>
  <c r="I169" i="83"/>
  <c r="I168" i="83"/>
  <c r="I167" i="83"/>
  <c r="I166" i="83"/>
  <c r="I165" i="83"/>
  <c r="I164" i="83"/>
  <c r="I163" i="83"/>
  <c r="I162" i="83"/>
  <c r="I161" i="83"/>
  <c r="I160" i="83"/>
  <c r="I159" i="83"/>
  <c r="I158" i="83"/>
  <c r="I157" i="83"/>
  <c r="I156" i="83"/>
  <c r="I155" i="83"/>
  <c r="I154" i="83"/>
  <c r="I153" i="83"/>
  <c r="I152" i="83"/>
  <c r="I151" i="83"/>
  <c r="I150" i="83"/>
  <c r="I149" i="83"/>
  <c r="I148" i="83"/>
  <c r="I147" i="83"/>
  <c r="I146" i="83"/>
  <c r="I145" i="83"/>
  <c r="I144" i="83"/>
  <c r="I143" i="83"/>
  <c r="I142" i="83"/>
  <c r="I141" i="83"/>
  <c r="I140" i="83"/>
  <c r="I139" i="83"/>
  <c r="I138" i="83"/>
  <c r="I137" i="83"/>
  <c r="I136" i="83"/>
  <c r="I135" i="83"/>
  <c r="I134" i="83"/>
  <c r="I133" i="83"/>
  <c r="I132" i="83"/>
  <c r="I131" i="83"/>
  <c r="I130" i="83"/>
  <c r="I129" i="83"/>
  <c r="I128" i="83"/>
  <c r="I127" i="83"/>
  <c r="I126" i="83"/>
  <c r="I125" i="83"/>
  <c r="I124" i="83"/>
  <c r="I123" i="83"/>
  <c r="I122" i="83"/>
  <c r="I121" i="83"/>
  <c r="I120" i="83"/>
  <c r="I119" i="83"/>
  <c r="I118" i="83"/>
  <c r="I117" i="83"/>
  <c r="I116" i="83"/>
  <c r="I115" i="83"/>
  <c r="I114" i="83"/>
  <c r="I113" i="83"/>
  <c r="I112" i="83"/>
  <c r="I111" i="83"/>
  <c r="I110" i="83"/>
  <c r="I109" i="83"/>
  <c r="I108" i="83"/>
  <c r="I107" i="83"/>
  <c r="I106" i="83"/>
  <c r="I105" i="83"/>
  <c r="I104" i="83"/>
  <c r="I103" i="83"/>
  <c r="I102" i="83"/>
  <c r="I101" i="83"/>
  <c r="I100" i="83"/>
  <c r="I99" i="83"/>
  <c r="I98" i="83"/>
  <c r="I97" i="83"/>
  <c r="I96" i="83"/>
  <c r="I95" i="83"/>
  <c r="I94" i="83"/>
  <c r="I93" i="83"/>
  <c r="I92" i="83"/>
  <c r="I91" i="83"/>
  <c r="I90" i="83"/>
  <c r="I89" i="83"/>
  <c r="I88" i="83"/>
  <c r="I87" i="83"/>
  <c r="I86" i="83"/>
  <c r="I85" i="83"/>
  <c r="I84" i="83"/>
  <c r="I83" i="83"/>
  <c r="I82" i="83"/>
  <c r="I81" i="83"/>
  <c r="I80" i="83"/>
  <c r="I79" i="83"/>
  <c r="I78" i="83"/>
  <c r="I77" i="83"/>
  <c r="I76" i="83"/>
  <c r="I75" i="83"/>
  <c r="I74" i="83"/>
  <c r="I73" i="83"/>
  <c r="I72" i="83"/>
  <c r="I71" i="83"/>
  <c r="I70" i="83"/>
  <c r="I69" i="83"/>
  <c r="I68" i="83"/>
  <c r="I67" i="83"/>
  <c r="I66" i="83"/>
  <c r="I65" i="83"/>
  <c r="I64" i="83"/>
  <c r="I63" i="83"/>
  <c r="I62" i="83"/>
  <c r="I61" i="83"/>
  <c r="I60" i="83"/>
  <c r="I59" i="83"/>
  <c r="I58" i="83"/>
  <c r="I57" i="83"/>
  <c r="I56" i="83"/>
  <c r="I55" i="83"/>
  <c r="I54" i="83"/>
  <c r="I53" i="83"/>
  <c r="I52" i="83"/>
  <c r="I51" i="83"/>
  <c r="I50" i="83"/>
  <c r="I49" i="83"/>
  <c r="I48" i="83"/>
  <c r="I47" i="83"/>
  <c r="I46" i="83"/>
  <c r="I45" i="83"/>
  <c r="I44" i="83"/>
  <c r="I43" i="83"/>
  <c r="I42" i="83"/>
  <c r="I41" i="83"/>
  <c r="I40" i="83"/>
  <c r="I39" i="83"/>
  <c r="I38" i="83"/>
  <c r="I37" i="83"/>
  <c r="I36" i="83"/>
  <c r="I35" i="83"/>
  <c r="I34" i="83"/>
  <c r="I33" i="83"/>
  <c r="I32" i="83"/>
  <c r="I31" i="83"/>
  <c r="I30" i="83"/>
  <c r="I29" i="83"/>
  <c r="I28" i="83"/>
  <c r="I27" i="83"/>
  <c r="I26" i="83"/>
  <c r="I25" i="83"/>
  <c r="I24" i="83"/>
  <c r="I23" i="83"/>
  <c r="I22" i="83"/>
  <c r="I21" i="83"/>
  <c r="I20" i="83"/>
  <c r="I19" i="83"/>
  <c r="I18" i="83"/>
  <c r="I17" i="83"/>
  <c r="I16" i="83"/>
  <c r="I15" i="83"/>
  <c r="I14" i="83"/>
  <c r="I13" i="83"/>
  <c r="I12" i="83"/>
  <c r="I11" i="83"/>
  <c r="I10" i="83"/>
  <c r="I9" i="83"/>
  <c r="I8" i="83"/>
  <c r="I7" i="83"/>
  <c r="I6" i="83"/>
  <c r="I5" i="83"/>
  <c r="I4" i="83"/>
  <c r="I3" i="83"/>
  <c r="I2" i="83"/>
  <c r="I1408" i="83" s="1"/>
  <c r="D1454" i="81"/>
  <c r="K1346" i="15"/>
  <c r="K731" i="15"/>
  <c r="K580" i="15"/>
  <c r="K274" i="15"/>
  <c r="K138" i="15"/>
  <c r="K54" i="15"/>
  <c r="H1302" i="15"/>
  <c r="I1302" i="15"/>
  <c r="K1302" i="15"/>
  <c r="H399" i="15"/>
  <c r="I399" i="15"/>
  <c r="K399" i="15"/>
  <c r="H1172" i="15"/>
  <c r="I1172" i="15"/>
  <c r="K1172" i="15"/>
  <c r="H302" i="15"/>
  <c r="I302" i="15"/>
  <c r="K302" i="15"/>
  <c r="H219" i="15"/>
  <c r="I219" i="15"/>
  <c r="K219" i="15"/>
  <c r="H1342" i="15"/>
  <c r="I1342" i="15"/>
  <c r="K1342" i="15"/>
  <c r="H441" i="15"/>
  <c r="K441" i="15"/>
  <c r="H1070" i="15"/>
  <c r="I1070" i="15"/>
  <c r="K1070" i="15"/>
  <c r="H1397" i="15"/>
  <c r="I1397" i="15"/>
  <c r="K1397" i="15"/>
  <c r="H580" i="15"/>
  <c r="I580" i="15"/>
  <c r="H1148" i="15"/>
  <c r="I1148" i="15"/>
  <c r="K1148" i="15"/>
  <c r="H1060" i="15"/>
  <c r="I1060" i="15"/>
  <c r="K1060" i="15"/>
  <c r="H509" i="15"/>
  <c r="I509" i="15"/>
  <c r="K509" i="15"/>
  <c r="H344" i="15"/>
  <c r="I344" i="15"/>
  <c r="K344" i="15"/>
  <c r="H1069" i="15"/>
  <c r="I1069" i="15"/>
  <c r="K1069" i="15"/>
  <c r="H159" i="15"/>
  <c r="I159" i="15"/>
  <c r="K159" i="15"/>
  <c r="H731" i="15"/>
  <c r="I731" i="15"/>
  <c r="H1254" i="15"/>
  <c r="I1254" i="15"/>
  <c r="K1254" i="15"/>
  <c r="H1048" i="15"/>
  <c r="I1048" i="15"/>
  <c r="K1048" i="15"/>
  <c r="H1338" i="15"/>
  <c r="I1338" i="15"/>
  <c r="K1338" i="15"/>
  <c r="H138" i="15"/>
  <c r="I138" i="15"/>
  <c r="H1152" i="15"/>
  <c r="I1152" i="15"/>
  <c r="K1152" i="15"/>
  <c r="H536" i="15"/>
  <c r="I536" i="15"/>
  <c r="K536" i="15"/>
  <c r="H810" i="15"/>
  <c r="I810" i="15"/>
  <c r="K810" i="15"/>
  <c r="H500" i="15"/>
  <c r="I500" i="15"/>
  <c r="K500" i="15"/>
  <c r="H314" i="15"/>
  <c r="I314" i="15"/>
  <c r="K314" i="15"/>
  <c r="H476" i="15"/>
  <c r="I476" i="15"/>
  <c r="K476" i="15"/>
  <c r="H461" i="15"/>
  <c r="I461" i="15"/>
  <c r="K461" i="15"/>
  <c r="H585" i="15"/>
  <c r="I585" i="15"/>
  <c r="K585" i="15"/>
  <c r="H274" i="15"/>
  <c r="I274" i="15"/>
  <c r="H878" i="15"/>
  <c r="I878" i="15"/>
  <c r="K878" i="15"/>
  <c r="H54" i="15"/>
  <c r="I54" i="15"/>
  <c r="H1140" i="15"/>
  <c r="I1140" i="15"/>
  <c r="K1140" i="15"/>
  <c r="H22" i="15"/>
  <c r="I22" i="15"/>
  <c r="K22" i="15"/>
  <c r="H672" i="15"/>
  <c r="I672" i="15"/>
  <c r="K672" i="15"/>
  <c r="H857" i="15"/>
  <c r="I857" i="15"/>
  <c r="K857" i="15"/>
  <c r="H666" i="15"/>
  <c r="I666" i="15"/>
  <c r="K666" i="15"/>
  <c r="H1346" i="15"/>
  <c r="I1346" i="15"/>
  <c r="H886" i="15"/>
  <c r="I886" i="15"/>
  <c r="K886" i="15"/>
  <c r="H1421" i="15"/>
  <c r="I1421" i="15"/>
  <c r="K1421" i="15"/>
  <c r="H60" i="15"/>
  <c r="I60" i="15"/>
  <c r="K60" i="15"/>
  <c r="H502" i="15"/>
  <c r="I502" i="15"/>
  <c r="K502" i="15"/>
  <c r="H299" i="15"/>
  <c r="I299" i="15"/>
  <c r="K299" i="15"/>
  <c r="H528" i="15"/>
  <c r="I528" i="15"/>
  <c r="K528" i="15"/>
  <c r="H659" i="15"/>
  <c r="I659" i="15"/>
  <c r="K659" i="15"/>
  <c r="H991" i="15"/>
  <c r="I991" i="15"/>
  <c r="K991" i="15"/>
  <c r="H1018" i="15"/>
  <c r="I1018" i="15"/>
  <c r="K1018" i="15"/>
  <c r="H402" i="15"/>
  <c r="I402" i="15"/>
  <c r="K402" i="15"/>
  <c r="H183" i="15"/>
  <c r="I183" i="15"/>
  <c r="K183" i="15"/>
  <c r="H1341" i="15"/>
  <c r="I1341" i="15"/>
  <c r="K1341" i="15"/>
  <c r="H694" i="15"/>
  <c r="I694" i="15"/>
  <c r="K694" i="15"/>
  <c r="K1459" i="15"/>
  <c r="K1460" i="15"/>
  <c r="K1461" i="15"/>
  <c r="K1462" i="15"/>
  <c r="K1463" i="15"/>
  <c r="K1464" i="15"/>
  <c r="K1458" i="15"/>
  <c r="J1069" i="15" l="1"/>
  <c r="G1065" i="96" s="1"/>
  <c r="H1065" i="96" s="1"/>
  <c r="J672" i="15"/>
  <c r="J1148" i="15"/>
  <c r="J886" i="15"/>
  <c r="J299" i="15"/>
  <c r="J580" i="15"/>
  <c r="J1048" i="15"/>
  <c r="G1044" i="96" s="1"/>
  <c r="H1044" i="96" s="1"/>
  <c r="J1342" i="15"/>
  <c r="J1018" i="15"/>
  <c r="G1014" i="96" s="1"/>
  <c r="H1014" i="96" s="1"/>
  <c r="J476" i="15"/>
  <c r="J536" i="15"/>
  <c r="J694" i="15"/>
  <c r="J878" i="15"/>
  <c r="J441" i="15"/>
  <c r="J302" i="15"/>
  <c r="J1172" i="15"/>
  <c r="G1166" i="96" s="1"/>
  <c r="H1166" i="96" s="1"/>
  <c r="J402" i="15"/>
  <c r="J54" i="15"/>
  <c r="J461" i="15"/>
  <c r="J810" i="15"/>
  <c r="J1338" i="15"/>
  <c r="G1331" i="96" s="1"/>
  <c r="H1331" i="96" s="1"/>
  <c r="J159" i="15"/>
  <c r="J1060" i="15"/>
  <c r="G1056" i="96" s="1"/>
  <c r="H1056" i="96" s="1"/>
  <c r="J1070" i="15"/>
  <c r="G1066" i="96" s="1"/>
  <c r="H1066" i="96" s="1"/>
  <c r="J1421" i="15"/>
  <c r="G1414" i="96" s="1"/>
  <c r="H1414" i="96" s="1"/>
  <c r="J183" i="15"/>
  <c r="J659" i="15"/>
  <c r="J60" i="15"/>
  <c r="J666" i="15"/>
  <c r="J1140" i="15"/>
  <c r="G1135" i="96" s="1"/>
  <c r="H1135" i="96" s="1"/>
  <c r="J585" i="15"/>
  <c r="J500" i="15"/>
  <c r="J138" i="15"/>
  <c r="J731" i="15"/>
  <c r="J509" i="15"/>
  <c r="J1397" i="15"/>
  <c r="G1390" i="96" s="1"/>
  <c r="H1390" i="96" s="1"/>
  <c r="J219" i="15"/>
  <c r="J528" i="15"/>
  <c r="J857" i="15"/>
  <c r="J1341" i="15"/>
  <c r="G1334" i="96" s="1"/>
  <c r="H1334" i="96" s="1"/>
  <c r="J991" i="15"/>
  <c r="G988" i="96" s="1"/>
  <c r="H988" i="96" s="1"/>
  <c r="J502" i="15"/>
  <c r="J1346" i="15"/>
  <c r="G1339" i="96" s="1"/>
  <c r="H1339" i="96" s="1"/>
  <c r="J22" i="15"/>
  <c r="J274" i="15"/>
  <c r="J314" i="15"/>
  <c r="J1152" i="15"/>
  <c r="G1147" i="96" s="1"/>
  <c r="H1147" i="96" s="1"/>
  <c r="J1254" i="15"/>
  <c r="G1247" i="96" s="1"/>
  <c r="H1247" i="96" s="1"/>
  <c r="J344" i="15"/>
  <c r="J399" i="15"/>
  <c r="J1302" i="15"/>
  <c r="G1295" i="96" s="1"/>
  <c r="H1295" i="96" s="1"/>
  <c r="D5" i="97"/>
  <c r="K5" i="97"/>
  <c r="D6" i="97"/>
  <c r="K6" i="97"/>
  <c r="D7" i="97"/>
  <c r="K7" i="97"/>
  <c r="D8" i="97"/>
  <c r="K8" i="97"/>
  <c r="D9" i="97"/>
  <c r="K9" i="97"/>
  <c r="D10" i="97"/>
  <c r="G10" i="97"/>
  <c r="H10" i="97"/>
  <c r="I10" i="97"/>
  <c r="J10" i="97"/>
  <c r="K10" i="97" l="1"/>
  <c r="J1458" i="15"/>
  <c r="H1135" i="15" l="1"/>
  <c r="K1174" i="15" l="1"/>
  <c r="K470" i="15"/>
  <c r="K1061" i="15"/>
  <c r="K903" i="15"/>
  <c r="K1076" i="15"/>
  <c r="K496" i="15"/>
  <c r="K1326" i="15"/>
  <c r="K1219" i="15"/>
  <c r="K552" i="15"/>
  <c r="K577" i="15"/>
  <c r="K1206" i="15"/>
  <c r="K558" i="15"/>
  <c r="K645" i="15"/>
  <c r="K927" i="15"/>
  <c r="K124" i="15"/>
  <c r="K429" i="15"/>
  <c r="K926" i="15"/>
  <c r="K954" i="15"/>
  <c r="K1273" i="15"/>
  <c r="K607" i="15"/>
  <c r="K1180" i="15"/>
  <c r="K1350" i="15"/>
  <c r="K462" i="15"/>
  <c r="K179" i="15"/>
  <c r="K876" i="15"/>
  <c r="K205" i="15"/>
  <c r="K206" i="15"/>
  <c r="K1260" i="15"/>
  <c r="K28" i="15"/>
  <c r="K40" i="15"/>
  <c r="K64" i="15"/>
  <c r="K209" i="15"/>
  <c r="K634" i="15"/>
  <c r="K210" i="15"/>
  <c r="K673" i="15"/>
  <c r="K212" i="15"/>
  <c r="K214" i="15"/>
  <c r="K215" i="15"/>
  <c r="K220" i="15"/>
  <c r="K221" i="15"/>
  <c r="K834" i="15"/>
  <c r="K835" i="15"/>
  <c r="K1031" i="15"/>
  <c r="K2" i="15"/>
  <c r="K1261" i="15"/>
  <c r="K3" i="15"/>
  <c r="K1262" i="15"/>
  <c r="K1034" i="15"/>
  <c r="K1264" i="15"/>
  <c r="K680" i="15"/>
  <c r="K838" i="15"/>
  <c r="K693" i="15"/>
  <c r="K839" i="15"/>
  <c r="K715" i="15"/>
  <c r="K841" i="15"/>
  <c r="K1295" i="15"/>
  <c r="K665" i="15"/>
  <c r="K1299" i="15"/>
  <c r="K766" i="15"/>
  <c r="K842" i="15"/>
  <c r="K820" i="15"/>
  <c r="K1310" i="15"/>
  <c r="K5" i="15"/>
  <c r="K650" i="15"/>
  <c r="K843" i="15"/>
  <c r="K1314" i="15"/>
  <c r="K1315" i="15"/>
  <c r="K1036" i="15"/>
  <c r="K682" i="15"/>
  <c r="K1352" i="15"/>
  <c r="K688" i="15"/>
  <c r="K1354" i="15"/>
  <c r="K695" i="15"/>
  <c r="K845" i="15"/>
  <c r="K1039" i="15"/>
  <c r="K1377" i="15"/>
  <c r="K699" i="15"/>
  <c r="K704" i="15"/>
  <c r="K1431" i="15"/>
  <c r="K734" i="15"/>
  <c r="K846" i="15"/>
  <c r="K10" i="15"/>
  <c r="K747" i="15"/>
  <c r="K848" i="15"/>
  <c r="K1267" i="15"/>
  <c r="K11" i="15"/>
  <c r="K749" i="15"/>
  <c r="K1268" i="15"/>
  <c r="K1040" i="15"/>
  <c r="K1269" i="15"/>
  <c r="K777" i="15"/>
  <c r="K12" i="15"/>
  <c r="K849" i="15"/>
  <c r="K815" i="15"/>
  <c r="K13" i="15"/>
  <c r="K850" i="15"/>
  <c r="K1281" i="15"/>
  <c r="K1042" i="15"/>
  <c r="K1283" i="15"/>
  <c r="K16" i="15"/>
  <c r="K825" i="15"/>
  <c r="K851" i="15"/>
  <c r="K1289" i="15"/>
  <c r="K819" i="15"/>
  <c r="K420" i="15"/>
  <c r="K1307" i="15"/>
  <c r="K853" i="15"/>
  <c r="K1311" i="15"/>
  <c r="K855" i="15"/>
  <c r="K422" i="15"/>
  <c r="K1320" i="15"/>
  <c r="K17" i="15"/>
  <c r="K1259" i="15"/>
  <c r="K1043" i="15"/>
  <c r="K710" i="15"/>
  <c r="K856" i="15"/>
  <c r="K730" i="15"/>
  <c r="K224" i="15"/>
  <c r="K20" i="15"/>
  <c r="K755" i="15"/>
  <c r="K1353" i="15"/>
  <c r="K225" i="15"/>
  <c r="K226" i="15"/>
  <c r="K762" i="15"/>
  <c r="K1356" i="15"/>
  <c r="K829" i="15"/>
  <c r="K1365" i="15"/>
  <c r="K1371" i="15"/>
  <c r="K1379" i="15"/>
  <c r="K227" i="15"/>
  <c r="K816" i="15"/>
  <c r="K676" i="15"/>
  <c r="K228" i="15"/>
  <c r="K687" i="15"/>
  <c r="K1411" i="15"/>
  <c r="K692" i="15"/>
  <c r="K229" i="15"/>
  <c r="K701" i="15"/>
  <c r="K760" i="15"/>
  <c r="K785" i="15"/>
  <c r="K1422" i="15"/>
  <c r="K23" i="15"/>
  <c r="K24" i="15"/>
  <c r="K423" i="15"/>
  <c r="K1429" i="15"/>
  <c r="K424" i="15"/>
  <c r="K1434" i="15"/>
  <c r="K858" i="15"/>
  <c r="K425" i="15"/>
  <c r="K1045" i="15"/>
  <c r="K1448" i="15"/>
  <c r="K29" i="15"/>
  <c r="K426" i="15"/>
  <c r="K860" i="15"/>
  <c r="K1046" i="15"/>
  <c r="K1270" i="15"/>
  <c r="K427" i="15"/>
  <c r="K1271" i="15"/>
  <c r="K861" i="15"/>
  <c r="K32" i="15"/>
  <c r="K1047" i="15"/>
  <c r="K33" i="15"/>
  <c r="K863" i="15"/>
  <c r="K34" i="15"/>
  <c r="K1049" i="15"/>
  <c r="K1257" i="15"/>
  <c r="K37" i="15"/>
  <c r="K431" i="15"/>
  <c r="K866" i="15"/>
  <c r="K1050" i="15"/>
  <c r="K1256" i="15"/>
  <c r="K1051" i="15"/>
  <c r="K788" i="15"/>
  <c r="K797" i="15"/>
  <c r="K433" i="15"/>
  <c r="K435" i="15"/>
  <c r="K1255" i="15"/>
  <c r="K869" i="15"/>
  <c r="K436" i="15"/>
  <c r="K870" i="15"/>
  <c r="K38" i="15"/>
  <c r="K871" i="15"/>
  <c r="K39" i="15"/>
  <c r="K872" i="15"/>
  <c r="K1287" i="15"/>
  <c r="K41" i="15"/>
  <c r="K873" i="15"/>
  <c r="K1288" i="15"/>
  <c r="K42" i="15"/>
  <c r="K1296" i="15"/>
  <c r="K43" i="15"/>
  <c r="K874" i="15"/>
  <c r="K437" i="15"/>
  <c r="K1251" i="15"/>
  <c r="K813" i="15"/>
  <c r="K231" i="15"/>
  <c r="K1298" i="15"/>
  <c r="K1053" i="15"/>
  <c r="K1249" i="15"/>
  <c r="K438" i="15"/>
  <c r="K1057" i="15"/>
  <c r="K1303" i="15"/>
  <c r="K1247" i="15"/>
  <c r="K708" i="15"/>
  <c r="K1308" i="15"/>
  <c r="K44" i="15"/>
  <c r="K718" i="15"/>
  <c r="K1058" i="15"/>
  <c r="K875" i="15"/>
  <c r="K439" i="15"/>
  <c r="K1313" i="15"/>
  <c r="K442" i="15"/>
  <c r="K1316" i="15"/>
  <c r="K1059" i="15"/>
  <c r="K881" i="15"/>
  <c r="K1323" i="15"/>
  <c r="K1345" i="15"/>
  <c r="K1351" i="15"/>
  <c r="K232" i="15"/>
  <c r="K1064" i="15"/>
  <c r="K445" i="15"/>
  <c r="K795" i="15"/>
  <c r="K1065" i="15"/>
  <c r="K1360" i="15"/>
  <c r="K756" i="15"/>
  <c r="K447" i="15"/>
  <c r="K233" i="15"/>
  <c r="K884" i="15"/>
  <c r="K1362" i="15"/>
  <c r="K761" i="15"/>
  <c r="K448" i="15"/>
  <c r="K1363" i="15"/>
  <c r="K742" i="15"/>
  <c r="K449" i="15"/>
  <c r="K1366" i="15"/>
  <c r="K662" i="15"/>
  <c r="K450" i="15"/>
  <c r="K725" i="15"/>
  <c r="K768" i="15"/>
  <c r="K451" i="15"/>
  <c r="K452" i="15"/>
  <c r="K234" i="15"/>
  <c r="K453" i="15"/>
  <c r="K236" i="15"/>
  <c r="K831" i="15"/>
  <c r="K237" i="15"/>
  <c r="K624" i="15"/>
  <c r="K238" i="15"/>
  <c r="K629" i="15"/>
  <c r="K239" i="15"/>
  <c r="K240" i="15"/>
  <c r="K288" i="15"/>
  <c r="K241" i="15"/>
  <c r="K290" i="15"/>
  <c r="K242" i="15"/>
  <c r="K291" i="15"/>
  <c r="K292" i="15"/>
  <c r="K245" i="15"/>
  <c r="K887" i="15"/>
  <c r="K888" i="15"/>
  <c r="K46" i="15"/>
  <c r="K246" i="15"/>
  <c r="K48" i="15"/>
  <c r="K248" i="15"/>
  <c r="K250" i="15"/>
  <c r="K251" i="15"/>
  <c r="K252" i="15"/>
  <c r="K892" i="15"/>
  <c r="K253" i="15"/>
  <c r="K254" i="15"/>
  <c r="K256" i="15"/>
  <c r="K1372" i="15"/>
  <c r="K57" i="15"/>
  <c r="K259" i="15"/>
  <c r="K1373" i="15"/>
  <c r="K1376" i="15"/>
  <c r="K261" i="15"/>
  <c r="K893" i="15"/>
  <c r="K1066" i="15"/>
  <c r="K1382" i="15"/>
  <c r="K262" i="15"/>
  <c r="K894" i="15"/>
  <c r="K454" i="15"/>
  <c r="K263" i="15"/>
  <c r="K895" i="15"/>
  <c r="K455" i="15"/>
  <c r="K267" i="15"/>
  <c r="K896" i="15"/>
  <c r="K1408" i="15"/>
  <c r="K456" i="15"/>
  <c r="K1412" i="15"/>
  <c r="K457" i="15"/>
  <c r="K898" i="15"/>
  <c r="K458" i="15"/>
  <c r="K1418" i="15"/>
  <c r="K1068" i="15"/>
  <c r="K459" i="15"/>
  <c r="K269" i="15"/>
  <c r="K899" i="15"/>
  <c r="K1419" i="15"/>
  <c r="K270" i="15"/>
  <c r="K1072" i="15"/>
  <c r="K900" i="15"/>
  <c r="K1438" i="15"/>
  <c r="K460" i="15"/>
  <c r="K271" i="15"/>
  <c r="K1073" i="15"/>
  <c r="K901" i="15"/>
  <c r="K1435" i="15"/>
  <c r="K1439" i="15"/>
  <c r="K463" i="15"/>
  <c r="K902" i="15"/>
  <c r="K47" i="15"/>
  <c r="K272" i="15"/>
  <c r="K1074" i="15"/>
  <c r="K466" i="15"/>
  <c r="K1266" i="15"/>
  <c r="K905" i="15"/>
  <c r="K49" i="15"/>
  <c r="K468" i="15"/>
  <c r="K53" i="15"/>
  <c r="K906" i="15"/>
  <c r="K469" i="15"/>
  <c r="K56" i="15"/>
  <c r="K472" i="15"/>
  <c r="K58" i="15"/>
  <c r="K908" i="15"/>
  <c r="K1075" i="15"/>
  <c r="K474" i="15"/>
  <c r="K1275" i="15"/>
  <c r="K912" i="15"/>
  <c r="K475" i="15"/>
  <c r="K1077" i="15"/>
  <c r="K1279" i="15"/>
  <c r="K1078" i="15"/>
  <c r="K913" i="15"/>
  <c r="K1331" i="15"/>
  <c r="K477" i="15"/>
  <c r="K1079" i="15"/>
  <c r="K914" i="15"/>
  <c r="K1450" i="15"/>
  <c r="K915" i="15"/>
  <c r="K1452" i="15"/>
  <c r="K1285" i="15"/>
  <c r="K916" i="15"/>
  <c r="K917" i="15"/>
  <c r="K61" i="15"/>
  <c r="K1081" i="15"/>
  <c r="K923" i="15"/>
  <c r="K924" i="15"/>
  <c r="K62" i="15"/>
  <c r="K1297" i="15"/>
  <c r="K925" i="15"/>
  <c r="K63" i="15"/>
  <c r="K1085" i="15"/>
  <c r="K1300" i="15"/>
  <c r="K1304" i="15"/>
  <c r="K1306" i="15"/>
  <c r="K479" i="15"/>
  <c r="K480" i="15"/>
  <c r="K1309" i="15"/>
  <c r="K481" i="15"/>
  <c r="K1312" i="15"/>
  <c r="K1088" i="15"/>
  <c r="K66" i="15"/>
  <c r="K482" i="15"/>
  <c r="K1319" i="15"/>
  <c r="K483" i="15"/>
  <c r="K1322" i="15"/>
  <c r="K67" i="15"/>
  <c r="K1327" i="15"/>
  <c r="K1343" i="15"/>
  <c r="K1089" i="15"/>
  <c r="K928" i="15"/>
  <c r="K1348" i="15"/>
  <c r="K485" i="15"/>
  <c r="K1244" i="15"/>
  <c r="K486" i="15"/>
  <c r="K1091" i="15"/>
  <c r="K488" i="15"/>
  <c r="K1243" i="15"/>
  <c r="K929" i="15"/>
  <c r="K490" i="15"/>
  <c r="K491" i="15"/>
  <c r="K1240" i="15"/>
  <c r="K492" i="15"/>
  <c r="K1355" i="15"/>
  <c r="K1095" i="15"/>
  <c r="K73" i="15"/>
  <c r="K499" i="15"/>
  <c r="K1096" i="15"/>
  <c r="K503" i="15"/>
  <c r="K1238" i="15"/>
  <c r="K930" i="15"/>
  <c r="K1097" i="15"/>
  <c r="K638" i="15"/>
  <c r="K931" i="15"/>
  <c r="K1361" i="15"/>
  <c r="K1237" i="15"/>
  <c r="K1367" i="15"/>
  <c r="K1098" i="15"/>
  <c r="K933" i="15"/>
  <c r="K1368" i="15"/>
  <c r="K1099" i="15"/>
  <c r="K1369" i="15"/>
  <c r="K1236" i="15"/>
  <c r="K652" i="15"/>
  <c r="K1100" i="15"/>
  <c r="K75" i="15"/>
  <c r="K1378" i="15"/>
  <c r="K275" i="15"/>
  <c r="K77" i="15"/>
  <c r="K504" i="15"/>
  <c r="K1385" i="15"/>
  <c r="K1101" i="15"/>
  <c r="K936" i="15"/>
  <c r="K79" i="15"/>
  <c r="K1451" i="15"/>
  <c r="K937" i="15"/>
  <c r="K1102" i="15"/>
  <c r="K1233" i="15"/>
  <c r="K82" i="15"/>
  <c r="K940" i="15"/>
  <c r="K1375" i="15"/>
  <c r="K83" i="15"/>
  <c r="K1103" i="15"/>
  <c r="K508" i="15"/>
  <c r="K1383" i="15"/>
  <c r="K295" i="15"/>
  <c r="K1232" i="15"/>
  <c r="K86" i="15"/>
  <c r="K348" i="15"/>
  <c r="K297" i="15"/>
  <c r="K511" i="15"/>
  <c r="K349" i="15"/>
  <c r="K512" i="15"/>
  <c r="K1106" i="15"/>
  <c r="K298" i="15"/>
  <c r="K941" i="15"/>
  <c r="K350" i="15"/>
  <c r="K513" i="15"/>
  <c r="K1107" i="15"/>
  <c r="K352" i="15"/>
  <c r="K514" i="15"/>
  <c r="K353" i="15"/>
  <c r="K276" i="15"/>
  <c r="K1230" i="15"/>
  <c r="K277" i="15"/>
  <c r="K354" i="15"/>
  <c r="K278" i="15"/>
  <c r="K1229" i="15"/>
  <c r="K515" i="15"/>
  <c r="K279" i="15"/>
  <c r="K355" i="15"/>
  <c r="K356" i="15"/>
  <c r="K516" i="15"/>
  <c r="K1109" i="15"/>
  <c r="K1389" i="15"/>
  <c r="K357" i="15"/>
  <c r="K282" i="15"/>
  <c r="K1396" i="15"/>
  <c r="K1111" i="15"/>
  <c r="K359" i="15"/>
  <c r="K358" i="15"/>
  <c r="K1409" i="15"/>
  <c r="K284" i="15"/>
  <c r="K517" i="15"/>
  <c r="K1112" i="15"/>
  <c r="K1416" i="15"/>
  <c r="K285" i="15"/>
  <c r="K944" i="15"/>
  <c r="K1432" i="15"/>
  <c r="K1113" i="15"/>
  <c r="K1433" i="15"/>
  <c r="K945" i="15"/>
  <c r="K1437" i="15"/>
  <c r="K286" i="15"/>
  <c r="K946" i="15"/>
  <c r="K519" i="15"/>
  <c r="K1443" i="15"/>
  <c r="K948" i="15"/>
  <c r="K1444" i="15"/>
  <c r="K1114" i="15"/>
  <c r="K679" i="15"/>
  <c r="K1449" i="15"/>
  <c r="K520" i="15"/>
  <c r="K287" i="15"/>
  <c r="K686" i="15"/>
  <c r="K1453" i="15"/>
  <c r="K949" i="15"/>
  <c r="K300" i="15"/>
  <c r="K696" i="15"/>
  <c r="K702" i="15"/>
  <c r="K711" i="15"/>
  <c r="K713" i="15"/>
  <c r="K301" i="15"/>
  <c r="K745" i="15"/>
  <c r="K304" i="15"/>
  <c r="K751" i="15"/>
  <c r="K765" i="15"/>
  <c r="K769" i="15"/>
  <c r="K305" i="15"/>
  <c r="K770" i="15"/>
  <c r="K778" i="15"/>
  <c r="K782" i="15"/>
  <c r="K794" i="15"/>
  <c r="K309" i="15"/>
  <c r="K814" i="15"/>
  <c r="K823" i="15"/>
  <c r="K311" i="15"/>
  <c r="K312" i="15"/>
  <c r="K649" i="15"/>
  <c r="K712" i="15"/>
  <c r="K313" i="15"/>
  <c r="K805" i="15"/>
  <c r="K822" i="15"/>
  <c r="K640" i="15"/>
  <c r="K706" i="15"/>
  <c r="K521" i="15"/>
  <c r="K950" i="15"/>
  <c r="K522" i="15"/>
  <c r="K746" i="15"/>
  <c r="K754" i="15"/>
  <c r="K817" i="15"/>
  <c r="K750" i="15"/>
  <c r="K1276" i="15"/>
  <c r="K689" i="15"/>
  <c r="K1284" i="15"/>
  <c r="K88" i="15"/>
  <c r="K952" i="15"/>
  <c r="K74" i="15"/>
  <c r="K953" i="15"/>
  <c r="K1305" i="15"/>
  <c r="K1115" i="15"/>
  <c r="K1321" i="15"/>
  <c r="K1324" i="15"/>
  <c r="K1336" i="15"/>
  <c r="K683" i="15"/>
  <c r="K316" i="15"/>
  <c r="K955" i="15"/>
  <c r="K1117" i="15"/>
  <c r="K78" i="15"/>
  <c r="K525" i="15"/>
  <c r="K1337" i="15"/>
  <c r="K1118" i="15"/>
  <c r="K956" i="15"/>
  <c r="K1359" i="15"/>
  <c r="K526" i="15"/>
  <c r="K735" i="15"/>
  <c r="K757" i="15"/>
  <c r="K1384" i="15"/>
  <c r="K958" i="15"/>
  <c r="K80" i="15"/>
  <c r="K1119" i="15"/>
  <c r="K1401" i="15"/>
  <c r="K631" i="15"/>
  <c r="K961" i="15"/>
  <c r="K705" i="15"/>
  <c r="K85" i="15"/>
  <c r="K1402" i="15"/>
  <c r="K1404" i="15"/>
  <c r="K317" i="15"/>
  <c r="K529" i="15"/>
  <c r="K637" i="15"/>
  <c r="K962" i="15"/>
  <c r="K1428" i="15"/>
  <c r="K530" i="15"/>
  <c r="K532" i="15"/>
  <c r="K668" i="15"/>
  <c r="K674" i="15"/>
  <c r="K717" i="15"/>
  <c r="K1120" i="15"/>
  <c r="K87" i="15"/>
  <c r="K632" i="15"/>
  <c r="K633" i="15"/>
  <c r="K964" i="15"/>
  <c r="K635" i="15"/>
  <c r="K965" i="15"/>
  <c r="K90" i="15"/>
  <c r="K966" i="15"/>
  <c r="K319" i="15"/>
  <c r="K91" i="15"/>
  <c r="K967" i="15"/>
  <c r="K771" i="15"/>
  <c r="K968" i="15"/>
  <c r="K92" i="15"/>
  <c r="K796" i="15"/>
  <c r="K320" i="15"/>
  <c r="K678" i="15"/>
  <c r="K539" i="15"/>
  <c r="K969" i="15"/>
  <c r="K660" i="15"/>
  <c r="K93" i="15"/>
  <c r="K723" i="15"/>
  <c r="K970" i="15"/>
  <c r="K540" i="15"/>
  <c r="K648" i="15"/>
  <c r="K741" i="15"/>
  <c r="K95" i="15"/>
  <c r="K541" i="15"/>
  <c r="K971" i="15"/>
  <c r="K97" i="15"/>
  <c r="K972" i="15"/>
  <c r="K1121" i="15"/>
  <c r="K973" i="15"/>
  <c r="K974" i="15"/>
  <c r="K975" i="15"/>
  <c r="K542" i="15"/>
  <c r="K100" i="15"/>
  <c r="K543" i="15"/>
  <c r="K976" i="15"/>
  <c r="K321" i="15"/>
  <c r="K787" i="15"/>
  <c r="K798" i="15"/>
  <c r="K812" i="15"/>
  <c r="K764" i="15"/>
  <c r="K793" i="15"/>
  <c r="K827" i="15"/>
  <c r="K639" i="15"/>
  <c r="K651" i="15"/>
  <c r="K977" i="15"/>
  <c r="K978" i="15"/>
  <c r="K103" i="15"/>
  <c r="K979" i="15"/>
  <c r="K105" i="15"/>
  <c r="K980" i="15"/>
  <c r="K544" i="15"/>
  <c r="K545" i="15"/>
  <c r="K1124" i="15"/>
  <c r="K981" i="15"/>
  <c r="K109" i="15"/>
  <c r="K1125" i="15"/>
  <c r="K982" i="15"/>
  <c r="K1127" i="15"/>
  <c r="K547" i="15"/>
  <c r="K984" i="15"/>
  <c r="K548" i="15"/>
  <c r="K1131" i="15"/>
  <c r="K549" i="15"/>
  <c r="K985" i="15"/>
  <c r="K322" i="15"/>
  <c r="K987" i="15"/>
  <c r="K550" i="15"/>
  <c r="K989" i="15"/>
  <c r="K551" i="15"/>
  <c r="K113" i="15"/>
  <c r="K1133" i="15"/>
  <c r="K114" i="15"/>
  <c r="K115" i="15"/>
  <c r="K1134" i="15"/>
  <c r="K553" i="15"/>
  <c r="K118" i="15"/>
  <c r="K992" i="15"/>
  <c r="K554" i="15"/>
  <c r="K120" i="15"/>
  <c r="K555" i="15"/>
  <c r="K1136" i="15"/>
  <c r="K998" i="15"/>
  <c r="K999" i="15"/>
  <c r="K1000" i="15"/>
  <c r="K1001" i="15"/>
  <c r="K556" i="15"/>
  <c r="K557" i="15"/>
  <c r="K1003" i="15"/>
  <c r="K123" i="15"/>
  <c r="K125" i="15"/>
  <c r="K1142" i="15"/>
  <c r="K128" i="15"/>
  <c r="K559" i="15"/>
  <c r="K1144" i="15"/>
  <c r="K1005" i="15"/>
  <c r="K560" i="15"/>
  <c r="K561" i="15"/>
  <c r="K562" i="15"/>
  <c r="K1007" i="15"/>
  <c r="K563" i="15"/>
  <c r="K1008" i="15"/>
  <c r="K564" i="15"/>
  <c r="K1009" i="15"/>
  <c r="K565" i="15"/>
  <c r="K1010" i="15"/>
  <c r="K1012" i="15"/>
  <c r="K566" i="15"/>
  <c r="K1146" i="15"/>
  <c r="K568" i="15"/>
  <c r="K1016" i="15"/>
  <c r="K1017" i="15"/>
  <c r="K571" i="15"/>
  <c r="K129" i="15"/>
  <c r="K667" i="15"/>
  <c r="K235" i="15"/>
  <c r="K572" i="15"/>
  <c r="K326" i="15"/>
  <c r="K131" i="15"/>
  <c r="K573" i="15"/>
  <c r="K327" i="15"/>
  <c r="K781" i="15"/>
  <c r="K574" i="15"/>
  <c r="K1022" i="15"/>
  <c r="K818" i="15"/>
  <c r="K575" i="15"/>
  <c r="K1024" i="15"/>
  <c r="K331" i="15"/>
  <c r="K133" i="15"/>
  <c r="K743" i="15"/>
  <c r="K1026" i="15"/>
  <c r="K724" i="15"/>
  <c r="K332" i="15"/>
  <c r="K1027" i="15"/>
  <c r="K776" i="15"/>
  <c r="K333" i="15"/>
  <c r="K1149" i="15"/>
  <c r="K576" i="15"/>
  <c r="K334" i="15"/>
  <c r="K134" i="15"/>
  <c r="K1150" i="15"/>
  <c r="K578" i="15"/>
  <c r="K736" i="15"/>
  <c r="K337" i="15"/>
  <c r="K783" i="15"/>
  <c r="K698" i="15"/>
  <c r="K338" i="15"/>
  <c r="K1151" i="15"/>
  <c r="K791" i="15"/>
  <c r="K579" i="15"/>
  <c r="K339" i="15"/>
  <c r="K137" i="15"/>
  <c r="K677" i="15"/>
  <c r="K684" i="15"/>
  <c r="K340" i="15"/>
  <c r="K691" i="15"/>
  <c r="K581" i="15"/>
  <c r="K709" i="15"/>
  <c r="K1153" i="15"/>
  <c r="K140" i="15"/>
  <c r="K733" i="15"/>
  <c r="K753" i="15"/>
  <c r="K784" i="15"/>
  <c r="K786" i="15"/>
  <c r="K142" i="15"/>
  <c r="K1154" i="15"/>
  <c r="K345" i="15"/>
  <c r="K586" i="15"/>
  <c r="K346" i="15"/>
  <c r="K588" i="15"/>
  <c r="K803" i="15"/>
  <c r="K143" i="15"/>
  <c r="K1157" i="15"/>
  <c r="K144" i="15"/>
  <c r="K811" i="15"/>
  <c r="K347" i="15"/>
  <c r="K591" i="15"/>
  <c r="K644" i="15"/>
  <c r="K1158" i="15"/>
  <c r="K653" i="15"/>
  <c r="K763" i="15"/>
  <c r="K592" i="15"/>
  <c r="K774" i="15"/>
  <c r="K130" i="15"/>
  <c r="K362" i="15"/>
  <c r="K789" i="15"/>
  <c r="K594" i="15"/>
  <c r="K132" i="15"/>
  <c r="K685" i="15"/>
  <c r="K595" i="15"/>
  <c r="K690" i="15"/>
  <c r="K630" i="15"/>
  <c r="K1159" i="15"/>
  <c r="K136" i="15"/>
  <c r="K671" i="15"/>
  <c r="K596" i="15"/>
  <c r="K727" i="15"/>
  <c r="K1160" i="15"/>
  <c r="K737" i="15"/>
  <c r="K139" i="15"/>
  <c r="K597" i="15"/>
  <c r="K365" i="15"/>
  <c r="K1162" i="15"/>
  <c r="K141" i="15"/>
  <c r="K367" i="15"/>
  <c r="K780" i="15"/>
  <c r="K1163" i="15"/>
  <c r="K599" i="15"/>
  <c r="K368" i="15"/>
  <c r="K806" i="15"/>
  <c r="K600" i="15"/>
  <c r="K370" i="15"/>
  <c r="K807" i="15"/>
  <c r="K1164" i="15"/>
  <c r="K601" i="15"/>
  <c r="K821" i="15"/>
  <c r="K371" i="15"/>
  <c r="K1165" i="15"/>
  <c r="K604" i="15"/>
  <c r="K609" i="15"/>
  <c r="K1171" i="15"/>
  <c r="K611" i="15"/>
  <c r="K613" i="15"/>
  <c r="K145" i="15"/>
  <c r="K616" i="15"/>
  <c r="K618" i="15"/>
  <c r="K619" i="15"/>
  <c r="K147" i="15"/>
  <c r="K372" i="15"/>
  <c r="K373" i="15"/>
  <c r="K1173" i="15"/>
  <c r="K374" i="15"/>
  <c r="K620" i="15"/>
  <c r="K1175" i="15"/>
  <c r="K1176" i="15"/>
  <c r="K621" i="15"/>
  <c r="K152" i="15"/>
  <c r="K375" i="15"/>
  <c r="K376" i="15"/>
  <c r="K154" i="15"/>
  <c r="K377" i="15"/>
  <c r="K623" i="15"/>
  <c r="K1178" i="15"/>
  <c r="K379" i="15"/>
  <c r="K381" i="15"/>
  <c r="K1179" i="15"/>
  <c r="K156" i="15"/>
  <c r="K382" i="15"/>
  <c r="K1181" i="15"/>
  <c r="K383" i="15"/>
  <c r="K157" i="15"/>
  <c r="K384" i="15"/>
  <c r="K1182" i="15"/>
  <c r="K385" i="15"/>
  <c r="K1183" i="15"/>
  <c r="K201" i="15"/>
  <c r="K386" i="15"/>
  <c r="K158" i="15"/>
  <c r="K199" i="15"/>
  <c r="K198" i="15"/>
  <c r="K1184" i="15"/>
  <c r="K387" i="15"/>
  <c r="K197" i="15"/>
  <c r="K388" i="15"/>
  <c r="K1185" i="15"/>
  <c r="K160" i="15"/>
  <c r="K1186" i="15"/>
  <c r="K1187" i="15"/>
  <c r="K162" i="15"/>
  <c r="K1188" i="15"/>
  <c r="K196" i="15"/>
  <c r="K163" i="15"/>
  <c r="K1189" i="15"/>
  <c r="K391" i="15"/>
  <c r="K194" i="15"/>
  <c r="K1191" i="15"/>
  <c r="K1192" i="15"/>
  <c r="K393" i="15"/>
  <c r="K1083" i="15"/>
  <c r="K394" i="15"/>
  <c r="K187" i="15"/>
  <c r="K395" i="15"/>
  <c r="K1194" i="15"/>
  <c r="K165" i="15"/>
  <c r="K396" i="15"/>
  <c r="K398" i="15"/>
  <c r="K400" i="15"/>
  <c r="K390" i="15"/>
  <c r="K392" i="15"/>
  <c r="K646" i="15"/>
  <c r="K670" i="15"/>
  <c r="K403" i="15"/>
  <c r="K1196" i="15"/>
  <c r="K404" i="15"/>
  <c r="K1228" i="15"/>
  <c r="K406" i="15"/>
  <c r="K738" i="15"/>
  <c r="K740" i="15"/>
  <c r="K744" i="15"/>
  <c r="K407" i="15"/>
  <c r="K408" i="15"/>
  <c r="K166" i="15"/>
  <c r="K409" i="15"/>
  <c r="K1215" i="15"/>
  <c r="K758" i="15"/>
  <c r="K1214" i="15"/>
  <c r="K167" i="15"/>
  <c r="K826" i="15"/>
  <c r="K1213" i="15"/>
  <c r="K830" i="15"/>
  <c r="K410" i="15"/>
  <c r="K779" i="15"/>
  <c r="K1212" i="15"/>
  <c r="K1211" i="15"/>
  <c r="K720" i="15"/>
  <c r="K416" i="15"/>
  <c r="K1210" i="15"/>
  <c r="K721" i="15"/>
  <c r="K1006" i="15"/>
  <c r="K739" i="15"/>
  <c r="K1204" i="15"/>
  <c r="K801" i="15"/>
  <c r="K417" i="15"/>
  <c r="K1203" i="15"/>
  <c r="K405" i="15"/>
  <c r="K1200" i="15"/>
  <c r="K168" i="15"/>
  <c r="K1197" i="15"/>
  <c r="K1198" i="15"/>
  <c r="K1122" i="15"/>
  <c r="K1123" i="15"/>
  <c r="K411" i="15"/>
  <c r="K1044" i="15"/>
  <c r="K169" i="15"/>
  <c r="K155" i="15"/>
  <c r="K174" i="15"/>
  <c r="K182" i="15"/>
  <c r="K186" i="15"/>
  <c r="K173" i="15"/>
  <c r="K1193" i="15"/>
  <c r="K1222" i="15"/>
  <c r="K178" i="15"/>
  <c r="K185" i="15"/>
  <c r="K172" i="15"/>
  <c r="K170" i="15"/>
  <c r="K171" i="15"/>
  <c r="K175" i="15"/>
  <c r="K153" i="15"/>
  <c r="K177" i="15"/>
  <c r="K1166" i="15"/>
  <c r="K52" i="15"/>
  <c r="K148" i="15"/>
  <c r="K324" i="15"/>
  <c r="K506" i="15"/>
  <c r="K681" i="15"/>
  <c r="K983" i="15"/>
  <c r="K1029" i="15"/>
  <c r="K1130" i="15"/>
  <c r="K1241" i="15"/>
  <c r="K1381" i="15"/>
  <c r="K351" i="15"/>
  <c r="K415" i="15"/>
  <c r="K719" i="15"/>
  <c r="K1301" i="15"/>
  <c r="K1234" i="15"/>
  <c r="K1217" i="15"/>
  <c r="K473" i="15"/>
  <c r="K336" i="15"/>
  <c r="K1082" i="15"/>
  <c r="K1167" i="15"/>
  <c r="K1126" i="15"/>
  <c r="K98" i="15"/>
  <c r="K864" i="15"/>
  <c r="K189" i="15"/>
  <c r="K1170" i="15"/>
  <c r="K283" i="15"/>
  <c r="K910" i="15"/>
  <c r="K280" i="15"/>
  <c r="K306" i="15"/>
  <c r="K293" i="15"/>
  <c r="K446" i="15"/>
  <c r="K1035" i="15"/>
  <c r="K877" i="15"/>
  <c r="K1030" i="15"/>
  <c r="K413" i="15"/>
  <c r="K111" i="15"/>
  <c r="K68" i="15"/>
  <c r="K1132" i="15"/>
  <c r="K1436" i="15"/>
  <c r="K1447" i="15"/>
  <c r="K1209" i="15"/>
  <c r="K127" i="15"/>
  <c r="K837" i="15"/>
  <c r="K150" i="15"/>
  <c r="K1205" i="15"/>
  <c r="K184" i="15"/>
  <c r="K1440" i="15"/>
  <c r="K1388" i="15"/>
  <c r="K919" i="15"/>
  <c r="K1221" i="15"/>
  <c r="K995" i="15"/>
  <c r="K1394" i="15"/>
  <c r="K1139" i="15"/>
  <c r="K1430" i="15"/>
  <c r="K1231" i="15"/>
  <c r="K1135" i="15"/>
  <c r="K1199" i="15"/>
  <c r="K70" i="15"/>
  <c r="K1086" i="15"/>
  <c r="K1037" i="15"/>
  <c r="K582" i="15"/>
  <c r="K378" i="15"/>
  <c r="K833" i="15"/>
  <c r="K484" i="15"/>
  <c r="K1374" i="15"/>
  <c r="K1274" i="15"/>
  <c r="K1357" i="15"/>
  <c r="K859" i="15"/>
  <c r="K1080" i="15"/>
  <c r="K26" i="15"/>
  <c r="K218" i="15"/>
  <c r="K1021" i="15"/>
  <c r="K440" i="15"/>
  <c r="K1263" i="15"/>
  <c r="K1227" i="15"/>
  <c r="K1195" i="15"/>
  <c r="K471" i="15"/>
  <c r="K656" i="15"/>
  <c r="K1442" i="15"/>
  <c r="K193" i="15"/>
  <c r="K1015" i="15"/>
  <c r="K538" i="15"/>
  <c r="K1055" i="15"/>
  <c r="K72" i="15"/>
  <c r="K430" i="15"/>
  <c r="K1425" i="15"/>
  <c r="K419" i="15"/>
  <c r="K1395" i="15"/>
  <c r="K303" i="15"/>
  <c r="K1253" i="15"/>
  <c r="K802" i="15"/>
  <c r="K223" i="15"/>
  <c r="K478" i="15"/>
  <c r="K1400" i="15"/>
  <c r="K176" i="15"/>
  <c r="K397" i="15"/>
  <c r="K265" i="15"/>
  <c r="K935" i="15"/>
  <c r="K108" i="15"/>
  <c r="K243" i="15"/>
  <c r="K465" i="15"/>
  <c r="K1201" i="15"/>
  <c r="K119" i="15"/>
  <c r="K207" i="15"/>
  <c r="K489" i="15"/>
  <c r="K35" i="15"/>
  <c r="K106" i="15"/>
  <c r="K1011" i="15"/>
  <c r="K25" i="15"/>
  <c r="K99" i="15"/>
  <c r="K104" i="15"/>
  <c r="K116" i="15"/>
  <c r="K121" i="15"/>
  <c r="K126" i="15"/>
  <c r="K268" i="15"/>
  <c r="K310" i="15"/>
  <c r="K389" i="15"/>
  <c r="K418" i="15"/>
  <c r="K443" i="15"/>
  <c r="K1104" i="15"/>
  <c r="K832" i="15"/>
  <c r="K986" i="15"/>
  <c r="K497" i="15"/>
  <c r="K1235" i="15"/>
  <c r="K1216" i="15"/>
  <c r="K729" i="15"/>
  <c r="K1278" i="15"/>
  <c r="K1445" i="15"/>
  <c r="K911" i="15"/>
  <c r="K1364" i="15"/>
  <c r="K1014" i="15"/>
  <c r="K112" i="15"/>
  <c r="K1105" i="15"/>
  <c r="K8" i="15"/>
  <c r="K507" i="15"/>
  <c r="K524" i="15"/>
  <c r="K1110" i="15"/>
  <c r="K654" i="15"/>
  <c r="K264" i="15"/>
  <c r="K296" i="15"/>
  <c r="K15" i="15"/>
  <c r="K289" i="15"/>
  <c r="K428" i="15"/>
  <c r="K493" i="15"/>
  <c r="K714" i="15"/>
  <c r="K759" i="15"/>
  <c r="K772" i="15"/>
  <c r="K675" i="15"/>
  <c r="K828" i="15"/>
  <c r="K883" i="15"/>
  <c r="K1052" i="15"/>
  <c r="K1087" i="15"/>
  <c r="K1207" i="15"/>
  <c r="K1025" i="15"/>
  <c r="K1286" i="15"/>
  <c r="K1358" i="15"/>
  <c r="K847" i="15"/>
  <c r="K1386" i="15"/>
  <c r="K612" i="15"/>
  <c r="K1406" i="15"/>
  <c r="K614" i="15"/>
  <c r="K593" i="15"/>
  <c r="K1446" i="15"/>
  <c r="K844" i="15"/>
  <c r="K518" i="15"/>
  <c r="K1277" i="15"/>
  <c r="K1265" i="15"/>
  <c r="K625" i="15"/>
  <c r="K50" i="15"/>
  <c r="K102" i="15"/>
  <c r="K164" i="15"/>
  <c r="K59" i="15"/>
  <c r="K364" i="15"/>
  <c r="K1141" i="15"/>
  <c r="K1405" i="15"/>
  <c r="K281" i="15"/>
  <c r="K603" i="15"/>
  <c r="K808" i="15"/>
  <c r="K655" i="15"/>
  <c r="K494" i="15"/>
  <c r="K366" i="15"/>
  <c r="K244" i="15"/>
  <c r="K993" i="15"/>
  <c r="K14" i="15"/>
  <c r="K149" i="15"/>
  <c r="K1116" i="15"/>
  <c r="K361" i="15"/>
  <c r="K880" i="15"/>
  <c r="K1248" i="15"/>
  <c r="K495" i="15"/>
  <c r="K988" i="15"/>
  <c r="K1325" i="15"/>
  <c r="K882" i="15"/>
  <c r="K897" i="15"/>
  <c r="K260" i="15"/>
  <c r="K728" i="15"/>
  <c r="K211" i="15"/>
  <c r="K249" i="15"/>
  <c r="K1090" i="15"/>
  <c r="K862" i="15"/>
  <c r="K918" i="15"/>
  <c r="K501" i="15"/>
  <c r="K323" i="15"/>
  <c r="K657" i="15"/>
  <c r="K534" i="15"/>
  <c r="K840" i="15"/>
  <c r="K957" i="15"/>
  <c r="K213" i="15"/>
  <c r="K1282" i="15"/>
  <c r="K642" i="15"/>
  <c r="K69" i="15"/>
  <c r="K904" i="15"/>
  <c r="K208" i="15"/>
  <c r="K1062" i="15"/>
  <c r="K247" i="15"/>
  <c r="K51" i="15"/>
  <c r="K329" i="15"/>
  <c r="K31" i="15"/>
  <c r="K1340" i="15"/>
  <c r="K1252" i="15"/>
  <c r="K1380" i="15"/>
  <c r="K1318" i="15"/>
  <c r="K1239" i="15"/>
  <c r="K1370" i="15"/>
  <c r="K30" i="15"/>
  <c r="K330" i="15"/>
  <c r="K1002" i="15"/>
  <c r="K622" i="15"/>
  <c r="K1208" i="15"/>
  <c r="K865" i="15"/>
  <c r="K546" i="15"/>
  <c r="K636" i="15"/>
  <c r="K1290" i="15"/>
  <c r="K598" i="15"/>
  <c r="K258" i="15"/>
  <c r="K583" i="15"/>
  <c r="K1225" i="15"/>
  <c r="K960" i="15"/>
  <c r="K1390" i="15"/>
  <c r="K533" i="15"/>
  <c r="K315" i="15"/>
  <c r="K380" i="15"/>
  <c r="K89" i="15"/>
  <c r="K1344" i="15"/>
  <c r="K885" i="15"/>
  <c r="K922" i="15"/>
  <c r="K800" i="15"/>
  <c r="K569" i="15"/>
  <c r="K590" i="15"/>
  <c r="K1392" i="15"/>
  <c r="K700" i="15"/>
  <c r="K273" i="15"/>
  <c r="K1056" i="15"/>
  <c r="K307" i="15"/>
  <c r="K1084" i="15"/>
  <c r="K1145" i="15"/>
  <c r="K21" i="15"/>
  <c r="K1138" i="15"/>
  <c r="K255" i="15"/>
  <c r="K505" i="15"/>
  <c r="K45" i="15"/>
  <c r="K135" i="15"/>
  <c r="K146" i="15"/>
  <c r="K188" i="15"/>
  <c r="K335" i="15"/>
  <c r="K836" i="15"/>
  <c r="K1063" i="15"/>
  <c r="K938" i="15"/>
  <c r="K1071" i="15"/>
  <c r="K1143" i="15"/>
  <c r="K1177" i="15"/>
  <c r="K615" i="15"/>
  <c r="K867" i="15"/>
  <c r="K191" i="15"/>
  <c r="K707" i="15"/>
  <c r="K1223" i="15"/>
  <c r="K1242" i="15"/>
  <c r="K767" i="15"/>
  <c r="K587" i="15"/>
  <c r="K959" i="15"/>
  <c r="K55" i="15"/>
  <c r="K341" i="15"/>
  <c r="K363" i="15"/>
  <c r="K990" i="15"/>
  <c r="K464" i="15"/>
  <c r="K1335" i="15"/>
  <c r="K531" i="15"/>
  <c r="K1272" i="15"/>
  <c r="K647" i="15"/>
  <c r="K76" i="15"/>
  <c r="K537" i="15"/>
  <c r="K1033" i="15"/>
  <c r="K84" i="15"/>
  <c r="K996" i="15"/>
  <c r="K421" i="15"/>
  <c r="K1417" i="15"/>
  <c r="K1129" i="15"/>
  <c r="K181" i="15"/>
  <c r="K716" i="15"/>
  <c r="K151" i="15"/>
  <c r="K1403" i="15"/>
  <c r="K994" i="15"/>
  <c r="K1220" i="15"/>
  <c r="K889" i="15"/>
  <c r="K217" i="15"/>
  <c r="K1020" i="15"/>
  <c r="K1317" i="15"/>
  <c r="K1028" i="15"/>
  <c r="K1108" i="15"/>
  <c r="K257" i="15"/>
  <c r="K1441" i="15"/>
  <c r="K748" i="15"/>
  <c r="K752" i="15"/>
  <c r="K608" i="15"/>
  <c r="K799" i="15"/>
  <c r="K1250" i="15"/>
  <c r="K1391" i="15"/>
  <c r="K804" i="15"/>
  <c r="K1137" i="15"/>
  <c r="K1019" i="15"/>
  <c r="K1292" i="15"/>
  <c r="K932" i="15"/>
  <c r="K1387" i="15"/>
  <c r="K523" i="15"/>
  <c r="K792" i="15"/>
  <c r="K467" i="15"/>
  <c r="K920" i="15"/>
  <c r="K161" i="15"/>
  <c r="K343" i="15"/>
  <c r="K1155" i="15"/>
  <c r="K868" i="15"/>
  <c r="K444" i="15"/>
  <c r="K360" i="15"/>
  <c r="K498" i="15"/>
  <c r="K1038" i="15"/>
  <c r="K1202" i="15"/>
  <c r="K1423" i="15"/>
  <c r="K535" i="15"/>
  <c r="K1226" i="15"/>
  <c r="K1041" i="15"/>
  <c r="K909" i="15"/>
  <c r="K1332" i="15"/>
  <c r="K180" i="15"/>
  <c r="K722" i="15"/>
  <c r="K852" i="15"/>
  <c r="K1067" i="15"/>
  <c r="K1092" i="15"/>
  <c r="K1004" i="15"/>
  <c r="K1246" i="15"/>
  <c r="K1415" i="15"/>
  <c r="K122" i="15"/>
  <c r="K527" i="15"/>
  <c r="K824" i="15"/>
  <c r="K1168" i="15"/>
  <c r="K809" i="15"/>
  <c r="K19" i="15"/>
  <c r="K110" i="15"/>
  <c r="K1258" i="15"/>
  <c r="K605" i="15"/>
  <c r="K1224" i="15"/>
  <c r="K1245" i="15"/>
  <c r="K202" i="15"/>
  <c r="K584" i="15"/>
  <c r="K1147" i="15"/>
  <c r="K589" i="15"/>
  <c r="K1094" i="15"/>
  <c r="K1156" i="15"/>
  <c r="K318" i="15"/>
  <c r="K65" i="15"/>
  <c r="K1013" i="15"/>
  <c r="K775" i="15"/>
  <c r="K939" i="15"/>
  <c r="K1330" i="15"/>
  <c r="K1093" i="15"/>
  <c r="K192" i="15"/>
  <c r="K664" i="15"/>
  <c r="K610" i="15"/>
  <c r="K1413" i="15"/>
  <c r="K661" i="15"/>
  <c r="K1280" i="15"/>
  <c r="K266" i="15"/>
  <c r="K628" i="15"/>
  <c r="K4" i="15"/>
  <c r="K414" i="15"/>
  <c r="K643" i="15"/>
  <c r="K401" i="15"/>
  <c r="K216" i="15"/>
  <c r="K117" i="15"/>
  <c r="K1329" i="15"/>
  <c r="K891" i="15"/>
  <c r="K1420" i="15"/>
  <c r="K81" i="15"/>
  <c r="K325" i="15"/>
  <c r="K6" i="15"/>
  <c r="K96" i="15"/>
  <c r="K222" i="15"/>
  <c r="K342" i="15"/>
  <c r="K617" i="15"/>
  <c r="K1410" i="15"/>
  <c r="K658" i="15"/>
  <c r="K943" i="15"/>
  <c r="K627" i="15"/>
  <c r="K1054" i="15"/>
  <c r="K18" i="15"/>
  <c r="K1294" i="15"/>
  <c r="K1190" i="15"/>
  <c r="K94" i="15"/>
  <c r="K1349" i="15"/>
  <c r="K204" i="15"/>
  <c r="K1334" i="15"/>
  <c r="K7" i="15"/>
  <c r="K963" i="15"/>
  <c r="K195" i="15"/>
  <c r="K879" i="15"/>
  <c r="K27" i="15"/>
  <c r="K1291" i="15"/>
  <c r="K200" i="15"/>
  <c r="K308" i="15"/>
  <c r="K921" i="15"/>
  <c r="K606" i="15"/>
  <c r="K1339" i="15"/>
  <c r="K1393" i="15"/>
  <c r="K641" i="15"/>
  <c r="K947" i="15"/>
  <c r="K487" i="15"/>
  <c r="K854" i="15"/>
  <c r="K190" i="15"/>
  <c r="K1424" i="15"/>
  <c r="K1293" i="15"/>
  <c r="K570" i="15"/>
  <c r="K732" i="15"/>
  <c r="K412" i="15"/>
  <c r="K997" i="15"/>
  <c r="K1333" i="15"/>
  <c r="K1161" i="15"/>
  <c r="K1328" i="15"/>
  <c r="K907" i="15"/>
  <c r="K510" i="15"/>
  <c r="K942" i="15"/>
  <c r="K1407" i="15"/>
  <c r="K951" i="15"/>
  <c r="K1398" i="15"/>
  <c r="K697" i="15"/>
  <c r="K703" i="15"/>
  <c r="K1032" i="15"/>
  <c r="K1414" i="15"/>
  <c r="K328" i="15"/>
  <c r="K230" i="15"/>
  <c r="K1399" i="15"/>
  <c r="K1169" i="15"/>
  <c r="K1218" i="15"/>
  <c r="K9" i="15"/>
  <c r="K790" i="15"/>
  <c r="K1347" i="15"/>
  <c r="K773" i="15"/>
  <c r="K203" i="15"/>
  <c r="K36" i="15"/>
  <c r="K432" i="15"/>
  <c r="K1023" i="15"/>
  <c r="K602" i="15"/>
  <c r="K71" i="15"/>
  <c r="K107" i="15"/>
  <c r="K663" i="15"/>
  <c r="K101" i="15"/>
  <c r="K1427" i="15"/>
  <c r="K1426" i="15"/>
  <c r="K1128" i="15"/>
  <c r="K626" i="15"/>
  <c r="K726" i="15"/>
  <c r="K567" i="15"/>
  <c r="K890" i="15"/>
  <c r="K294" i="15"/>
  <c r="K369" i="15"/>
  <c r="K669" i="15"/>
  <c r="K934" i="15"/>
  <c r="J1459" i="15"/>
  <c r="J1460" i="15"/>
  <c r="J1461" i="15"/>
  <c r="J1462" i="15"/>
  <c r="G1143" i="96" s="1"/>
  <c r="H1143" i="96" s="1"/>
  <c r="J1463" i="15"/>
  <c r="J1464" i="15"/>
  <c r="J1465" i="15"/>
  <c r="J1466" i="15"/>
  <c r="J1467" i="15"/>
  <c r="J1468" i="15"/>
  <c r="J1469" i="15"/>
  <c r="J1470" i="15"/>
  <c r="J1471" i="15"/>
  <c r="J1472" i="15"/>
  <c r="J1473" i="15"/>
  <c r="G1335" i="96" s="1"/>
  <c r="H1335" i="96" s="1"/>
  <c r="H1174" i="15" l="1"/>
  <c r="I1174" i="15"/>
  <c r="H470" i="15"/>
  <c r="I470" i="15"/>
  <c r="H1061" i="15"/>
  <c r="I1061" i="15"/>
  <c r="H903" i="15"/>
  <c r="I903" i="15"/>
  <c r="H1076" i="15"/>
  <c r="I1076" i="15"/>
  <c r="H496" i="15"/>
  <c r="I496" i="15"/>
  <c r="H1326" i="15"/>
  <c r="I1326" i="15"/>
  <c r="H1219" i="15"/>
  <c r="I1219" i="15"/>
  <c r="H552" i="15"/>
  <c r="I552" i="15"/>
  <c r="H577" i="15"/>
  <c r="I577" i="15"/>
  <c r="H1206" i="15"/>
  <c r="I1206" i="15"/>
  <c r="H558" i="15"/>
  <c r="I558" i="15"/>
  <c r="H645" i="15"/>
  <c r="I645" i="15"/>
  <c r="H927" i="15"/>
  <c r="I927" i="15"/>
  <c r="H124" i="15"/>
  <c r="I124" i="15"/>
  <c r="H429" i="15"/>
  <c r="I429" i="15"/>
  <c r="H926" i="15"/>
  <c r="I926" i="15"/>
  <c r="H954" i="15"/>
  <c r="I954" i="15"/>
  <c r="H1273" i="15"/>
  <c r="I1273" i="15"/>
  <c r="H607" i="15"/>
  <c r="I607" i="15"/>
  <c r="H1180" i="15"/>
  <c r="I1180" i="15"/>
  <c r="H1350" i="15"/>
  <c r="I1350" i="15"/>
  <c r="H462" i="15"/>
  <c r="I462" i="15"/>
  <c r="H179" i="15"/>
  <c r="I179" i="15"/>
  <c r="H876" i="15"/>
  <c r="I876" i="15"/>
  <c r="H205" i="15"/>
  <c r="I205" i="15"/>
  <c r="H206" i="15"/>
  <c r="I206" i="15"/>
  <c r="H1260" i="15"/>
  <c r="I1260" i="15"/>
  <c r="H28" i="15"/>
  <c r="I28" i="15"/>
  <c r="H40" i="15"/>
  <c r="I40" i="15"/>
  <c r="H64" i="15"/>
  <c r="I64" i="15"/>
  <c r="H209" i="15"/>
  <c r="I209" i="15"/>
  <c r="H634" i="15"/>
  <c r="I634" i="15"/>
  <c r="H210" i="15"/>
  <c r="I210" i="15"/>
  <c r="H673" i="15"/>
  <c r="I673" i="15"/>
  <c r="H212" i="15"/>
  <c r="I212" i="15"/>
  <c r="H214" i="15"/>
  <c r="I214" i="15"/>
  <c r="H215" i="15"/>
  <c r="I215" i="15"/>
  <c r="H220" i="15"/>
  <c r="I220" i="15"/>
  <c r="H221" i="15"/>
  <c r="I221" i="15"/>
  <c r="H834" i="15"/>
  <c r="I834" i="15"/>
  <c r="H835" i="15"/>
  <c r="I835" i="15"/>
  <c r="H1031" i="15"/>
  <c r="I1031" i="15"/>
  <c r="H2" i="15"/>
  <c r="I2" i="15"/>
  <c r="H1261" i="15"/>
  <c r="I1261" i="15"/>
  <c r="H3" i="15"/>
  <c r="I3" i="15"/>
  <c r="H1262" i="15"/>
  <c r="I1262" i="15"/>
  <c r="H1034" i="15"/>
  <c r="I1034" i="15"/>
  <c r="H1264" i="15"/>
  <c r="I1264" i="15"/>
  <c r="H680" i="15"/>
  <c r="I680" i="15"/>
  <c r="H838" i="15"/>
  <c r="I838" i="15"/>
  <c r="H693" i="15"/>
  <c r="I693" i="15"/>
  <c r="H839" i="15"/>
  <c r="I839" i="15"/>
  <c r="H715" i="15"/>
  <c r="I715" i="15"/>
  <c r="H841" i="15"/>
  <c r="I841" i="15"/>
  <c r="H1295" i="15"/>
  <c r="I1295" i="15"/>
  <c r="H665" i="15"/>
  <c r="I665" i="15"/>
  <c r="H1299" i="15"/>
  <c r="I1299" i="15"/>
  <c r="H766" i="15"/>
  <c r="I766" i="15"/>
  <c r="H842" i="15"/>
  <c r="I842" i="15"/>
  <c r="H820" i="15"/>
  <c r="I820" i="15"/>
  <c r="H1310" i="15"/>
  <c r="I1310" i="15"/>
  <c r="H5" i="15"/>
  <c r="I5" i="15"/>
  <c r="H650" i="15"/>
  <c r="I650" i="15"/>
  <c r="H843" i="15"/>
  <c r="I843" i="15"/>
  <c r="H1314" i="15"/>
  <c r="I1314" i="15"/>
  <c r="H1315" i="15"/>
  <c r="I1315" i="15"/>
  <c r="H1036" i="15"/>
  <c r="I1036" i="15"/>
  <c r="H682" i="15"/>
  <c r="I682" i="15"/>
  <c r="H1352" i="15"/>
  <c r="I1352" i="15"/>
  <c r="H688" i="15"/>
  <c r="I688" i="15"/>
  <c r="H1354" i="15"/>
  <c r="I1354" i="15"/>
  <c r="H695" i="15"/>
  <c r="I695" i="15"/>
  <c r="H845" i="15"/>
  <c r="I845" i="15"/>
  <c r="H1039" i="15"/>
  <c r="I1039" i="15"/>
  <c r="H1377" i="15"/>
  <c r="I1377" i="15"/>
  <c r="H699" i="15"/>
  <c r="I699" i="15"/>
  <c r="H704" i="15"/>
  <c r="I704" i="15"/>
  <c r="H1431" i="15"/>
  <c r="I1431" i="15"/>
  <c r="H734" i="15"/>
  <c r="I734" i="15"/>
  <c r="H846" i="15"/>
  <c r="I846" i="15"/>
  <c r="H10" i="15"/>
  <c r="I10" i="15"/>
  <c r="H747" i="15"/>
  <c r="I747" i="15"/>
  <c r="H848" i="15"/>
  <c r="I848" i="15"/>
  <c r="H1267" i="15"/>
  <c r="I1267" i="15"/>
  <c r="H11" i="15"/>
  <c r="I11" i="15"/>
  <c r="H749" i="15"/>
  <c r="I749" i="15"/>
  <c r="H1268" i="15"/>
  <c r="I1268" i="15"/>
  <c r="H1040" i="15"/>
  <c r="I1040" i="15"/>
  <c r="H1269" i="15"/>
  <c r="I1269" i="15"/>
  <c r="H777" i="15"/>
  <c r="I777" i="15"/>
  <c r="H12" i="15"/>
  <c r="I12" i="15"/>
  <c r="H849" i="15"/>
  <c r="I849" i="15"/>
  <c r="H815" i="15"/>
  <c r="I815" i="15"/>
  <c r="H13" i="15"/>
  <c r="I13" i="15"/>
  <c r="H850" i="15"/>
  <c r="I850" i="15"/>
  <c r="H1281" i="15"/>
  <c r="I1281" i="15"/>
  <c r="H1042" i="15"/>
  <c r="I1042" i="15"/>
  <c r="H1283" i="15"/>
  <c r="I1283" i="15"/>
  <c r="H16" i="15"/>
  <c r="I16" i="15"/>
  <c r="H825" i="15"/>
  <c r="I825" i="15"/>
  <c r="H851" i="15"/>
  <c r="I851" i="15"/>
  <c r="H1289" i="15"/>
  <c r="I1289" i="15"/>
  <c r="H819" i="15"/>
  <c r="I819" i="15"/>
  <c r="H420" i="15"/>
  <c r="I420" i="15"/>
  <c r="H1307" i="15"/>
  <c r="I1307" i="15"/>
  <c r="H853" i="15"/>
  <c r="I853" i="15"/>
  <c r="H1311" i="15"/>
  <c r="I1311" i="15"/>
  <c r="H855" i="15"/>
  <c r="I855" i="15"/>
  <c r="H422" i="15"/>
  <c r="I422" i="15"/>
  <c r="H1320" i="15"/>
  <c r="I1320" i="15"/>
  <c r="H17" i="15"/>
  <c r="I17" i="15"/>
  <c r="H1259" i="15"/>
  <c r="I1259" i="15"/>
  <c r="H1043" i="15"/>
  <c r="I1043" i="15"/>
  <c r="H710" i="15"/>
  <c r="I710" i="15"/>
  <c r="H856" i="15"/>
  <c r="I856" i="15"/>
  <c r="H730" i="15"/>
  <c r="I730" i="15"/>
  <c r="H224" i="15"/>
  <c r="I224" i="15"/>
  <c r="H20" i="15"/>
  <c r="I20" i="15"/>
  <c r="H755" i="15"/>
  <c r="I755" i="15"/>
  <c r="H1353" i="15"/>
  <c r="I1353" i="15"/>
  <c r="H225" i="15"/>
  <c r="I225" i="15"/>
  <c r="H226" i="15"/>
  <c r="I226" i="15"/>
  <c r="H762" i="15"/>
  <c r="I762" i="15"/>
  <c r="H1356" i="15"/>
  <c r="I1356" i="15"/>
  <c r="H829" i="15"/>
  <c r="I829" i="15"/>
  <c r="H1365" i="15"/>
  <c r="I1365" i="15"/>
  <c r="H1371" i="15"/>
  <c r="I1371" i="15"/>
  <c r="H1379" i="15"/>
  <c r="I1379" i="15"/>
  <c r="H227" i="15"/>
  <c r="I227" i="15"/>
  <c r="H816" i="15"/>
  <c r="I816" i="15"/>
  <c r="H676" i="15"/>
  <c r="I676" i="15"/>
  <c r="H228" i="15"/>
  <c r="I228" i="15"/>
  <c r="H687" i="15"/>
  <c r="I687" i="15"/>
  <c r="H1411" i="15"/>
  <c r="I1411" i="15"/>
  <c r="H692" i="15"/>
  <c r="I692" i="15"/>
  <c r="H229" i="15"/>
  <c r="I229" i="15"/>
  <c r="H701" i="15"/>
  <c r="I701" i="15"/>
  <c r="H760" i="15"/>
  <c r="I760" i="15"/>
  <c r="H785" i="15"/>
  <c r="I785" i="15"/>
  <c r="H1422" i="15"/>
  <c r="I1422" i="15"/>
  <c r="H23" i="15"/>
  <c r="I23" i="15"/>
  <c r="H24" i="15"/>
  <c r="I24" i="15"/>
  <c r="H423" i="15"/>
  <c r="I423" i="15"/>
  <c r="H1429" i="15"/>
  <c r="I1429" i="15"/>
  <c r="H424" i="15"/>
  <c r="I424" i="15"/>
  <c r="H1434" i="15"/>
  <c r="I1434" i="15"/>
  <c r="H858" i="15"/>
  <c r="I858" i="15"/>
  <c r="H425" i="15"/>
  <c r="I425" i="15"/>
  <c r="H1045" i="15"/>
  <c r="I1045" i="15"/>
  <c r="H1448" i="15"/>
  <c r="I1448" i="15"/>
  <c r="H29" i="15"/>
  <c r="I29" i="15"/>
  <c r="H426" i="15"/>
  <c r="I426" i="15"/>
  <c r="H860" i="15"/>
  <c r="I860" i="15"/>
  <c r="H1046" i="15"/>
  <c r="I1046" i="15"/>
  <c r="H1270" i="15"/>
  <c r="I1270" i="15"/>
  <c r="H427" i="15"/>
  <c r="I427" i="15"/>
  <c r="H1271" i="15"/>
  <c r="I1271" i="15"/>
  <c r="H861" i="15"/>
  <c r="I861" i="15"/>
  <c r="H32" i="15"/>
  <c r="I32" i="15"/>
  <c r="H1047" i="15"/>
  <c r="I1047" i="15"/>
  <c r="H33" i="15"/>
  <c r="I33" i="15"/>
  <c r="H863" i="15"/>
  <c r="I863" i="15"/>
  <c r="H34" i="15"/>
  <c r="I34" i="15"/>
  <c r="H1049" i="15"/>
  <c r="I1049" i="15"/>
  <c r="H1257" i="15"/>
  <c r="I1257" i="15"/>
  <c r="H37" i="15"/>
  <c r="I37" i="15"/>
  <c r="H431" i="15"/>
  <c r="I431" i="15"/>
  <c r="H866" i="15"/>
  <c r="I866" i="15"/>
  <c r="H1050" i="15"/>
  <c r="I1050" i="15"/>
  <c r="H1256" i="15"/>
  <c r="I1256" i="15"/>
  <c r="H1051" i="15"/>
  <c r="I1051" i="15"/>
  <c r="H788" i="15"/>
  <c r="I788" i="15"/>
  <c r="H797" i="15"/>
  <c r="I797" i="15"/>
  <c r="H433" i="15"/>
  <c r="I433" i="15"/>
  <c r="H435" i="15"/>
  <c r="I435" i="15"/>
  <c r="H1255" i="15"/>
  <c r="I1255" i="15"/>
  <c r="H869" i="15"/>
  <c r="I869" i="15"/>
  <c r="H436" i="15"/>
  <c r="I436" i="15"/>
  <c r="H870" i="15"/>
  <c r="I870" i="15"/>
  <c r="H38" i="15"/>
  <c r="I38" i="15"/>
  <c r="H871" i="15"/>
  <c r="I871" i="15"/>
  <c r="H39" i="15"/>
  <c r="I39" i="15"/>
  <c r="H872" i="15"/>
  <c r="I872" i="15"/>
  <c r="H1287" i="15"/>
  <c r="I1287" i="15"/>
  <c r="H41" i="15"/>
  <c r="I41" i="15"/>
  <c r="H873" i="15"/>
  <c r="I873" i="15"/>
  <c r="H1288" i="15"/>
  <c r="I1288" i="15"/>
  <c r="H42" i="15"/>
  <c r="I42" i="15"/>
  <c r="H1296" i="15"/>
  <c r="I1296" i="15"/>
  <c r="H43" i="15"/>
  <c r="I43" i="15"/>
  <c r="H874" i="15"/>
  <c r="I874" i="15"/>
  <c r="H437" i="15"/>
  <c r="I437" i="15"/>
  <c r="H1251" i="15"/>
  <c r="I1251" i="15"/>
  <c r="H813" i="15"/>
  <c r="I813" i="15"/>
  <c r="H231" i="15"/>
  <c r="I231" i="15"/>
  <c r="H1298" i="15"/>
  <c r="I1298" i="15"/>
  <c r="H1053" i="15"/>
  <c r="I1053" i="15"/>
  <c r="H1249" i="15"/>
  <c r="I1249" i="15"/>
  <c r="H438" i="15"/>
  <c r="I438" i="15"/>
  <c r="H1057" i="15"/>
  <c r="I1057" i="15"/>
  <c r="H1303" i="15"/>
  <c r="I1303" i="15"/>
  <c r="H1247" i="15"/>
  <c r="I1247" i="15"/>
  <c r="H708" i="15"/>
  <c r="I708" i="15"/>
  <c r="H1308" i="15"/>
  <c r="I1308" i="15"/>
  <c r="H44" i="15"/>
  <c r="I44" i="15"/>
  <c r="H718" i="15"/>
  <c r="I718" i="15"/>
  <c r="H1058" i="15"/>
  <c r="I1058" i="15"/>
  <c r="H875" i="15"/>
  <c r="I875" i="15"/>
  <c r="H439" i="15"/>
  <c r="I439" i="15"/>
  <c r="H1313" i="15"/>
  <c r="I1313" i="15"/>
  <c r="H442" i="15"/>
  <c r="I442" i="15"/>
  <c r="H1316" i="15"/>
  <c r="I1316" i="15"/>
  <c r="H1059" i="15"/>
  <c r="I1059" i="15"/>
  <c r="H881" i="15"/>
  <c r="I881" i="15"/>
  <c r="H1323" i="15"/>
  <c r="I1323" i="15"/>
  <c r="H1345" i="15"/>
  <c r="I1345" i="15"/>
  <c r="H1351" i="15"/>
  <c r="I1351" i="15"/>
  <c r="H232" i="15"/>
  <c r="I232" i="15"/>
  <c r="H1064" i="15"/>
  <c r="I1064" i="15"/>
  <c r="H445" i="15"/>
  <c r="I445" i="15"/>
  <c r="H795" i="15"/>
  <c r="I795" i="15"/>
  <c r="H1065" i="15"/>
  <c r="I1065" i="15"/>
  <c r="H1360" i="15"/>
  <c r="I1360" i="15"/>
  <c r="H756" i="15"/>
  <c r="I756" i="15"/>
  <c r="H447" i="15"/>
  <c r="I447" i="15"/>
  <c r="H233" i="15"/>
  <c r="I233" i="15"/>
  <c r="H884" i="15"/>
  <c r="I884" i="15"/>
  <c r="H1362" i="15"/>
  <c r="I1362" i="15"/>
  <c r="H761" i="15"/>
  <c r="I761" i="15"/>
  <c r="H448" i="15"/>
  <c r="I448" i="15"/>
  <c r="H1363" i="15"/>
  <c r="I1363" i="15"/>
  <c r="H742" i="15"/>
  <c r="I742" i="15"/>
  <c r="H449" i="15"/>
  <c r="I449" i="15"/>
  <c r="H1366" i="15"/>
  <c r="I1366" i="15"/>
  <c r="H662" i="15"/>
  <c r="I662" i="15"/>
  <c r="H450" i="15"/>
  <c r="I450" i="15"/>
  <c r="H725" i="15"/>
  <c r="I725" i="15"/>
  <c r="H768" i="15"/>
  <c r="I768" i="15"/>
  <c r="H451" i="15"/>
  <c r="I451" i="15"/>
  <c r="H452" i="15"/>
  <c r="I452" i="15"/>
  <c r="H234" i="15"/>
  <c r="I234" i="15"/>
  <c r="H453" i="15"/>
  <c r="I453" i="15"/>
  <c r="H236" i="15"/>
  <c r="I236" i="15"/>
  <c r="H831" i="15"/>
  <c r="I831" i="15"/>
  <c r="H237" i="15"/>
  <c r="I237" i="15"/>
  <c r="H624" i="15"/>
  <c r="I624" i="15"/>
  <c r="H238" i="15"/>
  <c r="I238" i="15"/>
  <c r="H629" i="15"/>
  <c r="I629" i="15"/>
  <c r="H239" i="15"/>
  <c r="I239" i="15"/>
  <c r="H240" i="15"/>
  <c r="I240" i="15"/>
  <c r="H288" i="15"/>
  <c r="I288" i="15"/>
  <c r="H241" i="15"/>
  <c r="I241" i="15"/>
  <c r="H290" i="15"/>
  <c r="I290" i="15"/>
  <c r="H242" i="15"/>
  <c r="I242" i="15"/>
  <c r="H291" i="15"/>
  <c r="I291" i="15"/>
  <c r="H292" i="15"/>
  <c r="I292" i="15"/>
  <c r="H245" i="15"/>
  <c r="I245" i="15"/>
  <c r="H887" i="15"/>
  <c r="I887" i="15"/>
  <c r="H888" i="15"/>
  <c r="I888" i="15"/>
  <c r="H46" i="15"/>
  <c r="I46" i="15"/>
  <c r="H246" i="15"/>
  <c r="I246" i="15"/>
  <c r="H48" i="15"/>
  <c r="I48" i="15"/>
  <c r="H248" i="15"/>
  <c r="I248" i="15"/>
  <c r="H250" i="15"/>
  <c r="I250" i="15"/>
  <c r="H251" i="15"/>
  <c r="I251" i="15"/>
  <c r="H252" i="15"/>
  <c r="I252" i="15"/>
  <c r="H892" i="15"/>
  <c r="I892" i="15"/>
  <c r="H253" i="15"/>
  <c r="I253" i="15"/>
  <c r="H254" i="15"/>
  <c r="I254" i="15"/>
  <c r="H256" i="15"/>
  <c r="I256" i="15"/>
  <c r="H1372" i="15"/>
  <c r="I1372" i="15"/>
  <c r="H57" i="15"/>
  <c r="I57" i="15"/>
  <c r="H259" i="15"/>
  <c r="I259" i="15"/>
  <c r="H1373" i="15"/>
  <c r="I1373" i="15"/>
  <c r="H1376" i="15"/>
  <c r="I1376" i="15"/>
  <c r="H261" i="15"/>
  <c r="I261" i="15"/>
  <c r="H893" i="15"/>
  <c r="I893" i="15"/>
  <c r="H1066" i="15"/>
  <c r="I1066" i="15"/>
  <c r="H1382" i="15"/>
  <c r="I1382" i="15"/>
  <c r="H262" i="15"/>
  <c r="I262" i="15"/>
  <c r="H894" i="15"/>
  <c r="I894" i="15"/>
  <c r="H454" i="15"/>
  <c r="I454" i="15"/>
  <c r="H263" i="15"/>
  <c r="I263" i="15"/>
  <c r="H895" i="15"/>
  <c r="I895" i="15"/>
  <c r="H455" i="15"/>
  <c r="I455" i="15"/>
  <c r="H267" i="15"/>
  <c r="I267" i="15"/>
  <c r="H896" i="15"/>
  <c r="I896" i="15"/>
  <c r="H1408" i="15"/>
  <c r="I1408" i="15"/>
  <c r="H456" i="15"/>
  <c r="I456" i="15"/>
  <c r="H1412" i="15"/>
  <c r="I1412" i="15"/>
  <c r="H457" i="15"/>
  <c r="I457" i="15"/>
  <c r="H898" i="15"/>
  <c r="I898" i="15"/>
  <c r="H458" i="15"/>
  <c r="I458" i="15"/>
  <c r="H1418" i="15"/>
  <c r="I1418" i="15"/>
  <c r="H1068" i="15"/>
  <c r="I1068" i="15"/>
  <c r="H459" i="15"/>
  <c r="I459" i="15"/>
  <c r="H269" i="15"/>
  <c r="I269" i="15"/>
  <c r="H899" i="15"/>
  <c r="I899" i="15"/>
  <c r="H1419" i="15"/>
  <c r="I1419" i="15"/>
  <c r="H270" i="15"/>
  <c r="I270" i="15"/>
  <c r="H1072" i="15"/>
  <c r="I1072" i="15"/>
  <c r="H900" i="15"/>
  <c r="I900" i="15"/>
  <c r="H1438" i="15"/>
  <c r="I1438" i="15"/>
  <c r="H460" i="15"/>
  <c r="I460" i="15"/>
  <c r="H271" i="15"/>
  <c r="I271" i="15"/>
  <c r="H1073" i="15"/>
  <c r="I1073" i="15"/>
  <c r="H901" i="15"/>
  <c r="I901" i="15"/>
  <c r="H1435" i="15"/>
  <c r="I1435" i="15"/>
  <c r="H1439" i="15"/>
  <c r="I1439" i="15"/>
  <c r="H463" i="15"/>
  <c r="I463" i="15"/>
  <c r="H902" i="15"/>
  <c r="I902" i="15"/>
  <c r="H47" i="15"/>
  <c r="I47" i="15"/>
  <c r="H272" i="15"/>
  <c r="I272" i="15"/>
  <c r="H1074" i="15"/>
  <c r="I1074" i="15"/>
  <c r="H466" i="15"/>
  <c r="I466" i="15"/>
  <c r="H1266" i="15"/>
  <c r="I1266" i="15"/>
  <c r="H905" i="15"/>
  <c r="I905" i="15"/>
  <c r="H49" i="15"/>
  <c r="I49" i="15"/>
  <c r="H468" i="15"/>
  <c r="I468" i="15"/>
  <c r="H53" i="15"/>
  <c r="I53" i="15"/>
  <c r="H906" i="15"/>
  <c r="I906" i="15"/>
  <c r="H469" i="15"/>
  <c r="I469" i="15"/>
  <c r="H56" i="15"/>
  <c r="I56" i="15"/>
  <c r="H472" i="15"/>
  <c r="I472" i="15"/>
  <c r="H58" i="15"/>
  <c r="I58" i="15"/>
  <c r="H908" i="15"/>
  <c r="I908" i="15"/>
  <c r="H1075" i="15"/>
  <c r="I1075" i="15"/>
  <c r="H474" i="15"/>
  <c r="I474" i="15"/>
  <c r="H1275" i="15"/>
  <c r="I1275" i="15"/>
  <c r="H912" i="15"/>
  <c r="I912" i="15"/>
  <c r="H475" i="15"/>
  <c r="I475" i="15"/>
  <c r="H1077" i="15"/>
  <c r="I1077" i="15"/>
  <c r="H1279" i="15"/>
  <c r="I1279" i="15"/>
  <c r="H1078" i="15"/>
  <c r="I1078" i="15"/>
  <c r="H913" i="15"/>
  <c r="I913" i="15"/>
  <c r="H1331" i="15"/>
  <c r="I1331" i="15"/>
  <c r="H477" i="15"/>
  <c r="I477" i="15"/>
  <c r="H1079" i="15"/>
  <c r="I1079" i="15"/>
  <c r="H914" i="15"/>
  <c r="I914" i="15"/>
  <c r="H1450" i="15"/>
  <c r="I1450" i="15"/>
  <c r="H915" i="15"/>
  <c r="I915" i="15"/>
  <c r="H1452" i="15"/>
  <c r="I1452" i="15"/>
  <c r="H1285" i="15"/>
  <c r="I1285" i="15"/>
  <c r="H916" i="15"/>
  <c r="I916" i="15"/>
  <c r="H917" i="15"/>
  <c r="I917" i="15"/>
  <c r="H61" i="15"/>
  <c r="I61" i="15"/>
  <c r="H1081" i="15"/>
  <c r="I1081" i="15"/>
  <c r="H923" i="15"/>
  <c r="I923" i="15"/>
  <c r="H924" i="15"/>
  <c r="I924" i="15"/>
  <c r="H62" i="15"/>
  <c r="I62" i="15"/>
  <c r="H1297" i="15"/>
  <c r="I1297" i="15"/>
  <c r="H925" i="15"/>
  <c r="I925" i="15"/>
  <c r="H63" i="15"/>
  <c r="I63" i="15"/>
  <c r="H1085" i="15"/>
  <c r="I1085" i="15"/>
  <c r="H1300" i="15"/>
  <c r="I1300" i="15"/>
  <c r="H1304" i="15"/>
  <c r="I1304" i="15"/>
  <c r="H1306" i="15"/>
  <c r="I1306" i="15"/>
  <c r="H479" i="15"/>
  <c r="I479" i="15"/>
  <c r="H480" i="15"/>
  <c r="I480" i="15"/>
  <c r="H1309" i="15"/>
  <c r="I1309" i="15"/>
  <c r="H481" i="15"/>
  <c r="I481" i="15"/>
  <c r="H1312" i="15"/>
  <c r="I1312" i="15"/>
  <c r="H1088" i="15"/>
  <c r="I1088" i="15"/>
  <c r="H66" i="15"/>
  <c r="I66" i="15"/>
  <c r="H482" i="15"/>
  <c r="I482" i="15"/>
  <c r="H1319" i="15"/>
  <c r="I1319" i="15"/>
  <c r="H483" i="15"/>
  <c r="I483" i="15"/>
  <c r="H1322" i="15"/>
  <c r="I1322" i="15"/>
  <c r="H67" i="15"/>
  <c r="I67" i="15"/>
  <c r="H1327" i="15"/>
  <c r="I1327" i="15"/>
  <c r="H1343" i="15"/>
  <c r="I1343" i="15"/>
  <c r="H1089" i="15"/>
  <c r="I1089" i="15"/>
  <c r="H928" i="15"/>
  <c r="I928" i="15"/>
  <c r="H1348" i="15"/>
  <c r="I1348" i="15"/>
  <c r="H485" i="15"/>
  <c r="I485" i="15"/>
  <c r="H1244" i="15"/>
  <c r="I1244" i="15"/>
  <c r="H486" i="15"/>
  <c r="I486" i="15"/>
  <c r="H1091" i="15"/>
  <c r="I1091" i="15"/>
  <c r="H488" i="15"/>
  <c r="I488" i="15"/>
  <c r="H1243" i="15"/>
  <c r="I1243" i="15"/>
  <c r="H929" i="15"/>
  <c r="I929" i="15"/>
  <c r="H490" i="15"/>
  <c r="I490" i="15"/>
  <c r="H491" i="15"/>
  <c r="I491" i="15"/>
  <c r="H1240" i="15"/>
  <c r="I1240" i="15"/>
  <c r="H492" i="15"/>
  <c r="I492" i="15"/>
  <c r="H1355" i="15"/>
  <c r="I1355" i="15"/>
  <c r="H1095" i="15"/>
  <c r="I1095" i="15"/>
  <c r="H73" i="15"/>
  <c r="I73" i="15"/>
  <c r="H499" i="15"/>
  <c r="I499" i="15"/>
  <c r="H1096" i="15"/>
  <c r="I1096" i="15"/>
  <c r="H503" i="15"/>
  <c r="I503" i="15"/>
  <c r="H1238" i="15"/>
  <c r="I1238" i="15"/>
  <c r="H930" i="15"/>
  <c r="I930" i="15"/>
  <c r="H1097" i="15"/>
  <c r="I1097" i="15"/>
  <c r="H638" i="15"/>
  <c r="I638" i="15"/>
  <c r="H931" i="15"/>
  <c r="I931" i="15"/>
  <c r="H1361" i="15"/>
  <c r="I1361" i="15"/>
  <c r="H1237" i="15"/>
  <c r="I1237" i="15"/>
  <c r="H1367" i="15"/>
  <c r="I1367" i="15"/>
  <c r="H1098" i="15"/>
  <c r="I1098" i="15"/>
  <c r="H933" i="15"/>
  <c r="I933" i="15"/>
  <c r="H1368" i="15"/>
  <c r="I1368" i="15"/>
  <c r="H1099" i="15"/>
  <c r="I1099" i="15"/>
  <c r="H1369" i="15"/>
  <c r="I1369" i="15"/>
  <c r="H1236" i="15"/>
  <c r="I1236" i="15"/>
  <c r="H652" i="15"/>
  <c r="I652" i="15"/>
  <c r="H1100" i="15"/>
  <c r="I1100" i="15"/>
  <c r="H75" i="15"/>
  <c r="I75" i="15"/>
  <c r="H1378" i="15"/>
  <c r="I1378" i="15"/>
  <c r="H275" i="15"/>
  <c r="I275" i="15"/>
  <c r="H77" i="15"/>
  <c r="I77" i="15"/>
  <c r="H504" i="15"/>
  <c r="I504" i="15"/>
  <c r="H1385" i="15"/>
  <c r="I1385" i="15"/>
  <c r="H1101" i="15"/>
  <c r="I1101" i="15"/>
  <c r="H936" i="15"/>
  <c r="I936" i="15"/>
  <c r="H79" i="15"/>
  <c r="I79" i="15"/>
  <c r="H1451" i="15"/>
  <c r="I1451" i="15"/>
  <c r="H937" i="15"/>
  <c r="I937" i="15"/>
  <c r="H1102" i="15"/>
  <c r="I1102" i="15"/>
  <c r="H1233" i="15"/>
  <c r="I1233" i="15"/>
  <c r="H82" i="15"/>
  <c r="I82" i="15"/>
  <c r="H940" i="15"/>
  <c r="I940" i="15"/>
  <c r="H1375" i="15"/>
  <c r="I1375" i="15"/>
  <c r="H83" i="15"/>
  <c r="I83" i="15"/>
  <c r="H1103" i="15"/>
  <c r="I1103" i="15"/>
  <c r="H508" i="15"/>
  <c r="I508" i="15"/>
  <c r="H1383" i="15"/>
  <c r="I1383" i="15"/>
  <c r="H295" i="15"/>
  <c r="I295" i="15"/>
  <c r="H1232" i="15"/>
  <c r="I1232" i="15"/>
  <c r="H86" i="15"/>
  <c r="I86" i="15"/>
  <c r="H348" i="15"/>
  <c r="I348" i="15"/>
  <c r="H297" i="15"/>
  <c r="I297" i="15"/>
  <c r="H511" i="15"/>
  <c r="I511" i="15"/>
  <c r="H349" i="15"/>
  <c r="I349" i="15"/>
  <c r="H512" i="15"/>
  <c r="I512" i="15"/>
  <c r="H1106" i="15"/>
  <c r="I1106" i="15"/>
  <c r="H298" i="15"/>
  <c r="I298" i="15"/>
  <c r="H941" i="15"/>
  <c r="I941" i="15"/>
  <c r="H350" i="15"/>
  <c r="I350" i="15"/>
  <c r="H513" i="15"/>
  <c r="I513" i="15"/>
  <c r="H1107" i="15"/>
  <c r="I1107" i="15"/>
  <c r="H352" i="15"/>
  <c r="I352" i="15"/>
  <c r="H514" i="15"/>
  <c r="I514" i="15"/>
  <c r="H353" i="15"/>
  <c r="I353" i="15"/>
  <c r="H276" i="15"/>
  <c r="I276" i="15"/>
  <c r="H1230" i="15"/>
  <c r="I1230" i="15"/>
  <c r="H277" i="15"/>
  <c r="I277" i="15"/>
  <c r="H354" i="15"/>
  <c r="I354" i="15"/>
  <c r="H278" i="15"/>
  <c r="I278" i="15"/>
  <c r="H1229" i="15"/>
  <c r="I1229" i="15"/>
  <c r="H515" i="15"/>
  <c r="I515" i="15"/>
  <c r="H279" i="15"/>
  <c r="I279" i="15"/>
  <c r="H355" i="15"/>
  <c r="I355" i="15"/>
  <c r="H356" i="15"/>
  <c r="I356" i="15"/>
  <c r="H516" i="15"/>
  <c r="I516" i="15"/>
  <c r="H1109" i="15"/>
  <c r="I1109" i="15"/>
  <c r="H1389" i="15"/>
  <c r="I1389" i="15"/>
  <c r="H357" i="15"/>
  <c r="I357" i="15"/>
  <c r="H282" i="15"/>
  <c r="I282" i="15"/>
  <c r="H1396" i="15"/>
  <c r="I1396" i="15"/>
  <c r="H1111" i="15"/>
  <c r="I1111" i="15"/>
  <c r="H359" i="15"/>
  <c r="I359" i="15"/>
  <c r="H358" i="15"/>
  <c r="I358" i="15"/>
  <c r="H1409" i="15"/>
  <c r="I1409" i="15"/>
  <c r="H284" i="15"/>
  <c r="I284" i="15"/>
  <c r="H517" i="15"/>
  <c r="I517" i="15"/>
  <c r="H1112" i="15"/>
  <c r="I1112" i="15"/>
  <c r="H1416" i="15"/>
  <c r="I1416" i="15"/>
  <c r="H285" i="15"/>
  <c r="I285" i="15"/>
  <c r="H944" i="15"/>
  <c r="I944" i="15"/>
  <c r="H1432" i="15"/>
  <c r="I1432" i="15"/>
  <c r="H1113" i="15"/>
  <c r="I1113" i="15"/>
  <c r="H1433" i="15"/>
  <c r="I1433" i="15"/>
  <c r="H945" i="15"/>
  <c r="I945" i="15"/>
  <c r="H1437" i="15"/>
  <c r="I1437" i="15"/>
  <c r="H286" i="15"/>
  <c r="I286" i="15"/>
  <c r="H946" i="15"/>
  <c r="I946" i="15"/>
  <c r="H519" i="15"/>
  <c r="I519" i="15"/>
  <c r="H1443" i="15"/>
  <c r="I1443" i="15"/>
  <c r="H948" i="15"/>
  <c r="I948" i="15"/>
  <c r="H1444" i="15"/>
  <c r="I1444" i="15"/>
  <c r="H1114" i="15"/>
  <c r="I1114" i="15"/>
  <c r="H679" i="15"/>
  <c r="I679" i="15"/>
  <c r="H1449" i="15"/>
  <c r="I1449" i="15"/>
  <c r="H520" i="15"/>
  <c r="I520" i="15"/>
  <c r="H287" i="15"/>
  <c r="I287" i="15"/>
  <c r="H686" i="15"/>
  <c r="I686" i="15"/>
  <c r="H1453" i="15"/>
  <c r="I1453" i="15"/>
  <c r="H949" i="15"/>
  <c r="I949" i="15"/>
  <c r="H300" i="15"/>
  <c r="I300" i="15"/>
  <c r="H696" i="15"/>
  <c r="I696" i="15"/>
  <c r="H702" i="15"/>
  <c r="I702" i="15"/>
  <c r="H711" i="15"/>
  <c r="I711" i="15"/>
  <c r="H713" i="15"/>
  <c r="I713" i="15"/>
  <c r="H301" i="15"/>
  <c r="I301" i="15"/>
  <c r="H745" i="15"/>
  <c r="I745" i="15"/>
  <c r="H304" i="15"/>
  <c r="I304" i="15"/>
  <c r="H751" i="15"/>
  <c r="I751" i="15"/>
  <c r="H765" i="15"/>
  <c r="I765" i="15"/>
  <c r="H769" i="15"/>
  <c r="I769" i="15"/>
  <c r="H305" i="15"/>
  <c r="I305" i="15"/>
  <c r="H770" i="15"/>
  <c r="I770" i="15"/>
  <c r="H778" i="15"/>
  <c r="I778" i="15"/>
  <c r="H782" i="15"/>
  <c r="I782" i="15"/>
  <c r="H794" i="15"/>
  <c r="I794" i="15"/>
  <c r="H309" i="15"/>
  <c r="I309" i="15"/>
  <c r="H814" i="15"/>
  <c r="I814" i="15"/>
  <c r="H823" i="15"/>
  <c r="I823" i="15"/>
  <c r="H311" i="15"/>
  <c r="I311" i="15"/>
  <c r="H312" i="15"/>
  <c r="I312" i="15"/>
  <c r="H649" i="15"/>
  <c r="I649" i="15"/>
  <c r="H712" i="15"/>
  <c r="I712" i="15"/>
  <c r="H313" i="15"/>
  <c r="I313" i="15"/>
  <c r="H805" i="15"/>
  <c r="I805" i="15"/>
  <c r="H822" i="15"/>
  <c r="I822" i="15"/>
  <c r="H640" i="15"/>
  <c r="I640" i="15"/>
  <c r="H706" i="15"/>
  <c r="I706" i="15"/>
  <c r="H521" i="15"/>
  <c r="I521" i="15"/>
  <c r="H950" i="15"/>
  <c r="I950" i="15"/>
  <c r="H522" i="15"/>
  <c r="I522" i="15"/>
  <c r="H746" i="15"/>
  <c r="I746" i="15"/>
  <c r="H754" i="15"/>
  <c r="I754" i="15"/>
  <c r="H817" i="15"/>
  <c r="I817" i="15"/>
  <c r="H750" i="15"/>
  <c r="I750" i="15"/>
  <c r="H1276" i="15"/>
  <c r="I1276" i="15"/>
  <c r="H689" i="15"/>
  <c r="I689" i="15"/>
  <c r="H1284" i="15"/>
  <c r="I1284" i="15"/>
  <c r="H88" i="15"/>
  <c r="I88" i="15"/>
  <c r="H952" i="15"/>
  <c r="I952" i="15"/>
  <c r="H74" i="15"/>
  <c r="I74" i="15"/>
  <c r="H953" i="15"/>
  <c r="I953" i="15"/>
  <c r="H1305" i="15"/>
  <c r="I1305" i="15"/>
  <c r="H1115" i="15"/>
  <c r="I1115" i="15"/>
  <c r="H1321" i="15"/>
  <c r="I1321" i="15"/>
  <c r="H1324" i="15"/>
  <c r="I1324" i="15"/>
  <c r="H1336" i="15"/>
  <c r="I1336" i="15"/>
  <c r="H683" i="15"/>
  <c r="I683" i="15"/>
  <c r="H316" i="15"/>
  <c r="I316" i="15"/>
  <c r="H955" i="15"/>
  <c r="I955" i="15"/>
  <c r="H1117" i="15"/>
  <c r="I1117" i="15"/>
  <c r="H78" i="15"/>
  <c r="I78" i="15"/>
  <c r="H525" i="15"/>
  <c r="I525" i="15"/>
  <c r="H1337" i="15"/>
  <c r="I1337" i="15"/>
  <c r="H1118" i="15"/>
  <c r="I1118" i="15"/>
  <c r="H956" i="15"/>
  <c r="I956" i="15"/>
  <c r="H1359" i="15"/>
  <c r="I1359" i="15"/>
  <c r="H526" i="15"/>
  <c r="I526" i="15"/>
  <c r="H735" i="15"/>
  <c r="I735" i="15"/>
  <c r="H757" i="15"/>
  <c r="I757" i="15"/>
  <c r="H1384" i="15"/>
  <c r="I1384" i="15"/>
  <c r="H958" i="15"/>
  <c r="I958" i="15"/>
  <c r="H80" i="15"/>
  <c r="I80" i="15"/>
  <c r="H1119" i="15"/>
  <c r="I1119" i="15"/>
  <c r="H1401" i="15"/>
  <c r="I1401" i="15"/>
  <c r="H631" i="15"/>
  <c r="I631" i="15"/>
  <c r="H961" i="15"/>
  <c r="I961" i="15"/>
  <c r="H705" i="15"/>
  <c r="I705" i="15"/>
  <c r="H85" i="15"/>
  <c r="I85" i="15"/>
  <c r="H1402" i="15"/>
  <c r="I1402" i="15"/>
  <c r="H1404" i="15"/>
  <c r="I1404" i="15"/>
  <c r="H317" i="15"/>
  <c r="I317" i="15"/>
  <c r="H529" i="15"/>
  <c r="I529" i="15"/>
  <c r="H637" i="15"/>
  <c r="I637" i="15"/>
  <c r="H962" i="15"/>
  <c r="I962" i="15"/>
  <c r="H1428" i="15"/>
  <c r="I1428" i="15"/>
  <c r="H530" i="15"/>
  <c r="I530" i="15"/>
  <c r="H532" i="15"/>
  <c r="I532" i="15"/>
  <c r="H668" i="15"/>
  <c r="I668" i="15"/>
  <c r="H674" i="15"/>
  <c r="I674" i="15"/>
  <c r="H717" i="15"/>
  <c r="I717" i="15"/>
  <c r="H1120" i="15"/>
  <c r="I1120" i="15"/>
  <c r="H87" i="15"/>
  <c r="I87" i="15"/>
  <c r="H632" i="15"/>
  <c r="I632" i="15"/>
  <c r="H633" i="15"/>
  <c r="I633" i="15"/>
  <c r="H964" i="15"/>
  <c r="I964" i="15"/>
  <c r="H635" i="15"/>
  <c r="I635" i="15"/>
  <c r="H965" i="15"/>
  <c r="I965" i="15"/>
  <c r="H90" i="15"/>
  <c r="I90" i="15"/>
  <c r="H966" i="15"/>
  <c r="I966" i="15"/>
  <c r="H319" i="15"/>
  <c r="I319" i="15"/>
  <c r="H91" i="15"/>
  <c r="I91" i="15"/>
  <c r="H967" i="15"/>
  <c r="I967" i="15"/>
  <c r="H771" i="15"/>
  <c r="I771" i="15"/>
  <c r="H968" i="15"/>
  <c r="I968" i="15"/>
  <c r="H92" i="15"/>
  <c r="I92" i="15"/>
  <c r="H796" i="15"/>
  <c r="I796" i="15"/>
  <c r="H320" i="15"/>
  <c r="I320" i="15"/>
  <c r="H678" i="15"/>
  <c r="I678" i="15"/>
  <c r="H539" i="15"/>
  <c r="I539" i="15"/>
  <c r="H969" i="15"/>
  <c r="I969" i="15"/>
  <c r="H660" i="15"/>
  <c r="I660" i="15"/>
  <c r="H93" i="15"/>
  <c r="I93" i="15"/>
  <c r="H723" i="15"/>
  <c r="I723" i="15"/>
  <c r="H970" i="15"/>
  <c r="I970" i="15"/>
  <c r="H540" i="15"/>
  <c r="I540" i="15"/>
  <c r="H648" i="15"/>
  <c r="I648" i="15"/>
  <c r="H741" i="15"/>
  <c r="I741" i="15"/>
  <c r="H95" i="15"/>
  <c r="I95" i="15"/>
  <c r="H541" i="15"/>
  <c r="I541" i="15"/>
  <c r="H971" i="15"/>
  <c r="I971" i="15"/>
  <c r="H97" i="15"/>
  <c r="I97" i="15"/>
  <c r="H972" i="15"/>
  <c r="I972" i="15"/>
  <c r="H1121" i="15"/>
  <c r="I1121" i="15"/>
  <c r="H973" i="15"/>
  <c r="I973" i="15"/>
  <c r="H974" i="15"/>
  <c r="I974" i="15"/>
  <c r="H975" i="15"/>
  <c r="I975" i="15"/>
  <c r="H542" i="15"/>
  <c r="I542" i="15"/>
  <c r="H100" i="15"/>
  <c r="I100" i="15"/>
  <c r="H543" i="15"/>
  <c r="I543" i="15"/>
  <c r="H976" i="15"/>
  <c r="I976" i="15"/>
  <c r="H321" i="15"/>
  <c r="I321" i="15"/>
  <c r="H787" i="15"/>
  <c r="I787" i="15"/>
  <c r="H798" i="15"/>
  <c r="I798" i="15"/>
  <c r="H812" i="15"/>
  <c r="I812" i="15"/>
  <c r="H764" i="15"/>
  <c r="I764" i="15"/>
  <c r="H793" i="15"/>
  <c r="I793" i="15"/>
  <c r="H827" i="15"/>
  <c r="I827" i="15"/>
  <c r="H639" i="15"/>
  <c r="I639" i="15"/>
  <c r="H651" i="15"/>
  <c r="I651" i="15"/>
  <c r="H977" i="15"/>
  <c r="I977" i="15"/>
  <c r="H978" i="15"/>
  <c r="I978" i="15"/>
  <c r="H103" i="15"/>
  <c r="I103" i="15"/>
  <c r="H979" i="15"/>
  <c r="I979" i="15"/>
  <c r="H105" i="15"/>
  <c r="I105" i="15"/>
  <c r="H980" i="15"/>
  <c r="I980" i="15"/>
  <c r="H544" i="15"/>
  <c r="I544" i="15"/>
  <c r="H545" i="15"/>
  <c r="I545" i="15"/>
  <c r="H1124" i="15"/>
  <c r="I1124" i="15"/>
  <c r="H981" i="15"/>
  <c r="I981" i="15"/>
  <c r="H109" i="15"/>
  <c r="I109" i="15"/>
  <c r="H1125" i="15"/>
  <c r="I1125" i="15"/>
  <c r="H982" i="15"/>
  <c r="I982" i="15"/>
  <c r="H1127" i="15"/>
  <c r="I1127" i="15"/>
  <c r="H547" i="15"/>
  <c r="I547" i="15"/>
  <c r="H984" i="15"/>
  <c r="I984" i="15"/>
  <c r="H548" i="15"/>
  <c r="I548" i="15"/>
  <c r="H1131" i="15"/>
  <c r="I1131" i="15"/>
  <c r="H549" i="15"/>
  <c r="I549" i="15"/>
  <c r="H985" i="15"/>
  <c r="I985" i="15"/>
  <c r="H322" i="15"/>
  <c r="I322" i="15"/>
  <c r="H987" i="15"/>
  <c r="I987" i="15"/>
  <c r="H550" i="15"/>
  <c r="I550" i="15"/>
  <c r="H989" i="15"/>
  <c r="I989" i="15"/>
  <c r="H551" i="15"/>
  <c r="I551" i="15"/>
  <c r="H113" i="15"/>
  <c r="I113" i="15"/>
  <c r="H1133" i="15"/>
  <c r="I1133" i="15"/>
  <c r="H114" i="15"/>
  <c r="I114" i="15"/>
  <c r="H115" i="15"/>
  <c r="I115" i="15"/>
  <c r="H1134" i="15"/>
  <c r="I1134" i="15"/>
  <c r="H553" i="15"/>
  <c r="I553" i="15"/>
  <c r="H118" i="15"/>
  <c r="I118" i="15"/>
  <c r="H992" i="15"/>
  <c r="I992" i="15"/>
  <c r="H554" i="15"/>
  <c r="I554" i="15"/>
  <c r="H120" i="15"/>
  <c r="I120" i="15"/>
  <c r="H555" i="15"/>
  <c r="I555" i="15"/>
  <c r="H1136" i="15"/>
  <c r="I1136" i="15"/>
  <c r="H998" i="15"/>
  <c r="I998" i="15"/>
  <c r="H999" i="15"/>
  <c r="I999" i="15"/>
  <c r="H1000" i="15"/>
  <c r="I1000" i="15"/>
  <c r="H1001" i="15"/>
  <c r="I1001" i="15"/>
  <c r="H556" i="15"/>
  <c r="I556" i="15"/>
  <c r="H557" i="15"/>
  <c r="I557" i="15"/>
  <c r="H1003" i="15"/>
  <c r="I1003" i="15"/>
  <c r="H123" i="15"/>
  <c r="I123" i="15"/>
  <c r="H125" i="15"/>
  <c r="I125" i="15"/>
  <c r="H1142" i="15"/>
  <c r="I1142" i="15"/>
  <c r="H128" i="15"/>
  <c r="I128" i="15"/>
  <c r="H559" i="15"/>
  <c r="I559" i="15"/>
  <c r="H1144" i="15"/>
  <c r="I1144" i="15"/>
  <c r="H1005" i="15"/>
  <c r="I1005" i="15"/>
  <c r="H560" i="15"/>
  <c r="I560" i="15"/>
  <c r="H561" i="15"/>
  <c r="I561" i="15"/>
  <c r="H562" i="15"/>
  <c r="I562" i="15"/>
  <c r="H1007" i="15"/>
  <c r="I1007" i="15"/>
  <c r="H563" i="15"/>
  <c r="I563" i="15"/>
  <c r="H1008" i="15"/>
  <c r="I1008" i="15"/>
  <c r="H564" i="15"/>
  <c r="I564" i="15"/>
  <c r="H1009" i="15"/>
  <c r="I1009" i="15"/>
  <c r="H565" i="15"/>
  <c r="I565" i="15"/>
  <c r="H1010" i="15"/>
  <c r="I1010" i="15"/>
  <c r="H1012" i="15"/>
  <c r="I1012" i="15"/>
  <c r="H566" i="15"/>
  <c r="I566" i="15"/>
  <c r="H1146" i="15"/>
  <c r="I1146" i="15"/>
  <c r="H568" i="15"/>
  <c r="I568" i="15"/>
  <c r="H1016" i="15"/>
  <c r="I1016" i="15"/>
  <c r="H1017" i="15"/>
  <c r="I1017" i="15"/>
  <c r="H571" i="15"/>
  <c r="I571" i="15"/>
  <c r="H129" i="15"/>
  <c r="I129" i="15"/>
  <c r="H667" i="15"/>
  <c r="I667" i="15"/>
  <c r="H235" i="15"/>
  <c r="I235" i="15"/>
  <c r="H572" i="15"/>
  <c r="I572" i="15"/>
  <c r="H326" i="15"/>
  <c r="I326" i="15"/>
  <c r="H131" i="15"/>
  <c r="I131" i="15"/>
  <c r="H573" i="15"/>
  <c r="I573" i="15"/>
  <c r="H327" i="15"/>
  <c r="I327" i="15"/>
  <c r="H781" i="15"/>
  <c r="I781" i="15"/>
  <c r="H574" i="15"/>
  <c r="I574" i="15"/>
  <c r="H1022" i="15"/>
  <c r="I1022" i="15"/>
  <c r="H818" i="15"/>
  <c r="I818" i="15"/>
  <c r="H575" i="15"/>
  <c r="I575" i="15"/>
  <c r="H1024" i="15"/>
  <c r="I1024" i="15"/>
  <c r="H331" i="15"/>
  <c r="I331" i="15"/>
  <c r="H133" i="15"/>
  <c r="I133" i="15"/>
  <c r="H743" i="15"/>
  <c r="I743" i="15"/>
  <c r="H1026" i="15"/>
  <c r="I1026" i="15"/>
  <c r="H724" i="15"/>
  <c r="I724" i="15"/>
  <c r="H332" i="15"/>
  <c r="I332" i="15"/>
  <c r="H1027" i="15"/>
  <c r="I1027" i="15"/>
  <c r="H776" i="15"/>
  <c r="I776" i="15"/>
  <c r="H333" i="15"/>
  <c r="I333" i="15"/>
  <c r="H1149" i="15"/>
  <c r="I1149" i="15"/>
  <c r="H576" i="15"/>
  <c r="I576" i="15"/>
  <c r="H334" i="15"/>
  <c r="I334" i="15"/>
  <c r="H134" i="15"/>
  <c r="I134" i="15"/>
  <c r="H1150" i="15"/>
  <c r="I1150" i="15"/>
  <c r="H578" i="15"/>
  <c r="I578" i="15"/>
  <c r="H736" i="15"/>
  <c r="I736" i="15"/>
  <c r="H337" i="15"/>
  <c r="I337" i="15"/>
  <c r="H783" i="15"/>
  <c r="I783" i="15"/>
  <c r="H698" i="15"/>
  <c r="I698" i="15"/>
  <c r="H338" i="15"/>
  <c r="I338" i="15"/>
  <c r="H1151" i="15"/>
  <c r="I1151" i="15"/>
  <c r="H791" i="15"/>
  <c r="I791" i="15"/>
  <c r="H579" i="15"/>
  <c r="I579" i="15"/>
  <c r="H339" i="15"/>
  <c r="I339" i="15"/>
  <c r="H137" i="15"/>
  <c r="I137" i="15"/>
  <c r="H677" i="15"/>
  <c r="I677" i="15"/>
  <c r="H684" i="15"/>
  <c r="I684" i="15"/>
  <c r="H340" i="15"/>
  <c r="I340" i="15"/>
  <c r="H691" i="15"/>
  <c r="I691" i="15"/>
  <c r="H581" i="15"/>
  <c r="I581" i="15"/>
  <c r="H709" i="15"/>
  <c r="I709" i="15"/>
  <c r="H1153" i="15"/>
  <c r="I1153" i="15"/>
  <c r="H140" i="15"/>
  <c r="I140" i="15"/>
  <c r="H733" i="15"/>
  <c r="I733" i="15"/>
  <c r="H753" i="15"/>
  <c r="I753" i="15"/>
  <c r="H784" i="15"/>
  <c r="I784" i="15"/>
  <c r="H786" i="15"/>
  <c r="I786" i="15"/>
  <c r="H142" i="15"/>
  <c r="I142" i="15"/>
  <c r="H1154" i="15"/>
  <c r="I1154" i="15"/>
  <c r="H345" i="15"/>
  <c r="I345" i="15"/>
  <c r="H586" i="15"/>
  <c r="I586" i="15"/>
  <c r="H346" i="15"/>
  <c r="I346" i="15"/>
  <c r="H588" i="15"/>
  <c r="I588" i="15"/>
  <c r="H803" i="15"/>
  <c r="I803" i="15"/>
  <c r="H143" i="15"/>
  <c r="I143" i="15"/>
  <c r="H1157" i="15"/>
  <c r="I1157" i="15"/>
  <c r="H144" i="15"/>
  <c r="I144" i="15"/>
  <c r="H811" i="15"/>
  <c r="I811" i="15"/>
  <c r="H347" i="15"/>
  <c r="I347" i="15"/>
  <c r="H591" i="15"/>
  <c r="I591" i="15"/>
  <c r="H644" i="15"/>
  <c r="I644" i="15"/>
  <c r="H1158" i="15"/>
  <c r="I1158" i="15"/>
  <c r="H653" i="15"/>
  <c r="I653" i="15"/>
  <c r="H763" i="15"/>
  <c r="I763" i="15"/>
  <c r="H592" i="15"/>
  <c r="I592" i="15"/>
  <c r="H774" i="15"/>
  <c r="I774" i="15"/>
  <c r="H130" i="15"/>
  <c r="I130" i="15"/>
  <c r="H362" i="15"/>
  <c r="I362" i="15"/>
  <c r="H789" i="15"/>
  <c r="I789" i="15"/>
  <c r="H594" i="15"/>
  <c r="I594" i="15"/>
  <c r="H132" i="15"/>
  <c r="I132" i="15"/>
  <c r="H685" i="15"/>
  <c r="I685" i="15"/>
  <c r="H595" i="15"/>
  <c r="I595" i="15"/>
  <c r="H690" i="15"/>
  <c r="I690" i="15"/>
  <c r="H630" i="15"/>
  <c r="I630" i="15"/>
  <c r="H1159" i="15"/>
  <c r="I1159" i="15"/>
  <c r="H136" i="15"/>
  <c r="I136" i="15"/>
  <c r="H671" i="15"/>
  <c r="I671" i="15"/>
  <c r="H596" i="15"/>
  <c r="I596" i="15"/>
  <c r="H727" i="15"/>
  <c r="I727" i="15"/>
  <c r="H1160" i="15"/>
  <c r="I1160" i="15"/>
  <c r="H737" i="15"/>
  <c r="I737" i="15"/>
  <c r="H139" i="15"/>
  <c r="I139" i="15"/>
  <c r="H597" i="15"/>
  <c r="I597" i="15"/>
  <c r="H365" i="15"/>
  <c r="I365" i="15"/>
  <c r="H1162" i="15"/>
  <c r="I1162" i="15"/>
  <c r="H141" i="15"/>
  <c r="I141" i="15"/>
  <c r="H367" i="15"/>
  <c r="I367" i="15"/>
  <c r="H780" i="15"/>
  <c r="I780" i="15"/>
  <c r="H1163" i="15"/>
  <c r="I1163" i="15"/>
  <c r="H599" i="15"/>
  <c r="I599" i="15"/>
  <c r="H368" i="15"/>
  <c r="I368" i="15"/>
  <c r="H806" i="15"/>
  <c r="I806" i="15"/>
  <c r="H600" i="15"/>
  <c r="I600" i="15"/>
  <c r="H370" i="15"/>
  <c r="I370" i="15"/>
  <c r="H807" i="15"/>
  <c r="I807" i="15"/>
  <c r="H1164" i="15"/>
  <c r="I1164" i="15"/>
  <c r="H601" i="15"/>
  <c r="I601" i="15"/>
  <c r="H821" i="15"/>
  <c r="I821" i="15"/>
  <c r="H371" i="15"/>
  <c r="I371" i="15"/>
  <c r="H1165" i="15"/>
  <c r="I1165" i="15"/>
  <c r="H604" i="15"/>
  <c r="I604" i="15"/>
  <c r="H609" i="15"/>
  <c r="I609" i="15"/>
  <c r="H1171" i="15"/>
  <c r="I1171" i="15"/>
  <c r="H611" i="15"/>
  <c r="I611" i="15"/>
  <c r="H613" i="15"/>
  <c r="I613" i="15"/>
  <c r="H145" i="15"/>
  <c r="I145" i="15"/>
  <c r="H616" i="15"/>
  <c r="I616" i="15"/>
  <c r="H618" i="15"/>
  <c r="I618" i="15"/>
  <c r="H619" i="15"/>
  <c r="I619" i="15"/>
  <c r="H147" i="15"/>
  <c r="I147" i="15"/>
  <c r="H372" i="15"/>
  <c r="I372" i="15"/>
  <c r="H373" i="15"/>
  <c r="I373" i="15"/>
  <c r="H1173" i="15"/>
  <c r="I1173" i="15"/>
  <c r="H374" i="15"/>
  <c r="I374" i="15"/>
  <c r="H620" i="15"/>
  <c r="I620" i="15"/>
  <c r="H1175" i="15"/>
  <c r="I1175" i="15"/>
  <c r="H1176" i="15"/>
  <c r="I1176" i="15"/>
  <c r="H621" i="15"/>
  <c r="I621" i="15"/>
  <c r="H152" i="15"/>
  <c r="I152" i="15"/>
  <c r="H375" i="15"/>
  <c r="I375" i="15"/>
  <c r="H376" i="15"/>
  <c r="I376" i="15"/>
  <c r="H154" i="15"/>
  <c r="I154" i="15"/>
  <c r="H377" i="15"/>
  <c r="I377" i="15"/>
  <c r="H623" i="15"/>
  <c r="I623" i="15"/>
  <c r="H1178" i="15"/>
  <c r="I1178" i="15"/>
  <c r="H379" i="15"/>
  <c r="I379" i="15"/>
  <c r="H381" i="15"/>
  <c r="I381" i="15"/>
  <c r="H1179" i="15"/>
  <c r="I1179" i="15"/>
  <c r="H156" i="15"/>
  <c r="I156" i="15"/>
  <c r="H382" i="15"/>
  <c r="I382" i="15"/>
  <c r="H1181" i="15"/>
  <c r="I1181" i="15"/>
  <c r="H383" i="15"/>
  <c r="I383" i="15"/>
  <c r="H157" i="15"/>
  <c r="I157" i="15"/>
  <c r="H384" i="15"/>
  <c r="I384" i="15"/>
  <c r="H1182" i="15"/>
  <c r="I1182" i="15"/>
  <c r="H385" i="15"/>
  <c r="I385" i="15"/>
  <c r="H1183" i="15"/>
  <c r="I1183" i="15"/>
  <c r="H201" i="15"/>
  <c r="I201" i="15"/>
  <c r="H386" i="15"/>
  <c r="I386" i="15"/>
  <c r="H158" i="15"/>
  <c r="I158" i="15"/>
  <c r="H199" i="15"/>
  <c r="I199" i="15"/>
  <c r="H198" i="15"/>
  <c r="I198" i="15"/>
  <c r="H1184" i="15"/>
  <c r="I1184" i="15"/>
  <c r="H387" i="15"/>
  <c r="I387" i="15"/>
  <c r="H197" i="15"/>
  <c r="I197" i="15"/>
  <c r="H388" i="15"/>
  <c r="I388" i="15"/>
  <c r="H1185" i="15"/>
  <c r="I1185" i="15"/>
  <c r="H160" i="15"/>
  <c r="I160" i="15"/>
  <c r="H1186" i="15"/>
  <c r="I1186" i="15"/>
  <c r="H1187" i="15"/>
  <c r="I1187" i="15"/>
  <c r="H162" i="15"/>
  <c r="I162" i="15"/>
  <c r="H1188" i="15"/>
  <c r="I1188" i="15"/>
  <c r="H196" i="15"/>
  <c r="I196" i="15"/>
  <c r="H163" i="15"/>
  <c r="I163" i="15"/>
  <c r="H1189" i="15"/>
  <c r="I1189" i="15"/>
  <c r="H391" i="15"/>
  <c r="I391" i="15"/>
  <c r="H194" i="15"/>
  <c r="I194" i="15"/>
  <c r="H1191" i="15"/>
  <c r="I1191" i="15"/>
  <c r="H1192" i="15"/>
  <c r="I1192" i="15"/>
  <c r="H393" i="15"/>
  <c r="I393" i="15"/>
  <c r="H1083" i="15"/>
  <c r="I1083" i="15"/>
  <c r="H394" i="15"/>
  <c r="I394" i="15"/>
  <c r="H187" i="15"/>
  <c r="I187" i="15"/>
  <c r="H395" i="15"/>
  <c r="I395" i="15"/>
  <c r="H1194" i="15"/>
  <c r="I1194" i="15"/>
  <c r="H165" i="15"/>
  <c r="I165" i="15"/>
  <c r="H396" i="15"/>
  <c r="I396" i="15"/>
  <c r="H398" i="15"/>
  <c r="I398" i="15"/>
  <c r="H400" i="15"/>
  <c r="I400" i="15"/>
  <c r="H390" i="15"/>
  <c r="I390" i="15"/>
  <c r="H392" i="15"/>
  <c r="I392" i="15"/>
  <c r="H646" i="15"/>
  <c r="I646" i="15"/>
  <c r="H670" i="15"/>
  <c r="I670" i="15"/>
  <c r="H403" i="15"/>
  <c r="I403" i="15"/>
  <c r="H1196" i="15"/>
  <c r="I1196" i="15"/>
  <c r="H404" i="15"/>
  <c r="I404" i="15"/>
  <c r="H1228" i="15"/>
  <c r="I1228" i="15"/>
  <c r="H406" i="15"/>
  <c r="I406" i="15"/>
  <c r="H738" i="15"/>
  <c r="I738" i="15"/>
  <c r="H740" i="15"/>
  <c r="I740" i="15"/>
  <c r="H744" i="15"/>
  <c r="I744" i="15"/>
  <c r="H407" i="15"/>
  <c r="I407" i="15"/>
  <c r="H408" i="15"/>
  <c r="I408" i="15"/>
  <c r="H166" i="15"/>
  <c r="I166" i="15"/>
  <c r="H409" i="15"/>
  <c r="I409" i="15"/>
  <c r="H1215" i="15"/>
  <c r="I1215" i="15"/>
  <c r="H758" i="15"/>
  <c r="I758" i="15"/>
  <c r="H1214" i="15"/>
  <c r="I1214" i="15"/>
  <c r="H167" i="15"/>
  <c r="I167" i="15"/>
  <c r="H826" i="15"/>
  <c r="I826" i="15"/>
  <c r="H1213" i="15"/>
  <c r="I1213" i="15"/>
  <c r="H830" i="15"/>
  <c r="I830" i="15"/>
  <c r="H410" i="15"/>
  <c r="I410" i="15"/>
  <c r="H779" i="15"/>
  <c r="I779" i="15"/>
  <c r="H1212" i="15"/>
  <c r="I1212" i="15"/>
  <c r="H1211" i="15"/>
  <c r="I1211" i="15"/>
  <c r="H720" i="15"/>
  <c r="I720" i="15"/>
  <c r="H416" i="15"/>
  <c r="I416" i="15"/>
  <c r="H1210" i="15"/>
  <c r="I1210" i="15"/>
  <c r="H721" i="15"/>
  <c r="I721" i="15"/>
  <c r="H1006" i="15"/>
  <c r="I1006" i="15"/>
  <c r="H739" i="15"/>
  <c r="I739" i="15"/>
  <c r="H1204" i="15"/>
  <c r="I1204" i="15"/>
  <c r="H801" i="15"/>
  <c r="I801" i="15"/>
  <c r="H417" i="15"/>
  <c r="I417" i="15"/>
  <c r="H1203" i="15"/>
  <c r="I1203" i="15"/>
  <c r="H405" i="15"/>
  <c r="I405" i="15"/>
  <c r="H1200" i="15"/>
  <c r="I1200" i="15"/>
  <c r="H168" i="15"/>
  <c r="I168" i="15"/>
  <c r="H1197" i="15"/>
  <c r="I1197" i="15"/>
  <c r="H1198" i="15"/>
  <c r="I1198" i="15"/>
  <c r="H1122" i="15"/>
  <c r="I1122" i="15"/>
  <c r="H1123" i="15"/>
  <c r="I1123" i="15"/>
  <c r="H411" i="15"/>
  <c r="I411" i="15"/>
  <c r="H1044" i="15"/>
  <c r="I1044" i="15"/>
  <c r="H169" i="15"/>
  <c r="I169" i="15"/>
  <c r="H155" i="15"/>
  <c r="I155" i="15"/>
  <c r="H174" i="15"/>
  <c r="I174" i="15"/>
  <c r="H182" i="15"/>
  <c r="I182" i="15"/>
  <c r="H186" i="15"/>
  <c r="I186" i="15"/>
  <c r="H173" i="15"/>
  <c r="I173" i="15"/>
  <c r="H1193" i="15"/>
  <c r="I1193" i="15"/>
  <c r="H1222" i="15"/>
  <c r="I1222" i="15"/>
  <c r="H178" i="15"/>
  <c r="I178" i="15"/>
  <c r="H185" i="15"/>
  <c r="I185" i="15"/>
  <c r="H172" i="15"/>
  <c r="I172" i="15"/>
  <c r="H170" i="15"/>
  <c r="I170" i="15"/>
  <c r="H171" i="15"/>
  <c r="I171" i="15"/>
  <c r="H175" i="15"/>
  <c r="I175" i="15"/>
  <c r="H153" i="15"/>
  <c r="I153" i="15"/>
  <c r="H177" i="15"/>
  <c r="I177" i="15"/>
  <c r="H1166" i="15"/>
  <c r="I1166" i="15"/>
  <c r="H52" i="15"/>
  <c r="I52" i="15"/>
  <c r="H148" i="15"/>
  <c r="I148" i="15"/>
  <c r="H324" i="15"/>
  <c r="I324" i="15"/>
  <c r="H506" i="15"/>
  <c r="I506" i="15"/>
  <c r="H681" i="15"/>
  <c r="I681" i="15"/>
  <c r="H983" i="15"/>
  <c r="I983" i="15"/>
  <c r="H1029" i="15"/>
  <c r="I1029" i="15"/>
  <c r="H1130" i="15"/>
  <c r="I1130" i="15"/>
  <c r="H1241" i="15"/>
  <c r="I1241" i="15"/>
  <c r="H1381" i="15"/>
  <c r="I1381" i="15"/>
  <c r="H351" i="15"/>
  <c r="I351" i="15"/>
  <c r="H415" i="15"/>
  <c r="I415" i="15"/>
  <c r="H719" i="15"/>
  <c r="I719" i="15"/>
  <c r="H1301" i="15"/>
  <c r="I1301" i="15"/>
  <c r="H1234" i="15"/>
  <c r="I1234" i="15"/>
  <c r="H1217" i="15"/>
  <c r="I1217" i="15"/>
  <c r="H473" i="15"/>
  <c r="I473" i="15"/>
  <c r="H336" i="15"/>
  <c r="I336" i="15"/>
  <c r="H1082" i="15"/>
  <c r="I1082" i="15"/>
  <c r="H1167" i="15"/>
  <c r="I1167" i="15"/>
  <c r="H1126" i="15"/>
  <c r="I1126" i="15"/>
  <c r="H98" i="15"/>
  <c r="I98" i="15"/>
  <c r="H864" i="15"/>
  <c r="I864" i="15"/>
  <c r="H189" i="15"/>
  <c r="I189" i="15"/>
  <c r="H1170" i="15"/>
  <c r="I1170" i="15"/>
  <c r="H283" i="15"/>
  <c r="I283" i="15"/>
  <c r="H910" i="15"/>
  <c r="I910" i="15"/>
  <c r="H280" i="15"/>
  <c r="I280" i="15"/>
  <c r="H306" i="15"/>
  <c r="I306" i="15"/>
  <c r="H293" i="15"/>
  <c r="I293" i="15"/>
  <c r="H446" i="15"/>
  <c r="I446" i="15"/>
  <c r="H1035" i="15"/>
  <c r="I1035" i="15"/>
  <c r="H877" i="15"/>
  <c r="I877" i="15"/>
  <c r="H1030" i="15"/>
  <c r="I1030" i="15"/>
  <c r="H413" i="15"/>
  <c r="I413" i="15"/>
  <c r="H111" i="15"/>
  <c r="I111" i="15"/>
  <c r="H68" i="15"/>
  <c r="I68" i="15"/>
  <c r="H1132" i="15"/>
  <c r="I1132" i="15"/>
  <c r="H1436" i="15"/>
  <c r="I1436" i="15"/>
  <c r="H1447" i="15"/>
  <c r="I1447" i="15"/>
  <c r="H1209" i="15"/>
  <c r="I1209" i="15"/>
  <c r="H127" i="15"/>
  <c r="I127" i="15"/>
  <c r="H837" i="15"/>
  <c r="I837" i="15"/>
  <c r="H150" i="15"/>
  <c r="I150" i="15"/>
  <c r="H1205" i="15"/>
  <c r="I1205" i="15"/>
  <c r="H184" i="15"/>
  <c r="I184" i="15"/>
  <c r="H1440" i="15"/>
  <c r="I1440" i="15"/>
  <c r="H1388" i="15"/>
  <c r="I1388" i="15"/>
  <c r="H919" i="15"/>
  <c r="I919" i="15"/>
  <c r="H1221" i="15"/>
  <c r="I1221" i="15"/>
  <c r="H995" i="15"/>
  <c r="I995" i="15"/>
  <c r="H1394" i="15"/>
  <c r="I1394" i="15"/>
  <c r="H1139" i="15"/>
  <c r="I1139" i="15"/>
  <c r="H1430" i="15"/>
  <c r="I1430" i="15"/>
  <c r="H1231" i="15"/>
  <c r="I1231" i="15"/>
  <c r="I1135" i="15"/>
  <c r="H1199" i="15"/>
  <c r="I1199" i="15"/>
  <c r="H70" i="15"/>
  <c r="I70" i="15"/>
  <c r="H1086" i="15"/>
  <c r="I1086" i="15"/>
  <c r="H1037" i="15"/>
  <c r="I1037" i="15"/>
  <c r="H582" i="15"/>
  <c r="I582" i="15"/>
  <c r="H378" i="15"/>
  <c r="I378" i="15"/>
  <c r="H833" i="15"/>
  <c r="I833" i="15"/>
  <c r="H484" i="15"/>
  <c r="I484" i="15"/>
  <c r="H1374" i="15"/>
  <c r="I1374" i="15"/>
  <c r="H1274" i="15"/>
  <c r="I1274" i="15"/>
  <c r="H1357" i="15"/>
  <c r="I1357" i="15"/>
  <c r="H859" i="15"/>
  <c r="I859" i="15"/>
  <c r="H1080" i="15"/>
  <c r="I1080" i="15"/>
  <c r="H26" i="15"/>
  <c r="I26" i="15"/>
  <c r="H218" i="15"/>
  <c r="I218" i="15"/>
  <c r="H1021" i="15"/>
  <c r="I1021" i="15"/>
  <c r="H440" i="15"/>
  <c r="I440" i="15"/>
  <c r="H1263" i="15"/>
  <c r="I1263" i="15"/>
  <c r="H1227" i="15"/>
  <c r="I1227" i="15"/>
  <c r="H1195" i="15"/>
  <c r="I1195" i="15"/>
  <c r="H471" i="15"/>
  <c r="I471" i="15"/>
  <c r="H656" i="15"/>
  <c r="I656" i="15"/>
  <c r="H1442" i="15"/>
  <c r="I1442" i="15"/>
  <c r="H193" i="15"/>
  <c r="I193" i="15"/>
  <c r="H1015" i="15"/>
  <c r="I1015" i="15"/>
  <c r="H538" i="15"/>
  <c r="I538" i="15"/>
  <c r="H1055" i="15"/>
  <c r="I1055" i="15"/>
  <c r="H72" i="15"/>
  <c r="I72" i="15"/>
  <c r="H430" i="15"/>
  <c r="I430" i="15"/>
  <c r="H1425" i="15"/>
  <c r="I1425" i="15"/>
  <c r="H419" i="15"/>
  <c r="I419" i="15"/>
  <c r="H1395" i="15"/>
  <c r="I1395" i="15"/>
  <c r="H303" i="15"/>
  <c r="I303" i="15"/>
  <c r="H1253" i="15"/>
  <c r="I1253" i="15"/>
  <c r="H802" i="15"/>
  <c r="I802" i="15"/>
  <c r="H223" i="15"/>
  <c r="I223" i="15"/>
  <c r="H478" i="15"/>
  <c r="I478" i="15"/>
  <c r="H1400" i="15"/>
  <c r="I1400" i="15"/>
  <c r="H176" i="15"/>
  <c r="I176" i="15"/>
  <c r="H397" i="15"/>
  <c r="I397" i="15"/>
  <c r="H265" i="15"/>
  <c r="I265" i="15"/>
  <c r="H935" i="15"/>
  <c r="I935" i="15"/>
  <c r="H108" i="15"/>
  <c r="I108" i="15"/>
  <c r="H243" i="15"/>
  <c r="I243" i="15"/>
  <c r="H465" i="15"/>
  <c r="I465" i="15"/>
  <c r="H1201" i="15"/>
  <c r="I1201" i="15"/>
  <c r="H119" i="15"/>
  <c r="I119" i="15"/>
  <c r="H207" i="15"/>
  <c r="I207" i="15"/>
  <c r="H489" i="15"/>
  <c r="I489" i="15"/>
  <c r="H35" i="15"/>
  <c r="I35" i="15"/>
  <c r="H106" i="15"/>
  <c r="I106" i="15"/>
  <c r="H1011" i="15"/>
  <c r="I1011" i="15"/>
  <c r="H25" i="15"/>
  <c r="I25" i="15"/>
  <c r="H99" i="15"/>
  <c r="I99" i="15"/>
  <c r="H104" i="15"/>
  <c r="I104" i="15"/>
  <c r="H116" i="15"/>
  <c r="I116" i="15"/>
  <c r="H121" i="15"/>
  <c r="I121" i="15"/>
  <c r="H126" i="15"/>
  <c r="I126" i="15"/>
  <c r="H268" i="15"/>
  <c r="I268" i="15"/>
  <c r="H310" i="15"/>
  <c r="I310" i="15"/>
  <c r="H389" i="15"/>
  <c r="I389" i="15"/>
  <c r="H418" i="15"/>
  <c r="I418" i="15"/>
  <c r="H443" i="15"/>
  <c r="I443" i="15"/>
  <c r="H1104" i="15"/>
  <c r="I1104" i="15"/>
  <c r="H832" i="15"/>
  <c r="I832" i="15"/>
  <c r="H986" i="15"/>
  <c r="I986" i="15"/>
  <c r="H497" i="15"/>
  <c r="I497" i="15"/>
  <c r="H1235" i="15"/>
  <c r="I1235" i="15"/>
  <c r="H1216" i="15"/>
  <c r="I1216" i="15"/>
  <c r="H729" i="15"/>
  <c r="I729" i="15"/>
  <c r="H1278" i="15"/>
  <c r="I1278" i="15"/>
  <c r="H1445" i="15"/>
  <c r="I1445" i="15"/>
  <c r="H911" i="15"/>
  <c r="I911" i="15"/>
  <c r="H1364" i="15"/>
  <c r="I1364" i="15"/>
  <c r="H1014" i="15"/>
  <c r="I1014" i="15"/>
  <c r="H112" i="15"/>
  <c r="I112" i="15"/>
  <c r="H1105" i="15"/>
  <c r="I1105" i="15"/>
  <c r="H8" i="15"/>
  <c r="I8" i="15"/>
  <c r="H507" i="15"/>
  <c r="I507" i="15"/>
  <c r="H524" i="15"/>
  <c r="I524" i="15"/>
  <c r="H1110" i="15"/>
  <c r="I1110" i="15"/>
  <c r="H654" i="15"/>
  <c r="I654" i="15"/>
  <c r="H264" i="15"/>
  <c r="I264" i="15"/>
  <c r="H296" i="15"/>
  <c r="I296" i="15"/>
  <c r="H15" i="15"/>
  <c r="I15" i="15"/>
  <c r="H289" i="15"/>
  <c r="I289" i="15"/>
  <c r="H428" i="15"/>
  <c r="I428" i="15"/>
  <c r="H493" i="15"/>
  <c r="I493" i="15"/>
  <c r="H714" i="15"/>
  <c r="I714" i="15"/>
  <c r="H759" i="15"/>
  <c r="I759" i="15"/>
  <c r="H772" i="15"/>
  <c r="I772" i="15"/>
  <c r="H675" i="15"/>
  <c r="I675" i="15"/>
  <c r="H828" i="15"/>
  <c r="I828" i="15"/>
  <c r="H883" i="15"/>
  <c r="I883" i="15"/>
  <c r="H1052" i="15"/>
  <c r="I1052" i="15"/>
  <c r="H1087" i="15"/>
  <c r="I1087" i="15"/>
  <c r="H1207" i="15"/>
  <c r="I1207" i="15"/>
  <c r="H1025" i="15"/>
  <c r="I1025" i="15"/>
  <c r="H1286" i="15"/>
  <c r="I1286" i="15"/>
  <c r="H1358" i="15"/>
  <c r="I1358" i="15"/>
  <c r="H847" i="15"/>
  <c r="I847" i="15"/>
  <c r="H1386" i="15"/>
  <c r="I1386" i="15"/>
  <c r="H612" i="15"/>
  <c r="I612" i="15"/>
  <c r="H1406" i="15"/>
  <c r="I1406" i="15"/>
  <c r="H614" i="15"/>
  <c r="I614" i="15"/>
  <c r="H593" i="15"/>
  <c r="I593" i="15"/>
  <c r="H1446" i="15"/>
  <c r="I1446" i="15"/>
  <c r="H844" i="15"/>
  <c r="I844" i="15"/>
  <c r="H518" i="15"/>
  <c r="I518" i="15"/>
  <c r="H1277" i="15"/>
  <c r="I1277" i="15"/>
  <c r="H1265" i="15"/>
  <c r="I1265" i="15"/>
  <c r="H625" i="15"/>
  <c r="I625" i="15"/>
  <c r="H50" i="15"/>
  <c r="I50" i="15"/>
  <c r="H102" i="15"/>
  <c r="I102" i="15"/>
  <c r="H164" i="15"/>
  <c r="I164" i="15"/>
  <c r="H59" i="15"/>
  <c r="I59" i="15"/>
  <c r="H364" i="15"/>
  <c r="I364" i="15"/>
  <c r="H1141" i="15"/>
  <c r="I1141" i="15"/>
  <c r="H1405" i="15"/>
  <c r="I1405" i="15"/>
  <c r="H281" i="15"/>
  <c r="I281" i="15"/>
  <c r="H603" i="15"/>
  <c r="I603" i="15"/>
  <c r="H808" i="15"/>
  <c r="I808" i="15"/>
  <c r="H655" i="15"/>
  <c r="I655" i="15"/>
  <c r="H494" i="15"/>
  <c r="I494" i="15"/>
  <c r="H366" i="15"/>
  <c r="I366" i="15"/>
  <c r="H244" i="15"/>
  <c r="I244" i="15"/>
  <c r="H993" i="15"/>
  <c r="I993" i="15"/>
  <c r="H14" i="15"/>
  <c r="I14" i="15"/>
  <c r="H149" i="15"/>
  <c r="I149" i="15"/>
  <c r="H1116" i="15"/>
  <c r="I1116" i="15"/>
  <c r="H361" i="15"/>
  <c r="I361" i="15"/>
  <c r="H880" i="15"/>
  <c r="I880" i="15"/>
  <c r="H1248" i="15"/>
  <c r="I1248" i="15"/>
  <c r="H495" i="15"/>
  <c r="I495" i="15"/>
  <c r="H988" i="15"/>
  <c r="I988" i="15"/>
  <c r="H1325" i="15"/>
  <c r="I1325" i="15"/>
  <c r="H882" i="15"/>
  <c r="I882" i="15"/>
  <c r="H897" i="15"/>
  <c r="I897" i="15"/>
  <c r="H260" i="15"/>
  <c r="I260" i="15"/>
  <c r="H728" i="15"/>
  <c r="I728" i="15"/>
  <c r="H211" i="15"/>
  <c r="I211" i="15"/>
  <c r="H249" i="15"/>
  <c r="I249" i="15"/>
  <c r="H1090" i="15"/>
  <c r="I1090" i="15"/>
  <c r="H862" i="15"/>
  <c r="I862" i="15"/>
  <c r="H918" i="15"/>
  <c r="I918" i="15"/>
  <c r="H501" i="15"/>
  <c r="I501" i="15"/>
  <c r="H323" i="15"/>
  <c r="I323" i="15"/>
  <c r="H657" i="15"/>
  <c r="I657" i="15"/>
  <c r="H534" i="15"/>
  <c r="I534" i="15"/>
  <c r="H840" i="15"/>
  <c r="I840" i="15"/>
  <c r="H957" i="15"/>
  <c r="I957" i="15"/>
  <c r="H213" i="15"/>
  <c r="I213" i="15"/>
  <c r="H1282" i="15"/>
  <c r="I1282" i="15"/>
  <c r="H642" i="15"/>
  <c r="I642" i="15"/>
  <c r="H69" i="15"/>
  <c r="I69" i="15"/>
  <c r="H904" i="15"/>
  <c r="I904" i="15"/>
  <c r="H208" i="15"/>
  <c r="I208" i="15"/>
  <c r="H1062" i="15"/>
  <c r="I1062" i="15"/>
  <c r="H247" i="15"/>
  <c r="I247" i="15"/>
  <c r="H51" i="15"/>
  <c r="I51" i="15"/>
  <c r="H329" i="15"/>
  <c r="I329" i="15"/>
  <c r="H31" i="15"/>
  <c r="I31" i="15"/>
  <c r="H1340" i="15"/>
  <c r="I1340" i="15"/>
  <c r="H1252" i="15"/>
  <c r="I1252" i="15"/>
  <c r="H1380" i="15"/>
  <c r="I1380" i="15"/>
  <c r="H1318" i="15"/>
  <c r="I1318" i="15"/>
  <c r="H1239" i="15"/>
  <c r="I1239" i="15"/>
  <c r="H1370" i="15"/>
  <c r="I1370" i="15"/>
  <c r="H30" i="15"/>
  <c r="I30" i="15"/>
  <c r="H330" i="15"/>
  <c r="I330" i="15"/>
  <c r="H1002" i="15"/>
  <c r="I1002" i="15"/>
  <c r="H622" i="15"/>
  <c r="I622" i="15"/>
  <c r="H1208" i="15"/>
  <c r="I1208" i="15"/>
  <c r="H865" i="15"/>
  <c r="I865" i="15"/>
  <c r="H546" i="15"/>
  <c r="I546" i="15"/>
  <c r="H636" i="15"/>
  <c r="I636" i="15"/>
  <c r="H1290" i="15"/>
  <c r="I1290" i="15"/>
  <c r="H598" i="15"/>
  <c r="I598" i="15"/>
  <c r="H258" i="15"/>
  <c r="I258" i="15"/>
  <c r="H583" i="15"/>
  <c r="I583" i="15"/>
  <c r="H1225" i="15"/>
  <c r="I1225" i="15"/>
  <c r="H960" i="15"/>
  <c r="I960" i="15"/>
  <c r="H1390" i="15"/>
  <c r="I1390" i="15"/>
  <c r="H533" i="15"/>
  <c r="I533" i="15"/>
  <c r="H315" i="15"/>
  <c r="I315" i="15"/>
  <c r="H380" i="15"/>
  <c r="I380" i="15"/>
  <c r="H89" i="15"/>
  <c r="I89" i="15"/>
  <c r="H1344" i="15"/>
  <c r="I1344" i="15"/>
  <c r="H885" i="15"/>
  <c r="I885" i="15"/>
  <c r="H922" i="15"/>
  <c r="I922" i="15"/>
  <c r="H800" i="15"/>
  <c r="I800" i="15"/>
  <c r="H569" i="15"/>
  <c r="I569" i="15"/>
  <c r="H590" i="15"/>
  <c r="I590" i="15"/>
  <c r="H1392" i="15"/>
  <c r="I1392" i="15"/>
  <c r="H700" i="15"/>
  <c r="I700" i="15"/>
  <c r="H273" i="15"/>
  <c r="I273" i="15"/>
  <c r="H1056" i="15"/>
  <c r="I1056" i="15"/>
  <c r="H307" i="15"/>
  <c r="I307" i="15"/>
  <c r="H1084" i="15"/>
  <c r="I1084" i="15"/>
  <c r="H1145" i="15"/>
  <c r="I1145" i="15"/>
  <c r="H21" i="15"/>
  <c r="I21" i="15"/>
  <c r="H1138" i="15"/>
  <c r="I1138" i="15"/>
  <c r="H255" i="15"/>
  <c r="I255" i="15"/>
  <c r="H505" i="15"/>
  <c r="I505" i="15"/>
  <c r="H45" i="15"/>
  <c r="I45" i="15"/>
  <c r="H135" i="15"/>
  <c r="I135" i="15"/>
  <c r="H146" i="15"/>
  <c r="I146" i="15"/>
  <c r="H188" i="15"/>
  <c r="I188" i="15"/>
  <c r="H335" i="15"/>
  <c r="I335" i="15"/>
  <c r="H836" i="15"/>
  <c r="I836" i="15"/>
  <c r="H1063" i="15"/>
  <c r="I1063" i="15"/>
  <c r="H938" i="15"/>
  <c r="I938" i="15"/>
  <c r="H1071" i="15"/>
  <c r="I1071" i="15"/>
  <c r="H1143" i="15"/>
  <c r="I1143" i="15"/>
  <c r="H1177" i="15"/>
  <c r="I1177" i="15"/>
  <c r="H615" i="15"/>
  <c r="I615" i="15"/>
  <c r="H867" i="15"/>
  <c r="I867" i="15"/>
  <c r="H191" i="15"/>
  <c r="I191" i="15"/>
  <c r="H707" i="15"/>
  <c r="I707" i="15"/>
  <c r="H1223" i="15"/>
  <c r="I1223" i="15"/>
  <c r="H1242" i="15"/>
  <c r="I1242" i="15"/>
  <c r="H767" i="15"/>
  <c r="I767" i="15"/>
  <c r="H587" i="15"/>
  <c r="I587" i="15"/>
  <c r="H959" i="15"/>
  <c r="I959" i="15"/>
  <c r="H55" i="15"/>
  <c r="I55" i="15"/>
  <c r="H341" i="15"/>
  <c r="I341" i="15"/>
  <c r="H363" i="15"/>
  <c r="I363" i="15"/>
  <c r="H990" i="15"/>
  <c r="I990" i="15"/>
  <c r="H464" i="15"/>
  <c r="I464" i="15"/>
  <c r="H1335" i="15"/>
  <c r="I1335" i="15"/>
  <c r="H531" i="15"/>
  <c r="I531" i="15"/>
  <c r="H1272" i="15"/>
  <c r="I1272" i="15"/>
  <c r="H647" i="15"/>
  <c r="I647" i="15"/>
  <c r="H76" i="15"/>
  <c r="I76" i="15"/>
  <c r="H537" i="15"/>
  <c r="I537" i="15"/>
  <c r="H1033" i="15"/>
  <c r="I1033" i="15"/>
  <c r="H84" i="15"/>
  <c r="I84" i="15"/>
  <c r="H996" i="15"/>
  <c r="I996" i="15"/>
  <c r="H421" i="15"/>
  <c r="I421" i="15"/>
  <c r="H1417" i="15"/>
  <c r="I1417" i="15"/>
  <c r="H1129" i="15"/>
  <c r="I1129" i="15"/>
  <c r="H181" i="15"/>
  <c r="I181" i="15"/>
  <c r="H716" i="15"/>
  <c r="I716" i="15"/>
  <c r="H151" i="15"/>
  <c r="I151" i="15"/>
  <c r="H1403" i="15"/>
  <c r="I1403" i="15"/>
  <c r="H994" i="15"/>
  <c r="I994" i="15"/>
  <c r="H1220" i="15"/>
  <c r="I1220" i="15"/>
  <c r="H889" i="15"/>
  <c r="I889" i="15"/>
  <c r="H217" i="15"/>
  <c r="I217" i="15"/>
  <c r="H1020" i="15"/>
  <c r="I1020" i="15"/>
  <c r="H1317" i="15"/>
  <c r="I1317" i="15"/>
  <c r="H1028" i="15"/>
  <c r="I1028" i="15"/>
  <c r="H1108" i="15"/>
  <c r="I1108" i="15"/>
  <c r="H257" i="15"/>
  <c r="I257" i="15"/>
  <c r="H1441" i="15"/>
  <c r="I1441" i="15"/>
  <c r="H748" i="15"/>
  <c r="I748" i="15"/>
  <c r="H752" i="15"/>
  <c r="I752" i="15"/>
  <c r="H608" i="15"/>
  <c r="I608" i="15"/>
  <c r="H799" i="15"/>
  <c r="I799" i="15"/>
  <c r="H1250" i="15"/>
  <c r="I1250" i="15"/>
  <c r="H1391" i="15"/>
  <c r="I1391" i="15"/>
  <c r="H804" i="15"/>
  <c r="I804" i="15"/>
  <c r="H1137" i="15"/>
  <c r="I1137" i="15"/>
  <c r="H1019" i="15"/>
  <c r="I1019" i="15"/>
  <c r="H1292" i="15"/>
  <c r="I1292" i="15"/>
  <c r="H932" i="15"/>
  <c r="I932" i="15"/>
  <c r="H1387" i="15"/>
  <c r="I1387" i="15"/>
  <c r="H523" i="15"/>
  <c r="I523" i="15"/>
  <c r="H792" i="15"/>
  <c r="I792" i="15"/>
  <c r="H467" i="15"/>
  <c r="I467" i="15"/>
  <c r="H920" i="15"/>
  <c r="I920" i="15"/>
  <c r="H161" i="15"/>
  <c r="I161" i="15"/>
  <c r="H343" i="15"/>
  <c r="I343" i="15"/>
  <c r="H1155" i="15"/>
  <c r="I1155" i="15"/>
  <c r="H868" i="15"/>
  <c r="I868" i="15"/>
  <c r="H444" i="15"/>
  <c r="I444" i="15"/>
  <c r="H360" i="15"/>
  <c r="I360" i="15"/>
  <c r="H498" i="15"/>
  <c r="I498" i="15"/>
  <c r="H1038" i="15"/>
  <c r="I1038" i="15"/>
  <c r="H1202" i="15"/>
  <c r="I1202" i="15"/>
  <c r="H1423" i="15"/>
  <c r="I1423" i="15"/>
  <c r="H535" i="15"/>
  <c r="I535" i="15"/>
  <c r="H1226" i="15"/>
  <c r="I1226" i="15"/>
  <c r="H1041" i="15"/>
  <c r="I1041" i="15"/>
  <c r="H909" i="15"/>
  <c r="I909" i="15"/>
  <c r="H1332" i="15"/>
  <c r="I1332" i="15"/>
  <c r="H180" i="15"/>
  <c r="I180" i="15"/>
  <c r="H722" i="15"/>
  <c r="I722" i="15"/>
  <c r="H852" i="15"/>
  <c r="I852" i="15"/>
  <c r="H1067" i="15"/>
  <c r="I1067" i="15"/>
  <c r="H1092" i="15"/>
  <c r="I1092" i="15"/>
  <c r="H1004" i="15"/>
  <c r="I1004" i="15"/>
  <c r="H1246" i="15"/>
  <c r="I1246" i="15"/>
  <c r="H1415" i="15"/>
  <c r="I1415" i="15"/>
  <c r="H122" i="15"/>
  <c r="I122" i="15"/>
  <c r="H527" i="15"/>
  <c r="I527" i="15"/>
  <c r="H824" i="15"/>
  <c r="I824" i="15"/>
  <c r="H1168" i="15"/>
  <c r="I1168" i="15"/>
  <c r="H809" i="15"/>
  <c r="I809" i="15"/>
  <c r="H19" i="15"/>
  <c r="I19" i="15"/>
  <c r="H110" i="15"/>
  <c r="I110" i="15"/>
  <c r="H1258" i="15"/>
  <c r="I1258" i="15"/>
  <c r="H605" i="15"/>
  <c r="I605" i="15"/>
  <c r="H1224" i="15"/>
  <c r="I1224" i="15"/>
  <c r="H1245" i="15"/>
  <c r="I1245" i="15"/>
  <c r="H202" i="15"/>
  <c r="I202" i="15"/>
  <c r="H584" i="15"/>
  <c r="I584" i="15"/>
  <c r="H1147" i="15"/>
  <c r="I1147" i="15"/>
  <c r="H589" i="15"/>
  <c r="I589" i="15"/>
  <c r="H1094" i="15"/>
  <c r="I1094" i="15"/>
  <c r="H1156" i="15"/>
  <c r="I1156" i="15"/>
  <c r="H318" i="15"/>
  <c r="I318" i="15"/>
  <c r="H65" i="15"/>
  <c r="I65" i="15"/>
  <c r="H1013" i="15"/>
  <c r="I1013" i="15"/>
  <c r="H775" i="15"/>
  <c r="I775" i="15"/>
  <c r="H939" i="15"/>
  <c r="I939" i="15"/>
  <c r="H1330" i="15"/>
  <c r="I1330" i="15"/>
  <c r="H1093" i="15"/>
  <c r="I1093" i="15"/>
  <c r="H192" i="15"/>
  <c r="I192" i="15"/>
  <c r="H664" i="15"/>
  <c r="I664" i="15"/>
  <c r="H610" i="15"/>
  <c r="I610" i="15"/>
  <c r="H1413" i="15"/>
  <c r="I1413" i="15"/>
  <c r="H661" i="15"/>
  <c r="I661" i="15"/>
  <c r="H1280" i="15"/>
  <c r="I1280" i="15"/>
  <c r="H266" i="15"/>
  <c r="I266" i="15"/>
  <c r="H628" i="15"/>
  <c r="I628" i="15"/>
  <c r="H4" i="15"/>
  <c r="I4" i="15"/>
  <c r="H414" i="15"/>
  <c r="I414" i="15"/>
  <c r="H643" i="15"/>
  <c r="I643" i="15"/>
  <c r="H401" i="15"/>
  <c r="I401" i="15"/>
  <c r="H216" i="15"/>
  <c r="I216" i="15"/>
  <c r="H117" i="15"/>
  <c r="I117" i="15"/>
  <c r="H1329" i="15"/>
  <c r="I1329" i="15"/>
  <c r="H891" i="15"/>
  <c r="I891" i="15"/>
  <c r="H1420" i="15"/>
  <c r="I1420" i="15"/>
  <c r="H81" i="15"/>
  <c r="I81" i="15"/>
  <c r="H325" i="15"/>
  <c r="I325" i="15"/>
  <c r="H6" i="15"/>
  <c r="I6" i="15"/>
  <c r="H96" i="15"/>
  <c r="I96" i="15"/>
  <c r="H222" i="15"/>
  <c r="I222" i="15"/>
  <c r="H342" i="15"/>
  <c r="I342" i="15"/>
  <c r="H617" i="15"/>
  <c r="I617" i="15"/>
  <c r="H1410" i="15"/>
  <c r="I1410" i="15"/>
  <c r="H658" i="15"/>
  <c r="I658" i="15"/>
  <c r="H943" i="15"/>
  <c r="I943" i="15"/>
  <c r="H627" i="15"/>
  <c r="I627" i="15"/>
  <c r="H1054" i="15"/>
  <c r="I1054" i="15"/>
  <c r="H18" i="15"/>
  <c r="I18" i="15"/>
  <c r="H1294" i="15"/>
  <c r="I1294" i="15"/>
  <c r="H1190" i="15"/>
  <c r="I1190" i="15"/>
  <c r="H94" i="15"/>
  <c r="I94" i="15"/>
  <c r="H1349" i="15"/>
  <c r="I1349" i="15"/>
  <c r="H204" i="15"/>
  <c r="I204" i="15"/>
  <c r="H1334" i="15"/>
  <c r="I1334" i="15"/>
  <c r="H7" i="15"/>
  <c r="I7" i="15"/>
  <c r="H963" i="15"/>
  <c r="I963" i="15"/>
  <c r="H195" i="15"/>
  <c r="I195" i="15"/>
  <c r="H879" i="15"/>
  <c r="I879" i="15"/>
  <c r="H27" i="15"/>
  <c r="I27" i="15"/>
  <c r="H1291" i="15"/>
  <c r="I1291" i="15"/>
  <c r="H200" i="15"/>
  <c r="I200" i="15"/>
  <c r="H308" i="15"/>
  <c r="I308" i="15"/>
  <c r="H921" i="15"/>
  <c r="I921" i="15"/>
  <c r="H606" i="15"/>
  <c r="I606" i="15"/>
  <c r="H1339" i="15"/>
  <c r="I1339" i="15"/>
  <c r="H1393" i="15"/>
  <c r="I1393" i="15"/>
  <c r="H641" i="15"/>
  <c r="I641" i="15"/>
  <c r="H947" i="15"/>
  <c r="I947" i="15"/>
  <c r="H487" i="15"/>
  <c r="I487" i="15"/>
  <c r="H854" i="15"/>
  <c r="I854" i="15"/>
  <c r="H190" i="15"/>
  <c r="I190" i="15"/>
  <c r="H1424" i="15"/>
  <c r="I1424" i="15"/>
  <c r="H1293" i="15"/>
  <c r="I1293" i="15"/>
  <c r="H570" i="15"/>
  <c r="I570" i="15"/>
  <c r="H732" i="15"/>
  <c r="I732" i="15"/>
  <c r="H412" i="15"/>
  <c r="I412" i="15"/>
  <c r="H997" i="15"/>
  <c r="I997" i="15"/>
  <c r="H1333" i="15"/>
  <c r="I1333" i="15"/>
  <c r="H1161" i="15"/>
  <c r="I1161" i="15"/>
  <c r="H1328" i="15"/>
  <c r="I1328" i="15"/>
  <c r="H907" i="15"/>
  <c r="I907" i="15"/>
  <c r="H510" i="15"/>
  <c r="I510" i="15"/>
  <c r="H942" i="15"/>
  <c r="I942" i="15"/>
  <c r="H1407" i="15"/>
  <c r="I1407" i="15"/>
  <c r="H951" i="15"/>
  <c r="I951" i="15"/>
  <c r="H1398" i="15"/>
  <c r="I1398" i="15"/>
  <c r="H697" i="15"/>
  <c r="I697" i="15"/>
  <c r="H703" i="15"/>
  <c r="I703" i="15"/>
  <c r="H1032" i="15"/>
  <c r="I1032" i="15"/>
  <c r="H1414" i="15"/>
  <c r="I1414" i="15"/>
  <c r="H328" i="15"/>
  <c r="I328" i="15"/>
  <c r="H230" i="15"/>
  <c r="I230" i="15"/>
  <c r="H1399" i="15"/>
  <c r="I1399" i="15"/>
  <c r="H1169" i="15"/>
  <c r="I1169" i="15"/>
  <c r="H1218" i="15"/>
  <c r="I1218" i="15"/>
  <c r="H9" i="15"/>
  <c r="I9" i="15"/>
  <c r="H790" i="15"/>
  <c r="I790" i="15"/>
  <c r="H1347" i="15"/>
  <c r="I1347" i="15"/>
  <c r="H773" i="15"/>
  <c r="I773" i="15"/>
  <c r="H203" i="15"/>
  <c r="I203" i="15"/>
  <c r="H36" i="15"/>
  <c r="I36" i="15"/>
  <c r="H432" i="15"/>
  <c r="I432" i="15"/>
  <c r="H1023" i="15"/>
  <c r="I1023" i="15"/>
  <c r="H602" i="15"/>
  <c r="I602" i="15"/>
  <c r="H71" i="15"/>
  <c r="I71" i="15"/>
  <c r="H107" i="15"/>
  <c r="I107" i="15"/>
  <c r="H663" i="15"/>
  <c r="I663" i="15"/>
  <c r="H101" i="15"/>
  <c r="I101" i="15"/>
  <c r="H1427" i="15"/>
  <c r="I1427" i="15"/>
  <c r="H1426" i="15"/>
  <c r="I1426" i="15"/>
  <c r="H1128" i="15"/>
  <c r="I1128" i="15"/>
  <c r="H626" i="15"/>
  <c r="I626" i="15"/>
  <c r="H726" i="15"/>
  <c r="I726" i="15"/>
  <c r="H567" i="15"/>
  <c r="I567" i="15"/>
  <c r="H890" i="15"/>
  <c r="I890" i="15"/>
  <c r="H294" i="15"/>
  <c r="I294" i="15"/>
  <c r="H369" i="15"/>
  <c r="I369" i="15"/>
  <c r="H669" i="15"/>
  <c r="I669" i="15"/>
  <c r="H934" i="15"/>
  <c r="I934" i="15"/>
  <c r="C35" i="84"/>
  <c r="D31" i="84"/>
  <c r="D32" i="84"/>
  <c r="D33" i="84"/>
  <c r="D34" i="84"/>
  <c r="D30" i="84"/>
  <c r="D35" i="84" l="1"/>
  <c r="J294" i="15"/>
  <c r="J626" i="15"/>
  <c r="J101" i="15"/>
  <c r="J602" i="15"/>
  <c r="J203" i="15"/>
  <c r="J9" i="15"/>
  <c r="J230" i="15"/>
  <c r="J703" i="15"/>
  <c r="J1407" i="15"/>
  <c r="G1400" i="96" s="1"/>
  <c r="H1400" i="96" s="1"/>
  <c r="J1328" i="15"/>
  <c r="G1321" i="96" s="1"/>
  <c r="H1321" i="96" s="1"/>
  <c r="J412" i="15"/>
  <c r="J1424" i="15"/>
  <c r="G1417" i="96" s="1"/>
  <c r="H1417" i="96" s="1"/>
  <c r="J947" i="15"/>
  <c r="G944" i="96" s="1"/>
  <c r="H944" i="96" s="1"/>
  <c r="J606" i="15"/>
  <c r="J1291" i="15"/>
  <c r="J963" i="15"/>
  <c r="G960" i="96" s="1"/>
  <c r="H960" i="96" s="1"/>
  <c r="J1349" i="15"/>
  <c r="G1342" i="96" s="1"/>
  <c r="H1342" i="96" s="1"/>
  <c r="J18" i="15"/>
  <c r="J658" i="15"/>
  <c r="J222" i="15"/>
  <c r="J81" i="15"/>
  <c r="J117" i="15"/>
  <c r="J414" i="15"/>
  <c r="J1280" i="15"/>
  <c r="J664" i="15"/>
  <c r="J939" i="15"/>
  <c r="G936" i="96" s="1"/>
  <c r="H936" i="96" s="1"/>
  <c r="J318" i="15"/>
  <c r="J1147" i="15"/>
  <c r="G1142" i="96" s="1"/>
  <c r="H1142" i="96" s="1"/>
  <c r="J1224" i="15"/>
  <c r="G1217" i="96" s="1"/>
  <c r="H1217" i="96" s="1"/>
  <c r="J19" i="15"/>
  <c r="J527" i="15"/>
  <c r="J1004" i="15"/>
  <c r="G1000" i="96" s="1"/>
  <c r="H1000" i="96" s="1"/>
  <c r="J722" i="15"/>
  <c r="J1041" i="15"/>
  <c r="G1037" i="96" s="1"/>
  <c r="H1037" i="96" s="1"/>
  <c r="J1202" i="15"/>
  <c r="G1195" i="96" s="1"/>
  <c r="H1195" i="96" s="1"/>
  <c r="J444" i="15"/>
  <c r="J161" i="15"/>
  <c r="J523" i="15"/>
  <c r="J1019" i="15"/>
  <c r="G1015" i="96" s="1"/>
  <c r="H1015" i="96" s="1"/>
  <c r="J1250" i="15"/>
  <c r="G1243" i="96" s="1"/>
  <c r="H1243" i="96" s="1"/>
  <c r="J748" i="15"/>
  <c r="J1028" i="15"/>
  <c r="G1024" i="96" s="1"/>
  <c r="H1024" i="96" s="1"/>
  <c r="J889" i="15"/>
  <c r="J151" i="15"/>
  <c r="J1417" i="15"/>
  <c r="G1410" i="96" s="1"/>
  <c r="H1410" i="96" s="1"/>
  <c r="J1033" i="15"/>
  <c r="G1029" i="96" s="1"/>
  <c r="H1029" i="96" s="1"/>
  <c r="J1272" i="15"/>
  <c r="G1265" i="96" s="1"/>
  <c r="H1265" i="96" s="1"/>
  <c r="J990" i="15"/>
  <c r="G987" i="96" s="1"/>
  <c r="H987" i="96" s="1"/>
  <c r="J959" i="15"/>
  <c r="G956" i="96" s="1"/>
  <c r="H956" i="96" s="1"/>
  <c r="J1223" i="15"/>
  <c r="G1216" i="96" s="1"/>
  <c r="H1216" i="96" s="1"/>
  <c r="J615" i="15"/>
  <c r="J938" i="15"/>
  <c r="G935" i="96" s="1"/>
  <c r="H935" i="96" s="1"/>
  <c r="J188" i="15"/>
  <c r="J505" i="15"/>
  <c r="J1145" i="15"/>
  <c r="G1140" i="96" s="1"/>
  <c r="H1140" i="96" s="1"/>
  <c r="J273" i="15"/>
  <c r="J569" i="15"/>
  <c r="J1344" i="15"/>
  <c r="G1337" i="96" s="1"/>
  <c r="H1337" i="96" s="1"/>
  <c r="J533" i="15"/>
  <c r="J583" i="15"/>
  <c r="J636" i="15"/>
  <c r="J622" i="15"/>
  <c r="J1370" i="15"/>
  <c r="G1363" i="96" s="1"/>
  <c r="H1363" i="96" s="1"/>
  <c r="J1252" i="15"/>
  <c r="G1245" i="96" s="1"/>
  <c r="H1245" i="96" s="1"/>
  <c r="J51" i="15"/>
  <c r="J904" i="15"/>
  <c r="G901" i="96" s="1"/>
  <c r="H901" i="96" s="1"/>
  <c r="J213" i="15"/>
  <c r="J657" i="15"/>
  <c r="J862" i="15"/>
  <c r="J728" i="15"/>
  <c r="J1325" i="15"/>
  <c r="G1318" i="96" s="1"/>
  <c r="H1318" i="96" s="1"/>
  <c r="J880" i="15"/>
  <c r="J14" i="15"/>
  <c r="J494" i="15"/>
  <c r="G494" i="96" s="1"/>
  <c r="J281" i="15"/>
  <c r="J59" i="15"/>
  <c r="J625" i="15"/>
  <c r="J844" i="15"/>
  <c r="J1406" i="15"/>
  <c r="G1399" i="96" s="1"/>
  <c r="H1399" i="96" s="1"/>
  <c r="J1358" i="15"/>
  <c r="G1351" i="96" s="1"/>
  <c r="H1351" i="96" s="1"/>
  <c r="J1087" i="15"/>
  <c r="G1083" i="96" s="1"/>
  <c r="H1083" i="96" s="1"/>
  <c r="J675" i="15"/>
  <c r="J493" i="15"/>
  <c r="J296" i="15"/>
  <c r="J524" i="15"/>
  <c r="J112" i="15"/>
  <c r="J1445" i="15"/>
  <c r="G1438" i="96" s="1"/>
  <c r="H1438" i="96" s="1"/>
  <c r="J1235" i="15"/>
  <c r="G1228" i="96" s="1"/>
  <c r="H1228" i="96" s="1"/>
  <c r="J1104" i="15"/>
  <c r="G1099" i="96" s="1"/>
  <c r="H1099" i="96" s="1"/>
  <c r="J310" i="15"/>
  <c r="J116" i="15"/>
  <c r="J1011" i="15"/>
  <c r="G1007" i="96" s="1"/>
  <c r="H1007" i="96" s="1"/>
  <c r="J207" i="15"/>
  <c r="J243" i="15"/>
  <c r="J397" i="15"/>
  <c r="J223" i="15"/>
  <c r="J1395" i="15"/>
  <c r="G1388" i="96" s="1"/>
  <c r="H1388" i="96" s="1"/>
  <c r="J72" i="15"/>
  <c r="J193" i="15"/>
  <c r="J1195" i="15"/>
  <c r="G1188" i="96" s="1"/>
  <c r="H1188" i="96" s="1"/>
  <c r="J1021" i="15"/>
  <c r="G1017" i="96" s="1"/>
  <c r="H1017" i="96" s="1"/>
  <c r="J859" i="15"/>
  <c r="J484" i="15"/>
  <c r="J1037" i="15"/>
  <c r="G1033" i="96" s="1"/>
  <c r="H1033" i="96" s="1"/>
  <c r="J1135" i="15"/>
  <c r="G1130" i="96" s="1"/>
  <c r="H1130" i="96" s="1"/>
  <c r="J1394" i="15"/>
  <c r="G1387" i="96" s="1"/>
  <c r="H1387" i="96" s="1"/>
  <c r="J1388" i="15"/>
  <c r="G1381" i="96" s="1"/>
  <c r="H1381" i="96" s="1"/>
  <c r="J150" i="15"/>
  <c r="J1447" i="15"/>
  <c r="G1440" i="96" s="1"/>
  <c r="H1440" i="96" s="1"/>
  <c r="J111" i="15"/>
  <c r="J1035" i="15"/>
  <c r="G1031" i="96" s="1"/>
  <c r="H1031" i="96" s="1"/>
  <c r="J280" i="15"/>
  <c r="J189" i="15"/>
  <c r="J1167" i="15"/>
  <c r="G1161" i="96" s="1"/>
  <c r="H1161" i="96" s="1"/>
  <c r="J1217" i="15"/>
  <c r="G1210" i="96" s="1"/>
  <c r="H1210" i="96" s="1"/>
  <c r="J415" i="15"/>
  <c r="J1130" i="15"/>
  <c r="G1125" i="96" s="1"/>
  <c r="H1125" i="96" s="1"/>
  <c r="J506" i="15"/>
  <c r="J1166" i="15"/>
  <c r="G1160" i="96" s="1"/>
  <c r="H1160" i="96" s="1"/>
  <c r="J171" i="15"/>
  <c r="J178" i="15"/>
  <c r="J186" i="15"/>
  <c r="J169" i="15"/>
  <c r="J1122" i="15"/>
  <c r="G1117" i="96" s="1"/>
  <c r="H1117" i="96" s="1"/>
  <c r="J1200" i="15"/>
  <c r="G1193" i="96" s="1"/>
  <c r="H1193" i="96" s="1"/>
  <c r="J801" i="15"/>
  <c r="J721" i="15"/>
  <c r="J1211" i="15"/>
  <c r="G1204" i="96" s="1"/>
  <c r="H1204" i="96" s="1"/>
  <c r="J830" i="15"/>
  <c r="J1214" i="15"/>
  <c r="G1207" i="96" s="1"/>
  <c r="H1207" i="96" s="1"/>
  <c r="J166" i="15"/>
  <c r="J740" i="15"/>
  <c r="J404" i="15"/>
  <c r="J646" i="15"/>
  <c r="J398" i="15"/>
  <c r="J395" i="15"/>
  <c r="J393" i="15"/>
  <c r="J391" i="15"/>
  <c r="J1188" i="15"/>
  <c r="G1181" i="96" s="1"/>
  <c r="H1181" i="96" s="1"/>
  <c r="J160" i="15"/>
  <c r="J387" i="15"/>
  <c r="J158" i="15"/>
  <c r="J385" i="15"/>
  <c r="J383" i="15"/>
  <c r="J1179" i="15"/>
  <c r="G1173" i="96" s="1"/>
  <c r="H1173" i="96" s="1"/>
  <c r="J623" i="15"/>
  <c r="J375" i="15"/>
  <c r="J1175" i="15"/>
  <c r="G1169" i="96" s="1"/>
  <c r="H1169" i="96" s="1"/>
  <c r="J373" i="15"/>
  <c r="J618" i="15"/>
  <c r="J611" i="15"/>
  <c r="J1165" i="15"/>
  <c r="G1159" i="96" s="1"/>
  <c r="H1159" i="96" s="1"/>
  <c r="J1164" i="15"/>
  <c r="G1158" i="96" s="1"/>
  <c r="H1158" i="96" s="1"/>
  <c r="J806" i="15"/>
  <c r="J780" i="15"/>
  <c r="J365" i="15"/>
  <c r="J1160" i="15"/>
  <c r="G1154" i="96" s="1"/>
  <c r="H1154" i="96" s="1"/>
  <c r="J136" i="15"/>
  <c r="J595" i="15"/>
  <c r="J789" i="15"/>
  <c r="J592" i="15"/>
  <c r="J644" i="15"/>
  <c r="J144" i="15"/>
  <c r="J588" i="15"/>
  <c r="J1154" i="15"/>
  <c r="G1148" i="96" s="1"/>
  <c r="H1148" i="96" s="1"/>
  <c r="J753" i="15"/>
  <c r="J709" i="15"/>
  <c r="J684" i="15"/>
  <c r="J579" i="15"/>
  <c r="J698" i="15"/>
  <c r="J578" i="15"/>
  <c r="J576" i="15"/>
  <c r="J1027" i="15"/>
  <c r="G1023" i="96" s="1"/>
  <c r="H1023" i="96" s="1"/>
  <c r="J743" i="15"/>
  <c r="J575" i="15"/>
  <c r="J781" i="15"/>
  <c r="J326" i="15"/>
  <c r="J129" i="15"/>
  <c r="J568" i="15"/>
  <c r="J1010" i="15"/>
  <c r="G1006" i="96" s="1"/>
  <c r="H1006" i="96" s="1"/>
  <c r="J1008" i="15"/>
  <c r="G1004" i="96" s="1"/>
  <c r="H1004" i="96" s="1"/>
  <c r="J561" i="15"/>
  <c r="J559" i="15"/>
  <c r="J123" i="15"/>
  <c r="J1001" i="15"/>
  <c r="G997" i="96" s="1"/>
  <c r="H997" i="96" s="1"/>
  <c r="J1136" i="15"/>
  <c r="G1131" i="96" s="1"/>
  <c r="H1131" i="96" s="1"/>
  <c r="J992" i="15"/>
  <c r="G989" i="96" s="1"/>
  <c r="H989" i="96" s="1"/>
  <c r="J115" i="15"/>
  <c r="J551" i="15"/>
  <c r="J322" i="15"/>
  <c r="J548" i="15"/>
  <c r="J982" i="15"/>
  <c r="G979" i="96" s="1"/>
  <c r="H979" i="96" s="1"/>
  <c r="J1124" i="15"/>
  <c r="G1119" i="96" s="1"/>
  <c r="H1119" i="96" s="1"/>
  <c r="J105" i="15"/>
  <c r="J977" i="15"/>
  <c r="G974" i="96" s="1"/>
  <c r="H974" i="96" s="1"/>
  <c r="J793" i="15"/>
  <c r="J787" i="15"/>
  <c r="J100" i="15"/>
  <c r="J973" i="15"/>
  <c r="G970" i="96" s="1"/>
  <c r="H970" i="96" s="1"/>
  <c r="J971" i="15"/>
  <c r="G968" i="96" s="1"/>
  <c r="H968" i="96" s="1"/>
  <c r="J648" i="15"/>
  <c r="J93" i="15"/>
  <c r="J678" i="15"/>
  <c r="J968" i="15"/>
  <c r="G965" i="96" s="1"/>
  <c r="H965" i="96" s="1"/>
  <c r="J319" i="15"/>
  <c r="J635" i="15"/>
  <c r="J87" i="15"/>
  <c r="J668" i="15"/>
  <c r="J962" i="15"/>
  <c r="G959" i="96" s="1"/>
  <c r="H959" i="96" s="1"/>
  <c r="J1404" i="15"/>
  <c r="G1397" i="96" s="1"/>
  <c r="H1397" i="96" s="1"/>
  <c r="J961" i="15"/>
  <c r="G958" i="96" s="1"/>
  <c r="H958" i="96" s="1"/>
  <c r="J80" i="15"/>
  <c r="J735" i="15"/>
  <c r="J1118" i="15"/>
  <c r="G1113" i="96" s="1"/>
  <c r="H1113" i="96" s="1"/>
  <c r="J1117" i="15"/>
  <c r="G1112" i="96" s="1"/>
  <c r="H1112" i="96" s="1"/>
  <c r="J1336" i="15"/>
  <c r="G1329" i="96" s="1"/>
  <c r="H1329" i="96" s="1"/>
  <c r="J1305" i="15"/>
  <c r="G1298" i="96" s="1"/>
  <c r="H1298" i="96" s="1"/>
  <c r="J88" i="15"/>
  <c r="J750" i="15"/>
  <c r="J522" i="15"/>
  <c r="J640" i="15"/>
  <c r="J712" i="15"/>
  <c r="J823" i="15"/>
  <c r="J782" i="15"/>
  <c r="J769" i="15"/>
  <c r="J745" i="15"/>
  <c r="J702" i="15"/>
  <c r="J1453" i="15"/>
  <c r="J1449" i="15"/>
  <c r="G1442" i="96" s="1"/>
  <c r="H1442" i="96" s="1"/>
  <c r="J948" i="15"/>
  <c r="G945" i="96" s="1"/>
  <c r="H945" i="96" s="1"/>
  <c r="J286" i="15"/>
  <c r="J1113" i="15"/>
  <c r="G1108" i="96" s="1"/>
  <c r="H1108" i="96" s="1"/>
  <c r="J1416" i="15"/>
  <c r="G1409" i="96" s="1"/>
  <c r="H1409" i="96" s="1"/>
  <c r="J1409" i="15"/>
  <c r="G1402" i="96" s="1"/>
  <c r="H1402" i="96" s="1"/>
  <c r="J1396" i="15"/>
  <c r="G1389" i="96" s="1"/>
  <c r="H1389" i="96" s="1"/>
  <c r="J1109" i="15"/>
  <c r="G1104" i="96" s="1"/>
  <c r="H1104" i="96" s="1"/>
  <c r="J279" i="15"/>
  <c r="J354" i="15"/>
  <c r="J353" i="15"/>
  <c r="J513" i="15"/>
  <c r="J1106" i="15"/>
  <c r="G1101" i="96" s="1"/>
  <c r="H1101" i="96" s="1"/>
  <c r="J297" i="15"/>
  <c r="J295" i="15"/>
  <c r="J83" i="15"/>
  <c r="J1233" i="15"/>
  <c r="G1226" i="96" s="1"/>
  <c r="H1226" i="96" s="1"/>
  <c r="J79" i="15"/>
  <c r="J504" i="15"/>
  <c r="J75" i="15"/>
  <c r="J1369" i="15"/>
  <c r="G1362" i="96" s="1"/>
  <c r="H1362" i="96" s="1"/>
  <c r="J1098" i="15"/>
  <c r="G1094" i="96" s="1"/>
  <c r="H1094" i="96" s="1"/>
  <c r="J931" i="15"/>
  <c r="G928" i="96" s="1"/>
  <c r="H928" i="96" s="1"/>
  <c r="J1238" i="15"/>
  <c r="G1231" i="96" s="1"/>
  <c r="H1231" i="96" s="1"/>
  <c r="J73" i="15"/>
  <c r="J1240" i="15"/>
  <c r="G1233" i="96" s="1"/>
  <c r="H1233" i="96" s="1"/>
  <c r="J1243" i="15"/>
  <c r="G1236" i="96" s="1"/>
  <c r="H1236" i="96" s="1"/>
  <c r="J1244" i="15"/>
  <c r="G1237" i="96" s="1"/>
  <c r="H1237" i="96" s="1"/>
  <c r="J1089" i="15"/>
  <c r="G1085" i="96" s="1"/>
  <c r="H1085" i="96" s="1"/>
  <c r="J1322" i="15"/>
  <c r="G1315" i="96" s="1"/>
  <c r="H1315" i="96" s="1"/>
  <c r="J66" i="15"/>
  <c r="J1309" i="15"/>
  <c r="G1302" i="96" s="1"/>
  <c r="H1302" i="96" s="1"/>
  <c r="J1304" i="15"/>
  <c r="G1297" i="96" s="1"/>
  <c r="H1297" i="96" s="1"/>
  <c r="J925" i="15"/>
  <c r="G922" i="96" s="1"/>
  <c r="H922" i="96" s="1"/>
  <c r="J831" i="15"/>
  <c r="J452" i="15"/>
  <c r="J450" i="15"/>
  <c r="J742" i="15"/>
  <c r="J1362" i="15"/>
  <c r="G1355" i="96" s="1"/>
  <c r="H1355" i="96" s="1"/>
  <c r="J756" i="15"/>
  <c r="J445" i="15"/>
  <c r="J1345" i="15"/>
  <c r="G1338" i="96" s="1"/>
  <c r="H1338" i="96" s="1"/>
  <c r="J427" i="15"/>
  <c r="J687" i="15"/>
  <c r="J227" i="15"/>
  <c r="J829" i="15"/>
  <c r="J225" i="15"/>
  <c r="J224" i="15"/>
  <c r="J1043" i="15"/>
  <c r="G1039" i="96" s="1"/>
  <c r="H1039" i="96" s="1"/>
  <c r="J422" i="15"/>
  <c r="G70" i="96" s="1"/>
  <c r="J1307" i="15"/>
  <c r="G1300" i="96" s="1"/>
  <c r="H1300" i="96" s="1"/>
  <c r="J851" i="15"/>
  <c r="J1042" i="15"/>
  <c r="G1038" i="96" s="1"/>
  <c r="H1038" i="96" s="1"/>
  <c r="J815" i="15"/>
  <c r="J1269" i="15"/>
  <c r="G1262" i="96" s="1"/>
  <c r="H1262" i="96" s="1"/>
  <c r="J11" i="15"/>
  <c r="J10" i="15"/>
  <c r="J704" i="15"/>
  <c r="J845" i="15"/>
  <c r="J1352" i="15"/>
  <c r="G1345" i="96" s="1"/>
  <c r="H1345" i="96" s="1"/>
  <c r="J1314" i="15"/>
  <c r="G1307" i="96" s="1"/>
  <c r="H1307" i="96" s="1"/>
  <c r="J1310" i="15"/>
  <c r="G1303" i="96" s="1"/>
  <c r="H1303" i="96" s="1"/>
  <c r="J1299" i="15"/>
  <c r="J715" i="15"/>
  <c r="J680" i="15"/>
  <c r="J3" i="15"/>
  <c r="J835" i="15"/>
  <c r="J215" i="15"/>
  <c r="J210" i="15"/>
  <c r="J40" i="15"/>
  <c r="J205" i="15"/>
  <c r="J1350" i="15"/>
  <c r="G1343" i="96" s="1"/>
  <c r="H1343" i="96" s="1"/>
  <c r="J954" i="15"/>
  <c r="G951" i="96" s="1"/>
  <c r="H951" i="96" s="1"/>
  <c r="J927" i="15"/>
  <c r="G924" i="96" s="1"/>
  <c r="H924" i="96" s="1"/>
  <c r="J577" i="15"/>
  <c r="J496" i="15"/>
  <c r="J470" i="15"/>
  <c r="J934" i="15"/>
  <c r="J890" i="15"/>
  <c r="J1128" i="15"/>
  <c r="G1123" i="96" s="1"/>
  <c r="H1123" i="96" s="1"/>
  <c r="J663" i="15"/>
  <c r="J1023" i="15"/>
  <c r="G1019" i="96" s="1"/>
  <c r="H1019" i="96" s="1"/>
  <c r="J773" i="15"/>
  <c r="J1218" i="15"/>
  <c r="G1211" i="96" s="1"/>
  <c r="H1211" i="96" s="1"/>
  <c r="J328" i="15"/>
  <c r="J697" i="15"/>
  <c r="J942" i="15"/>
  <c r="G939" i="96" s="1"/>
  <c r="H939" i="96" s="1"/>
  <c r="J1161" i="15"/>
  <c r="G1155" i="96" s="1"/>
  <c r="H1155" i="96" s="1"/>
  <c r="J732" i="15"/>
  <c r="J190" i="15"/>
  <c r="J641" i="15"/>
  <c r="J921" i="15"/>
  <c r="J27" i="15"/>
  <c r="J7" i="15"/>
  <c r="J94" i="15"/>
  <c r="J1054" i="15"/>
  <c r="G1050" i="96" s="1"/>
  <c r="H1050" i="96" s="1"/>
  <c r="J1410" i="15"/>
  <c r="G1403" i="96" s="1"/>
  <c r="H1403" i="96" s="1"/>
  <c r="J96" i="15"/>
  <c r="J1420" i="15"/>
  <c r="G1413" i="96" s="1"/>
  <c r="H1413" i="96" s="1"/>
  <c r="J216" i="15"/>
  <c r="J4" i="15"/>
  <c r="G800" i="96" s="1"/>
  <c r="H800" i="96" s="1"/>
  <c r="J661" i="15"/>
  <c r="J192" i="15"/>
  <c r="J775" i="15"/>
  <c r="J1156" i="15"/>
  <c r="G1150" i="96" s="1"/>
  <c r="H1150" i="96" s="1"/>
  <c r="J584" i="15"/>
  <c r="J605" i="15"/>
  <c r="J1271" i="15"/>
  <c r="G1264" i="96" s="1"/>
  <c r="H1264" i="96" s="1"/>
  <c r="J1141" i="15"/>
  <c r="G1136" i="96" s="1"/>
  <c r="H1136" i="96" s="1"/>
  <c r="J102" i="15"/>
  <c r="J1277" i="15"/>
  <c r="G1270" i="96" s="1"/>
  <c r="H1270" i="96" s="1"/>
  <c r="J593" i="15"/>
  <c r="J1386" i="15"/>
  <c r="G1379" i="96" s="1"/>
  <c r="H1379" i="96" s="1"/>
  <c r="J1025" i="15"/>
  <c r="G1021" i="96" s="1"/>
  <c r="H1021" i="96" s="1"/>
  <c r="J883" i="15"/>
  <c r="J759" i="15"/>
  <c r="J289" i="15"/>
  <c r="J654" i="15"/>
  <c r="J8" i="15"/>
  <c r="J1364" i="15"/>
  <c r="G1357" i="96" s="1"/>
  <c r="H1357" i="96" s="1"/>
  <c r="J729" i="15"/>
  <c r="J986" i="15"/>
  <c r="G983" i="96" s="1"/>
  <c r="H983" i="96" s="1"/>
  <c r="J418" i="15"/>
  <c r="J126" i="15"/>
  <c r="J99" i="15"/>
  <c r="J35" i="15"/>
  <c r="G34" i="96" s="1"/>
  <c r="J1201" i="15"/>
  <c r="G1194" i="96" s="1"/>
  <c r="H1194" i="96" s="1"/>
  <c r="J935" i="15"/>
  <c r="G932" i="96" s="1"/>
  <c r="H932" i="96" s="1"/>
  <c r="J1400" i="15"/>
  <c r="J1253" i="15"/>
  <c r="G1246" i="96" s="1"/>
  <c r="H1246" i="96" s="1"/>
  <c r="J1425" i="15"/>
  <c r="G1418" i="96" s="1"/>
  <c r="H1418" i="96" s="1"/>
  <c r="J538" i="15"/>
  <c r="J656" i="15"/>
  <c r="J1263" i="15"/>
  <c r="G1256" i="96" s="1"/>
  <c r="H1256" i="96" s="1"/>
  <c r="J26" i="15"/>
  <c r="J1274" i="15"/>
  <c r="G1267" i="96" s="1"/>
  <c r="H1267" i="96" s="1"/>
  <c r="J378" i="15"/>
  <c r="J70" i="15"/>
  <c r="J1430" i="15"/>
  <c r="G1423" i="96" s="1"/>
  <c r="H1423" i="96" s="1"/>
  <c r="J1221" i="15"/>
  <c r="G1214" i="96" s="1"/>
  <c r="H1214" i="96" s="1"/>
  <c r="J184" i="15"/>
  <c r="J127" i="15"/>
  <c r="J1132" i="15"/>
  <c r="G1127" i="96" s="1"/>
  <c r="H1127" i="96" s="1"/>
  <c r="J1030" i="15"/>
  <c r="G1026" i="96" s="1"/>
  <c r="H1026" i="96" s="1"/>
  <c r="J293" i="15"/>
  <c r="J283" i="15"/>
  <c r="J98" i="15"/>
  <c r="J336" i="15"/>
  <c r="J1301" i="15"/>
  <c r="G1294" i="96" s="1"/>
  <c r="H1294" i="96" s="1"/>
  <c r="J1381" i="15"/>
  <c r="G1374" i="96" s="1"/>
  <c r="H1374" i="96" s="1"/>
  <c r="J983" i="15"/>
  <c r="G980" i="96" s="1"/>
  <c r="H980" i="96" s="1"/>
  <c r="J148" i="15"/>
  <c r="J153" i="15"/>
  <c r="J172" i="15"/>
  <c r="J1193" i="15"/>
  <c r="G1186" i="96" s="1"/>
  <c r="H1186" i="96" s="1"/>
  <c r="J174" i="15"/>
  <c r="J411" i="15"/>
  <c r="J1197" i="15"/>
  <c r="G1190" i="96" s="1"/>
  <c r="H1190" i="96" s="1"/>
  <c r="J1203" i="15"/>
  <c r="G1196" i="96" s="1"/>
  <c r="H1196" i="96" s="1"/>
  <c r="J739" i="15"/>
  <c r="J416" i="15"/>
  <c r="J779" i="15"/>
  <c r="J826" i="15"/>
  <c r="J1215" i="15"/>
  <c r="G1208" i="96" s="1"/>
  <c r="H1208" i="96" s="1"/>
  <c r="J407" i="15"/>
  <c r="J406" i="15"/>
  <c r="J403" i="15"/>
  <c r="J390" i="15"/>
  <c r="J165" i="15"/>
  <c r="J394" i="15"/>
  <c r="J1191" i="15"/>
  <c r="G1184" i="96" s="1"/>
  <c r="H1184" i="96" s="1"/>
  <c r="J163" i="15"/>
  <c r="J1187" i="15"/>
  <c r="G1180" i="96" s="1"/>
  <c r="H1180" i="96" s="1"/>
  <c r="J388" i="15"/>
  <c r="G513" i="96" s="1"/>
  <c r="J198" i="15"/>
  <c r="J201" i="15"/>
  <c r="J384" i="15"/>
  <c r="J382" i="15"/>
  <c r="J103" i="15"/>
  <c r="J639" i="15"/>
  <c r="J812" i="15"/>
  <c r="J359" i="15"/>
  <c r="J357" i="15"/>
  <c r="G356" i="96" s="1"/>
  <c r="J356" i="15"/>
  <c r="J1229" i="15"/>
  <c r="G1222" i="96" s="1"/>
  <c r="H1222" i="96" s="1"/>
  <c r="J1230" i="15"/>
  <c r="G1223" i="96" s="1"/>
  <c r="H1223" i="96" s="1"/>
  <c r="J352" i="15"/>
  <c r="J941" i="15"/>
  <c r="G938" i="96" s="1"/>
  <c r="H938" i="96" s="1"/>
  <c r="J349" i="15"/>
  <c r="J86" i="15"/>
  <c r="J508" i="15"/>
  <c r="J940" i="15"/>
  <c r="G937" i="96" s="1"/>
  <c r="H937" i="96" s="1"/>
  <c r="J937" i="15"/>
  <c r="J1101" i="15"/>
  <c r="G1096" i="96" s="1"/>
  <c r="H1096" i="96" s="1"/>
  <c r="J275" i="15"/>
  <c r="J652" i="15"/>
  <c r="J1368" i="15"/>
  <c r="G1361" i="96" s="1"/>
  <c r="H1361" i="96" s="1"/>
  <c r="J1237" i="15"/>
  <c r="J1097" i="15"/>
  <c r="J1096" i="15"/>
  <c r="G1092" i="96" s="1"/>
  <c r="H1092" i="96" s="1"/>
  <c r="J1355" i="15"/>
  <c r="G1348" i="96" s="1"/>
  <c r="H1348" i="96" s="1"/>
  <c r="J490" i="15"/>
  <c r="J1091" i="15"/>
  <c r="G1087" i="96" s="1"/>
  <c r="H1087" i="96" s="1"/>
  <c r="J1348" i="15"/>
  <c r="G1341" i="96" s="1"/>
  <c r="H1341" i="96" s="1"/>
  <c r="J1327" i="15"/>
  <c r="G1320" i="96" s="1"/>
  <c r="H1320" i="96" s="1"/>
  <c r="J1319" i="15"/>
  <c r="G1312" i="96" s="1"/>
  <c r="H1312" i="96" s="1"/>
  <c r="J1312" i="15"/>
  <c r="G1305" i="96" s="1"/>
  <c r="H1305" i="96" s="1"/>
  <c r="J479" i="15"/>
  <c r="J1085" i="15"/>
  <c r="J62" i="15"/>
  <c r="J61" i="15"/>
  <c r="J1452" i="15"/>
  <c r="J1079" i="15"/>
  <c r="G1075" i="96" s="1"/>
  <c r="H1075" i="96" s="1"/>
  <c r="J1078" i="15"/>
  <c r="G1074" i="96" s="1"/>
  <c r="H1074" i="96" s="1"/>
  <c r="J912" i="15"/>
  <c r="G909" i="96" s="1"/>
  <c r="H909" i="96" s="1"/>
  <c r="J908" i="15"/>
  <c r="G905" i="96" s="1"/>
  <c r="H905" i="96" s="1"/>
  <c r="J469" i="15"/>
  <c r="J49" i="15"/>
  <c r="G187" i="96" s="1"/>
  <c r="J1074" i="15"/>
  <c r="G1070" i="96" s="1"/>
  <c r="H1070" i="96" s="1"/>
  <c r="J463" i="15"/>
  <c r="J1073" i="15"/>
  <c r="G1069" i="96" s="1"/>
  <c r="H1069" i="96" s="1"/>
  <c r="J900" i="15"/>
  <c r="G897" i="96" s="1"/>
  <c r="H897" i="96" s="1"/>
  <c r="J899" i="15"/>
  <c r="J1418" i="15"/>
  <c r="G1411" i="96" s="1"/>
  <c r="H1411" i="96" s="1"/>
  <c r="J1412" i="15"/>
  <c r="J267" i="15"/>
  <c r="J454" i="15"/>
  <c r="J1066" i="15"/>
  <c r="G1062" i="96" s="1"/>
  <c r="H1062" i="96" s="1"/>
  <c r="J1373" i="15"/>
  <c r="G1366" i="96" s="1"/>
  <c r="H1366" i="96" s="1"/>
  <c r="J256" i="15"/>
  <c r="J252" i="15"/>
  <c r="J48" i="15"/>
  <c r="J887" i="15"/>
  <c r="J242" i="15"/>
  <c r="J240" i="15"/>
  <c r="J624" i="15"/>
  <c r="J453" i="15"/>
  <c r="G143" i="96" s="1"/>
  <c r="J768" i="15"/>
  <c r="J1366" i="15"/>
  <c r="G1359" i="96" s="1"/>
  <c r="H1359" i="96" s="1"/>
  <c r="J448" i="15"/>
  <c r="J233" i="15"/>
  <c r="J1065" i="15"/>
  <c r="G1061" i="96" s="1"/>
  <c r="H1061" i="96" s="1"/>
  <c r="J232" i="15"/>
  <c r="J881" i="15"/>
  <c r="J1313" i="15"/>
  <c r="G1306" i="96" s="1"/>
  <c r="H1306" i="96" s="1"/>
  <c r="J718" i="15"/>
  <c r="J1247" i="15"/>
  <c r="G1240" i="96" s="1"/>
  <c r="H1240" i="96" s="1"/>
  <c r="J1249" i="15"/>
  <c r="G1242" i="96" s="1"/>
  <c r="H1242" i="96" s="1"/>
  <c r="J813" i="15"/>
  <c r="G812" i="96" s="1"/>
  <c r="H812" i="96" s="1"/>
  <c r="J43" i="15"/>
  <c r="J873" i="15"/>
  <c r="J39" i="15"/>
  <c r="G38" i="96" s="1"/>
  <c r="J436" i="15"/>
  <c r="J433" i="15"/>
  <c r="J1256" i="15"/>
  <c r="G1249" i="96" s="1"/>
  <c r="H1249" i="96" s="1"/>
  <c r="J37" i="15"/>
  <c r="J863" i="15"/>
  <c r="J861" i="15"/>
  <c r="J860" i="15"/>
  <c r="J1045" i="15"/>
  <c r="G1041" i="96" s="1"/>
  <c r="H1041" i="96" s="1"/>
  <c r="J424" i="15"/>
  <c r="J23" i="15"/>
  <c r="J701" i="15"/>
  <c r="J699" i="15"/>
  <c r="J695" i="15"/>
  <c r="J682" i="15"/>
  <c r="J876" i="15"/>
  <c r="G874" i="96" s="1"/>
  <c r="H874" i="96" s="1"/>
  <c r="J1180" i="15"/>
  <c r="G1174" i="96" s="1"/>
  <c r="H1174" i="96" s="1"/>
  <c r="J926" i="15"/>
  <c r="J645" i="15"/>
  <c r="J552" i="15"/>
  <c r="J1174" i="15"/>
  <c r="G1168" i="96" s="1"/>
  <c r="H1168" i="96" s="1"/>
  <c r="G871" i="96"/>
  <c r="H871" i="96" s="1"/>
  <c r="J669" i="15"/>
  <c r="J567" i="15"/>
  <c r="J1426" i="15"/>
  <c r="G1419" i="96" s="1"/>
  <c r="H1419" i="96" s="1"/>
  <c r="J107" i="15"/>
  <c r="J432" i="15"/>
  <c r="J1347" i="15"/>
  <c r="G1340" i="96" s="1"/>
  <c r="H1340" i="96" s="1"/>
  <c r="J1169" i="15"/>
  <c r="G1163" i="96" s="1"/>
  <c r="H1163" i="96" s="1"/>
  <c r="J1414" i="15"/>
  <c r="G1407" i="96" s="1"/>
  <c r="H1407" i="96" s="1"/>
  <c r="J1398" i="15"/>
  <c r="G1391" i="96" s="1"/>
  <c r="H1391" i="96" s="1"/>
  <c r="J510" i="15"/>
  <c r="J1333" i="15"/>
  <c r="G1326" i="96" s="1"/>
  <c r="H1326" i="96" s="1"/>
  <c r="J570" i="15"/>
  <c r="J854" i="15"/>
  <c r="J1393" i="15"/>
  <c r="G1386" i="96" s="1"/>
  <c r="H1386" i="96" s="1"/>
  <c r="J308" i="15"/>
  <c r="J879" i="15"/>
  <c r="J1334" i="15"/>
  <c r="G1327" i="96" s="1"/>
  <c r="H1327" i="96" s="1"/>
  <c r="J1190" i="15"/>
  <c r="G1183" i="96" s="1"/>
  <c r="H1183" i="96" s="1"/>
  <c r="J627" i="15"/>
  <c r="J617" i="15"/>
  <c r="J6" i="15"/>
  <c r="J891" i="15"/>
  <c r="J401" i="15"/>
  <c r="J628" i="15"/>
  <c r="J1413" i="15"/>
  <c r="G1406" i="96" s="1"/>
  <c r="H1406" i="96" s="1"/>
  <c r="J1093" i="15"/>
  <c r="G1089" i="96" s="1"/>
  <c r="H1089" i="96" s="1"/>
  <c r="J1013" i="15"/>
  <c r="G1009" i="96" s="1"/>
  <c r="H1009" i="96" s="1"/>
  <c r="J1094" i="15"/>
  <c r="G1090" i="96" s="1"/>
  <c r="H1090" i="96" s="1"/>
  <c r="J202" i="15"/>
  <c r="J1258" i="15"/>
  <c r="J1168" i="15"/>
  <c r="G1162" i="96" s="1"/>
  <c r="H1162" i="96" s="1"/>
  <c r="J1415" i="15"/>
  <c r="G1408" i="96" s="1"/>
  <c r="H1408" i="96" s="1"/>
  <c r="J1067" i="15"/>
  <c r="G1063" i="96" s="1"/>
  <c r="H1063" i="96" s="1"/>
  <c r="J1332" i="15"/>
  <c r="G1325" i="96" s="1"/>
  <c r="H1325" i="96" s="1"/>
  <c r="J535" i="15"/>
  <c r="J498" i="15"/>
  <c r="J1155" i="15"/>
  <c r="G1149" i="96" s="1"/>
  <c r="H1149" i="96" s="1"/>
  <c r="J467" i="15"/>
  <c r="J932" i="15"/>
  <c r="G929" i="96" s="1"/>
  <c r="H929" i="96" s="1"/>
  <c r="J804" i="15"/>
  <c r="J608" i="15"/>
  <c r="J257" i="15"/>
  <c r="J1020" i="15"/>
  <c r="G1016" i="96" s="1"/>
  <c r="H1016" i="96" s="1"/>
  <c r="J994" i="15"/>
  <c r="J181" i="15"/>
  <c r="J996" i="15"/>
  <c r="G993" i="96" s="1"/>
  <c r="H993" i="96" s="1"/>
  <c r="J76" i="15"/>
  <c r="J1335" i="15"/>
  <c r="G1328" i="96" s="1"/>
  <c r="H1328" i="96" s="1"/>
  <c r="J341" i="15"/>
  <c r="J767" i="15"/>
  <c r="J191" i="15"/>
  <c r="J1143" i="15"/>
  <c r="G1138" i="96" s="1"/>
  <c r="H1138" i="96" s="1"/>
  <c r="J836" i="15"/>
  <c r="J135" i="15"/>
  <c r="J1138" i="15"/>
  <c r="G1133" i="96" s="1"/>
  <c r="H1133" i="96" s="1"/>
  <c r="J307" i="15"/>
  <c r="J1392" i="15"/>
  <c r="G1385" i="96" s="1"/>
  <c r="H1385" i="96" s="1"/>
  <c r="J922" i="15"/>
  <c r="G919" i="96" s="1"/>
  <c r="H919" i="96" s="1"/>
  <c r="J380" i="15"/>
  <c r="J960" i="15"/>
  <c r="J598" i="15"/>
  <c r="J865" i="15"/>
  <c r="J809" i="15"/>
  <c r="G780" i="96" s="1"/>
  <c r="H780" i="96" s="1"/>
  <c r="J122" i="15"/>
  <c r="J1092" i="15"/>
  <c r="G1088" i="96" s="1"/>
  <c r="H1088" i="96" s="1"/>
  <c r="J180" i="15"/>
  <c r="J1226" i="15"/>
  <c r="G1219" i="96" s="1"/>
  <c r="H1219" i="96" s="1"/>
  <c r="J1038" i="15"/>
  <c r="G1034" i="96" s="1"/>
  <c r="H1034" i="96" s="1"/>
  <c r="J868" i="15"/>
  <c r="J920" i="15"/>
  <c r="G917" i="96" s="1"/>
  <c r="H917" i="96" s="1"/>
  <c r="J1387" i="15"/>
  <c r="G1380" i="96" s="1"/>
  <c r="H1380" i="96" s="1"/>
  <c r="J1137" i="15"/>
  <c r="G1132" i="96" s="1"/>
  <c r="H1132" i="96" s="1"/>
  <c r="J799" i="15"/>
  <c r="J1441" i="15"/>
  <c r="J1317" i="15"/>
  <c r="G1310" i="96" s="1"/>
  <c r="H1310" i="96" s="1"/>
  <c r="J1220" i="15"/>
  <c r="G1213" i="96" s="1"/>
  <c r="H1213" i="96" s="1"/>
  <c r="J716" i="15"/>
  <c r="J421" i="15"/>
  <c r="J537" i="15"/>
  <c r="J531" i="15"/>
  <c r="J363" i="15"/>
  <c r="J587" i="15"/>
  <c r="J707" i="15"/>
  <c r="J1177" i="15"/>
  <c r="J1063" i="15"/>
  <c r="G1059" i="96" s="1"/>
  <c r="H1059" i="96" s="1"/>
  <c r="J146" i="15"/>
  <c r="J255" i="15"/>
  <c r="J1084" i="15"/>
  <c r="J369" i="15"/>
  <c r="J726" i="15"/>
  <c r="J1427" i="15"/>
  <c r="G1420" i="96" s="1"/>
  <c r="H1420" i="96" s="1"/>
  <c r="J71" i="15"/>
  <c r="J36" i="15"/>
  <c r="J790" i="15"/>
  <c r="J1399" i="15"/>
  <c r="G1392" i="96" s="1"/>
  <c r="H1392" i="96" s="1"/>
  <c r="J1032" i="15"/>
  <c r="G1028" i="96" s="1"/>
  <c r="H1028" i="96" s="1"/>
  <c r="J951" i="15"/>
  <c r="G948" i="96" s="1"/>
  <c r="H948" i="96" s="1"/>
  <c r="J907" i="15"/>
  <c r="G904" i="96" s="1"/>
  <c r="H904" i="96" s="1"/>
  <c r="J997" i="15"/>
  <c r="G994" i="96" s="1"/>
  <c r="H994" i="96" s="1"/>
  <c r="J1293" i="15"/>
  <c r="G1286" i="96" s="1"/>
  <c r="H1286" i="96" s="1"/>
  <c r="J487" i="15"/>
  <c r="J1339" i="15"/>
  <c r="G1332" i="96" s="1"/>
  <c r="H1332" i="96" s="1"/>
  <c r="J200" i="15"/>
  <c r="J195" i="15"/>
  <c r="J204" i="15"/>
  <c r="J1294" i="15"/>
  <c r="G1287" i="96" s="1"/>
  <c r="H1287" i="96" s="1"/>
  <c r="J943" i="15"/>
  <c r="G940" i="96" s="1"/>
  <c r="H940" i="96" s="1"/>
  <c r="J342" i="15"/>
  <c r="J325" i="15"/>
  <c r="J1329" i="15"/>
  <c r="G1322" i="96" s="1"/>
  <c r="H1322" i="96" s="1"/>
  <c r="J643" i="15"/>
  <c r="J266" i="15"/>
  <c r="J610" i="15"/>
  <c r="J1330" i="15"/>
  <c r="G1323" i="96" s="1"/>
  <c r="H1323" i="96" s="1"/>
  <c r="J65" i="15"/>
  <c r="J589" i="15"/>
  <c r="J1245" i="15"/>
  <c r="G1238" i="96" s="1"/>
  <c r="H1238" i="96" s="1"/>
  <c r="J110" i="15"/>
  <c r="J824" i="15"/>
  <c r="J1246" i="15"/>
  <c r="J852" i="15"/>
  <c r="J909" i="15"/>
  <c r="G906" i="96" s="1"/>
  <c r="H906" i="96" s="1"/>
  <c r="J1423" i="15"/>
  <c r="G1416" i="96" s="1"/>
  <c r="H1416" i="96" s="1"/>
  <c r="J360" i="15"/>
  <c r="J343" i="15"/>
  <c r="J792" i="15"/>
  <c r="J1292" i="15"/>
  <c r="G1285" i="96" s="1"/>
  <c r="H1285" i="96" s="1"/>
  <c r="J1391" i="15"/>
  <c r="G1384" i="96" s="1"/>
  <c r="H1384" i="96" s="1"/>
  <c r="J752" i="15"/>
  <c r="J1108" i="15"/>
  <c r="G1103" i="96" s="1"/>
  <c r="H1103" i="96" s="1"/>
  <c r="J217" i="15"/>
  <c r="J1403" i="15"/>
  <c r="G1396" i="96" s="1"/>
  <c r="H1396" i="96" s="1"/>
  <c r="J1129" i="15"/>
  <c r="G1124" i="96" s="1"/>
  <c r="H1124" i="96" s="1"/>
  <c r="J84" i="15"/>
  <c r="J647" i="15"/>
  <c r="J464" i="15"/>
  <c r="J55" i="15"/>
  <c r="G727" i="96" s="1"/>
  <c r="H727" i="96" s="1"/>
  <c r="J1242" i="15"/>
  <c r="G1235" i="96" s="1"/>
  <c r="H1235" i="96" s="1"/>
  <c r="J867" i="15"/>
  <c r="J1071" i="15"/>
  <c r="G1067" i="96" s="1"/>
  <c r="H1067" i="96" s="1"/>
  <c r="J335" i="15"/>
  <c r="J45" i="15"/>
  <c r="J21" i="15"/>
  <c r="J1056" i="15"/>
  <c r="J590" i="15"/>
  <c r="J885" i="15"/>
  <c r="J315" i="15"/>
  <c r="G314" i="96" s="1"/>
  <c r="J1225" i="15"/>
  <c r="G1218" i="96" s="1"/>
  <c r="H1218" i="96" s="1"/>
  <c r="J1290" i="15"/>
  <c r="G1283" i="96" s="1"/>
  <c r="H1283" i="96" s="1"/>
  <c r="J1208" i="15"/>
  <c r="G1201" i="96" s="1"/>
  <c r="H1201" i="96" s="1"/>
  <c r="J30" i="15"/>
  <c r="J1380" i="15"/>
  <c r="G1373" i="96" s="1"/>
  <c r="H1373" i="96" s="1"/>
  <c r="J329" i="15"/>
  <c r="J208" i="15"/>
  <c r="J1282" i="15"/>
  <c r="G1275" i="96" s="1"/>
  <c r="H1275" i="96" s="1"/>
  <c r="J330" i="15"/>
  <c r="G698" i="96" s="1"/>
  <c r="H698" i="96" s="1"/>
  <c r="J1318" i="15"/>
  <c r="G1311" i="96" s="1"/>
  <c r="H1311" i="96" s="1"/>
  <c r="J31" i="15"/>
  <c r="J1062" i="15"/>
  <c r="G1058" i="96" s="1"/>
  <c r="H1058" i="96" s="1"/>
  <c r="J642" i="15"/>
  <c r="J840" i="15"/>
  <c r="J501" i="15"/>
  <c r="J249" i="15"/>
  <c r="J897" i="15"/>
  <c r="G894" i="96" s="1"/>
  <c r="H894" i="96" s="1"/>
  <c r="J495" i="15"/>
  <c r="J1116" i="15"/>
  <c r="J244" i="15"/>
  <c r="J808" i="15"/>
  <c r="J700" i="15"/>
  <c r="J800" i="15"/>
  <c r="J89" i="15"/>
  <c r="J1390" i="15"/>
  <c r="G1383" i="96" s="1"/>
  <c r="H1383" i="96" s="1"/>
  <c r="J258" i="15"/>
  <c r="J546" i="15"/>
  <c r="J1002" i="15"/>
  <c r="G998" i="96" s="1"/>
  <c r="H998" i="96" s="1"/>
  <c r="J1239" i="15"/>
  <c r="G1232" i="96" s="1"/>
  <c r="H1232" i="96" s="1"/>
  <c r="J1340" i="15"/>
  <c r="G1333" i="96" s="1"/>
  <c r="H1333" i="96" s="1"/>
  <c r="J247" i="15"/>
  <c r="J69" i="15"/>
  <c r="J957" i="15"/>
  <c r="G954" i="96" s="1"/>
  <c r="H954" i="96" s="1"/>
  <c r="J323" i="15"/>
  <c r="J1090" i="15"/>
  <c r="G1086" i="96" s="1"/>
  <c r="H1086" i="96" s="1"/>
  <c r="J260" i="15"/>
  <c r="J988" i="15"/>
  <c r="J361" i="15"/>
  <c r="J993" i="15"/>
  <c r="G990" i="96" s="1"/>
  <c r="H990" i="96" s="1"/>
  <c r="J655" i="15"/>
  <c r="J1405" i="15"/>
  <c r="J164" i="15"/>
  <c r="J1265" i="15"/>
  <c r="G1258" i="96" s="1"/>
  <c r="H1258" i="96" s="1"/>
  <c r="J1446" i="15"/>
  <c r="G1439" i="96" s="1"/>
  <c r="H1439" i="96" s="1"/>
  <c r="J612" i="15"/>
  <c r="J1286" i="15"/>
  <c r="G1279" i="96" s="1"/>
  <c r="H1279" i="96" s="1"/>
  <c r="J1052" i="15"/>
  <c r="G1048" i="96" s="1"/>
  <c r="H1048" i="96" s="1"/>
  <c r="J772" i="15"/>
  <c r="G654" i="96" s="1"/>
  <c r="H654" i="96" s="1"/>
  <c r="J428" i="15"/>
  <c r="J264" i="15"/>
  <c r="J507" i="15"/>
  <c r="J1014" i="15"/>
  <c r="G1010" i="96" s="1"/>
  <c r="H1010" i="96" s="1"/>
  <c r="J1278" i="15"/>
  <c r="G1271" i="96" s="1"/>
  <c r="H1271" i="96" s="1"/>
  <c r="J497" i="15"/>
  <c r="G639" i="96" s="1"/>
  <c r="H639" i="96" s="1"/>
  <c r="J443" i="15"/>
  <c r="J268" i="15"/>
  <c r="J104" i="15"/>
  <c r="J106" i="15"/>
  <c r="J119" i="15"/>
  <c r="J108" i="15"/>
  <c r="J176" i="15"/>
  <c r="J802" i="15"/>
  <c r="J419" i="15"/>
  <c r="J1055" i="15"/>
  <c r="G1051" i="96" s="1"/>
  <c r="H1051" i="96" s="1"/>
  <c r="J1442" i="15"/>
  <c r="J1227" i="15"/>
  <c r="G1220" i="96" s="1"/>
  <c r="H1220" i="96" s="1"/>
  <c r="J218" i="15"/>
  <c r="J1357" i="15"/>
  <c r="G1350" i="96" s="1"/>
  <c r="H1350" i="96" s="1"/>
  <c r="J833" i="15"/>
  <c r="J1086" i="15"/>
  <c r="G1082" i="96" s="1"/>
  <c r="H1082" i="96" s="1"/>
  <c r="J1231" i="15"/>
  <c r="G1224" i="96" s="1"/>
  <c r="H1224" i="96" s="1"/>
  <c r="J995" i="15"/>
  <c r="G992" i="96" s="1"/>
  <c r="H992" i="96" s="1"/>
  <c r="J1440" i="15"/>
  <c r="G1433" i="96" s="1"/>
  <c r="H1433" i="96" s="1"/>
  <c r="J837" i="15"/>
  <c r="J1436" i="15"/>
  <c r="J413" i="15"/>
  <c r="J446" i="15"/>
  <c r="J910" i="15"/>
  <c r="G907" i="96" s="1"/>
  <c r="H907" i="96" s="1"/>
  <c r="J864" i="15"/>
  <c r="J1082" i="15"/>
  <c r="J1234" i="15"/>
  <c r="G1227" i="96" s="1"/>
  <c r="H1227" i="96" s="1"/>
  <c r="J351" i="15"/>
  <c r="J1029" i="15"/>
  <c r="G1025" i="96" s="1"/>
  <c r="H1025" i="96" s="1"/>
  <c r="J324" i="15"/>
  <c r="J177" i="15"/>
  <c r="J170" i="15"/>
  <c r="J1222" i="15"/>
  <c r="G1215" i="96" s="1"/>
  <c r="H1215" i="96" s="1"/>
  <c r="J182" i="15"/>
  <c r="J1044" i="15"/>
  <c r="G1040" i="96" s="1"/>
  <c r="H1040" i="96" s="1"/>
  <c r="J1198" i="15"/>
  <c r="G1191" i="96" s="1"/>
  <c r="H1191" i="96" s="1"/>
  <c r="J405" i="15"/>
  <c r="J1204" i="15"/>
  <c r="G1197" i="96" s="1"/>
  <c r="H1197" i="96" s="1"/>
  <c r="J1210" i="15"/>
  <c r="G1203" i="96" s="1"/>
  <c r="H1203" i="96" s="1"/>
  <c r="J1212" i="15"/>
  <c r="G1205" i="96" s="1"/>
  <c r="H1205" i="96" s="1"/>
  <c r="J1213" i="15"/>
  <c r="G1206" i="96" s="1"/>
  <c r="H1206" i="96" s="1"/>
  <c r="J758" i="15"/>
  <c r="J408" i="15"/>
  <c r="J738" i="15"/>
  <c r="J1196" i="15"/>
  <c r="J392" i="15"/>
  <c r="J396" i="15"/>
  <c r="J187" i="15"/>
  <c r="J1192" i="15"/>
  <c r="G1185" i="96" s="1"/>
  <c r="H1185" i="96" s="1"/>
  <c r="J1189" i="15"/>
  <c r="G1182" i="96" s="1"/>
  <c r="H1182" i="96" s="1"/>
  <c r="J162" i="15"/>
  <c r="J1185" i="15"/>
  <c r="G1178" i="96" s="1"/>
  <c r="H1178" i="96" s="1"/>
  <c r="J534" i="15"/>
  <c r="J918" i="15"/>
  <c r="G915" i="96" s="1"/>
  <c r="H915" i="96" s="1"/>
  <c r="J211" i="15"/>
  <c r="J882" i="15"/>
  <c r="J1248" i="15"/>
  <c r="G1241" i="96" s="1"/>
  <c r="H1241" i="96" s="1"/>
  <c r="J149" i="15"/>
  <c r="J366" i="15"/>
  <c r="J603" i="15"/>
  <c r="J364" i="15"/>
  <c r="J50" i="15"/>
  <c r="J518" i="15"/>
  <c r="G662" i="96" s="1"/>
  <c r="H662" i="96" s="1"/>
  <c r="J614" i="15"/>
  <c r="J847" i="15"/>
  <c r="J1207" i="15"/>
  <c r="G1200" i="96" s="1"/>
  <c r="H1200" i="96" s="1"/>
  <c r="J828" i="15"/>
  <c r="G655" i="96" s="1"/>
  <c r="H655" i="96" s="1"/>
  <c r="J714" i="15"/>
  <c r="J15" i="15"/>
  <c r="J1110" i="15"/>
  <c r="G1105" i="96" s="1"/>
  <c r="H1105" i="96" s="1"/>
  <c r="J1105" i="15"/>
  <c r="G1100" i="96" s="1"/>
  <c r="H1100" i="96" s="1"/>
  <c r="J911" i="15"/>
  <c r="G908" i="96" s="1"/>
  <c r="H908" i="96" s="1"/>
  <c r="J1216" i="15"/>
  <c r="G1209" i="96" s="1"/>
  <c r="H1209" i="96" s="1"/>
  <c r="J832" i="15"/>
  <c r="J389" i="15"/>
  <c r="J121" i="15"/>
  <c r="J25" i="15"/>
  <c r="J489" i="15"/>
  <c r="G626" i="96" s="1"/>
  <c r="H626" i="96" s="1"/>
  <c r="J465" i="15"/>
  <c r="J265" i="15"/>
  <c r="J478" i="15"/>
  <c r="J303" i="15"/>
  <c r="J430" i="15"/>
  <c r="J1015" i="15"/>
  <c r="G1011" i="96" s="1"/>
  <c r="H1011" i="96" s="1"/>
  <c r="J471" i="15"/>
  <c r="J440" i="15"/>
  <c r="J1080" i="15"/>
  <c r="G1076" i="96" s="1"/>
  <c r="H1076" i="96" s="1"/>
  <c r="J1374" i="15"/>
  <c r="G1367" i="96" s="1"/>
  <c r="H1367" i="96" s="1"/>
  <c r="J582" i="15"/>
  <c r="J1199" i="15"/>
  <c r="G1192" i="96" s="1"/>
  <c r="H1192" i="96" s="1"/>
  <c r="J1139" i="15"/>
  <c r="G1134" i="96" s="1"/>
  <c r="H1134" i="96" s="1"/>
  <c r="J919" i="15"/>
  <c r="G916" i="96" s="1"/>
  <c r="H916" i="96" s="1"/>
  <c r="J1205" i="15"/>
  <c r="G1198" i="96" s="1"/>
  <c r="H1198" i="96" s="1"/>
  <c r="J1209" i="15"/>
  <c r="G1202" i="96" s="1"/>
  <c r="H1202" i="96" s="1"/>
  <c r="J68" i="15"/>
  <c r="G589" i="96" s="1"/>
  <c r="H589" i="96" s="1"/>
  <c r="J877" i="15"/>
  <c r="J306" i="15"/>
  <c r="J1170" i="15"/>
  <c r="J1126" i="15"/>
  <c r="G1121" i="96" s="1"/>
  <c r="H1121" i="96" s="1"/>
  <c r="J473" i="15"/>
  <c r="J719" i="15"/>
  <c r="J1241" i="15"/>
  <c r="G1234" i="96" s="1"/>
  <c r="H1234" i="96" s="1"/>
  <c r="J681" i="15"/>
  <c r="J52" i="15"/>
  <c r="J175" i="15"/>
  <c r="J185" i="15"/>
  <c r="J173" i="15"/>
  <c r="J155" i="15"/>
  <c r="J1123" i="15"/>
  <c r="G1118" i="96" s="1"/>
  <c r="H1118" i="96" s="1"/>
  <c r="J168" i="15"/>
  <c r="G167" i="96" s="1"/>
  <c r="J417" i="15"/>
  <c r="J1006" i="15"/>
  <c r="J720" i="15"/>
  <c r="J410" i="15"/>
  <c r="J167" i="15"/>
  <c r="G535" i="96" s="1"/>
  <c r="J409" i="15"/>
  <c r="J744" i="15"/>
  <c r="J1228" i="15"/>
  <c r="G1221" i="96" s="1"/>
  <c r="H1221" i="96" s="1"/>
  <c r="J670" i="15"/>
  <c r="G527" i="96" s="1"/>
  <c r="J400" i="15"/>
  <c r="J1194" i="15"/>
  <c r="G1187" i="96" s="1"/>
  <c r="H1187" i="96" s="1"/>
  <c r="J1083" i="15"/>
  <c r="G1079" i="96" s="1"/>
  <c r="H1079" i="96" s="1"/>
  <c r="J194" i="15"/>
  <c r="J196" i="15"/>
  <c r="J1186" i="15"/>
  <c r="G1179" i="96" s="1"/>
  <c r="H1179" i="96" s="1"/>
  <c r="J197" i="15"/>
  <c r="J199" i="15"/>
  <c r="G509" i="96" s="1"/>
  <c r="J1183" i="15"/>
  <c r="G506" i="96" s="1"/>
  <c r="J157" i="15"/>
  <c r="J1184" i="15"/>
  <c r="J386" i="15"/>
  <c r="J1182" i="15"/>
  <c r="G1176" i="96" s="1"/>
  <c r="H1176" i="96" s="1"/>
  <c r="J1181" i="15"/>
  <c r="G1175" i="96" s="1"/>
  <c r="H1175" i="96" s="1"/>
  <c r="J979" i="15"/>
  <c r="G976" i="96" s="1"/>
  <c r="H976" i="96" s="1"/>
  <c r="J651" i="15"/>
  <c r="J764" i="15"/>
  <c r="J902" i="15"/>
  <c r="G899" i="96" s="1"/>
  <c r="H899" i="96" s="1"/>
  <c r="J848" i="15"/>
  <c r="J734" i="15"/>
  <c r="J1377" i="15"/>
  <c r="G1370" i="96" s="1"/>
  <c r="H1370" i="96" s="1"/>
  <c r="J1354" i="15"/>
  <c r="G1347" i="96" s="1"/>
  <c r="H1347" i="96" s="1"/>
  <c r="J1036" i="15"/>
  <c r="G1032" i="96" s="1"/>
  <c r="H1032" i="96" s="1"/>
  <c r="J650" i="15"/>
  <c r="J842" i="15"/>
  <c r="J156" i="15"/>
  <c r="J1178" i="15"/>
  <c r="G1172" i="96" s="1"/>
  <c r="H1172" i="96" s="1"/>
  <c r="J376" i="15"/>
  <c r="J1176" i="15"/>
  <c r="G1170" i="96" s="1"/>
  <c r="H1170" i="96" s="1"/>
  <c r="J1173" i="15"/>
  <c r="G1167" i="96" s="1"/>
  <c r="H1167" i="96" s="1"/>
  <c r="J619" i="15"/>
  <c r="J613" i="15"/>
  <c r="J604" i="15"/>
  <c r="J601" i="15"/>
  <c r="J600" i="15"/>
  <c r="J1163" i="15"/>
  <c r="G1157" i="96" s="1"/>
  <c r="H1157" i="96" s="1"/>
  <c r="J1162" i="15"/>
  <c r="G1156" i="96" s="1"/>
  <c r="H1156" i="96" s="1"/>
  <c r="J737" i="15"/>
  <c r="J671" i="15"/>
  <c r="J690" i="15"/>
  <c r="J594" i="15"/>
  <c r="J774" i="15"/>
  <c r="J1158" i="15"/>
  <c r="G1152" i="96" s="1"/>
  <c r="H1152" i="96" s="1"/>
  <c r="J811" i="15"/>
  <c r="J803" i="15"/>
  <c r="J345" i="15"/>
  <c r="J784" i="15"/>
  <c r="J1153" i="15"/>
  <c r="J340" i="15"/>
  <c r="J339" i="15"/>
  <c r="J338" i="15"/>
  <c r="J736" i="15"/>
  <c r="J334" i="15"/>
  <c r="J776" i="15"/>
  <c r="J1026" i="15"/>
  <c r="G1022" i="96" s="1"/>
  <c r="H1022" i="96" s="1"/>
  <c r="J1024" i="15"/>
  <c r="G1020" i="96" s="1"/>
  <c r="H1020" i="96" s="1"/>
  <c r="J574" i="15"/>
  <c r="J131" i="15"/>
  <c r="J667" i="15"/>
  <c r="J1016" i="15"/>
  <c r="G1012" i="96" s="1"/>
  <c r="H1012" i="96" s="1"/>
  <c r="J1012" i="15"/>
  <c r="G1008" i="96" s="1"/>
  <c r="H1008" i="96" s="1"/>
  <c r="J564" i="15"/>
  <c r="J562" i="15"/>
  <c r="G412" i="96" s="1"/>
  <c r="J1144" i="15"/>
  <c r="G1139" i="96" s="1"/>
  <c r="H1139" i="96" s="1"/>
  <c r="J125" i="15"/>
  <c r="J556" i="15"/>
  <c r="G404" i="96" s="1"/>
  <c r="J978" i="15"/>
  <c r="J827" i="15"/>
  <c r="J798" i="15"/>
  <c r="J63" i="15"/>
  <c r="G204" i="96" s="1"/>
  <c r="J924" i="15"/>
  <c r="G921" i="96" s="1"/>
  <c r="H921" i="96" s="1"/>
  <c r="J917" i="15"/>
  <c r="G914" i="96" s="1"/>
  <c r="H914" i="96" s="1"/>
  <c r="J915" i="15"/>
  <c r="G912" i="96" s="1"/>
  <c r="H912" i="96" s="1"/>
  <c r="J477" i="15"/>
  <c r="J1279" i="15"/>
  <c r="G1272" i="96" s="1"/>
  <c r="H1272" i="96" s="1"/>
  <c r="J1275" i="15"/>
  <c r="G1268" i="96" s="1"/>
  <c r="H1268" i="96" s="1"/>
  <c r="J58" i="15"/>
  <c r="G189" i="96" s="1"/>
  <c r="J906" i="15"/>
  <c r="G903" i="96" s="1"/>
  <c r="H903" i="96" s="1"/>
  <c r="J905" i="15"/>
  <c r="G902" i="96" s="1"/>
  <c r="H902" i="96" s="1"/>
  <c r="J272" i="15"/>
  <c r="J1439" i="15"/>
  <c r="G1432" i="96" s="1"/>
  <c r="H1432" i="96" s="1"/>
  <c r="J271" i="15"/>
  <c r="J1072" i="15"/>
  <c r="G1068" i="96" s="1"/>
  <c r="H1068" i="96" s="1"/>
  <c r="J269" i="15"/>
  <c r="J458" i="15"/>
  <c r="J456" i="15"/>
  <c r="J455" i="15"/>
  <c r="J894" i="15"/>
  <c r="J893" i="15"/>
  <c r="J259" i="15"/>
  <c r="J254" i="15"/>
  <c r="J251" i="15"/>
  <c r="G157" i="96" s="1"/>
  <c r="J246" i="15"/>
  <c r="J245" i="15"/>
  <c r="J290" i="15"/>
  <c r="J239" i="15"/>
  <c r="J237" i="15"/>
  <c r="G145" i="96" s="1"/>
  <c r="J234" i="15"/>
  <c r="J725" i="15"/>
  <c r="J449" i="15"/>
  <c r="J761" i="15"/>
  <c r="J447" i="15"/>
  <c r="J795" i="15"/>
  <c r="J1351" i="15"/>
  <c r="G1344" i="96" s="1"/>
  <c r="H1344" i="96" s="1"/>
  <c r="J1059" i="15"/>
  <c r="G1055" i="96" s="1"/>
  <c r="H1055" i="96" s="1"/>
  <c r="J439" i="15"/>
  <c r="G126" i="96" s="1"/>
  <c r="J44" i="15"/>
  <c r="J1303" i="15"/>
  <c r="J33" i="15"/>
  <c r="G98" i="96" s="1"/>
  <c r="J846" i="15"/>
  <c r="J379" i="15"/>
  <c r="J154" i="15"/>
  <c r="G497" i="96" s="1"/>
  <c r="J621" i="15"/>
  <c r="J374" i="15"/>
  <c r="G372" i="96" s="1"/>
  <c r="J147" i="15"/>
  <c r="J145" i="15"/>
  <c r="J609" i="15"/>
  <c r="J821" i="15"/>
  <c r="J370" i="15"/>
  <c r="J599" i="15"/>
  <c r="J141" i="15"/>
  <c r="J139" i="15"/>
  <c r="J596" i="15"/>
  <c r="J630" i="15"/>
  <c r="J132" i="15"/>
  <c r="G465" i="96" s="1"/>
  <c r="J130" i="15"/>
  <c r="J653" i="15"/>
  <c r="J347" i="15"/>
  <c r="J143" i="15"/>
  <c r="J586" i="15"/>
  <c r="G453" i="96" s="1"/>
  <c r="J786" i="15"/>
  <c r="G449" i="96" s="1"/>
  <c r="J140" i="15"/>
  <c r="G445" i="96" s="1"/>
  <c r="J691" i="15"/>
  <c r="J137" i="15"/>
  <c r="J1151" i="15"/>
  <c r="G1146" i="96" s="1"/>
  <c r="H1146" i="96" s="1"/>
  <c r="J337" i="15"/>
  <c r="J134" i="15"/>
  <c r="J333" i="15"/>
  <c r="J724" i="15"/>
  <c r="J331" i="15"/>
  <c r="J1022" i="15"/>
  <c r="G1018" i="96" s="1"/>
  <c r="H1018" i="96" s="1"/>
  <c r="J573" i="15"/>
  <c r="G421" i="96" s="1"/>
  <c r="J235" i="15"/>
  <c r="J1017" i="15"/>
  <c r="G1013" i="96" s="1"/>
  <c r="H1013" i="96" s="1"/>
  <c r="J566" i="15"/>
  <c r="J1009" i="15"/>
  <c r="G1005" i="96" s="1"/>
  <c r="H1005" i="96" s="1"/>
  <c r="J1007" i="15"/>
  <c r="J1005" i="15"/>
  <c r="G1001" i="96" s="1"/>
  <c r="H1001" i="96" s="1"/>
  <c r="J1142" i="15"/>
  <c r="J557" i="15"/>
  <c r="J381" i="15"/>
  <c r="J377" i="15"/>
  <c r="J152" i="15"/>
  <c r="J620" i="15"/>
  <c r="J372" i="15"/>
  <c r="J616" i="15"/>
  <c r="J1171" i="15"/>
  <c r="G1165" i="96" s="1"/>
  <c r="H1165" i="96" s="1"/>
  <c r="J371" i="15"/>
  <c r="J807" i="15"/>
  <c r="J368" i="15"/>
  <c r="J367" i="15"/>
  <c r="J597" i="15"/>
  <c r="J727" i="15"/>
  <c r="J1159" i="15"/>
  <c r="G1153" i="96" s="1"/>
  <c r="H1153" i="96" s="1"/>
  <c r="J685" i="15"/>
  <c r="J362" i="15"/>
  <c r="J763" i="15"/>
  <c r="J591" i="15"/>
  <c r="J1157" i="15"/>
  <c r="G1151" i="96" s="1"/>
  <c r="H1151" i="96" s="1"/>
  <c r="J346" i="15"/>
  <c r="J142" i="15"/>
  <c r="J733" i="15"/>
  <c r="J581" i="15"/>
  <c r="J677" i="15"/>
  <c r="J791" i="15"/>
  <c r="J783" i="15"/>
  <c r="J1150" i="15"/>
  <c r="J1149" i="15"/>
  <c r="G1144" i="96" s="1"/>
  <c r="H1144" i="96" s="1"/>
  <c r="J332" i="15"/>
  <c r="J133" i="15"/>
  <c r="J818" i="15"/>
  <c r="J327" i="15"/>
  <c r="J572" i="15"/>
  <c r="J571" i="15"/>
  <c r="J1146" i="15"/>
  <c r="G1141" i="96" s="1"/>
  <c r="H1141" i="96" s="1"/>
  <c r="J565" i="15"/>
  <c r="G415" i="96" s="1"/>
  <c r="J563" i="15"/>
  <c r="J560" i="15"/>
  <c r="G411" i="96" s="1"/>
  <c r="J128" i="15"/>
  <c r="J1003" i="15"/>
  <c r="J998" i="15"/>
  <c r="G995" i="96" s="1"/>
  <c r="H995" i="96" s="1"/>
  <c r="J554" i="15"/>
  <c r="J1134" i="15"/>
  <c r="G1129" i="96" s="1"/>
  <c r="H1129" i="96" s="1"/>
  <c r="J113" i="15"/>
  <c r="J987" i="15"/>
  <c r="J1131" i="15"/>
  <c r="G1126" i="96" s="1"/>
  <c r="H1126" i="96" s="1"/>
  <c r="J1127" i="15"/>
  <c r="G1122" i="96" s="1"/>
  <c r="H1122" i="96" s="1"/>
  <c r="J981" i="15"/>
  <c r="J980" i="15"/>
  <c r="G977" i="96" s="1"/>
  <c r="H977" i="96" s="1"/>
  <c r="J543" i="15"/>
  <c r="J974" i="15"/>
  <c r="J999" i="15"/>
  <c r="J120" i="15"/>
  <c r="J553" i="15"/>
  <c r="G401" i="96" s="1"/>
  <c r="J1133" i="15"/>
  <c r="J550" i="15"/>
  <c r="G394" i="96" s="1"/>
  <c r="J549" i="15"/>
  <c r="G392" i="96" s="1"/>
  <c r="J547" i="15"/>
  <c r="J109" i="15"/>
  <c r="J544" i="15"/>
  <c r="G383" i="96" s="1"/>
  <c r="J1000" i="15"/>
  <c r="G996" i="96" s="1"/>
  <c r="H996" i="96" s="1"/>
  <c r="J555" i="15"/>
  <c r="J118" i="15"/>
  <c r="J114" i="15"/>
  <c r="G398" i="96" s="1"/>
  <c r="J989" i="15"/>
  <c r="J985" i="15"/>
  <c r="G982" i="96" s="1"/>
  <c r="H982" i="96" s="1"/>
  <c r="J984" i="15"/>
  <c r="G981" i="96" s="1"/>
  <c r="H981" i="96" s="1"/>
  <c r="J1125" i="15"/>
  <c r="G1120" i="96" s="1"/>
  <c r="H1120" i="96" s="1"/>
  <c r="J545" i="15"/>
  <c r="G384" i="96" s="1"/>
  <c r="J97" i="15"/>
  <c r="G366" i="96" s="1"/>
  <c r="J741" i="15"/>
  <c r="J723" i="15"/>
  <c r="J539" i="15"/>
  <c r="J92" i="15"/>
  <c r="J91" i="15"/>
  <c r="J965" i="15"/>
  <c r="J632" i="15"/>
  <c r="J674" i="15"/>
  <c r="J1428" i="15"/>
  <c r="G1421" i="96" s="1"/>
  <c r="H1421" i="96" s="1"/>
  <c r="J317" i="15"/>
  <c r="G340" i="96" s="1"/>
  <c r="J976" i="15"/>
  <c r="G973" i="96" s="1"/>
  <c r="H973" i="96" s="1"/>
  <c r="J975" i="15"/>
  <c r="G972" i="96" s="1"/>
  <c r="H972" i="96" s="1"/>
  <c r="J972" i="15"/>
  <c r="G969" i="96" s="1"/>
  <c r="H969" i="96" s="1"/>
  <c r="J95" i="15"/>
  <c r="J970" i="15"/>
  <c r="G967" i="96" s="1"/>
  <c r="H967" i="96" s="1"/>
  <c r="J969" i="15"/>
  <c r="J796" i="15"/>
  <c r="J967" i="15"/>
  <c r="J90" i="15"/>
  <c r="J633" i="15"/>
  <c r="J717" i="15"/>
  <c r="J530" i="15"/>
  <c r="J529" i="15"/>
  <c r="J85" i="15"/>
  <c r="J1401" i="15"/>
  <c r="G1394" i="96" s="1"/>
  <c r="H1394" i="96" s="1"/>
  <c r="J1384" i="15"/>
  <c r="G1377" i="96" s="1"/>
  <c r="H1377" i="96" s="1"/>
  <c r="J1359" i="15"/>
  <c r="G1352" i="96" s="1"/>
  <c r="H1352" i="96" s="1"/>
  <c r="J525" i="15"/>
  <c r="J316" i="15"/>
  <c r="J1321" i="15"/>
  <c r="G1314" i="96" s="1"/>
  <c r="H1314" i="96" s="1"/>
  <c r="J74" i="15"/>
  <c r="G320" i="96" s="1"/>
  <c r="J689" i="15"/>
  <c r="G318" i="96" s="1"/>
  <c r="J754" i="15"/>
  <c r="J521" i="15"/>
  <c r="J805" i="15"/>
  <c r="J312" i="15"/>
  <c r="J309" i="15"/>
  <c r="J770" i="15"/>
  <c r="G306" i="96" s="1"/>
  <c r="J751" i="15"/>
  <c r="J713" i="15"/>
  <c r="J300" i="15"/>
  <c r="J287" i="15"/>
  <c r="G294" i="96" s="1"/>
  <c r="J1114" i="15"/>
  <c r="G1109" i="96" s="1"/>
  <c r="H1109" i="96" s="1"/>
  <c r="J519" i="15"/>
  <c r="G287" i="96" s="1"/>
  <c r="J945" i="15"/>
  <c r="G942" i="96" s="1"/>
  <c r="H942" i="96" s="1"/>
  <c r="J944" i="15"/>
  <c r="G941" i="96" s="1"/>
  <c r="H941" i="96" s="1"/>
  <c r="J517" i="15"/>
  <c r="J321" i="15"/>
  <c r="J542" i="15"/>
  <c r="G369" i="96" s="1"/>
  <c r="J1121" i="15"/>
  <c r="G1116" i="96" s="1"/>
  <c r="H1116" i="96" s="1"/>
  <c r="J541" i="15"/>
  <c r="J540" i="15"/>
  <c r="J660" i="15"/>
  <c r="J320" i="15"/>
  <c r="J771" i="15"/>
  <c r="J966" i="15"/>
  <c r="G963" i="96" s="1"/>
  <c r="H963" i="96" s="1"/>
  <c r="J964" i="15"/>
  <c r="G961" i="96" s="1"/>
  <c r="H961" i="96" s="1"/>
  <c r="J1120" i="15"/>
  <c r="J532" i="15"/>
  <c r="J637" i="15"/>
  <c r="J1402" i="15"/>
  <c r="G1395" i="96" s="1"/>
  <c r="H1395" i="96" s="1"/>
  <c r="J631" i="15"/>
  <c r="J958" i="15"/>
  <c r="J526" i="15"/>
  <c r="J1337" i="15"/>
  <c r="G1330" i="96" s="1"/>
  <c r="H1330" i="96" s="1"/>
  <c r="J955" i="15"/>
  <c r="G952" i="96" s="1"/>
  <c r="H952" i="96" s="1"/>
  <c r="J1324" i="15"/>
  <c r="G1317" i="96" s="1"/>
  <c r="H1317" i="96" s="1"/>
  <c r="J953" i="15"/>
  <c r="G950" i="96" s="1"/>
  <c r="H950" i="96" s="1"/>
  <c r="J1284" i="15"/>
  <c r="G1277" i="96" s="1"/>
  <c r="H1277" i="96" s="1"/>
  <c r="J817" i="15"/>
  <c r="J950" i="15"/>
  <c r="G947" i="96" s="1"/>
  <c r="H947" i="96" s="1"/>
  <c r="J822" i="15"/>
  <c r="J649" i="15"/>
  <c r="G311" i="96" s="1"/>
  <c r="J814" i="15"/>
  <c r="J778" i="15"/>
  <c r="J765" i="15"/>
  <c r="J301" i="15"/>
  <c r="J696" i="15"/>
  <c r="J686" i="15"/>
  <c r="J679" i="15"/>
  <c r="J1443" i="15"/>
  <c r="G1436" i="96" s="1"/>
  <c r="H1436" i="96" s="1"/>
  <c r="J1437" i="15"/>
  <c r="G1430" i="96" s="1"/>
  <c r="H1430" i="96" s="1"/>
  <c r="J1432" i="15"/>
  <c r="G1425" i="96" s="1"/>
  <c r="H1425" i="96" s="1"/>
  <c r="J1112" i="15"/>
  <c r="J358" i="15"/>
  <c r="J282" i="15"/>
  <c r="J516" i="15"/>
  <c r="J515" i="15"/>
  <c r="J277" i="15"/>
  <c r="G265" i="96" s="1"/>
  <c r="J514" i="15"/>
  <c r="J350" i="15"/>
  <c r="J512" i="15"/>
  <c r="J348" i="15"/>
  <c r="J1383" i="15"/>
  <c r="G1376" i="96" s="1"/>
  <c r="H1376" i="96" s="1"/>
  <c r="J1375" i="15"/>
  <c r="G1368" i="96" s="1"/>
  <c r="H1368" i="96" s="1"/>
  <c r="J1102" i="15"/>
  <c r="G1097" i="96" s="1"/>
  <c r="H1097" i="96" s="1"/>
  <c r="J936" i="15"/>
  <c r="G933" i="96" s="1"/>
  <c r="H933" i="96" s="1"/>
  <c r="J77" i="15"/>
  <c r="J1100" i="15"/>
  <c r="J1099" i="15"/>
  <c r="G1095" i="96" s="1"/>
  <c r="H1095" i="96" s="1"/>
  <c r="J1367" i="15"/>
  <c r="G1360" i="96" s="1"/>
  <c r="H1360" i="96" s="1"/>
  <c r="J638" i="15"/>
  <c r="J503" i="15"/>
  <c r="J1095" i="15"/>
  <c r="J491" i="15"/>
  <c r="J488" i="15"/>
  <c r="J485" i="15"/>
  <c r="J1343" i="15"/>
  <c r="G1336" i="96" s="1"/>
  <c r="H1336" i="96" s="1"/>
  <c r="J483" i="15"/>
  <c r="G214" i="96" s="1"/>
  <c r="J1088" i="15"/>
  <c r="G1084" i="96" s="1"/>
  <c r="H1084" i="96" s="1"/>
  <c r="J480" i="15"/>
  <c r="J1300" i="15"/>
  <c r="G1293" i="96" s="1"/>
  <c r="H1293" i="96" s="1"/>
  <c r="J1297" i="15"/>
  <c r="J1081" i="15"/>
  <c r="G1077" i="96" s="1"/>
  <c r="H1077" i="96" s="1"/>
  <c r="J1285" i="15"/>
  <c r="G1278" i="96" s="1"/>
  <c r="H1278" i="96" s="1"/>
  <c r="J914" i="15"/>
  <c r="G911" i="96" s="1"/>
  <c r="H911" i="96" s="1"/>
  <c r="J913" i="15"/>
  <c r="J475" i="15"/>
  <c r="J1075" i="15"/>
  <c r="G1071" i="96" s="1"/>
  <c r="H1071" i="96" s="1"/>
  <c r="J56" i="15"/>
  <c r="J468" i="15"/>
  <c r="G188" i="96" s="1"/>
  <c r="J466" i="15"/>
  <c r="J923" i="15"/>
  <c r="G920" i="96" s="1"/>
  <c r="H920" i="96" s="1"/>
  <c r="J916" i="15"/>
  <c r="J1450" i="15"/>
  <c r="J1331" i="15"/>
  <c r="G1324" i="96" s="1"/>
  <c r="H1324" i="96" s="1"/>
  <c r="J1077" i="15"/>
  <c r="J474" i="15"/>
  <c r="J472" i="15"/>
  <c r="J53" i="15"/>
  <c r="J1266" i="15"/>
  <c r="G1259" i="96" s="1"/>
  <c r="H1259" i="96" s="1"/>
  <c r="J47" i="15"/>
  <c r="G184" i="96" s="1"/>
  <c r="J705" i="15"/>
  <c r="J1119" i="15"/>
  <c r="J757" i="15"/>
  <c r="J956" i="15"/>
  <c r="J78" i="15"/>
  <c r="J683" i="15"/>
  <c r="G325" i="96" s="1"/>
  <c r="J1115" i="15"/>
  <c r="J952" i="15"/>
  <c r="G949" i="96" s="1"/>
  <c r="H949" i="96" s="1"/>
  <c r="J1276" i="15"/>
  <c r="G1269" i="96" s="1"/>
  <c r="H1269" i="96" s="1"/>
  <c r="J746" i="15"/>
  <c r="J706" i="15"/>
  <c r="J313" i="15"/>
  <c r="J311" i="15"/>
  <c r="J794" i="15"/>
  <c r="J305" i="15"/>
  <c r="J304" i="15"/>
  <c r="J711" i="15"/>
  <c r="J949" i="15"/>
  <c r="G946" i="96" s="1"/>
  <c r="H946" i="96" s="1"/>
  <c r="J520" i="15"/>
  <c r="J1444" i="15"/>
  <c r="J946" i="15"/>
  <c r="G943" i="96" s="1"/>
  <c r="H943" i="96" s="1"/>
  <c r="J1433" i="15"/>
  <c r="J285" i="15"/>
  <c r="J284" i="15"/>
  <c r="G279" i="96" s="1"/>
  <c r="J1111" i="15"/>
  <c r="G1106" i="96" s="1"/>
  <c r="H1106" i="96" s="1"/>
  <c r="J1389" i="15"/>
  <c r="G1382" i="96" s="1"/>
  <c r="H1382" i="96" s="1"/>
  <c r="J355" i="15"/>
  <c r="J278" i="15"/>
  <c r="J276" i="15"/>
  <c r="J1107" i="15"/>
  <c r="J298" i="15"/>
  <c r="J511" i="15"/>
  <c r="J1232" i="15"/>
  <c r="G1225" i="96" s="1"/>
  <c r="H1225" i="96" s="1"/>
  <c r="J1103" i="15"/>
  <c r="G1098" i="96" s="1"/>
  <c r="H1098" i="96" s="1"/>
  <c r="J82" i="15"/>
  <c r="J1451" i="15"/>
  <c r="G1444" i="96" s="1"/>
  <c r="H1444" i="96" s="1"/>
  <c r="J1385" i="15"/>
  <c r="G1378" i="96" s="1"/>
  <c r="H1378" i="96" s="1"/>
  <c r="J1378" i="15"/>
  <c r="G1371" i="96" s="1"/>
  <c r="H1371" i="96" s="1"/>
  <c r="J1236" i="15"/>
  <c r="G1229" i="96" s="1"/>
  <c r="H1229" i="96" s="1"/>
  <c r="J933" i="15"/>
  <c r="J1361" i="15"/>
  <c r="G1354" i="96" s="1"/>
  <c r="H1354" i="96" s="1"/>
  <c r="J930" i="15"/>
  <c r="G927" i="96" s="1"/>
  <c r="H927" i="96" s="1"/>
  <c r="J499" i="15"/>
  <c r="J492" i="15"/>
  <c r="J929" i="15"/>
  <c r="G926" i="96" s="1"/>
  <c r="H926" i="96" s="1"/>
  <c r="J486" i="15"/>
  <c r="J928" i="15"/>
  <c r="G925" i="96" s="1"/>
  <c r="H925" i="96" s="1"/>
  <c r="J67" i="15"/>
  <c r="J482" i="15"/>
  <c r="J481" i="15"/>
  <c r="J1306" i="15"/>
  <c r="J901" i="15"/>
  <c r="G898" i="96" s="1"/>
  <c r="H898" i="96" s="1"/>
  <c r="J1438" i="15"/>
  <c r="G1431" i="96" s="1"/>
  <c r="H1431" i="96" s="1"/>
  <c r="J1419" i="15"/>
  <c r="G1412" i="96" s="1"/>
  <c r="H1412" i="96" s="1"/>
  <c r="J1068" i="15"/>
  <c r="J457" i="15"/>
  <c r="J896" i="15"/>
  <c r="G893" i="96" s="1"/>
  <c r="H893" i="96" s="1"/>
  <c r="J263" i="15"/>
  <c r="J1382" i="15"/>
  <c r="J1376" i="15"/>
  <c r="G1369" i="96" s="1"/>
  <c r="H1369" i="96" s="1"/>
  <c r="J1372" i="15"/>
  <c r="G1365" i="96" s="1"/>
  <c r="H1365" i="96" s="1"/>
  <c r="J892" i="15"/>
  <c r="G889" i="96" s="1"/>
  <c r="H889" i="96" s="1"/>
  <c r="J248" i="15"/>
  <c r="J888" i="15"/>
  <c r="J291" i="15"/>
  <c r="J288" i="15"/>
  <c r="J238" i="15"/>
  <c r="G146" i="96" s="1"/>
  <c r="J236" i="15"/>
  <c r="J451" i="15"/>
  <c r="J662" i="15"/>
  <c r="J1363" i="15"/>
  <c r="J884" i="15"/>
  <c r="J1360" i="15"/>
  <c r="G1353" i="96" s="1"/>
  <c r="H1353" i="96" s="1"/>
  <c r="J1064" i="15"/>
  <c r="G1060" i="96" s="1"/>
  <c r="H1060" i="96" s="1"/>
  <c r="J1323" i="15"/>
  <c r="J442" i="15"/>
  <c r="J1058" i="15"/>
  <c r="G1054" i="96" s="1"/>
  <c r="H1054" i="96" s="1"/>
  <c r="J708" i="15"/>
  <c r="J438" i="15"/>
  <c r="G119" i="96" s="1"/>
  <c r="J231" i="15"/>
  <c r="J874" i="15"/>
  <c r="G872" i="96" s="1"/>
  <c r="H872" i="96" s="1"/>
  <c r="J1288" i="15"/>
  <c r="G1281" i="96" s="1"/>
  <c r="H1281" i="96" s="1"/>
  <c r="J872" i="15"/>
  <c r="G109" i="96" s="1"/>
  <c r="J870" i="15"/>
  <c r="J435" i="15"/>
  <c r="J1051" i="15"/>
  <c r="G1047" i="96" s="1"/>
  <c r="H1047" i="96" s="1"/>
  <c r="J431" i="15"/>
  <c r="J34" i="15"/>
  <c r="J32" i="15"/>
  <c r="J1435" i="15"/>
  <c r="G1428" i="96" s="1"/>
  <c r="H1428" i="96" s="1"/>
  <c r="J460" i="15"/>
  <c r="G180" i="96" s="1"/>
  <c r="J270" i="15"/>
  <c r="J459" i="15"/>
  <c r="G174" i="96" s="1"/>
  <c r="J898" i="15"/>
  <c r="G895" i="96" s="1"/>
  <c r="H895" i="96" s="1"/>
  <c r="J1408" i="15"/>
  <c r="G1401" i="96" s="1"/>
  <c r="H1401" i="96" s="1"/>
  <c r="J895" i="15"/>
  <c r="G892" i="96" s="1"/>
  <c r="H892" i="96" s="1"/>
  <c r="J262" i="15"/>
  <c r="J261" i="15"/>
  <c r="J57" i="15"/>
  <c r="G162" i="96" s="1"/>
  <c r="J253" i="15"/>
  <c r="G159" i="96" s="1"/>
  <c r="J250" i="15"/>
  <c r="J46" i="15"/>
  <c r="J292" i="15"/>
  <c r="J241" i="15"/>
  <c r="G149" i="96" s="1"/>
  <c r="J629" i="15"/>
  <c r="J1316" i="15"/>
  <c r="J875" i="15"/>
  <c r="J1308" i="15"/>
  <c r="G1301" i="96" s="1"/>
  <c r="H1301" i="96" s="1"/>
  <c r="J1057" i="15"/>
  <c r="G1053" i="96" s="1"/>
  <c r="H1053" i="96" s="1"/>
  <c r="J1298" i="15"/>
  <c r="G1291" i="96" s="1"/>
  <c r="H1291" i="96" s="1"/>
  <c r="J437" i="15"/>
  <c r="J42" i="15"/>
  <c r="J1287" i="15"/>
  <c r="J38" i="15"/>
  <c r="J1255" i="15"/>
  <c r="G1248" i="96" s="1"/>
  <c r="H1248" i="96" s="1"/>
  <c r="J788" i="15"/>
  <c r="G104" i="96" s="1"/>
  <c r="J866" i="15"/>
  <c r="J1049" i="15"/>
  <c r="J1047" i="15"/>
  <c r="G1043" i="96" s="1"/>
  <c r="H1043" i="96" s="1"/>
  <c r="J1053" i="15"/>
  <c r="J1251" i="15"/>
  <c r="G1244" i="96" s="1"/>
  <c r="H1244" i="96" s="1"/>
  <c r="J1296" i="15"/>
  <c r="G1289" i="96" s="1"/>
  <c r="H1289" i="96" s="1"/>
  <c r="J41" i="15"/>
  <c r="J871" i="15"/>
  <c r="G107" i="96" s="1"/>
  <c r="J869" i="15"/>
  <c r="J797" i="15"/>
  <c r="J1050" i="15"/>
  <c r="J1257" i="15"/>
  <c r="J1046" i="15"/>
  <c r="G1042" i="96" s="1"/>
  <c r="H1042" i="96" s="1"/>
  <c r="J1448" i="15"/>
  <c r="G1441" i="96" s="1"/>
  <c r="H1441" i="96" s="1"/>
  <c r="J1434" i="15"/>
  <c r="J24" i="15"/>
  <c r="J760" i="15"/>
  <c r="J1411" i="15"/>
  <c r="J816" i="15"/>
  <c r="J1365" i="15"/>
  <c r="G1358" i="96" s="1"/>
  <c r="H1358" i="96" s="1"/>
  <c r="J226" i="15"/>
  <c r="J20" i="15"/>
  <c r="J710" i="15"/>
  <c r="J1320" i="15"/>
  <c r="G1313" i="96" s="1"/>
  <c r="H1313" i="96" s="1"/>
  <c r="J853" i="15"/>
  <c r="J1289" i="15"/>
  <c r="G1282" i="96" s="1"/>
  <c r="H1282" i="96" s="1"/>
  <c r="J1283" i="15"/>
  <c r="G1276" i="96" s="1"/>
  <c r="H1276" i="96" s="1"/>
  <c r="J13" i="15"/>
  <c r="J777" i="15"/>
  <c r="G58" i="96" s="1"/>
  <c r="J749" i="15"/>
  <c r="J1270" i="15"/>
  <c r="G1263" i="96" s="1"/>
  <c r="H1263" i="96" s="1"/>
  <c r="J29" i="15"/>
  <c r="J858" i="15"/>
  <c r="J423" i="15"/>
  <c r="J785" i="15"/>
  <c r="J692" i="15"/>
  <c r="J676" i="15"/>
  <c r="J1371" i="15"/>
  <c r="J762" i="15"/>
  <c r="J755" i="15"/>
  <c r="J856" i="15"/>
  <c r="J17" i="15"/>
  <c r="J1311" i="15"/>
  <c r="G1304" i="96" s="1"/>
  <c r="H1304" i="96" s="1"/>
  <c r="J819" i="15"/>
  <c r="J16" i="15"/>
  <c r="J850" i="15"/>
  <c r="J12" i="15"/>
  <c r="J1268" i="15"/>
  <c r="G1261" i="96" s="1"/>
  <c r="H1261" i="96" s="1"/>
  <c r="J426" i="15"/>
  <c r="J425" i="15"/>
  <c r="G91" i="96" s="1"/>
  <c r="J1429" i="15"/>
  <c r="G1422" i="96" s="1"/>
  <c r="H1422" i="96" s="1"/>
  <c r="J1422" i="15"/>
  <c r="G1415" i="96" s="1"/>
  <c r="H1415" i="96" s="1"/>
  <c r="J229" i="15"/>
  <c r="J228" i="15"/>
  <c r="J1379" i="15"/>
  <c r="G1372" i="96" s="1"/>
  <c r="H1372" i="96" s="1"/>
  <c r="J1356" i="15"/>
  <c r="J1353" i="15"/>
  <c r="G1346" i="96" s="1"/>
  <c r="H1346" i="96" s="1"/>
  <c r="J730" i="15"/>
  <c r="J1259" i="15"/>
  <c r="G1252" i="96" s="1"/>
  <c r="H1252" i="96" s="1"/>
  <c r="J855" i="15"/>
  <c r="J420" i="15"/>
  <c r="G68" i="96" s="1"/>
  <c r="J825" i="15"/>
  <c r="G66" i="96" s="1"/>
  <c r="J1281" i="15"/>
  <c r="J849" i="15"/>
  <c r="G60" i="96" s="1"/>
  <c r="J1040" i="15"/>
  <c r="G1036" i="96" s="1"/>
  <c r="H1036" i="96" s="1"/>
  <c r="J747" i="15"/>
  <c r="J1431" i="15"/>
  <c r="G1424" i="96" s="1"/>
  <c r="H1424" i="96" s="1"/>
  <c r="J1039" i="15"/>
  <c r="G1035" i="96" s="1"/>
  <c r="H1035" i="96" s="1"/>
  <c r="J688" i="15"/>
  <c r="J1315" i="15"/>
  <c r="G1308" i="96" s="1"/>
  <c r="H1308" i="96" s="1"/>
  <c r="J5" i="15"/>
  <c r="J766" i="15"/>
  <c r="J841" i="15"/>
  <c r="J838" i="15"/>
  <c r="G35" i="96" s="1"/>
  <c r="J1262" i="15"/>
  <c r="G1255" i="96" s="1"/>
  <c r="H1255" i="96" s="1"/>
  <c r="J1031" i="15"/>
  <c r="G1027" i="96" s="1"/>
  <c r="H1027" i="96" s="1"/>
  <c r="J220" i="15"/>
  <c r="J673" i="15"/>
  <c r="J64" i="15"/>
  <c r="J206" i="15"/>
  <c r="G19" i="96" s="1"/>
  <c r="J462" i="15"/>
  <c r="J1273" i="15"/>
  <c r="G1266" i="96" s="1"/>
  <c r="H1266" i="96" s="1"/>
  <c r="J124" i="15"/>
  <c r="J1206" i="15"/>
  <c r="J1326" i="15"/>
  <c r="G1319" i="96" s="1"/>
  <c r="H1319" i="96" s="1"/>
  <c r="J1061" i="15"/>
  <c r="G1057" i="96" s="1"/>
  <c r="H1057" i="96" s="1"/>
  <c r="J1295" i="15"/>
  <c r="G1288" i="96" s="1"/>
  <c r="H1288" i="96" s="1"/>
  <c r="J693" i="15"/>
  <c r="G36" i="96" s="1"/>
  <c r="J1034" i="15"/>
  <c r="G1030" i="96" s="1"/>
  <c r="H1030" i="96" s="1"/>
  <c r="J2" i="15"/>
  <c r="G30" i="96" s="1"/>
  <c r="J221" i="15"/>
  <c r="G220" i="96" s="1"/>
  <c r="J212" i="15"/>
  <c r="J209" i="15"/>
  <c r="J1260" i="15"/>
  <c r="G1253" i="96" s="1"/>
  <c r="H1253" i="96" s="1"/>
  <c r="J179" i="15"/>
  <c r="G17" i="96" s="1"/>
  <c r="J607" i="15"/>
  <c r="G15" i="96" s="1"/>
  <c r="J429" i="15"/>
  <c r="G11" i="96" s="1"/>
  <c r="J558" i="15"/>
  <c r="G8" i="96" s="1"/>
  <c r="J1219" i="15"/>
  <c r="G1212" i="96" s="1"/>
  <c r="H1212" i="96" s="1"/>
  <c r="J903" i="15"/>
  <c r="J1267" i="15"/>
  <c r="G1260" i="96" s="1"/>
  <c r="H1260" i="96" s="1"/>
  <c r="J843" i="15"/>
  <c r="J820" i="15"/>
  <c r="J665" i="15"/>
  <c r="J839" i="15"/>
  <c r="J1264" i="15"/>
  <c r="G1257" i="96" s="1"/>
  <c r="H1257" i="96" s="1"/>
  <c r="J1261" i="15"/>
  <c r="G1254" i="96" s="1"/>
  <c r="H1254" i="96" s="1"/>
  <c r="J834" i="15"/>
  <c r="J214" i="15"/>
  <c r="G26" i="96" s="1"/>
  <c r="J634" i="15"/>
  <c r="G24" i="96" s="1"/>
  <c r="J28" i="15"/>
  <c r="J1076" i="15"/>
  <c r="G1072" i="96" s="1"/>
  <c r="H1072" i="96" s="1"/>
  <c r="B35" i="84"/>
  <c r="G63" i="96" l="1"/>
  <c r="G1274" i="96"/>
  <c r="H1274" i="96" s="1"/>
  <c r="G89" i="96"/>
  <c r="G1427" i="96"/>
  <c r="H1427" i="96" s="1"/>
  <c r="G102" i="96"/>
  <c r="G1046" i="96"/>
  <c r="H1046" i="96" s="1"/>
  <c r="G128" i="96"/>
  <c r="G1316" i="96"/>
  <c r="H1316" i="96" s="1"/>
  <c r="G137" i="96"/>
  <c r="G1356" i="96"/>
  <c r="H1356" i="96" s="1"/>
  <c r="G163" i="96"/>
  <c r="G1375" i="96"/>
  <c r="H1375" i="96" s="1"/>
  <c r="G173" i="96"/>
  <c r="G1064" i="96"/>
  <c r="H1064" i="96" s="1"/>
  <c r="G208" i="96"/>
  <c r="G1299" i="96"/>
  <c r="H1299" i="96" s="1"/>
  <c r="G322" i="96"/>
  <c r="G1110" i="96"/>
  <c r="H1110" i="96" s="1"/>
  <c r="G193" i="96"/>
  <c r="G1073" i="96"/>
  <c r="H1073" i="96" s="1"/>
  <c r="G332" i="96"/>
  <c r="G955" i="96"/>
  <c r="H955" i="96" s="1"/>
  <c r="G395" i="96"/>
  <c r="G986" i="96"/>
  <c r="H986" i="96" s="1"/>
  <c r="G393" i="96"/>
  <c r="G984" i="96"/>
  <c r="H984" i="96" s="1"/>
  <c r="G480" i="96"/>
  <c r="G413" i="96"/>
  <c r="G1003" i="96"/>
  <c r="H1003" i="96" s="1"/>
  <c r="G378" i="96"/>
  <c r="G975" i="96"/>
  <c r="H975" i="96" s="1"/>
  <c r="G510" i="96"/>
  <c r="G1177" i="96"/>
  <c r="H1177" i="96" s="1"/>
  <c r="G581" i="96"/>
  <c r="H581" i="96" s="1"/>
  <c r="G1164" i="96"/>
  <c r="H1164" i="96" s="1"/>
  <c r="G637" i="96"/>
  <c r="H637" i="96" s="1"/>
  <c r="G664" i="96"/>
  <c r="H664" i="96" s="1"/>
  <c r="G555" i="96"/>
  <c r="H555" i="96" s="1"/>
  <c r="G576" i="96"/>
  <c r="H576" i="96" s="1"/>
  <c r="G1078" i="96"/>
  <c r="H1078" i="96" s="1"/>
  <c r="G890" i="96"/>
  <c r="H890" i="96" s="1"/>
  <c r="G1445" i="96"/>
  <c r="H1445" i="96" s="1"/>
  <c r="G241" i="96"/>
  <c r="G828" i="96"/>
  <c r="H828" i="96" s="1"/>
  <c r="G918" i="96"/>
  <c r="H918" i="96" s="1"/>
  <c r="G40" i="96"/>
  <c r="G1292" i="96"/>
  <c r="H1292" i="96" s="1"/>
  <c r="G409" i="96"/>
  <c r="G525" i="96"/>
  <c r="G620" i="96"/>
  <c r="H620" i="96" s="1"/>
  <c r="G826" i="96"/>
  <c r="H826" i="96" s="1"/>
  <c r="G1284" i="96"/>
  <c r="H1284" i="96" s="1"/>
  <c r="G79" i="96"/>
  <c r="G1364" i="96"/>
  <c r="H1364" i="96" s="1"/>
  <c r="G84" i="96"/>
  <c r="G1404" i="96"/>
  <c r="H1404" i="96" s="1"/>
  <c r="G100" i="96"/>
  <c r="G1045" i="96"/>
  <c r="H1045" i="96" s="1"/>
  <c r="G127" i="96"/>
  <c r="G1309" i="96"/>
  <c r="H1309" i="96" s="1"/>
  <c r="G263" i="96"/>
  <c r="G1102" i="96"/>
  <c r="H1102" i="96" s="1"/>
  <c r="G285" i="96"/>
  <c r="G1426" i="96"/>
  <c r="H1426" i="96" s="1"/>
  <c r="G334" i="96"/>
  <c r="G1114" i="96"/>
  <c r="H1114" i="96" s="1"/>
  <c r="G346" i="96"/>
  <c r="G1115" i="96"/>
  <c r="H1115" i="96" s="1"/>
  <c r="G355" i="96"/>
  <c r="G319" i="96"/>
  <c r="G352" i="96"/>
  <c r="G964" i="96"/>
  <c r="H964" i="96" s="1"/>
  <c r="G349" i="96"/>
  <c r="G962" i="96"/>
  <c r="H962" i="96" s="1"/>
  <c r="G386" i="96"/>
  <c r="G978" i="96"/>
  <c r="H978" i="96" s="1"/>
  <c r="G405" i="96"/>
  <c r="G999" i="96"/>
  <c r="H999" i="96" s="1"/>
  <c r="G482" i="96"/>
  <c r="G540" i="96"/>
  <c r="G528" i="96"/>
  <c r="G1189" i="96"/>
  <c r="H1189" i="96" s="1"/>
  <c r="G590" i="96"/>
  <c r="H590" i="96" s="1"/>
  <c r="G1429" i="96"/>
  <c r="H1429" i="96" s="1"/>
  <c r="G710" i="96"/>
  <c r="H710" i="96" s="1"/>
  <c r="G672" i="96"/>
  <c r="H672" i="96" s="1"/>
  <c r="G1111" i="96"/>
  <c r="H1111" i="96" s="1"/>
  <c r="G691" i="96"/>
  <c r="H691" i="96" s="1"/>
  <c r="G726" i="96"/>
  <c r="H726" i="96" s="1"/>
  <c r="G752" i="96"/>
  <c r="H752" i="96" s="1"/>
  <c r="G1434" i="96"/>
  <c r="H1434" i="96" s="1"/>
  <c r="G782" i="96"/>
  <c r="H782" i="96" s="1"/>
  <c r="G1251" i="96"/>
  <c r="H1251" i="96" s="1"/>
  <c r="G176" i="96"/>
  <c r="G896" i="96"/>
  <c r="H896" i="96" s="1"/>
  <c r="G233" i="96"/>
  <c r="G1093" i="96"/>
  <c r="H1093" i="96" s="1"/>
  <c r="G302" i="96"/>
  <c r="G381" i="96"/>
  <c r="G829" i="96"/>
  <c r="H829" i="96" s="1"/>
  <c r="G110" i="96"/>
  <c r="G1280" i="96"/>
  <c r="H1280" i="96" s="1"/>
  <c r="G198" i="96"/>
  <c r="G1443" i="96"/>
  <c r="H1443" i="96" s="1"/>
  <c r="G195" i="96"/>
  <c r="G910" i="96"/>
  <c r="H910" i="96" s="1"/>
  <c r="G203" i="96"/>
  <c r="G1290" i="96"/>
  <c r="H1290" i="96" s="1"/>
  <c r="G397" i="96"/>
  <c r="G1128" i="96"/>
  <c r="H1128" i="96" s="1"/>
  <c r="G367" i="96"/>
  <c r="G971" i="96"/>
  <c r="H971" i="96" s="1"/>
  <c r="G435" i="96"/>
  <c r="G1145" i="96"/>
  <c r="H1145" i="96" s="1"/>
  <c r="G407" i="96"/>
  <c r="G1137" i="96"/>
  <c r="H1137" i="96" s="1"/>
  <c r="G455" i="96"/>
  <c r="G542" i="96"/>
  <c r="G1002" i="96"/>
  <c r="H1002" i="96" s="1"/>
  <c r="G112" i="96"/>
  <c r="G123" i="96"/>
  <c r="G227" i="96"/>
  <c r="G236" i="96"/>
  <c r="G1230" i="96"/>
  <c r="H1230" i="96" s="1"/>
  <c r="G861" i="96"/>
  <c r="H861" i="96" s="1"/>
  <c r="G931" i="96"/>
  <c r="H931" i="96" s="1"/>
  <c r="G5" i="96"/>
  <c r="G900" i="96"/>
  <c r="H900" i="96" s="1"/>
  <c r="G7" i="96"/>
  <c r="G1199" i="96"/>
  <c r="H1199" i="96" s="1"/>
  <c r="G77" i="96"/>
  <c r="G1349" i="96"/>
  <c r="H1349" i="96" s="1"/>
  <c r="G101" i="96"/>
  <c r="G1250" i="96"/>
  <c r="H1250" i="96" s="1"/>
  <c r="G117" i="96"/>
  <c r="G1049" i="96"/>
  <c r="H1049" i="96" s="1"/>
  <c r="G238" i="96"/>
  <c r="G930" i="96"/>
  <c r="H930" i="96" s="1"/>
  <c r="G289" i="96"/>
  <c r="G1437" i="96"/>
  <c r="H1437" i="96" s="1"/>
  <c r="G329" i="96"/>
  <c r="G953" i="96"/>
  <c r="H953" i="96" s="1"/>
  <c r="G201" i="96"/>
  <c r="G913" i="96"/>
  <c r="H913" i="96" s="1"/>
  <c r="G230" i="96"/>
  <c r="G1091" i="96"/>
  <c r="H1091" i="96" s="1"/>
  <c r="G268" i="96"/>
  <c r="G280" i="96"/>
  <c r="G1107" i="96"/>
  <c r="H1107" i="96" s="1"/>
  <c r="G359" i="96"/>
  <c r="G966" i="96"/>
  <c r="H966" i="96" s="1"/>
  <c r="G354" i="96"/>
  <c r="G437" i="96"/>
  <c r="G426" i="96"/>
  <c r="G120" i="96"/>
  <c r="G1296" i="96"/>
  <c r="H1296" i="96" s="1"/>
  <c r="G613" i="96"/>
  <c r="H613" i="96" s="1"/>
  <c r="G1435" i="96"/>
  <c r="H1435" i="96" s="1"/>
  <c r="G666" i="96"/>
  <c r="H666" i="96" s="1"/>
  <c r="G1398" i="96"/>
  <c r="H1398" i="96" s="1"/>
  <c r="G676" i="96"/>
  <c r="H676" i="96" s="1"/>
  <c r="G985" i="96"/>
  <c r="H985" i="96" s="1"/>
  <c r="G689" i="96"/>
  <c r="H689" i="96" s="1"/>
  <c r="G712" i="96"/>
  <c r="H712" i="96" s="1"/>
  <c r="G1052" i="96"/>
  <c r="H1052" i="96" s="1"/>
  <c r="G777" i="96"/>
  <c r="H777" i="96" s="1"/>
  <c r="G1239" i="96"/>
  <c r="H1239" i="96" s="1"/>
  <c r="G714" i="96"/>
  <c r="H714" i="96" s="1"/>
  <c r="G1080" i="96"/>
  <c r="H1080" i="96" s="1"/>
  <c r="G722" i="96"/>
  <c r="H722" i="96" s="1"/>
  <c r="G1171" i="96"/>
  <c r="H1171" i="96" s="1"/>
  <c r="G705" i="96"/>
  <c r="H705" i="96" s="1"/>
  <c r="G957" i="96"/>
  <c r="H957" i="96" s="1"/>
  <c r="G743" i="96"/>
  <c r="H743" i="96" s="1"/>
  <c r="G991" i="96"/>
  <c r="H991" i="96" s="1"/>
  <c r="G12" i="96"/>
  <c r="G923" i="96"/>
  <c r="H923" i="96" s="1"/>
  <c r="G134" i="96"/>
  <c r="G868" i="96"/>
  <c r="H868" i="96" s="1"/>
  <c r="G1405" i="96"/>
  <c r="H1405" i="96" s="1"/>
  <c r="G205" i="96"/>
  <c r="G1081" i="96"/>
  <c r="H1081" i="96" s="1"/>
  <c r="G249" i="96"/>
  <c r="G934" i="96"/>
  <c r="H934" i="96" s="1"/>
  <c r="G864" i="96"/>
  <c r="H864" i="96" s="1"/>
  <c r="G1393" i="96"/>
  <c r="H1393" i="96" s="1"/>
  <c r="G642" i="96"/>
  <c r="H642" i="96" s="1"/>
  <c r="G891" i="96"/>
  <c r="H891" i="96" s="1"/>
  <c r="G1446" i="96"/>
  <c r="H1446" i="96" s="1"/>
  <c r="G307" i="96"/>
  <c r="G762" i="96"/>
  <c r="H762" i="96" s="1"/>
  <c r="G798" i="96"/>
  <c r="H798" i="96" s="1"/>
  <c r="G1273" i="96"/>
  <c r="H1273" i="96" s="1"/>
  <c r="G121" i="96"/>
  <c r="G309" i="96"/>
  <c r="G67" i="96"/>
  <c r="G71" i="96"/>
  <c r="G216" i="96"/>
  <c r="G303" i="96"/>
  <c r="G191" i="96"/>
  <c r="G342" i="96"/>
  <c r="G391" i="96"/>
  <c r="G446" i="96"/>
  <c r="G425" i="96"/>
  <c r="G552" i="96"/>
  <c r="H552" i="96" s="1"/>
  <c r="G630" i="96"/>
  <c r="H630" i="96" s="1"/>
  <c r="G742" i="96"/>
  <c r="H742" i="96" s="1"/>
  <c r="G73" i="96"/>
  <c r="G59" i="96"/>
  <c r="G231" i="96"/>
  <c r="G20" i="96"/>
  <c r="G14" i="96"/>
  <c r="G46" i="96"/>
  <c r="G106" i="96"/>
  <c r="G185" i="96"/>
  <c r="G396" i="96"/>
  <c r="G473" i="96"/>
  <c r="G493" i="96"/>
  <c r="G558" i="96"/>
  <c r="H558" i="96" s="1"/>
  <c r="G524" i="96"/>
  <c r="G298" i="96"/>
  <c r="G74" i="96"/>
  <c r="G90" i="96"/>
  <c r="G69" i="96"/>
  <c r="G142" i="96"/>
  <c r="G247" i="96"/>
  <c r="G335" i="96"/>
  <c r="G387" i="96"/>
  <c r="G400" i="96"/>
  <c r="G805" i="96"/>
  <c r="H805" i="96" s="1"/>
  <c r="G41" i="96"/>
  <c r="G85" i="96"/>
  <c r="G144" i="96"/>
  <c r="G154" i="96"/>
  <c r="G377" i="96"/>
  <c r="G578" i="96"/>
  <c r="H578" i="96" s="1"/>
  <c r="G6" i="96"/>
  <c r="G574" i="96"/>
  <c r="H574" i="96" s="1"/>
  <c r="G702" i="96"/>
  <c r="H702" i="96" s="1"/>
  <c r="G39" i="96"/>
  <c r="G23" i="96"/>
  <c r="G76" i="96"/>
  <c r="G81" i="96"/>
  <c r="G111" i="96"/>
  <c r="G156" i="96"/>
  <c r="G200" i="96"/>
  <c r="G65" i="96"/>
  <c r="G113" i="96"/>
  <c r="G256" i="96"/>
  <c r="G301" i="96"/>
  <c r="G345" i="96"/>
  <c r="G362" i="96"/>
  <c r="G631" i="96"/>
  <c r="H631" i="96" s="1"/>
  <c r="G572" i="96"/>
  <c r="H572" i="96" s="1"/>
  <c r="G795" i="96"/>
  <c r="H795" i="96" s="1"/>
  <c r="G736" i="96"/>
  <c r="H736" i="96" s="1"/>
  <c r="G504" i="96"/>
  <c r="G237" i="96"/>
  <c r="G229" i="96"/>
  <c r="G240" i="96"/>
  <c r="G258" i="96"/>
  <c r="G350" i="96"/>
  <c r="G477" i="96"/>
  <c r="G476" i="96"/>
  <c r="G375" i="96"/>
  <c r="G43" i="96"/>
  <c r="G651" i="96"/>
  <c r="H651" i="96" s="1"/>
  <c r="G811" i="96"/>
  <c r="H811" i="96" s="1"/>
  <c r="G775" i="96"/>
  <c r="H775" i="96" s="1"/>
  <c r="G62" i="96"/>
  <c r="G33" i="96"/>
  <c r="G221" i="96"/>
  <c r="G166" i="96"/>
  <c r="G597" i="96"/>
  <c r="H597" i="96" s="1"/>
  <c r="G679" i="96"/>
  <c r="H679" i="96" s="1"/>
  <c r="G756" i="96"/>
  <c r="H756" i="96" s="1"/>
  <c r="G791" i="96"/>
  <c r="H791" i="96" s="1"/>
  <c r="G802" i="96"/>
  <c r="H802" i="96" s="1"/>
  <c r="G778" i="96"/>
  <c r="H778" i="96" s="1"/>
  <c r="G182" i="96"/>
  <c r="G495" i="96"/>
  <c r="G575" i="96"/>
  <c r="H575" i="96" s="1"/>
  <c r="G819" i="96"/>
  <c r="H819" i="96" s="1"/>
  <c r="G831" i="96"/>
  <c r="H831" i="96" s="1"/>
  <c r="G582" i="96"/>
  <c r="H582" i="96" s="1"/>
  <c r="G627" i="96"/>
  <c r="H627" i="96" s="1"/>
  <c r="G96" i="96"/>
  <c r="G310" i="96"/>
  <c r="G382" i="96"/>
  <c r="G764" i="96"/>
  <c r="H764" i="96" s="1"/>
  <c r="G51" i="96"/>
  <c r="G385" i="96"/>
  <c r="G708" i="96"/>
  <c r="H708" i="96" s="1"/>
  <c r="G49" i="96"/>
  <c r="G246" i="96"/>
  <c r="G454" i="96"/>
  <c r="G653" i="96"/>
  <c r="H653" i="96" s="1"/>
  <c r="G514" i="96"/>
  <c r="G693" i="96"/>
  <c r="H693" i="96" s="1"/>
  <c r="G719" i="96"/>
  <c r="H719" i="96" s="1"/>
  <c r="G248" i="96"/>
  <c r="G272" i="96"/>
  <c r="G284" i="96"/>
  <c r="G371" i="96"/>
  <c r="G429" i="96"/>
  <c r="G489" i="96"/>
  <c r="G500" i="96"/>
  <c r="G3" i="96"/>
  <c r="G817" i="96"/>
  <c r="H817" i="96" s="1"/>
  <c r="G44" i="96"/>
  <c r="G54" i="96"/>
  <c r="G172" i="96"/>
  <c r="G103" i="96"/>
  <c r="G223" i="96"/>
  <c r="G402" i="96"/>
  <c r="G649" i="96"/>
  <c r="H649" i="96" s="1"/>
  <c r="G659" i="96"/>
  <c r="H659" i="96" s="1"/>
  <c r="G656" i="96"/>
  <c r="H656" i="96" s="1"/>
  <c r="G818" i="96"/>
  <c r="H818" i="96" s="1"/>
  <c r="G611" i="96"/>
  <c r="H611" i="96" s="1"/>
  <c r="G37" i="96"/>
  <c r="G57" i="96"/>
  <c r="G225" i="96"/>
  <c r="G94" i="96"/>
  <c r="G124" i="96"/>
  <c r="G456" i="96"/>
  <c r="H456" i="96" s="1"/>
  <c r="G475" i="96"/>
  <c r="G486" i="96"/>
  <c r="G444" i="96"/>
  <c r="G464" i="96"/>
  <c r="G484" i="96"/>
  <c r="G531" i="96"/>
  <c r="G701" i="96"/>
  <c r="H701" i="96" s="1"/>
  <c r="G759" i="96"/>
  <c r="H759" i="96" s="1"/>
  <c r="G29" i="96"/>
  <c r="G218" i="96"/>
  <c r="G337" i="96"/>
  <c r="G197" i="96"/>
  <c r="G21" i="96"/>
  <c r="G80" i="96"/>
  <c r="G95" i="96"/>
  <c r="G242" i="96"/>
  <c r="G490" i="96"/>
  <c r="G440" i="96"/>
  <c r="G748" i="96"/>
  <c r="H748" i="96" s="1"/>
  <c r="G72" i="96"/>
  <c r="G181" i="96"/>
  <c r="G177" i="96"/>
  <c r="G363" i="96"/>
  <c r="G152" i="96"/>
  <c r="G452" i="96"/>
  <c r="G492" i="96"/>
  <c r="G583" i="96"/>
  <c r="H583" i="96" s="1"/>
  <c r="G692" i="96"/>
  <c r="H692" i="96" s="1"/>
  <c r="G716" i="96"/>
  <c r="H716" i="96" s="1"/>
  <c r="G78" i="96"/>
  <c r="G178" i="96"/>
  <c r="G368" i="96"/>
  <c r="G427" i="96"/>
  <c r="G468" i="96"/>
  <c r="G556" i="96"/>
  <c r="H556" i="96" s="1"/>
  <c r="G516" i="96"/>
  <c r="G565" i="96"/>
  <c r="H565" i="96" s="1"/>
  <c r="G695" i="96"/>
  <c r="H695" i="96" s="1"/>
  <c r="G740" i="96"/>
  <c r="H740" i="96" s="1"/>
  <c r="G834" i="96"/>
  <c r="H834" i="96" s="1"/>
  <c r="G842" i="96"/>
  <c r="H842" i="96" s="1"/>
  <c r="G139" i="96"/>
  <c r="G108" i="96"/>
  <c r="G351" i="96"/>
  <c r="G403" i="96"/>
  <c r="G441" i="96"/>
  <c r="G293" i="96"/>
  <c r="G353" i="96"/>
  <c r="G845" i="96"/>
  <c r="H845" i="96" s="1"/>
  <c r="G18" i="96"/>
  <c r="G224" i="96"/>
  <c r="G609" i="96"/>
  <c r="H609" i="96" s="1"/>
  <c r="G832" i="96"/>
  <c r="H832" i="96" s="1"/>
  <c r="G56" i="96"/>
  <c r="G399" i="96"/>
  <c r="G685" i="96"/>
  <c r="H685" i="96" s="1"/>
  <c r="G709" i="96"/>
  <c r="H709" i="96" s="1"/>
  <c r="G25" i="96"/>
  <c r="G31" i="96"/>
  <c r="G28" i="96"/>
  <c r="G10" i="96"/>
  <c r="G87" i="96"/>
  <c r="G97" i="96"/>
  <c r="G114" i="96"/>
  <c r="G151" i="96"/>
  <c r="G282" i="96"/>
  <c r="G315" i="96"/>
  <c r="G331" i="96"/>
  <c r="G190" i="96"/>
  <c r="G210" i="96"/>
  <c r="G251" i="96"/>
  <c r="G344" i="96"/>
  <c r="G364" i="96"/>
  <c r="G304" i="96"/>
  <c r="G341" i="96"/>
  <c r="G347" i="96"/>
  <c r="G358" i="96"/>
  <c r="G450" i="96"/>
  <c r="G470" i="96"/>
  <c r="G428" i="96"/>
  <c r="G479" i="96"/>
  <c r="G131" i="96"/>
  <c r="G418" i="96"/>
  <c r="G439" i="96"/>
  <c r="G448" i="96"/>
  <c r="G478" i="96"/>
  <c r="G47" i="96"/>
  <c r="G55" i="96"/>
  <c r="G591" i="96"/>
  <c r="H591" i="96" s="1"/>
  <c r="G619" i="96"/>
  <c r="H619" i="96" s="1"/>
  <c r="G587" i="96"/>
  <c r="H587" i="96" s="1"/>
  <c r="G633" i="96"/>
  <c r="H633" i="96" s="1"/>
  <c r="G697" i="96"/>
  <c r="H697" i="96" s="1"/>
  <c r="G723" i="96"/>
  <c r="H723" i="96" s="1"/>
  <c r="G733" i="96"/>
  <c r="H733" i="96" s="1"/>
  <c r="G753" i="96"/>
  <c r="H753" i="96" s="1"/>
  <c r="G50" i="96"/>
  <c r="G594" i="96"/>
  <c r="H594" i="96" s="1"/>
  <c r="G234" i="96"/>
  <c r="G537" i="96"/>
  <c r="G624" i="96"/>
  <c r="H624" i="96" s="1"/>
  <c r="G770" i="96"/>
  <c r="H770" i="96" s="1"/>
  <c r="G16" i="96"/>
  <c r="G92" i="96"/>
  <c r="G271" i="96"/>
  <c r="G615" i="96"/>
  <c r="H615" i="96" s="1"/>
  <c r="G52" i="96"/>
  <c r="G608" i="96"/>
  <c r="H608" i="96" s="1"/>
  <c r="G202" i="96"/>
  <c r="G93" i="96"/>
  <c r="G82" i="96"/>
  <c r="G115" i="96"/>
  <c r="G161" i="96"/>
  <c r="G168" i="96"/>
  <c r="G179" i="96"/>
  <c r="G235" i="96"/>
  <c r="G286" i="96"/>
  <c r="G336" i="96"/>
  <c r="G228" i="96"/>
  <c r="G338" i="96"/>
  <c r="G360" i="96"/>
  <c r="G417" i="96"/>
  <c r="G474" i="96"/>
  <c r="G42" i="96"/>
  <c r="G567" i="96"/>
  <c r="H567" i="96" s="1"/>
  <c r="G549" i="96"/>
  <c r="H549" i="96" s="1"/>
  <c r="G673" i="96"/>
  <c r="H673" i="96" s="1"/>
  <c r="G833" i="96"/>
  <c r="H833" i="96" s="1"/>
  <c r="G158" i="96"/>
  <c r="G4" i="96"/>
  <c r="G491" i="96"/>
  <c r="G433" i="96"/>
  <c r="G297" i="96"/>
  <c r="G373" i="96"/>
  <c r="G553" i="96"/>
  <c r="H553" i="96" s="1"/>
  <c r="G628" i="96"/>
  <c r="H628" i="96" s="1"/>
  <c r="G877" i="96"/>
  <c r="H877" i="96" s="1"/>
  <c r="G744" i="96"/>
  <c r="H744" i="96" s="1"/>
  <c r="G165" i="96"/>
  <c r="G321" i="96"/>
  <c r="G330" i="96"/>
  <c r="G348" i="96"/>
  <c r="G125" i="96"/>
  <c r="G270" i="96"/>
  <c r="G305" i="96"/>
  <c r="G261" i="96"/>
  <c r="G295" i="96"/>
  <c r="G290" i="96"/>
  <c r="G419" i="96"/>
  <c r="G501" i="96"/>
  <c r="G461" i="96"/>
  <c r="G122" i="96"/>
  <c r="G141" i="96"/>
  <c r="G160" i="96"/>
  <c r="G129" i="96"/>
  <c r="G140" i="96"/>
  <c r="G253" i="96"/>
  <c r="G308" i="96"/>
  <c r="G254" i="96"/>
  <c r="G275" i="96"/>
  <c r="G283" i="96"/>
  <c r="G316" i="96"/>
  <c r="G323" i="96"/>
  <c r="G388" i="96"/>
  <c r="G75" i="96"/>
  <c r="G408" i="96"/>
  <c r="G423" i="96"/>
  <c r="G485" i="96"/>
  <c r="G171" i="96"/>
  <c r="G206" i="96"/>
  <c r="G291" i="96"/>
  <c r="G300" i="96"/>
  <c r="G327" i="96"/>
  <c r="G390" i="96"/>
  <c r="G370" i="96"/>
  <c r="G186" i="96"/>
  <c r="G469" i="96"/>
  <c r="G499" i="96"/>
  <c r="G380" i="96"/>
  <c r="G512" i="96"/>
  <c r="G523" i="96"/>
  <c r="G530" i="96"/>
  <c r="G547" i="96"/>
  <c r="H547" i="96" s="1"/>
  <c r="G560" i="96"/>
  <c r="H560" i="96" s="1"/>
  <c r="G569" i="96"/>
  <c r="H569" i="96" s="1"/>
  <c r="G607" i="96"/>
  <c r="H607" i="96" s="1"/>
  <c r="G646" i="96"/>
  <c r="H646" i="96" s="1"/>
  <c r="G690" i="96"/>
  <c r="H690" i="96" s="1"/>
  <c r="G682" i="96"/>
  <c r="H682" i="96" s="1"/>
  <c r="G688" i="96"/>
  <c r="H688" i="96" s="1"/>
  <c r="G746" i="96"/>
  <c r="H746" i="96" s="1"/>
  <c r="G766" i="96"/>
  <c r="H766" i="96" s="1"/>
  <c r="G779" i="96"/>
  <c r="H779" i="96" s="1"/>
  <c r="G847" i="96"/>
  <c r="H847" i="96" s="1"/>
  <c r="G873" i="96"/>
  <c r="H873" i="96" s="1"/>
  <c r="G881" i="96"/>
  <c r="H881" i="96" s="1"/>
  <c r="G772" i="96"/>
  <c r="H772" i="96" s="1"/>
  <c r="G718" i="96"/>
  <c r="H718" i="96" s="1"/>
  <c r="G735" i="96"/>
  <c r="H735" i="96" s="1"/>
  <c r="G751" i="96"/>
  <c r="H751" i="96" s="1"/>
  <c r="G758" i="96"/>
  <c r="H758" i="96" s="1"/>
  <c r="G771" i="96"/>
  <c r="H771" i="96" s="1"/>
  <c r="G840" i="96"/>
  <c r="H840" i="96" s="1"/>
  <c r="G148" i="96"/>
  <c r="G192" i="96"/>
  <c r="G244" i="96"/>
  <c r="G274" i="96"/>
  <c r="G379" i="96"/>
  <c r="G521" i="96"/>
  <c r="G536" i="96"/>
  <c r="G557" i="96"/>
  <c r="H557" i="96" s="1"/>
  <c r="G579" i="96"/>
  <c r="H579" i="96" s="1"/>
  <c r="G598" i="96"/>
  <c r="H598" i="96" s="1"/>
  <c r="G623" i="96"/>
  <c r="H623" i="96" s="1"/>
  <c r="G636" i="96"/>
  <c r="H636" i="96" s="1"/>
  <c r="G783" i="96"/>
  <c r="H783" i="96" s="1"/>
  <c r="G794" i="96"/>
  <c r="H794" i="96" s="1"/>
  <c r="G806" i="96"/>
  <c r="H806" i="96" s="1"/>
  <c r="G820" i="96"/>
  <c r="H820" i="96" s="1"/>
  <c r="G432" i="96"/>
  <c r="G483" i="96"/>
  <c r="G442" i="96"/>
  <c r="G463" i="96"/>
  <c r="G472" i="96"/>
  <c r="G133" i="96"/>
  <c r="G169" i="96"/>
  <c r="G196" i="96"/>
  <c r="G420" i="96"/>
  <c r="G431" i="96"/>
  <c r="G462" i="96"/>
  <c r="G481" i="96"/>
  <c r="G183" i="96"/>
  <c r="G503" i="96"/>
  <c r="G533" i="96"/>
  <c r="G551" i="96"/>
  <c r="H551" i="96" s="1"/>
  <c r="G593" i="96"/>
  <c r="H593" i="96" s="1"/>
  <c r="G641" i="96"/>
  <c r="H641" i="96" s="1"/>
  <c r="G674" i="96"/>
  <c r="H674" i="96" s="1"/>
  <c r="G522" i="96"/>
  <c r="G546" i="96"/>
  <c r="H546" i="96" s="1"/>
  <c r="G618" i="96"/>
  <c r="H618" i="96" s="1"/>
  <c r="G683" i="96"/>
  <c r="H683" i="96" s="1"/>
  <c r="G700" i="96"/>
  <c r="H700" i="96" s="1"/>
  <c r="G750" i="96"/>
  <c r="H750" i="96" s="1"/>
  <c r="G804" i="96"/>
  <c r="H804" i="96" s="1"/>
  <c r="G830" i="96"/>
  <c r="H830" i="96" s="1"/>
  <c r="G839" i="96"/>
  <c r="H839" i="96" s="1"/>
  <c r="G849" i="96"/>
  <c r="H849" i="96" s="1"/>
  <c r="G858" i="96"/>
  <c r="H858" i="96" s="1"/>
  <c r="G883" i="96"/>
  <c r="H883" i="96" s="1"/>
  <c r="G720" i="96"/>
  <c r="H720" i="96" s="1"/>
  <c r="G729" i="96"/>
  <c r="H729" i="96" s="1"/>
  <c r="G728" i="96"/>
  <c r="H728" i="96" s="1"/>
  <c r="G739" i="96"/>
  <c r="H739" i="96" s="1"/>
  <c r="G774" i="96"/>
  <c r="H774" i="96" s="1"/>
  <c r="G786" i="96"/>
  <c r="H786" i="96" s="1"/>
  <c r="G796" i="96"/>
  <c r="H796" i="96" s="1"/>
  <c r="G809" i="96"/>
  <c r="H809" i="96" s="1"/>
  <c r="G822" i="96"/>
  <c r="H822" i="96" s="1"/>
  <c r="G851" i="96"/>
  <c r="H851" i="96" s="1"/>
  <c r="G878" i="96"/>
  <c r="H878" i="96" s="1"/>
  <c r="G886" i="96"/>
  <c r="H886" i="96" s="1"/>
  <c r="G48" i="96"/>
  <c r="G86" i="96"/>
  <c r="G105" i="96"/>
  <c r="G150" i="96"/>
  <c r="G194" i="96"/>
  <c r="G213" i="96"/>
  <c r="G277" i="96"/>
  <c r="G502" i="96"/>
  <c r="G548" i="96"/>
  <c r="H548" i="96" s="1"/>
  <c r="G561" i="96"/>
  <c r="H561" i="96" s="1"/>
  <c r="G600" i="96"/>
  <c r="H600" i="96" s="1"/>
  <c r="G610" i="96"/>
  <c r="H610" i="96" s="1"/>
  <c r="G416" i="96"/>
  <c r="G526" i="96"/>
  <c r="G586" i="96"/>
  <c r="H586" i="96" s="1"/>
  <c r="G605" i="96"/>
  <c r="H605" i="96" s="1"/>
  <c r="G668" i="96"/>
  <c r="H668" i="96" s="1"/>
  <c r="G678" i="96"/>
  <c r="H678" i="96" s="1"/>
  <c r="G539" i="96"/>
  <c r="G562" i="96"/>
  <c r="H562" i="96" s="1"/>
  <c r="G592" i="96"/>
  <c r="H592" i="96" s="1"/>
  <c r="G658" i="96"/>
  <c r="H658" i="96" s="1"/>
  <c r="G703" i="96"/>
  <c r="H703" i="96" s="1"/>
  <c r="G675" i="96"/>
  <c r="H675" i="96" s="1"/>
  <c r="G738" i="96"/>
  <c r="H738" i="96" s="1"/>
  <c r="G761" i="96"/>
  <c r="H761" i="96" s="1"/>
  <c r="G785" i="96"/>
  <c r="H785" i="96" s="1"/>
  <c r="G808" i="96"/>
  <c r="H808" i="96" s="1"/>
  <c r="G821" i="96"/>
  <c r="H821" i="96" s="1"/>
  <c r="G841" i="96"/>
  <c r="H841" i="96" s="1"/>
  <c r="G850" i="96"/>
  <c r="H850" i="96" s="1"/>
  <c r="G867" i="96"/>
  <c r="H867" i="96" s="1"/>
  <c r="G731" i="96"/>
  <c r="H731" i="96" s="1"/>
  <c r="G765" i="96"/>
  <c r="H765" i="96" s="1"/>
  <c r="G713" i="96"/>
  <c r="H713" i="96" s="1"/>
  <c r="G788" i="96"/>
  <c r="H788" i="96" s="1"/>
  <c r="G813" i="96"/>
  <c r="H813" i="96" s="1"/>
  <c r="G854" i="96"/>
  <c r="H854" i="96" s="1"/>
  <c r="G888" i="96"/>
  <c r="H888" i="96" s="1"/>
  <c r="G88" i="96"/>
  <c r="G99" i="96"/>
  <c r="G116" i="96"/>
  <c r="G153" i="96"/>
  <c r="G170" i="96"/>
  <c r="G217" i="96"/>
  <c r="G239" i="96"/>
  <c r="G267" i="96"/>
  <c r="G515" i="96"/>
  <c r="G541" i="96"/>
  <c r="G564" i="96"/>
  <c r="H564" i="96" s="1"/>
  <c r="G573" i="96"/>
  <c r="H573" i="96" s="1"/>
  <c r="G584" i="96"/>
  <c r="H584" i="96" s="1"/>
  <c r="G459" i="96"/>
  <c r="G487" i="96"/>
  <c r="G147" i="96"/>
  <c r="G164" i="96"/>
  <c r="G175" i="96"/>
  <c r="G410" i="96"/>
  <c r="G458" i="96"/>
  <c r="G467" i="96"/>
  <c r="G520" i="96"/>
  <c r="G545" i="96"/>
  <c r="H545" i="96" s="1"/>
  <c r="G617" i="96"/>
  <c r="H617" i="96" s="1"/>
  <c r="G635" i="96"/>
  <c r="H635" i="96" s="1"/>
  <c r="G670" i="96"/>
  <c r="H670" i="96" s="1"/>
  <c r="G681" i="96"/>
  <c r="H681" i="96" s="1"/>
  <c r="G585" i="96"/>
  <c r="H585" i="96" s="1"/>
  <c r="G595" i="96"/>
  <c r="H595" i="96" s="1"/>
  <c r="G603" i="96"/>
  <c r="H603" i="96" s="1"/>
  <c r="G643" i="96"/>
  <c r="H643" i="96" s="1"/>
  <c r="G686" i="96"/>
  <c r="H686" i="96" s="1"/>
  <c r="G730" i="96"/>
  <c r="H730" i="96" s="1"/>
  <c r="G755" i="96"/>
  <c r="H755" i="96" s="1"/>
  <c r="G763" i="96"/>
  <c r="H763" i="96" s="1"/>
  <c r="G787" i="96"/>
  <c r="H787" i="96" s="1"/>
  <c r="G799" i="96"/>
  <c r="H799" i="96" s="1"/>
  <c r="G825" i="96"/>
  <c r="H825" i="96" s="1"/>
  <c r="G844" i="96"/>
  <c r="H844" i="96" s="1"/>
  <c r="G863" i="96"/>
  <c r="H863" i="96" s="1"/>
  <c r="G717" i="96"/>
  <c r="H717" i="96" s="1"/>
  <c r="G734" i="96"/>
  <c r="H734" i="96" s="1"/>
  <c r="G768" i="96"/>
  <c r="H768" i="96" s="1"/>
  <c r="G724" i="96"/>
  <c r="H724" i="96" s="1"/>
  <c r="G747" i="96"/>
  <c r="H747" i="96" s="1"/>
  <c r="G767" i="96"/>
  <c r="H767" i="96" s="1"/>
  <c r="G803" i="96"/>
  <c r="H803" i="96" s="1"/>
  <c r="G816" i="96"/>
  <c r="H816" i="96" s="1"/>
  <c r="G827" i="96"/>
  <c r="H827" i="96" s="1"/>
  <c r="G118" i="96"/>
  <c r="G136" i="96"/>
  <c r="G155" i="96"/>
  <c r="G199" i="96"/>
  <c r="G209" i="96"/>
  <c r="G219" i="96"/>
  <c r="G250" i="96"/>
  <c r="G260" i="96"/>
  <c r="G376" i="96"/>
  <c r="G507" i="96"/>
  <c r="G518" i="96"/>
  <c r="G534" i="96"/>
  <c r="G543" i="96"/>
  <c r="G554" i="96"/>
  <c r="H554" i="96" s="1"/>
  <c r="G568" i="96"/>
  <c r="H568" i="96" s="1"/>
  <c r="G596" i="96"/>
  <c r="H596" i="96" s="1"/>
  <c r="G606" i="96"/>
  <c r="H606" i="96" s="1"/>
  <c r="G621" i="96"/>
  <c r="H621" i="96" s="1"/>
  <c r="G859" i="96"/>
  <c r="H859" i="96" s="1"/>
  <c r="G875" i="96"/>
  <c r="H875" i="96" s="1"/>
  <c r="G884" i="96"/>
  <c r="H884" i="96" s="1"/>
  <c r="G13" i="96"/>
  <c r="G45" i="96"/>
  <c r="G53" i="96"/>
  <c r="G64" i="96"/>
  <c r="G130" i="96"/>
  <c r="G207" i="96"/>
  <c r="G269" i="96"/>
  <c r="G281" i="96"/>
  <c r="G292" i="96"/>
  <c r="G313" i="96"/>
  <c r="G343" i="96"/>
  <c r="G414" i="96"/>
  <c r="G430" i="96"/>
  <c r="G451" i="96"/>
  <c r="G471" i="96"/>
  <c r="G511" i="96"/>
  <c r="G529" i="96"/>
  <c r="G538" i="96"/>
  <c r="G559" i="96"/>
  <c r="H559" i="96" s="1"/>
  <c r="G571" i="96"/>
  <c r="H571" i="96" s="1"/>
  <c r="G580" i="96"/>
  <c r="H580" i="96" s="1"/>
  <c r="G599" i="96"/>
  <c r="H599" i="96" s="1"/>
  <c r="G625" i="96"/>
  <c r="H625" i="96" s="1"/>
  <c r="G647" i="96"/>
  <c r="H647" i="96" s="1"/>
  <c r="G663" i="96"/>
  <c r="H663" i="96" s="1"/>
  <c r="G671" i="96"/>
  <c r="H671" i="96" s="1"/>
  <c r="G684" i="96"/>
  <c r="H684" i="96" s="1"/>
  <c r="G737" i="96"/>
  <c r="H737" i="96" s="1"/>
  <c r="G760" i="96"/>
  <c r="H760" i="96" s="1"/>
  <c r="G773" i="96"/>
  <c r="H773" i="96" s="1"/>
  <c r="G784" i="96"/>
  <c r="H784" i="96" s="1"/>
  <c r="G807" i="96"/>
  <c r="H807" i="96" s="1"/>
  <c r="G860" i="96"/>
  <c r="H860" i="96" s="1"/>
  <c r="G876" i="96"/>
  <c r="H876" i="96" s="1"/>
  <c r="G885" i="96"/>
  <c r="H885" i="96" s="1"/>
  <c r="G638" i="96"/>
  <c r="H638" i="96" s="1"/>
  <c r="G657" i="96"/>
  <c r="H657" i="96" s="1"/>
  <c r="G797" i="96"/>
  <c r="H797" i="96" s="1"/>
  <c r="G810" i="96"/>
  <c r="H810" i="96" s="1"/>
  <c r="G823" i="96"/>
  <c r="H823" i="96" s="1"/>
  <c r="G843" i="96"/>
  <c r="H843" i="96" s="1"/>
  <c r="G852" i="96"/>
  <c r="H852" i="96" s="1"/>
  <c r="G869" i="96"/>
  <c r="H869" i="96" s="1"/>
  <c r="G879" i="96"/>
  <c r="H879" i="96" s="1"/>
  <c r="G27" i="96"/>
  <c r="G83" i="96"/>
  <c r="G132" i="96"/>
  <c r="G211" i="96"/>
  <c r="G222" i="96"/>
  <c r="G232" i="96"/>
  <c r="G243" i="96"/>
  <c r="G252" i="96"/>
  <c r="G262" i="96"/>
  <c r="G273" i="96"/>
  <c r="G296" i="96"/>
  <c r="G317" i="96"/>
  <c r="G324" i="96"/>
  <c r="G333" i="96"/>
  <c r="G365" i="96"/>
  <c r="G374" i="96"/>
  <c r="G389" i="96"/>
  <c r="G406" i="96"/>
  <c r="G422" i="96"/>
  <c r="G443" i="96"/>
  <c r="G532" i="96"/>
  <c r="G550" i="96"/>
  <c r="H550" i="96" s="1"/>
  <c r="G563" i="96"/>
  <c r="H563" i="96" s="1"/>
  <c r="G601" i="96"/>
  <c r="H601" i="96" s="1"/>
  <c r="G612" i="96"/>
  <c r="H612" i="96" s="1"/>
  <c r="G629" i="96"/>
  <c r="H629" i="96" s="1"/>
  <c r="G640" i="96"/>
  <c r="H640" i="96" s="1"/>
  <c r="G648" i="96"/>
  <c r="H648" i="96" s="1"/>
  <c r="G694" i="96"/>
  <c r="H694" i="96" s="1"/>
  <c r="G704" i="96"/>
  <c r="H704" i="96" s="1"/>
  <c r="G711" i="96"/>
  <c r="H711" i="96" s="1"/>
  <c r="G721" i="96"/>
  <c r="H721" i="96" s="1"/>
  <c r="G741" i="96"/>
  <c r="H741" i="96" s="1"/>
  <c r="G754" i="96"/>
  <c r="H754" i="96" s="1"/>
  <c r="G776" i="96"/>
  <c r="H776" i="96" s="1"/>
  <c r="G824" i="96"/>
  <c r="H824" i="96" s="1"/>
  <c r="G853" i="96"/>
  <c r="H853" i="96" s="1"/>
  <c r="G862" i="96"/>
  <c r="H862" i="96" s="1"/>
  <c r="G870" i="96"/>
  <c r="H870" i="96" s="1"/>
  <c r="G887" i="96"/>
  <c r="H887" i="96" s="1"/>
  <c r="G602" i="96"/>
  <c r="H602" i="96" s="1"/>
  <c r="G650" i="96"/>
  <c r="H650" i="96" s="1"/>
  <c r="G660" i="96"/>
  <c r="H660" i="96" s="1"/>
  <c r="G665" i="96"/>
  <c r="H665" i="96" s="1"/>
  <c r="G789" i="96"/>
  <c r="H789" i="96" s="1"/>
  <c r="G814" i="96"/>
  <c r="H814" i="96" s="1"/>
  <c r="G835" i="96"/>
  <c r="H835" i="96" s="1"/>
  <c r="G855" i="96"/>
  <c r="H855" i="96" s="1"/>
  <c r="G865" i="96"/>
  <c r="H865" i="96" s="1"/>
  <c r="G880" i="96"/>
  <c r="H880" i="96" s="1"/>
  <c r="G135" i="96"/>
  <c r="G212" i="96"/>
  <c r="G226" i="96"/>
  <c r="G245" i="96"/>
  <c r="G255" i="96"/>
  <c r="G264" i="96"/>
  <c r="G276" i="96"/>
  <c r="G299" i="96"/>
  <c r="G326" i="96"/>
  <c r="G357" i="96"/>
  <c r="G424" i="96"/>
  <c r="G436" i="96"/>
  <c r="G457" i="96"/>
  <c r="G466" i="96"/>
  <c r="G496" i="96"/>
  <c r="G505" i="96"/>
  <c r="G517" i="96"/>
  <c r="G566" i="96"/>
  <c r="H566" i="96" s="1"/>
  <c r="G604" i="96"/>
  <c r="H604" i="96" s="1"/>
  <c r="G614" i="96"/>
  <c r="H614" i="96" s="1"/>
  <c r="G644" i="96"/>
  <c r="H644" i="96" s="1"/>
  <c r="G652" i="96"/>
  <c r="H652" i="96" s="1"/>
  <c r="G661" i="96"/>
  <c r="H661" i="96" s="1"/>
  <c r="G667" i="96"/>
  <c r="H667" i="96" s="1"/>
  <c r="G677" i="96"/>
  <c r="H677" i="96" s="1"/>
  <c r="G687" i="96"/>
  <c r="H687" i="96" s="1"/>
  <c r="G696" i="96"/>
  <c r="H696" i="96" s="1"/>
  <c r="G706" i="96"/>
  <c r="H706" i="96" s="1"/>
  <c r="G715" i="96"/>
  <c r="H715" i="96" s="1"/>
  <c r="G732" i="96"/>
  <c r="H732" i="96" s="1"/>
  <c r="G745" i="96"/>
  <c r="H745" i="96" s="1"/>
  <c r="G790" i="96"/>
  <c r="H790" i="96" s="1"/>
  <c r="G801" i="96"/>
  <c r="H801" i="96" s="1"/>
  <c r="G815" i="96"/>
  <c r="H815" i="96" s="1"/>
  <c r="G836" i="96"/>
  <c r="H836" i="96" s="1"/>
  <c r="G846" i="96"/>
  <c r="H846" i="96" s="1"/>
  <c r="G632" i="96"/>
  <c r="H632" i="96" s="1"/>
  <c r="G645" i="96"/>
  <c r="H645" i="96" s="1"/>
  <c r="G792" i="96"/>
  <c r="H792" i="96" s="1"/>
  <c r="G837" i="96"/>
  <c r="H837" i="96" s="1"/>
  <c r="G856" i="96"/>
  <c r="H856" i="96" s="1"/>
  <c r="G866" i="96"/>
  <c r="H866" i="96" s="1"/>
  <c r="G882" i="96"/>
  <c r="H882" i="96" s="1"/>
  <c r="G9" i="96"/>
  <c r="G22" i="96"/>
  <c r="G32" i="96"/>
  <c r="G61" i="96"/>
  <c r="G138" i="96"/>
  <c r="G215" i="96"/>
  <c r="G257" i="96"/>
  <c r="G266" i="96"/>
  <c r="G278" i="96"/>
  <c r="G288" i="96"/>
  <c r="G312" i="96"/>
  <c r="G328" i="96"/>
  <c r="G339" i="96"/>
  <c r="G361" i="96"/>
  <c r="G438" i="96"/>
  <c r="G447" i="96"/>
  <c r="G460" i="96"/>
  <c r="G488" i="96"/>
  <c r="G498" i="96"/>
  <c r="G508" i="96"/>
  <c r="G519" i="96"/>
  <c r="G544" i="96"/>
  <c r="H544" i="96" s="1"/>
  <c r="G570" i="96"/>
  <c r="H570" i="96" s="1"/>
  <c r="G577" i="96"/>
  <c r="H577" i="96" s="1"/>
  <c r="G588" i="96"/>
  <c r="H588" i="96" s="1"/>
  <c r="G616" i="96"/>
  <c r="H616" i="96" s="1"/>
  <c r="G622" i="96"/>
  <c r="H622" i="96" s="1"/>
  <c r="G634" i="96"/>
  <c r="H634" i="96" s="1"/>
  <c r="G669" i="96"/>
  <c r="H669" i="96" s="1"/>
  <c r="G680" i="96"/>
  <c r="H680" i="96" s="1"/>
  <c r="G699" i="96"/>
  <c r="H699" i="96" s="1"/>
  <c r="G707" i="96"/>
  <c r="H707" i="96" s="1"/>
  <c r="G725" i="96"/>
  <c r="H725" i="96" s="1"/>
  <c r="G749" i="96"/>
  <c r="H749" i="96" s="1"/>
  <c r="G757" i="96"/>
  <c r="H757" i="96" s="1"/>
  <c r="G769" i="96"/>
  <c r="H769" i="96" s="1"/>
  <c r="G781" i="96"/>
  <c r="H781" i="96" s="1"/>
  <c r="G793" i="96"/>
  <c r="H793" i="96" s="1"/>
  <c r="G838" i="96"/>
  <c r="H838" i="96" s="1"/>
  <c r="G848" i="96"/>
  <c r="H848" i="96" s="1"/>
  <c r="G857" i="96"/>
  <c r="H857" i="96" s="1"/>
  <c r="H537" i="96" l="1"/>
  <c r="H434" i="15"/>
  <c r="H1454" i="15" s="1"/>
  <c r="H1476" i="15" s="1"/>
  <c r="C21" i="85"/>
  <c r="C22" i="85"/>
  <c r="C23" i="85"/>
  <c r="C24" i="85"/>
  <c r="C25" i="85"/>
  <c r="C26" i="85"/>
  <c r="C27" i="85"/>
  <c r="C20" i="85"/>
  <c r="C8" i="85"/>
  <c r="C9" i="85"/>
  <c r="C10" i="85"/>
  <c r="C11" i="85"/>
  <c r="C12" i="85"/>
  <c r="C13" i="85"/>
  <c r="C14" i="85"/>
  <c r="C7" i="85"/>
  <c r="D22" i="97" l="1"/>
  <c r="D21" i="97"/>
  <c r="D20" i="97"/>
  <c r="D19" i="97"/>
  <c r="D18" i="97"/>
  <c r="D17" i="97"/>
  <c r="D16" i="97"/>
  <c r="I434" i="15" l="1"/>
  <c r="I1454" i="15" s="1"/>
  <c r="H539" i="96" l="1"/>
  <c r="H535" i="96"/>
  <c r="H538" i="96"/>
  <c r="H532" i="96"/>
  <c r="H529" i="96"/>
  <c r="H542" i="96"/>
  <c r="H536" i="96"/>
  <c r="H528" i="96"/>
  <c r="H533" i="96" l="1"/>
  <c r="H527" i="96"/>
  <c r="H540" i="96"/>
  <c r="H541" i="96"/>
  <c r="H530" i="96"/>
  <c r="H534" i="96"/>
  <c r="H543" i="96"/>
  <c r="H531" i="96"/>
  <c r="L12" i="84" l="1"/>
  <c r="M12" i="84"/>
  <c r="H526" i="96" l="1"/>
  <c r="H525" i="96"/>
  <c r="H524" i="96"/>
  <c r="H523" i="96"/>
  <c r="H520" i="96"/>
  <c r="H518" i="96"/>
  <c r="H522" i="96"/>
  <c r="H519" i="96" l="1"/>
  <c r="H521" i="96"/>
  <c r="H516" i="96" l="1"/>
  <c r="H513" i="96"/>
  <c r="H517" i="96"/>
  <c r="H514" i="96"/>
  <c r="H515" i="96" l="1"/>
  <c r="H494" i="96"/>
  <c r="I1474" i="15"/>
  <c r="I1476" i="15" s="1"/>
  <c r="H511" i="96" l="1"/>
  <c r="H512" i="96" l="1"/>
  <c r="H510" i="96"/>
  <c r="H497" i="96"/>
  <c r="H509" i="96"/>
  <c r="H496" i="96"/>
  <c r="H505" i="96"/>
  <c r="H506" i="96"/>
  <c r="H500" i="96"/>
  <c r="H498" i="96" l="1"/>
  <c r="H501" i="96"/>
  <c r="H502" i="96"/>
  <c r="H503" i="96"/>
  <c r="H504" i="96"/>
  <c r="H507" i="96"/>
  <c r="H508" i="96"/>
  <c r="H499" i="96"/>
  <c r="J1474" i="15"/>
  <c r="H489" i="96" l="1"/>
  <c r="H492" i="96"/>
  <c r="H479" i="96" l="1"/>
  <c r="H480" i="96"/>
  <c r="H481" i="96"/>
  <c r="H477" i="96"/>
  <c r="H488" i="96" l="1"/>
  <c r="H478" i="96"/>
  <c r="H491" i="96"/>
  <c r="H487" i="96"/>
  <c r="H490" i="96"/>
  <c r="H493" i="96"/>
  <c r="H495" i="96"/>
  <c r="H470" i="96"/>
  <c r="H471" i="96"/>
  <c r="H472" i="96" l="1"/>
  <c r="H482" i="96"/>
  <c r="H473" i="96"/>
  <c r="H474" i="96"/>
  <c r="H486" i="96" l="1"/>
  <c r="H475" i="96"/>
  <c r="H485" i="96"/>
  <c r="H483" i="96"/>
  <c r="H468" i="96"/>
  <c r="H469" i="96"/>
  <c r="H484" i="96"/>
  <c r="H467" i="96"/>
  <c r="H463" i="96"/>
  <c r="H476" i="96"/>
  <c r="H458" i="96"/>
  <c r="H462" i="96"/>
  <c r="H460" i="96"/>
  <c r="H459" i="96"/>
  <c r="H461" i="96"/>
  <c r="H464" i="96" l="1"/>
  <c r="H465" i="96"/>
  <c r="H466" i="96"/>
  <c r="H448" i="96" l="1"/>
  <c r="H453" i="96"/>
  <c r="H446" i="96"/>
  <c r="H455" i="96"/>
  <c r="H451" i="96"/>
  <c r="H449" i="96"/>
  <c r="H452" i="96"/>
  <c r="H447" i="96"/>
  <c r="H445" i="96"/>
  <c r="H443" i="96" l="1"/>
  <c r="H454" i="96"/>
  <c r="H457" i="96"/>
  <c r="H450" i="96"/>
  <c r="H439" i="96"/>
  <c r="H437" i="96"/>
  <c r="H436" i="96"/>
  <c r="H435" i="96"/>
  <c r="H444" i="96"/>
  <c r="H441" i="96"/>
  <c r="H440" i="96"/>
  <c r="H438" i="96"/>
  <c r="H432" i="96" l="1"/>
  <c r="H442" i="96"/>
  <c r="K434" i="15"/>
  <c r="K1454" i="15" s="1"/>
  <c r="H314" i="96" l="1"/>
  <c r="H319" i="96"/>
  <c r="H322" i="96"/>
  <c r="H324" i="96"/>
  <c r="H363" i="96"/>
  <c r="H365" i="96"/>
  <c r="H378" i="96"/>
  <c r="H382" i="96"/>
  <c r="H384" i="96"/>
  <c r="H392" i="96"/>
  <c r="H406" i="96"/>
  <c r="H421" i="96"/>
  <c r="H423" i="96"/>
  <c r="H427" i="96"/>
  <c r="H430" i="96"/>
  <c r="H431" i="96"/>
  <c r="H433" i="96"/>
  <c r="H422" i="96" l="1"/>
  <c r="H408" i="96"/>
  <c r="H357" i="96"/>
  <c r="H425" i="96"/>
  <c r="H426" i="96"/>
  <c r="H333" i="96"/>
  <c r="H346" i="96"/>
  <c r="H344" i="96"/>
  <c r="H428" i="96"/>
  <c r="H375" i="96"/>
  <c r="H316" i="96"/>
  <c r="H313" i="96"/>
  <c r="H416" i="96"/>
  <c r="H429" i="96"/>
  <c r="H424" i="96"/>
  <c r="H345" i="96"/>
  <c r="H410" i="96"/>
  <c r="H399" i="96"/>
  <c r="H396" i="96"/>
  <c r="H393" i="96"/>
  <c r="H389" i="96"/>
  <c r="H385" i="96"/>
  <c r="H342" i="96"/>
  <c r="H337" i="96"/>
  <c r="H334" i="96"/>
  <c r="H331" i="96"/>
  <c r="H330" i="96"/>
  <c r="H328" i="96"/>
  <c r="H323" i="96"/>
  <c r="H321" i="96"/>
  <c r="H317" i="96"/>
  <c r="H315" i="96"/>
  <c r="H388" i="96"/>
  <c r="H402" i="96"/>
  <c r="H400" i="96"/>
  <c r="H397" i="96"/>
  <c r="H394" i="96"/>
  <c r="H380" i="96"/>
  <c r="H376" i="96"/>
  <c r="H367" i="96"/>
  <c r="H364" i="96"/>
  <c r="H362" i="96"/>
  <c r="H417" i="96"/>
  <c r="H418" i="96"/>
  <c r="H411" i="96"/>
  <c r="H413" i="96"/>
  <c r="H404" i="96"/>
  <c r="H395" i="96"/>
  <c r="H391" i="96"/>
  <c r="H387" i="96"/>
  <c r="H381" i="96"/>
  <c r="H369" i="96"/>
  <c r="H325" i="96"/>
  <c r="H419" i="96"/>
  <c r="H409" i="96"/>
  <c r="H420" i="96"/>
  <c r="H415" i="96"/>
  <c r="H414" i="96"/>
  <c r="H412" i="96"/>
  <c r="H405" i="96"/>
  <c r="H403" i="96"/>
  <c r="H379" i="96"/>
  <c r="H371" i="96"/>
  <c r="H368" i="96"/>
  <c r="H366" i="96"/>
  <c r="H359" i="96"/>
  <c r="H356" i="96"/>
  <c r="H352" i="96"/>
  <c r="H350" i="96"/>
  <c r="H340" i="96"/>
  <c r="H336" i="96"/>
  <c r="H339" i="96"/>
  <c r="H335" i="96"/>
  <c r="H332" i="96"/>
  <c r="H326" i="96"/>
  <c r="H370" i="96"/>
  <c r="H372" i="96"/>
  <c r="H358" i="96"/>
  <c r="H355" i="96"/>
  <c r="H348" i="96"/>
  <c r="H347" i="96"/>
  <c r="H338" i="96"/>
  <c r="H329" i="96"/>
  <c r="H361" i="96"/>
  <c r="H373" i="96"/>
  <c r="H407" i="96"/>
  <c r="H401" i="96"/>
  <c r="H398" i="96"/>
  <c r="H390" i="96"/>
  <c r="H383" i="96"/>
  <c r="H360" i="96"/>
  <c r="H354" i="96"/>
  <c r="H353" i="96"/>
  <c r="H351" i="96"/>
  <c r="H349" i="96"/>
  <c r="H341" i="96"/>
  <c r="H320" i="96"/>
  <c r="H386" i="96"/>
  <c r="H377" i="96"/>
  <c r="H318" i="96"/>
  <c r="H374" i="96"/>
  <c r="H343" i="96"/>
  <c r="H327" i="96"/>
  <c r="B16" i="85"/>
  <c r="B29" i="85"/>
  <c r="C29" i="85"/>
  <c r="B32" i="85" l="1"/>
  <c r="C16" i="85"/>
  <c r="C32" i="85" s="1"/>
  <c r="H311" i="96" l="1"/>
  <c r="H3" i="96"/>
  <c r="H180" i="96"/>
  <c r="H238" i="96"/>
  <c r="H310" i="96"/>
  <c r="H243" i="96"/>
  <c r="H250" i="96"/>
  <c r="H306" i="96"/>
  <c r="H305" i="96"/>
  <c r="H308" i="96"/>
  <c r="H218" i="96"/>
  <c r="H271" i="96"/>
  <c r="H257" i="96"/>
  <c r="H219" i="96"/>
  <c r="H186" i="96"/>
  <c r="H209" i="96"/>
  <c r="H195" i="96"/>
  <c r="H29" i="96"/>
  <c r="H4" i="96"/>
  <c r="H50" i="96"/>
  <c r="H278" i="96" l="1"/>
  <c r="H312" i="96"/>
  <c r="H6" i="96"/>
  <c r="H196" i="96"/>
  <c r="H225" i="96"/>
  <c r="H231" i="96"/>
  <c r="H229" i="96"/>
  <c r="H280" i="96"/>
  <c r="H233" i="96"/>
  <c r="H253" i="96"/>
  <c r="H262" i="96"/>
  <c r="H69" i="96"/>
  <c r="H214" i="96"/>
  <c r="H216" i="96"/>
  <c r="H248" i="96"/>
  <c r="H240" i="96"/>
  <c r="H59" i="96"/>
  <c r="H190" i="96"/>
  <c r="H269" i="96"/>
  <c r="H241" i="96"/>
  <c r="H185" i="96"/>
  <c r="H304" i="96"/>
  <c r="H297" i="96"/>
  <c r="H309" i="96"/>
  <c r="H286" i="96"/>
  <c r="H197" i="96"/>
  <c r="H201" i="96"/>
  <c r="H288" i="96"/>
  <c r="H210" i="96"/>
  <c r="H227" i="96"/>
  <c r="H235" i="96"/>
  <c r="H295" i="96"/>
  <c r="H307" i="96"/>
  <c r="H254" i="96"/>
  <c r="H189" i="96"/>
  <c r="H244" i="96"/>
  <c r="H289" i="96"/>
  <c r="H266" i="96"/>
  <c r="H282" i="96"/>
  <c r="H294" i="96"/>
  <c r="H246" i="96"/>
  <c r="H285" i="96"/>
  <c r="H212" i="96"/>
  <c r="H265" i="96"/>
  <c r="H251" i="96"/>
  <c r="H198" i="96"/>
  <c r="H276" i="96"/>
  <c r="H296" i="96"/>
  <c r="H237" i="96"/>
  <c r="H247" i="96"/>
  <c r="H256" i="96"/>
  <c r="H260" i="96"/>
  <c r="H301" i="96"/>
  <c r="H303" i="96"/>
  <c r="H267" i="96"/>
  <c r="H275" i="96"/>
  <c r="H291" i="96"/>
  <c r="H203" i="96"/>
  <c r="H258" i="96"/>
  <c r="H207" i="96"/>
  <c r="H224" i="96"/>
  <c r="H264" i="96"/>
  <c r="H191" i="96"/>
  <c r="H234" i="96"/>
  <c r="H277" i="96"/>
  <c r="H281" i="96"/>
  <c r="H261" i="96"/>
  <c r="H184" i="96"/>
  <c r="H215" i="96"/>
  <c r="H249" i="96"/>
  <c r="H193" i="96"/>
  <c r="H211" i="96"/>
  <c r="H192" i="96"/>
  <c r="H200" i="96"/>
  <c r="H208" i="96"/>
  <c r="H222" i="96"/>
  <c r="H290" i="96"/>
  <c r="H228" i="96"/>
  <c r="H272" i="96"/>
  <c r="H67" i="96"/>
  <c r="H292" i="96"/>
  <c r="H299" i="96"/>
  <c r="H230" i="96"/>
  <c r="H187" i="96"/>
  <c r="H232" i="96"/>
  <c r="H239" i="96"/>
  <c r="H283" i="96"/>
  <c r="H287" i="96"/>
  <c r="H217" i="96"/>
  <c r="H194" i="96"/>
  <c r="H188" i="96"/>
  <c r="H242" i="96"/>
  <c r="H273" i="96"/>
  <c r="H255" i="96"/>
  <c r="H220" i="96"/>
  <c r="H274" i="96"/>
  <c r="H206" i="96"/>
  <c r="H284" i="96"/>
  <c r="H268" i="96"/>
  <c r="H226" i="96"/>
  <c r="H236" i="96"/>
  <c r="H223" i="96"/>
  <c r="H202" i="96"/>
  <c r="H221" i="96"/>
  <c r="H263" i="96"/>
  <c r="H213" i="96"/>
  <c r="H252" i="96"/>
  <c r="H293" i="96"/>
  <c r="H270" i="96"/>
  <c r="H199" i="96"/>
  <c r="H204" i="96"/>
  <c r="H245" i="96"/>
  <c r="H106" i="96"/>
  <c r="H128" i="96"/>
  <c r="H205" i="96"/>
  <c r="H114" i="96"/>
  <c r="H300" i="96"/>
  <c r="H19" i="96"/>
  <c r="H302" i="96"/>
  <c r="H168" i="96"/>
  <c r="H23" i="96"/>
  <c r="H165" i="96"/>
  <c r="H182" i="96"/>
  <c r="H298" i="96"/>
  <c r="H118" i="96"/>
  <c r="H181" i="96"/>
  <c r="H117" i="96"/>
  <c r="H279" i="96"/>
  <c r="H149" i="96"/>
  <c r="H183" i="96"/>
  <c r="H130" i="96"/>
  <c r="H167" i="96"/>
  <c r="H55" i="96"/>
  <c r="H157" i="96"/>
  <c r="H36" i="96"/>
  <c r="H115" i="96"/>
  <c r="H132" i="96"/>
  <c r="H147" i="96"/>
  <c r="H131" i="96"/>
  <c r="H154" i="96"/>
  <c r="H159" i="96"/>
  <c r="H65" i="96"/>
  <c r="H174" i="96"/>
  <c r="H15" i="96"/>
  <c r="H68" i="96"/>
  <c r="H14" i="96"/>
  <c r="H120" i="96"/>
  <c r="H169" i="96"/>
  <c r="H133" i="96"/>
  <c r="H126" i="96"/>
  <c r="H178" i="96"/>
  <c r="H151" i="96"/>
  <c r="H111" i="96"/>
  <c r="H143" i="96"/>
  <c r="H127" i="96"/>
  <c r="H179" i="96"/>
  <c r="H153" i="96"/>
  <c r="H172" i="96"/>
  <c r="H152" i="96"/>
  <c r="H112" i="96"/>
  <c r="H41" i="96"/>
  <c r="H136" i="96"/>
  <c r="H108" i="96"/>
  <c r="H162" i="96"/>
  <c r="H139" i="96"/>
  <c r="H107" i="96"/>
  <c r="H121" i="96"/>
  <c r="H113" i="96"/>
  <c r="H119" i="96"/>
  <c r="H144" i="96"/>
  <c r="H158" i="96"/>
  <c r="H170" i="96"/>
  <c r="H148" i="96"/>
  <c r="H146" i="96"/>
  <c r="H7" i="96"/>
  <c r="H17" i="96"/>
  <c r="H64" i="96"/>
  <c r="H26" i="96"/>
  <c r="H110" i="96"/>
  <c r="H116" i="96"/>
  <c r="H125" i="96"/>
  <c r="H100" i="96"/>
  <c r="H161" i="96"/>
  <c r="H103" i="96"/>
  <c r="H164" i="96"/>
  <c r="H129" i="96"/>
  <c r="H138" i="96"/>
  <c r="H140" i="96"/>
  <c r="H90" i="96"/>
  <c r="H150" i="96"/>
  <c r="H173" i="96"/>
  <c r="H79" i="96"/>
  <c r="H94" i="96"/>
  <c r="H171" i="96"/>
  <c r="H86" i="96"/>
  <c r="H31" i="96"/>
  <c r="H46" i="96"/>
  <c r="H13" i="96"/>
  <c r="H66" i="96"/>
  <c r="H156" i="96"/>
  <c r="H101" i="96"/>
  <c r="H177" i="96"/>
  <c r="H142" i="96"/>
  <c r="H102" i="96"/>
  <c r="H163" i="96"/>
  <c r="H123" i="96"/>
  <c r="H134" i="96"/>
  <c r="H137" i="96"/>
  <c r="H160" i="96"/>
  <c r="H34" i="96"/>
  <c r="H135" i="96"/>
  <c r="H175" i="96"/>
  <c r="H176" i="96"/>
  <c r="H89" i="96"/>
  <c r="H145" i="96"/>
  <c r="H109" i="96"/>
  <c r="H74" i="96"/>
  <c r="H122" i="96"/>
  <c r="H155" i="96"/>
  <c r="H57" i="96"/>
  <c r="H166" i="96"/>
  <c r="H141" i="96"/>
  <c r="H124" i="96"/>
  <c r="H78" i="96"/>
  <c r="H97" i="96"/>
  <c r="H5" i="96"/>
  <c r="H28" i="96"/>
  <c r="H12" i="96"/>
  <c r="H62" i="96"/>
  <c r="H32" i="96"/>
  <c r="H8" i="96"/>
  <c r="H98" i="96"/>
  <c r="H33" i="96"/>
  <c r="H54" i="96"/>
  <c r="H58" i="96"/>
  <c r="H35" i="96"/>
  <c r="H48" i="96"/>
  <c r="H80" i="96"/>
  <c r="H83" i="96"/>
  <c r="H39" i="96"/>
  <c r="H44" i="96"/>
  <c r="H70" i="96"/>
  <c r="H81" i="96"/>
  <c r="H24" i="96"/>
  <c r="H27" i="96"/>
  <c r="H42" i="96"/>
  <c r="H43" i="96"/>
  <c r="H47" i="96"/>
  <c r="H104" i="96"/>
  <c r="H21" i="96"/>
  <c r="H37" i="96"/>
  <c r="H75" i="96"/>
  <c r="H95" i="96"/>
  <c r="H63" i="96"/>
  <c r="H87" i="96"/>
  <c r="H10" i="96"/>
  <c r="H45" i="96"/>
  <c r="H99" i="96"/>
  <c r="H25" i="96"/>
  <c r="H40" i="96"/>
  <c r="H20" i="96"/>
  <c r="H93" i="96"/>
  <c r="H52" i="96"/>
  <c r="H76" i="96"/>
  <c r="H38" i="96"/>
  <c r="H84" i="96"/>
  <c r="H60" i="96"/>
  <c r="H11" i="96"/>
  <c r="H53" i="96"/>
  <c r="H77" i="96"/>
  <c r="H96" i="96"/>
  <c r="H71" i="96"/>
  <c r="H73" i="96"/>
  <c r="H91" i="96"/>
  <c r="H105" i="96"/>
  <c r="H85" i="96"/>
  <c r="H30" i="96"/>
  <c r="H16" i="96"/>
  <c r="H49" i="96"/>
  <c r="H51" i="96"/>
  <c r="H56" i="96"/>
  <c r="H61" i="96"/>
  <c r="H72" i="96"/>
  <c r="H82" i="96"/>
  <c r="H88" i="96"/>
  <c r="H92" i="96"/>
  <c r="H18" i="96"/>
  <c r="H22" i="96"/>
  <c r="H9" i="96"/>
  <c r="J434" i="15"/>
  <c r="J1454" i="15" l="1"/>
  <c r="J1476" i="15" s="1"/>
  <c r="G434" i="96"/>
  <c r="H434" i="96" s="1"/>
  <c r="G259" i="96"/>
  <c r="H259" i="96" s="1"/>
  <c r="G2" i="96"/>
  <c r="G1447" i="96" l="1"/>
  <c r="H2" i="96"/>
  <c r="H1447" i="96" s="1"/>
</calcChain>
</file>

<file path=xl/sharedStrings.xml><?xml version="1.0" encoding="utf-8"?>
<sst xmlns="http://schemas.openxmlformats.org/spreadsheetml/2006/main" count="27566" uniqueCount="1739">
  <si>
    <t>ECOSAMPA Santo Amaro</t>
  </si>
  <si>
    <t>CARLIONEI HOLANDA DE SOUSA</t>
  </si>
  <si>
    <t>VARREDOR</t>
  </si>
  <si>
    <t>CARLITO PASTOR DA SILVA</t>
  </si>
  <si>
    <t>ADILSON FLORES DE LIMA</t>
  </si>
  <si>
    <t>AJUDANTE EQ SERVICOS DIVERSOS</t>
  </si>
  <si>
    <t>ROGERIO OLIVEIRA LARA</t>
  </si>
  <si>
    <t>FISCAL DE TRAFEGO PLENO</t>
  </si>
  <si>
    <t>ECOSAMPA Capela do Socorro</t>
  </si>
  <si>
    <t>ADRIANA MARIA REGIS DA SILVA</t>
  </si>
  <si>
    <t>ECOSAMPA Campo Limpo</t>
  </si>
  <si>
    <t>AGNALDO DA SILVA ARAUJO</t>
  </si>
  <si>
    <t>ALESSANDRO DOS SANTOS MARTINS</t>
  </si>
  <si>
    <t>ECOSAMPA Matriz</t>
  </si>
  <si>
    <t>CARLOS ALBERTO QUEIROZ DE OLIVEIRA</t>
  </si>
  <si>
    <t>MOTORISTA CAMINHAO</t>
  </si>
  <si>
    <t>IVANILDO JOSE DE FREITAS</t>
  </si>
  <si>
    <t>CARLOS ALBERTO TEIXEIRA RAMOS</t>
  </si>
  <si>
    <t>CARLOS DE OLIVEIRA BORGES</t>
  </si>
  <si>
    <t>ECOSAMPA M'Boi Mirim</t>
  </si>
  <si>
    <t>CARLOS DOS SANTOS</t>
  </si>
  <si>
    <t>CARLOS HENRIQUE TEIXEIRA DE JESUS</t>
  </si>
  <si>
    <t>COLETOR</t>
  </si>
  <si>
    <t>JOSE RICARDO DA SILVA</t>
  </si>
  <si>
    <t>JOSE ROBERTO AVANZI</t>
  </si>
  <si>
    <t>MARIA APARECIDA RIBEIRO DIAS</t>
  </si>
  <si>
    <t>ABELITO FERREIRA DOS SANTOS</t>
  </si>
  <si>
    <t>ROGERIO PIRES</t>
  </si>
  <si>
    <t>ADAELSON ADAUTO SENA DE SIQUEIRA</t>
  </si>
  <si>
    <t>ROGERIO RODRIGUES SANTANA</t>
  </si>
  <si>
    <t>MARIA DA CONCEICAO DE SOUZA FELIX</t>
  </si>
  <si>
    <t>ROMILDO BESERRA DE ALENCAR</t>
  </si>
  <si>
    <t>ECOSAMPA Parelheiros</t>
  </si>
  <si>
    <t>JOANA MORAIS OLIVEIRA</t>
  </si>
  <si>
    <t>JOSE ROBERTO SOARES DA SILVA</t>
  </si>
  <si>
    <t>JOAO EVANGELISTA VIERA DO NASCIMENTO</t>
  </si>
  <si>
    <t>JOSE ROBERTO SOARES DE ANDRADE</t>
  </si>
  <si>
    <t>JOELMA MARIA DE SOUSA</t>
  </si>
  <si>
    <t>JOSE ROMILDO ARAUJO DOS SANTOS</t>
  </si>
  <si>
    <t>BUEIRISTA</t>
  </si>
  <si>
    <t>SAMARA CORSI VIEIRA</t>
  </si>
  <si>
    <t>SAMUEL DOS SANTOS SOUZA ARAUJO</t>
  </si>
  <si>
    <t>JOSE DAS GRACAS DOS SANTOS</t>
  </si>
  <si>
    <t>JOSE ROMIRAN DA SILVA</t>
  </si>
  <si>
    <t>JOAO JOSE DA SILVA</t>
  </si>
  <si>
    <t>JOSE MARIA FERREIRA DE SOUSA</t>
  </si>
  <si>
    <t>SEVERINO CANDIDO DA SILVA</t>
  </si>
  <si>
    <t>ADAILTON RODRIGUES SANTOS</t>
  </si>
  <si>
    <t>JAILTON DE AZEVEDO SILVA</t>
  </si>
  <si>
    <t>JOSE RONILTON DOS SANTOS</t>
  </si>
  <si>
    <t>SEVERINO PEDRO DA SILVA</t>
  </si>
  <si>
    <t>SEVERINO PEREIRA DE MELO</t>
  </si>
  <si>
    <t>MARIA DE FATIMA FARIAS DA SILVA</t>
  </si>
  <si>
    <t>JOAO BATISTA DA SILVA</t>
  </si>
  <si>
    <t>TOME DE JESUS SANTOS</t>
  </si>
  <si>
    <t>JOAO CARLOS ARAUJO DA SILVA</t>
  </si>
  <si>
    <t>UELTON SANTOS DE ARAUJO</t>
  </si>
  <si>
    <t>JOSE SATURNINO DE OLIVEIRA</t>
  </si>
  <si>
    <t>MARIA JOSE MARTINS BRAGA</t>
  </si>
  <si>
    <t>VALMIR DOS SANTOS MACHADO</t>
  </si>
  <si>
    <t>JOAO MARTINS DE SOBRAL</t>
  </si>
  <si>
    <t>JOAO SEBASTIAO DA SILVA</t>
  </si>
  <si>
    <t>WILLIAM ALVES DO NASCIMENTO</t>
  </si>
  <si>
    <t>JOSE ALVES DA SILVA</t>
  </si>
  <si>
    <t>JOSE SERGIO OLIVEIRA DA SILVA</t>
  </si>
  <si>
    <t>ADELCIO PIMENTEL DOS SANTOS</t>
  </si>
  <si>
    <t>JOSE ARNALDO DOS SANTOS</t>
  </si>
  <si>
    <t>JOSE SOARES</t>
  </si>
  <si>
    <t>ROMILDO GOMES DE MELO</t>
  </si>
  <si>
    <t>ADELSON BEZERRA DA SILVA</t>
  </si>
  <si>
    <t>JOSE AUGUSTO SANTOS DO CARMO</t>
  </si>
  <si>
    <t>ROMILDO SANTOS</t>
  </si>
  <si>
    <t>MARIA MADALENA LIMA CARDOSO</t>
  </si>
  <si>
    <t>RONALDO DE SOUZA JESUS</t>
  </si>
  <si>
    <t>JOSE DOMINGOS ALVES DE OLIVEIRA</t>
  </si>
  <si>
    <t>ADELSON DOS SANTOS TEIXEIRA</t>
  </si>
  <si>
    <t>JOSE VANDERLEI MARTINS</t>
  </si>
  <si>
    <t>JOSE MANOEL PEREIRA</t>
  </si>
  <si>
    <t>ADELSON FRANCISCO FREITAS</t>
  </si>
  <si>
    <t>JOSE VANDICO ARAUJO DOS SANTOS</t>
  </si>
  <si>
    <t>ROSELIO BRAZ FERREIRA</t>
  </si>
  <si>
    <t>ROSENIL FIM JUNIOR</t>
  </si>
  <si>
    <t>MARINALDO FERREIRA DOS SANTOS</t>
  </si>
  <si>
    <t>ROSIVALDO FERREIRA DA SILVA</t>
  </si>
  <si>
    <t>ADEMIR MANOEL DA SILVA</t>
  </si>
  <si>
    <t>MANOEL BELARMINO DA SILVA</t>
  </si>
  <si>
    <t>JOSE NERIS DA SILVA</t>
  </si>
  <si>
    <t>JOSE WELLITON MATEUS GOMES</t>
  </si>
  <si>
    <t>RUDIMAR DIONISIO MARINHO</t>
  </si>
  <si>
    <t>JOSE MARIA DE SOUSA</t>
  </si>
  <si>
    <t>ELISEU DE CARVALHO NETO</t>
  </si>
  <si>
    <t>SERGIO JOSE DA SILVA</t>
  </si>
  <si>
    <t>JOSEMAR CELESTINO DOS SANTOS</t>
  </si>
  <si>
    <t>SEVERINO DO RAMO FERREIRA DE LIMA</t>
  </si>
  <si>
    <t>JOSENILSON FELICIO DOS SANTOS</t>
  </si>
  <si>
    <t>ELIVANIO BARBOSA SANTOS</t>
  </si>
  <si>
    <t>SILVANI COELHO DE OLIVEIRA</t>
  </si>
  <si>
    <t>ADEMIR SILVA LIMA</t>
  </si>
  <si>
    <t>ROGERIO LUIZ RODRIGUES DA SILVA</t>
  </si>
  <si>
    <t>JESUS FERREIRA DE CARVALHO</t>
  </si>
  <si>
    <t>MARIO FERREIRA PACHECO</t>
  </si>
  <si>
    <t>JOAQUIM INACIO DE BRITO FILHO</t>
  </si>
  <si>
    <t>JOSEVAL FERREIRA MIRANDA</t>
  </si>
  <si>
    <t>JOSE ADAO RODRIGUES</t>
  </si>
  <si>
    <t>CARLOS ROBERTO BARBOSA SALES</t>
  </si>
  <si>
    <t>JOSE CAMILO SILVEIRA</t>
  </si>
  <si>
    <t>UELISON SILVA DOS SANTOS</t>
  </si>
  <si>
    <t>CARLOS ROBERTO DA SILVA</t>
  </si>
  <si>
    <t>JOSE CARLOS DA SILVA</t>
  </si>
  <si>
    <t>CARLOS ROBERTO DA SILVA JESUS</t>
  </si>
  <si>
    <t>JOSE CARLOS ZACARIAS</t>
  </si>
  <si>
    <t>VAGNER SOARES</t>
  </si>
  <si>
    <t>JOSE RAIMUNDO DA SILVA MATOS</t>
  </si>
  <si>
    <t>VALDEMAR DOS SANTOS</t>
  </si>
  <si>
    <t>VALDINEI MARTINS CRUZ</t>
  </si>
  <si>
    <t>VALTER JOSE DA SILVA</t>
  </si>
  <si>
    <t>CARLOS ROBERTO ROCHA DA SILVA</t>
  </si>
  <si>
    <t>JOSE MARCOS DA SILVA QUINTINO</t>
  </si>
  <si>
    <t>JHONY ROCHA DE LIMA</t>
  </si>
  <si>
    <t>CARLOS ROGER DE SOUZA JESUS</t>
  </si>
  <si>
    <t>AGENTE AMBIENTAL</t>
  </si>
  <si>
    <t>JOAO BATISTA DOS SANTOS</t>
  </si>
  <si>
    <t>WALLACE TAVARES DA SILVA</t>
  </si>
  <si>
    <t>JOAO DOMINGOS DA SILVA FILHO</t>
  </si>
  <si>
    <t>CARLOS SIMON SELIS DE OLIVEIRA</t>
  </si>
  <si>
    <t>JOAO PAULO VIEIRA</t>
  </si>
  <si>
    <t>JOSE CARLOS ROQUE DA SILVA</t>
  </si>
  <si>
    <t>JOSE GASPARINO DE BRITO</t>
  </si>
  <si>
    <t>WESLEY BALBINO DA SILVA</t>
  </si>
  <si>
    <t>ADILSON GONCALVES DA SILVA</t>
  </si>
  <si>
    <t>ELIZEU DA SILVA PEREIRA</t>
  </si>
  <si>
    <t>WILIAM MOREIRA NASCIMENTO</t>
  </si>
  <si>
    <t>JOSIVALDO SILVA DE MELO</t>
  </si>
  <si>
    <t>ELOI ALENCAR MATIAS</t>
  </si>
  <si>
    <t>WILLIAM LIMA DE JESUS</t>
  </si>
  <si>
    <t>JOVELINA MARIA DA SILVA</t>
  </si>
  <si>
    <t>ELOISA LOPES LARANJEIRA</t>
  </si>
  <si>
    <t>MARLI MARIA FAGUNDES DE JESUS</t>
  </si>
  <si>
    <t>WILTON SOUSA SILVA</t>
  </si>
  <si>
    <t>LAVADOR</t>
  </si>
  <si>
    <t>ADRIANO DA SILVA PEREIRA</t>
  </si>
  <si>
    <t>ELSON AMORIM DE SOUSA</t>
  </si>
  <si>
    <t>JUAN CARLOS DIAZ BASCUR</t>
  </si>
  <si>
    <t>MARTINHO DAMASCENA BRANDAO</t>
  </si>
  <si>
    <t>RONALDO GONCALVES DA PENHA</t>
  </si>
  <si>
    <t>ELSON DOS SANTOS SILVA</t>
  </si>
  <si>
    <t>FISCAL DE TURMA PLENO</t>
  </si>
  <si>
    <t>RONALDO JOSE DOS SANTOS</t>
  </si>
  <si>
    <t>JUARES ANTONIO DA SILVA</t>
  </si>
  <si>
    <t>ADRIANO MONTEIRO DOS SANTOS</t>
  </si>
  <si>
    <t>MARTINS TOMAZ DE MIRANDA</t>
  </si>
  <si>
    <t>ADRIANO NEVES DE MATOS</t>
  </si>
  <si>
    <t>JULIANA ALVES DE OLIVEIRA</t>
  </si>
  <si>
    <t>MATHEUS CASTRO SENA ROSA</t>
  </si>
  <si>
    <t>ROGERIO DOS SANTOS ARAUJO</t>
  </si>
  <si>
    <t>ADRIANO RAMOS DOS SANTOS</t>
  </si>
  <si>
    <t>EMERSON ARAUJO PEDROSO</t>
  </si>
  <si>
    <t>JULIANO LAURINDO CAMILO VICENTE</t>
  </si>
  <si>
    <t>MATHEUS DANTAS</t>
  </si>
  <si>
    <t>ROGERIO DO ESPIRITO SANTOS</t>
  </si>
  <si>
    <t>MATHEUS FERREIRA MACIEL</t>
  </si>
  <si>
    <t>JOSE GERALDO DE OLIVEIRA</t>
  </si>
  <si>
    <t>JOSE INALDO DOS SANTOS SANTANA</t>
  </si>
  <si>
    <t>EMERSON GOMES DA SILVA</t>
  </si>
  <si>
    <t>EMERSON NEVES COSTA</t>
  </si>
  <si>
    <t>ROGERIO DE AQUINO SILVA</t>
  </si>
  <si>
    <t>JUNIOR CESAR APARECIDO FERREIRA</t>
  </si>
  <si>
    <t>EMERSON PAULO DA SILVA LIMA</t>
  </si>
  <si>
    <t>JURACI BARBOSA SANTOS</t>
  </si>
  <si>
    <t>AFONSO CIMINIO</t>
  </si>
  <si>
    <t>JURACI CUSTODIO DE LIMA</t>
  </si>
  <si>
    <t>AGNALDO BISPO DOS SANTOS</t>
  </si>
  <si>
    <t>RUBENS DE ALMEIDA</t>
  </si>
  <si>
    <t>AGNELO MARTINS DE SOUZA</t>
  </si>
  <si>
    <t>JUREMIR ALVES BARROSO</t>
  </si>
  <si>
    <t>RUBENS SANTOS DE OLIVEIRA JUNIOR</t>
  </si>
  <si>
    <t>AGRIPINO BRANDAO DE SOUZA SOBRINHO</t>
  </si>
  <si>
    <t>SAMUEL ALVES DOS ANJOS</t>
  </si>
  <si>
    <t>AGUINALDO NASCIMENTO</t>
  </si>
  <si>
    <t>JUSCELINO FERREIRA FILHO</t>
  </si>
  <si>
    <t>ERALDO COSME DA SILVA</t>
  </si>
  <si>
    <t>RODRIGO OLIVEIRA DA CRUZ</t>
  </si>
  <si>
    <t>ENCARREGADO DE TURMA</t>
  </si>
  <si>
    <t>JOSE MANOEL DA CRUZ</t>
  </si>
  <si>
    <t>CASSIA GOMES DA SILVA</t>
  </si>
  <si>
    <t>SAMUEL DE ALCANTARA</t>
  </si>
  <si>
    <t>MAURA GOMES DOS SANTOS CRUZ</t>
  </si>
  <si>
    <t>RODRIGO LOPES DA SILVA</t>
  </si>
  <si>
    <t>ERALDO SILVA DE OLIVEIRA</t>
  </si>
  <si>
    <t>JEFFERSON SANTOS FERRAZ</t>
  </si>
  <si>
    <t>AILTON ALVES DA SILVA</t>
  </si>
  <si>
    <t>MAURICIO MANOEL FEBRONIO</t>
  </si>
  <si>
    <t>SANDRO PEREIRA DOS SANTOS</t>
  </si>
  <si>
    <t>SEBASTIAO DOS REIS OLIVEIRA</t>
  </si>
  <si>
    <t>RODRIGO DOS SANTOS OLIVEIRA</t>
  </si>
  <si>
    <t>JOAQUIM BARBOSA FILHO</t>
  </si>
  <si>
    <t>SERGIO LOPES FERREIRA</t>
  </si>
  <si>
    <t>JOHNATAN FELIPE MARQUES MOTA</t>
  </si>
  <si>
    <t>MAURICIO SANTANA</t>
  </si>
  <si>
    <t>JUSCIMAR FERREIRA DA LOMBA</t>
  </si>
  <si>
    <t>ERASMO MIRANDA DOS SANTOS</t>
  </si>
  <si>
    <t>SEVERINO MANOEL DE FREITAS</t>
  </si>
  <si>
    <t>ERICK WILLIAM BORGES ARAUJO</t>
  </si>
  <si>
    <t>SIDNEI LOPES DA SILVA</t>
  </si>
  <si>
    <t>MAURO CESAR DA SILVA</t>
  </si>
  <si>
    <t>AUXILIAR DE ALMOXARIFADO PLENO</t>
  </si>
  <si>
    <t>KELBER JESUS DOS SANTOS</t>
  </si>
  <si>
    <t>SILVIO LUIZ DOS SANTOS</t>
  </si>
  <si>
    <t>TIAGO DO NASCIMENTO FARIAS</t>
  </si>
  <si>
    <t>TIAGO DOS SANTOS COSTA</t>
  </si>
  <si>
    <t>ROMILDO FREITAS DOS SANTOS</t>
  </si>
  <si>
    <t>TIBURTINO BESERRA DA SILVA NETO</t>
  </si>
  <si>
    <t>CELSO APARECIDO AVELINO</t>
  </si>
  <si>
    <t>MICHAEL DOMINGOS MACHADO SANTO</t>
  </si>
  <si>
    <t>ERIVALDO PEREIRA DE GOUVEIA</t>
  </si>
  <si>
    <t>JOSE HILDO DE MELO</t>
  </si>
  <si>
    <t>MICHAEL DOUGLAS DOS SANTOS ALVES</t>
  </si>
  <si>
    <t>VALDECIR APARECIDO GONCALVES</t>
  </si>
  <si>
    <t>JOSE CANDIDO</t>
  </si>
  <si>
    <t>ERIVAN SILVA ALVES</t>
  </si>
  <si>
    <t>CELSO RICARDO DE JESUS</t>
  </si>
  <si>
    <t>KELVIN LOPES DE ALMEIDA</t>
  </si>
  <si>
    <t>VALDEIR OLIVEIRA SANTOS</t>
  </si>
  <si>
    <t>JOSE CARLOS SILVA DOS SANTOS</t>
  </si>
  <si>
    <t>ERIVANILDO BATISTA LOPES</t>
  </si>
  <si>
    <t>VALDEIR PEREIRA DOS SANTOS</t>
  </si>
  <si>
    <t>JOSE ANTONIO TAVARES DA SILVA</t>
  </si>
  <si>
    <t>ERNALDO SOUSA DE JESUS</t>
  </si>
  <si>
    <t>TECNICO EM SEGURANCA DO TRABALHO JUNIOR</t>
  </si>
  <si>
    <t>VALDEMIR CARNEIRO DE MOURA</t>
  </si>
  <si>
    <t>JEFERSON JOSE ANDRADE DE SOUZA</t>
  </si>
  <si>
    <t>ERNANDES FLORENTINO SOARES</t>
  </si>
  <si>
    <t>JORGE LUIZ LEITE OLIVEIRA</t>
  </si>
  <si>
    <t>JOSE DE CASTRO OLIVEIRA</t>
  </si>
  <si>
    <t>ERONILDO BATISTA DO NASCIMENTO</t>
  </si>
  <si>
    <t>ESPEDITO RODRIGUES DOS SANTOS</t>
  </si>
  <si>
    <t>CELSON DUARTE</t>
  </si>
  <si>
    <t>ESPERIDIAO CORREIA DA SILVA</t>
  </si>
  <si>
    <t>CHARLES MOREIRA DOS SANTOS</t>
  </si>
  <si>
    <t>JOSE RAIMUNDO SILVA</t>
  </si>
  <si>
    <t>CHRISTIAN ALVES SIQUEIRA DE OLIVEIRA</t>
  </si>
  <si>
    <t>ISRAEL DANTAS DOS SANTOS</t>
  </si>
  <si>
    <t>CICERO ALVES DE MARIO</t>
  </si>
  <si>
    <t>ITAMAR INACIO DA SILVA</t>
  </si>
  <si>
    <t>CICERO ANTONIO FAUSTINO</t>
  </si>
  <si>
    <t>CICERO APARECIDO DOS SANTOS</t>
  </si>
  <si>
    <t>DAMIAO BEZERRA DE OLIVEIRA</t>
  </si>
  <si>
    <t>CICERO BENEDITO DA SILVA</t>
  </si>
  <si>
    <t>DAMIAO JOSE DA SILVA</t>
  </si>
  <si>
    <t>CICERO DA SILVA COSTA</t>
  </si>
  <si>
    <t>DAMIAO LIMA BISPO</t>
  </si>
  <si>
    <t>DAMIAO RODRIGUES PITA</t>
  </si>
  <si>
    <t>KLEBER JOSE OLIVEIRA DA SILVA</t>
  </si>
  <si>
    <t>KLEBERSON JOSE DA SILVA</t>
  </si>
  <si>
    <t>KLEBERT MARCOS DA SILVA FERREIRA</t>
  </si>
  <si>
    <t>ENCARREGADO DE MANUTENCAO OFICINA</t>
  </si>
  <si>
    <t>JOSE FERREIRA DA SILVA</t>
  </si>
  <si>
    <t>AILTON CONCEICAO DA SILVA</t>
  </si>
  <si>
    <t>CICERO LUIZ DA SILVA</t>
  </si>
  <si>
    <t>AILTON JOSE DO NASCIMENTO</t>
  </si>
  <si>
    <t>CICERO VIEIRA</t>
  </si>
  <si>
    <t>CLAUDEMIR DE ANDRADE FELICIANO</t>
  </si>
  <si>
    <t>CLAUDEMIRO PRATA DE ALMEIDA</t>
  </si>
  <si>
    <t>CLAUDINEI MENDES DA SILVA</t>
  </si>
  <si>
    <t>LEANDRO BARROSO DA SILVA</t>
  </si>
  <si>
    <t>CLAUDINEI OLIVEIRA E SILVA</t>
  </si>
  <si>
    <t>CLAUDIO DA SILVA ALVINO</t>
  </si>
  <si>
    <t>CLAUDIO DE SOUZA</t>
  </si>
  <si>
    <t>VALDIR BARBOSA FERREIRA</t>
  </si>
  <si>
    <t>ALCIDES NEI JAIR INEZ</t>
  </si>
  <si>
    <t>CLAUDIO MOREIRA DA SILVA</t>
  </si>
  <si>
    <t>VALDIR BEZERRA DOS SANTOS</t>
  </si>
  <si>
    <t>VALDIVIO RODRIGUES CRUZ</t>
  </si>
  <si>
    <t>CLAYTON FERREIRA DE MELO</t>
  </si>
  <si>
    <t>LEANDRO DA SILVA DONIZETE</t>
  </si>
  <si>
    <t>MICHAEL JACKSON DE OLIVEIRA ALMEIDA</t>
  </si>
  <si>
    <t>VANDERLEI ALEXANDRE DA SILVA</t>
  </si>
  <si>
    <t>CLAYVES CRISTIANO DE JESUS</t>
  </si>
  <si>
    <t>LEANDRO DE OLIVEIRA</t>
  </si>
  <si>
    <t>EUZEMAR FRANCO DE LIMA</t>
  </si>
  <si>
    <t>CLEBER GONCALVES DOS SANTOS</t>
  </si>
  <si>
    <t>LEANDRO DE SOUSA CLAUDINO</t>
  </si>
  <si>
    <t>MOTORISTA DE CAMINHAO</t>
  </si>
  <si>
    <t>EVACI FERREIRA DOS SANTOS</t>
  </si>
  <si>
    <t>CLELIO ANDRADE ARAUJO</t>
  </si>
  <si>
    <t>LEANDRO GARCIA CAMARGO</t>
  </si>
  <si>
    <t>WALDIR PEREIRA SANTOS</t>
  </si>
  <si>
    <t>EVALDO MOREIRA SANTOS</t>
  </si>
  <si>
    <t>WALMIR ALVES DE SOUZA</t>
  </si>
  <si>
    <t>EVALDO SILVA</t>
  </si>
  <si>
    <t>LEANDRO JOSE BATISTA</t>
  </si>
  <si>
    <t>EVANDRO ANTONIO DA CUNHA</t>
  </si>
  <si>
    <t>WELLINGTON TIAGO DE JESUS SANTOS</t>
  </si>
  <si>
    <t>MICHEL ALBERTO LIMA DE SOUZA</t>
  </si>
  <si>
    <t>EVANDRO RAMOS DA SILVA</t>
  </si>
  <si>
    <t>CLERISTON BELAU DOS SANTOS CRUZ</t>
  </si>
  <si>
    <t>LEANDRO JOSE CORREIA DA SILVA</t>
  </si>
  <si>
    <t>WELTON DOUGLAS RIBEIRO</t>
  </si>
  <si>
    <t>CLEYTON DIAS MACHADO</t>
  </si>
  <si>
    <t>WENSYLL SANTOS DE ARAUJO</t>
  </si>
  <si>
    <t>MIGUEL JOSE DOS SANTOS</t>
  </si>
  <si>
    <t>LEANDRO MENDES SILQUEIRA</t>
  </si>
  <si>
    <t>WILLIAN ANDRADE LEAL</t>
  </si>
  <si>
    <t>EVERSSON HENRIQUE CIPRIANO</t>
  </si>
  <si>
    <t>CLOVES TAVARES DIAS</t>
  </si>
  <si>
    <t>MIGUEL PEREIRA BARBOZA</t>
  </si>
  <si>
    <t>LEANDRO SANTANA SANTOS</t>
  </si>
  <si>
    <t>WILLIAM LIMA SILVA</t>
  </si>
  <si>
    <t>WILLIAN CARDOSO DA SILVA</t>
  </si>
  <si>
    <t>EXPEDITO FERREIRA DA SILVA</t>
  </si>
  <si>
    <t>LEANDRO SARAGOCA PEREIRA</t>
  </si>
  <si>
    <t>AILTON DE JESUS</t>
  </si>
  <si>
    <t>COSMA LIBERATO DE OLIVEIRA</t>
  </si>
  <si>
    <t>MILTON DA SILVA REIS</t>
  </si>
  <si>
    <t>FABIANO CHAGAS MACIEL</t>
  </si>
  <si>
    <t>LEANDRO YASSUNORI DE OLIVEIRA</t>
  </si>
  <si>
    <t>AIRTON COSTA</t>
  </si>
  <si>
    <t>FABIANO LANDIM DA ROCHA</t>
  </si>
  <si>
    <t>ALBERICO DA SILVA BRANDAO</t>
  </si>
  <si>
    <t>LEMUEL DE OLIVEIRA BRANDAO</t>
  </si>
  <si>
    <t>FABIANO PEREIRA DE OLIVEIRA SANTOS</t>
  </si>
  <si>
    <t>ALCIDES JOSE DOS SANTOS</t>
  </si>
  <si>
    <t>FABIO CESAR DE OLIVEIRA SOUZA</t>
  </si>
  <si>
    <t>ALDO DOS SANTOS ORESTES</t>
  </si>
  <si>
    <t>LEONARDO BARBOSA LOPES</t>
  </si>
  <si>
    <t>MILTON HONORIO DA SILVA</t>
  </si>
  <si>
    <t>FABIO DA SILVA ALVES ROLIM</t>
  </si>
  <si>
    <t>ALESSANDRA SANTOSTASI TEIXEIRA</t>
  </si>
  <si>
    <t>RONALDO SILVA SANTOS</t>
  </si>
  <si>
    <t>LEONARDO NASCIMENTO ALVES</t>
  </si>
  <si>
    <t>FABIO DA SILVA DUARTE</t>
  </si>
  <si>
    <t>MISSIMEIRE FERREIRA LIMA DOS SANTOS</t>
  </si>
  <si>
    <t>ROSANGELA OLIVEIRA LIMA</t>
  </si>
  <si>
    <t>MOACY GONCALVES DE OLIVEIRA</t>
  </si>
  <si>
    <t>LEONARDO PEREIRA DA SILVA</t>
  </si>
  <si>
    <t>SUELI APARECIDA DOS SANTOS</t>
  </si>
  <si>
    <t>FABIO FERREIRA DO NASCIMENTO</t>
  </si>
  <si>
    <t>MOISES GOMES RODRIGUES</t>
  </si>
  <si>
    <t>LEONDINEI VAZ</t>
  </si>
  <si>
    <t>ZELITA GALDINO DA SILVA</t>
  </si>
  <si>
    <t>LEONIDAS CORTES DOS SANTOS</t>
  </si>
  <si>
    <t>ZILDA CANDIDO DA SILVA</t>
  </si>
  <si>
    <t>RUBENS ALVES DA ROCHA</t>
  </si>
  <si>
    <t>LESSIO RENOR DE FREITAS</t>
  </si>
  <si>
    <t>ALESSANDRE DE OLIVEIRA SILVA</t>
  </si>
  <si>
    <t>MOISES SANTOS NOGUEIRA</t>
  </si>
  <si>
    <t>LOURIVAL CALADO DA SILVA</t>
  </si>
  <si>
    <t>LOURIVAL IDELFONSO</t>
  </si>
  <si>
    <t>ALESSANDRO ARRUDA DE OLIVEIRA</t>
  </si>
  <si>
    <t>SAMUEL BATISTA DE SOUZA</t>
  </si>
  <si>
    <t>JOAO BATISTA DE SOUZA</t>
  </si>
  <si>
    <t>LOURIVAL VALENTIM</t>
  </si>
  <si>
    <t>ALESSANDRO DE JESUS SILVA</t>
  </si>
  <si>
    <t>NAILTON VIEIRA DOS SANTOS</t>
  </si>
  <si>
    <t>SAMUEL NOGUEIRA SANTANA</t>
  </si>
  <si>
    <t>SEBASTIAO GOMES DA SILVA</t>
  </si>
  <si>
    <t>ANTONIO GOMES DA SILVA</t>
  </si>
  <si>
    <t>SERGIO DA SILVA</t>
  </si>
  <si>
    <t>FABIO JUNIOR DOS SANTOS COSTA</t>
  </si>
  <si>
    <t>SEVERINO ALEXANDRE DA SILVA</t>
  </si>
  <si>
    <t>FABIO MIRANDA SILVA</t>
  </si>
  <si>
    <t>SEVERINO ISIDIO DA SILVA</t>
  </si>
  <si>
    <t>NELSON BARBOSA</t>
  </si>
  <si>
    <t>ALEX APARECIDO DOS SANTOS</t>
  </si>
  <si>
    <t>FABIO OLIVEIRA DOS ANJOS</t>
  </si>
  <si>
    <t>SIDNEY CUNHA DE MIRANDA</t>
  </si>
  <si>
    <t>FABIO PEREIRA BARROS</t>
  </si>
  <si>
    <t>SILVIO BATISTA DE LIRA</t>
  </si>
  <si>
    <t>ALEX DE FIGUEIREDO COSTA</t>
  </si>
  <si>
    <t>SIVALDO DIAS MACHADO</t>
  </si>
  <si>
    <t>THOMAS LUIS BAPTISTA PEREIRA</t>
  </si>
  <si>
    <t>NELSON DE OLIVEIRA</t>
  </si>
  <si>
    <t>LUCAS DA SILVA LEITE</t>
  </si>
  <si>
    <t>TIAGO MACHADO CARDOZO</t>
  </si>
  <si>
    <t>PEDRO GOMES CARDOZO</t>
  </si>
  <si>
    <t>FABIO ROBERTO SILVA</t>
  </si>
  <si>
    <t>ROBSON RODRIGUES DO CARMO</t>
  </si>
  <si>
    <t>FABIO SANTOS SALES</t>
  </si>
  <si>
    <t>AUXILIAR DE TRAFEGO</t>
  </si>
  <si>
    <t>NELSON ROBERTO RIBEIRO DA SILVA</t>
  </si>
  <si>
    <t>FABRICIO DA COSTA GOMES</t>
  </si>
  <si>
    <t>ROBSON ROCHA GONCALVES</t>
  </si>
  <si>
    <t>LUCAS GONCALVES DOS SANTOS</t>
  </si>
  <si>
    <t>FAUSTINIANO MONTEIRO MAGALHAES</t>
  </si>
  <si>
    <t>FAUSTINO ARNALDO DE LANA</t>
  </si>
  <si>
    <t>MECANICO II</t>
  </si>
  <si>
    <t>ROBERTO XAVIER FIALHO</t>
  </si>
  <si>
    <t>FAUSTO ALVES DE ALMEIDA</t>
  </si>
  <si>
    <t>UILTON SILVA DOS ANJOS SANTOS</t>
  </si>
  <si>
    <t>NILSON DE FARIA</t>
  </si>
  <si>
    <t>ALEX SANDRO PEREIRA DOS SANTOS</t>
  </si>
  <si>
    <t>FELIPE FIGUEIREDO DA SILVA</t>
  </si>
  <si>
    <t>NILSON MUNIZ SILVA</t>
  </si>
  <si>
    <t>FERNANDO ALVES DE SOUSA</t>
  </si>
  <si>
    <t>LUCIANO SILVA DE OLIVEIRA</t>
  </si>
  <si>
    <t>FERNANDO ANTONIO DA SILVA</t>
  </si>
  <si>
    <t>ROBERTO PEDRETE MAIA</t>
  </si>
  <si>
    <t>LUCAS SOUSA GAMA</t>
  </si>
  <si>
    <t>NILSON ROBERTO GALVAO</t>
  </si>
  <si>
    <t>IZAIAS MOREIRA DA COSTA</t>
  </si>
  <si>
    <t>LUCIANA DE SOUZA EVANGELISTA DOS SANTOS</t>
  </si>
  <si>
    <t>VALDECY ALVES</t>
  </si>
  <si>
    <t>ROBERTO MACHADO ARAUJO</t>
  </si>
  <si>
    <t>VALDEMIR GOMES LEMES</t>
  </si>
  <si>
    <t>NILSON RODRIGUES DE JESUS</t>
  </si>
  <si>
    <t>LUCIANO ALCIDES MOTA</t>
  </si>
  <si>
    <t>VALDEMIR LEITE FERREIRA</t>
  </si>
  <si>
    <t>OPERADOR DE PA CARREGADEIRA</t>
  </si>
  <si>
    <t>NILTON DA COSTA LEAL</t>
  </si>
  <si>
    <t>VALDICK SOUZA DE JESUS</t>
  </si>
  <si>
    <t>ROBERTO LUIZ DOS SANTOS SILVA</t>
  </si>
  <si>
    <t>BORRACHEIRO II</t>
  </si>
  <si>
    <t>JAIR LUIZ DOS SANTOS</t>
  </si>
  <si>
    <t>OPERADOR DE MAQUINA SENIOR</t>
  </si>
  <si>
    <t>ALEXANDRE FERREIRA DA SILVA</t>
  </si>
  <si>
    <t>VALMIR GOMES DE FREITAS</t>
  </si>
  <si>
    <t>ENCARREGADO DE TRAFEGO II</t>
  </si>
  <si>
    <t>COSME GALDINO DA SILVA</t>
  </si>
  <si>
    <t>ALEXANDRE PEREIRA DA SILVA</t>
  </si>
  <si>
    <t>FERNANDO JESUS DO CARMO</t>
  </si>
  <si>
    <t>VANDERSON BEZERRA ALVES DOS SANTOS</t>
  </si>
  <si>
    <t>NILTON PASSOS DOS SANTOS</t>
  </si>
  <si>
    <t>LUCIANO GOUVEIA BARBOZA</t>
  </si>
  <si>
    <t>ALEXANDRE SILVA RAMOS</t>
  </si>
  <si>
    <t>ZENIL SANTANA DE AGUIAR</t>
  </si>
  <si>
    <t>TECNICO EM SEGURANCA DO TRABALHO SENIOR</t>
  </si>
  <si>
    <t>LUCIANO HENRIQUE REIS DAMACENA</t>
  </si>
  <si>
    <t>NILTON PEREIRA GARCIA</t>
  </si>
  <si>
    <t>ROBERTO BERNARDO RODRIGUES</t>
  </si>
  <si>
    <t>ALEXSANDRO NOGUEIRA DE SANTANA</t>
  </si>
  <si>
    <t>VALDIR RODRIGUES DOS ANJOS</t>
  </si>
  <si>
    <t>ALEXSANDRO SOARES CORREA</t>
  </si>
  <si>
    <t>NILTON SANTOS DA SILVA</t>
  </si>
  <si>
    <t>FLAVIO FIGUEREDO DOS SANTOS</t>
  </si>
  <si>
    <t>VANDERLEY SALDANHA PEIXOTO</t>
  </si>
  <si>
    <t>DANIEL BONIFACIO</t>
  </si>
  <si>
    <t>ROBERTA CRISTINA DOS SANTOS AMORIM</t>
  </si>
  <si>
    <t>ARLETE CRISTINA DOS SANTOS AMORIM</t>
  </si>
  <si>
    <t>ALICIO SILVA DE ADORNO</t>
  </si>
  <si>
    <t>ECLYTON MYCAEL FERREIRA LOPES</t>
  </si>
  <si>
    <t>DANIEL DA CUNHA PUPO</t>
  </si>
  <si>
    <t>FLAVIO RODRIGUES JOAQUIM</t>
  </si>
  <si>
    <t>ED CARLOS BARBOSA ALVES</t>
  </si>
  <si>
    <t>FRANCIMARIO FERREIRA ANTUNES</t>
  </si>
  <si>
    <t>NIVALDO SEPERO DOS SANTOS</t>
  </si>
  <si>
    <t>DANIEL DE PAULA CUNHA</t>
  </si>
  <si>
    <t>LUCICLEIDE DA SILVA</t>
  </si>
  <si>
    <t>EDIEL ARAUJO SANTANA</t>
  </si>
  <si>
    <t>FRANCISCO ALVES MARTINS</t>
  </si>
  <si>
    <t>DANIEL DOS REIS CARVALHO</t>
  </si>
  <si>
    <t>NOBERTO NOGUEIRA DE AGUIAR</t>
  </si>
  <si>
    <t>EDILSON APARECIDO DE SOUZA</t>
  </si>
  <si>
    <t>FRANCISCO ASSIS DE OLIVEIRA</t>
  </si>
  <si>
    <t>EDILSON GALDINO DA SILVA</t>
  </si>
  <si>
    <t>COSMO DOMINGOS DE SOUSA</t>
  </si>
  <si>
    <t>RIVALDO ANTONIO TEIXEIRA</t>
  </si>
  <si>
    <t>COSMO FERNANDES PEREIRA</t>
  </si>
  <si>
    <t>EDILSON MOREIRA DA COSTA</t>
  </si>
  <si>
    <t>COSMO JOSE DE OLIVEIRA</t>
  </si>
  <si>
    <t>RICARDO SANTOS LIMA</t>
  </si>
  <si>
    <t>FRANCISCO CARLOS LIMEIRA DA SILVA</t>
  </si>
  <si>
    <t>CRISTIANE BARBOSA DA SILVA</t>
  </si>
  <si>
    <t>EDILSON SANTOS DE JESUS</t>
  </si>
  <si>
    <t>EDIMILSON COSTA LIMA ROMANOS</t>
  </si>
  <si>
    <t>FRANCISCO DAS CHAGAS GOMES PINTO</t>
  </si>
  <si>
    <t>ODAIR ALVES DOS SANTOS</t>
  </si>
  <si>
    <t>VICENTE SILVA DE ALMEIDA</t>
  </si>
  <si>
    <t>EDINALDO ALMEIDA DO NASCIMENTO</t>
  </si>
  <si>
    <t>CRISTIANO DA SILVA GOMES</t>
  </si>
  <si>
    <t>VITOR JESUS DOS SANTOS</t>
  </si>
  <si>
    <t>AUXILIAR ADMINISTRATIVO</t>
  </si>
  <si>
    <t>ODAIR DOS SANTOS FREITAS</t>
  </si>
  <si>
    <t>EDINALDO FRANCISCO DA FONSECA</t>
  </si>
  <si>
    <t>EDINALDO DA SILVA</t>
  </si>
  <si>
    <t>WALICE ARAUJO SOUZA</t>
  </si>
  <si>
    <t>CRISTIANO SENA SILVA</t>
  </si>
  <si>
    <t>FRANCISCO DE ASSIS ALEXANDRE NUNES</t>
  </si>
  <si>
    <t>ODAIR JOSE FERREIRA DOS SANTOS</t>
  </si>
  <si>
    <t>WELLINGTON LUIZ DE ALMEIDA</t>
  </si>
  <si>
    <t>CRISTIANO SILVA BEZERRA</t>
  </si>
  <si>
    <t>LUIS CARLOS MATOS DE ALMEIDA</t>
  </si>
  <si>
    <t>AUXILIAR DE CHECK LIST</t>
  </si>
  <si>
    <t>WILLIAM ARAUJO DA SILVA</t>
  </si>
  <si>
    <t>ODEVANDO MANOEL XAVIER</t>
  </si>
  <si>
    <t>WILLIAM DIAS DA SILVA</t>
  </si>
  <si>
    <t>LUIS CARLOS RIBEIRO DA SILVA</t>
  </si>
  <si>
    <t>WILLIAM PROFIRO DE SOUZA</t>
  </si>
  <si>
    <t>CRISTIANO TEIXEIRA DA SILVA</t>
  </si>
  <si>
    <t>LUIS DOS SANTOS BURITI</t>
  </si>
  <si>
    <t>FRANCISCO DUTRA DA PAIXAO</t>
  </si>
  <si>
    <t>WILLY CASTRO VIEIRA</t>
  </si>
  <si>
    <t>WILSON AUGUSTO</t>
  </si>
  <si>
    <t>OLIMPIO PEREIRA DE MELO FILHO</t>
  </si>
  <si>
    <t>JOAN NUNES GOMES</t>
  </si>
  <si>
    <t>ZELINO DOS SANTOS MACHADO</t>
  </si>
  <si>
    <t>FRANCISCO EDIVALDO GALDINO FREITAS</t>
  </si>
  <si>
    <t>CRISTOVAO DE SOUSA</t>
  </si>
  <si>
    <t>ZOZELITO MARQUES BEZERRA</t>
  </si>
  <si>
    <t>LUIZ ADALBERTO DA SILVA</t>
  </si>
  <si>
    <t>JOAO DA SILVA GONSALVES</t>
  </si>
  <si>
    <t>DANIEL GOMES DA SILVA</t>
  </si>
  <si>
    <t>JOAO JUASSELE CUNHA ANDRADE</t>
  </si>
  <si>
    <t>JOAO PEREIRA DE OLIVEIRA</t>
  </si>
  <si>
    <t>JOAQUIM SATIRO DE PAULO</t>
  </si>
  <si>
    <t>JOEL PEREIRA DO NASCIMENTO</t>
  </si>
  <si>
    <t>DANIEL JACINTO DA SILVA</t>
  </si>
  <si>
    <t>JOSE APARECIDO CHICUTA</t>
  </si>
  <si>
    <t>DANIEL MARQUES ALVES</t>
  </si>
  <si>
    <t>JOSE BARBOSA DE FARIAS</t>
  </si>
  <si>
    <t>JOSE DARIO DE MEDEIROS</t>
  </si>
  <si>
    <t>JOSE DE FATIMA CAMPOS</t>
  </si>
  <si>
    <t>DANIEL PAULO DOS SANTOS</t>
  </si>
  <si>
    <t>JOSE DE JESUS CAETANO</t>
  </si>
  <si>
    <t>JOSE DOS REIS OLIVEIRA SANTOS</t>
  </si>
  <si>
    <t>JOSE GOMES DA SILVA</t>
  </si>
  <si>
    <t>JOSE GOMES DE ANDRADE</t>
  </si>
  <si>
    <t>DANILO CARDOSO DA SILVA</t>
  </si>
  <si>
    <t>JOSE MANOEL DE ANDRADE</t>
  </si>
  <si>
    <t>JOSE MESSIAS SANTOS ANUNCIACAO</t>
  </si>
  <si>
    <t>DANILO SOARES OLIVEIRA</t>
  </si>
  <si>
    <t>DANLEY SILVA SANTOS</t>
  </si>
  <si>
    <t>JAILTON DA SILVA AMARAL NASCIMENTO</t>
  </si>
  <si>
    <t>JOEL PEREIRA CRUZ FILHO</t>
  </si>
  <si>
    <t>DAVI FERREIRA DOS SANTOS RODRIGUES</t>
  </si>
  <si>
    <t>JOSE LEITE DA SILVA</t>
  </si>
  <si>
    <t>JOSE MAURO DOS SANTOS SILVA</t>
  </si>
  <si>
    <t>IZAIAS VIEIRA COSTA</t>
  </si>
  <si>
    <t>JOAO VICTOR DOS SANTOS SILVA</t>
  </si>
  <si>
    <t>FRANCISCO ELSON COSTA PEREIRA</t>
  </si>
  <si>
    <t>LUIZ ANTONIO DO AMARANTE SOUSA</t>
  </si>
  <si>
    <t>FRANCISCO ERIVAN DA SILVA FELIX</t>
  </si>
  <si>
    <t>JOSE APARECIDO DE GOUVEIA</t>
  </si>
  <si>
    <t>JOSE CALIXTO DA SILVA FILHO</t>
  </si>
  <si>
    <t>JOSE MARIA DE GOUVEIA</t>
  </si>
  <si>
    <t>JOSE AVELINO DE SOUSA FILHO</t>
  </si>
  <si>
    <t>RONIE DE OLIVEIRA MARTINS</t>
  </si>
  <si>
    <t>JOAO CARLOS MARCONDES DE BRITO</t>
  </si>
  <si>
    <t>ROVANDA BARBOSA</t>
  </si>
  <si>
    <t>ALTINO COSTA</t>
  </si>
  <si>
    <t>LUIZ CLAUDIO CORREIA DA SILVA</t>
  </si>
  <si>
    <t>ALEXANDRE DAS NEVES NETO</t>
  </si>
  <si>
    <t>LUIZ DONIZETI DA SILVA</t>
  </si>
  <si>
    <t>SERGIO CUNHA MATIAS</t>
  </si>
  <si>
    <t>OLINDINO PEREIRA SILVA</t>
  </si>
  <si>
    <t>SILVIO APARECIDO DOS SANTOS</t>
  </si>
  <si>
    <t>SILVIO SILVA DE SOUZA</t>
  </si>
  <si>
    <t>THIAGO DA COSTA MENDES</t>
  </si>
  <si>
    <t>DAVID EDUARDO DA SILVA</t>
  </si>
  <si>
    <t>LUIZ FERNANDO DA SILVA</t>
  </si>
  <si>
    <t>ORLANDO JESUS DOS SANTOS</t>
  </si>
  <si>
    <t>ALEXANDRE REINALDO DE SOUZA</t>
  </si>
  <si>
    <t>FRANCISCO NACELIO DE SOUSA</t>
  </si>
  <si>
    <t>THIAGO EDUARDO DA SILVA</t>
  </si>
  <si>
    <t>LUIZ FRANCISCO DE MATOS</t>
  </si>
  <si>
    <t>VALDECI APARECIDO REIS DE ANDRADE</t>
  </si>
  <si>
    <t>FRANCISCO NILBERTO BEZERRA DO NASCIMENTO</t>
  </si>
  <si>
    <t>JOSE ALVES DINIZ</t>
  </si>
  <si>
    <t>VANDERLEY SOUSA GAMA FILHO</t>
  </si>
  <si>
    <t>LUIZ HENRIQUE SILVA BRAGA</t>
  </si>
  <si>
    <t>ALEXANDRE XAVIER DA SILVA</t>
  </si>
  <si>
    <t>OSAIR ALVES FAGUNDES</t>
  </si>
  <si>
    <t>WAGNER DA SILVA DE JESUS VALE</t>
  </si>
  <si>
    <t>IVAN SANTOS BALBINO DA SILVA</t>
  </si>
  <si>
    <t>LUIZ RODRIGUES DE SOUZA</t>
  </si>
  <si>
    <t>JOAO VICENTE NETO</t>
  </si>
  <si>
    <t>ALFREDO SEIFERT</t>
  </si>
  <si>
    <t>WAGNER DIOGO SANTOS</t>
  </si>
  <si>
    <t>WAGNER RIBEIRO DOS SANTOS</t>
  </si>
  <si>
    <t>FRANCISNALDO DA SILVA NEPOMUCENO</t>
  </si>
  <si>
    <t>DAVID PEREIRA LIMA</t>
  </si>
  <si>
    <t>FRANQUILANIO DA SILVA</t>
  </si>
  <si>
    <t>IVO FERREIRA DE AZEVEDO</t>
  </si>
  <si>
    <t>MAGNOBALDO PEREIRA SANTOS</t>
  </si>
  <si>
    <t>WEVERSON DA SILVA FELIPE</t>
  </si>
  <si>
    <t>FREDSON VIEIRA BRAGA</t>
  </si>
  <si>
    <t>JEAN DE LIMA GOMES</t>
  </si>
  <si>
    <t>GABRIEL AUGUSTO DE ANDRADE</t>
  </si>
  <si>
    <t>JEFISON COSTA DE OLIVEIRA</t>
  </si>
  <si>
    <t>JHONATAN DE LIMA GOMES</t>
  </si>
  <si>
    <t>JOHNATA MONTEIRO DOS SANTOS SOUZA</t>
  </si>
  <si>
    <t>OSMAR NOGUEIRA DA SILVA</t>
  </si>
  <si>
    <t>ALTAMIR REIS LUIZ</t>
  </si>
  <si>
    <t>ELETRICISTA</t>
  </si>
  <si>
    <t>IVANILDO ALEXANDRE DOS SANTOS</t>
  </si>
  <si>
    <t>IVANILDO DA SILVA LEITE</t>
  </si>
  <si>
    <t>MANACES ALVES CORREIA</t>
  </si>
  <si>
    <t>IVANILDO PASSOS DOS SANTOS</t>
  </si>
  <si>
    <t>MANOEL ARAUJO DE BARROS</t>
  </si>
  <si>
    <t>AMARILDO MAMEDE DA SILVA</t>
  </si>
  <si>
    <t>DENES GABRIEL COSTA SILVA</t>
  </si>
  <si>
    <t>AMARO NIVALDO PLINIO</t>
  </si>
  <si>
    <t>MANOEL CARLOS DA SILVA FIGUEIREDO</t>
  </si>
  <si>
    <t>GABRIEL SANTOS QUARESMA</t>
  </si>
  <si>
    <t>JOSE DE JESUS SANTOS</t>
  </si>
  <si>
    <t>MANOEL CARLOS DE SOUZA COSTA</t>
  </si>
  <si>
    <t>AMAURI FERREIRA DA SILVA</t>
  </si>
  <si>
    <t>JOSE ILARIO DOS SANTOS</t>
  </si>
  <si>
    <t>DENILSON SOARES BATISTA</t>
  </si>
  <si>
    <t>JOALDO ALVES DOS ANJOS</t>
  </si>
  <si>
    <t>JEDSON DA SILVA SANTOS</t>
  </si>
  <si>
    <t>AMILTON PEREIRA SANTOS</t>
  </si>
  <si>
    <t>JORCIRLEI ROCHA DOS SANTOS</t>
  </si>
  <si>
    <t>GENEVAL JOSE DA SILVA</t>
  </si>
  <si>
    <t>JAILSON CONCEICAO DOS SANTOS</t>
  </si>
  <si>
    <t>JOSE ANTONIO DOS SANTOS</t>
  </si>
  <si>
    <t>ANA CLAUDIA RODRIGUES BRITO</t>
  </si>
  <si>
    <t>GENILSON BATISTA CALADO</t>
  </si>
  <si>
    <t>MANOEL FRANCISCO DA SILVA HEMEL</t>
  </si>
  <si>
    <t>ANA LUCIA GONZAGA DE SOUZA</t>
  </si>
  <si>
    <t>MANOEL HENRIQUE CONCEICAO</t>
  </si>
  <si>
    <t>OZEIAS PEREIRA DE SOUSA</t>
  </si>
  <si>
    <t>MANOEL JOSE DO NASCIMENTO JUNIOR</t>
  </si>
  <si>
    <t>MANOEL MESSIAS DA CONCEICAO</t>
  </si>
  <si>
    <t>MANOEL MESSIAS DE BRITO</t>
  </si>
  <si>
    <t>GENIVALDO DA SILVA</t>
  </si>
  <si>
    <t>ANDERSON ALBERTO LAPIETRA</t>
  </si>
  <si>
    <t>GENIVALDO DOS SANTOS ARAUJO</t>
  </si>
  <si>
    <t>MANOEL OLIVEIRA NETO</t>
  </si>
  <si>
    <t>DENIS RODRIGUES DE ALMEIDA</t>
  </si>
  <si>
    <t>JOSE GERALDO DA SILVA</t>
  </si>
  <si>
    <t>JOSE IRANDIR SANTOS DE JESUS</t>
  </si>
  <si>
    <t>JOSE LUIZ GOMES DA SILVA</t>
  </si>
  <si>
    <t>JOSE DAMIAO DOS SANTOS</t>
  </si>
  <si>
    <t>JOSE PROVINO OSORIO</t>
  </si>
  <si>
    <t>IZAIAS RODRIGUES MIRANDA</t>
  </si>
  <si>
    <t>JAIME MENDES DOS SANTOS</t>
  </si>
  <si>
    <t>MANOEL PEREIRA DA SILVA</t>
  </si>
  <si>
    <t>MANOEL PEREIRA DOS SANTOS</t>
  </si>
  <si>
    <t>ANDERSON BUENO TAVARES</t>
  </si>
  <si>
    <t>MANOEL SILVA MENDES</t>
  </si>
  <si>
    <t>ANDERSON DOS SANTOS ALVES</t>
  </si>
  <si>
    <t>MANUELITO PEREIRA DA SILVA</t>
  </si>
  <si>
    <t>GENIVALDO SANTOS DE JESUS</t>
  </si>
  <si>
    <t>GEORGE DOS SANTOS BARBOSA</t>
  </si>
  <si>
    <t>OZIEL PAULO DE LIMA</t>
  </si>
  <si>
    <t>MARCELO APARECIDO FONSECA</t>
  </si>
  <si>
    <t>ANDERSON SOARES CARDOSO</t>
  </si>
  <si>
    <t>OZILINA AUGUSTINHA DE SOUZA</t>
  </si>
  <si>
    <t>MARCELO CALIXTO DE GOUVEIA</t>
  </si>
  <si>
    <t>PAOLA SABRINA RIO BRANCO</t>
  </si>
  <si>
    <t>GERALDO EVANGELISTA DE CARVALHO</t>
  </si>
  <si>
    <t>MARCELO COSTA RODRIGUES</t>
  </si>
  <si>
    <t>GERALDO GUEDES DA SILVA</t>
  </si>
  <si>
    <t>PAULO AQUINO TAVARES DE ARRUDA</t>
  </si>
  <si>
    <t>GERALDO LEONILDO DA SILVA</t>
  </si>
  <si>
    <t>MARCELO DA CONCEICAO OLIVEIRA</t>
  </si>
  <si>
    <t>DENIS SANTOS DA SILVA</t>
  </si>
  <si>
    <t>MARCELO DE PAULA VIEIRA DA SILVA</t>
  </si>
  <si>
    <t>PAULO ROBERTO DA SILVA</t>
  </si>
  <si>
    <t>GERALDO MANGELA DAMASIO</t>
  </si>
  <si>
    <t>MARCELO DOS SANTOS SANTANA</t>
  </si>
  <si>
    <t>GERALDO MANOEL DO NASCIMENTO</t>
  </si>
  <si>
    <t>ANDRE BARBOSA DE PAULA</t>
  </si>
  <si>
    <t>MARCELO JOSE DE ANDRADE</t>
  </si>
  <si>
    <t>PAULO CAMPOS MEIRELES</t>
  </si>
  <si>
    <t>ANDRE BARBOSA MATIAS</t>
  </si>
  <si>
    <t>ANDRE BORGES SOUZA</t>
  </si>
  <si>
    <t>PAULO CARDOSO DOS SANTOS</t>
  </si>
  <si>
    <t>GERSON CAETANO DO NASCIMENTO</t>
  </si>
  <si>
    <t>ANDRE FERREIRA DA SILVA</t>
  </si>
  <si>
    <t>MARCELO MARLOS EVANGELISTA</t>
  </si>
  <si>
    <t>GERSON DE JESUS SOARES</t>
  </si>
  <si>
    <t>ANDRE GUSTAVO DOS SANTOS</t>
  </si>
  <si>
    <t>GERSON FERNANDO LIMA SOUSA</t>
  </si>
  <si>
    <t>PAULO CARVALHO SOUZA</t>
  </si>
  <si>
    <t>MARCIMINO CAMPOS DA SILVA</t>
  </si>
  <si>
    <t>MARCIO DE JESUS TAMEIRAO</t>
  </si>
  <si>
    <t>MARCIO JOSE COELHO</t>
  </si>
  <si>
    <t>GERSON RODRIGUES CAVALCANTE</t>
  </si>
  <si>
    <t>GIDALTO SOUSA DE CASTRO</t>
  </si>
  <si>
    <t>MARCIO MIGUEL DE GODOY</t>
  </si>
  <si>
    <t>ANDRE LUIZ ALMEIDA PEREIRA</t>
  </si>
  <si>
    <t>ANDRE LUIZ LEITE DE JESUS</t>
  </si>
  <si>
    <t>PAULO HENRIQUE DE MELO</t>
  </si>
  <si>
    <t>ANDRE MISSIAS AMOROSO</t>
  </si>
  <si>
    <t>GILBERTO DA COSTA</t>
  </si>
  <si>
    <t>PAULO HENRIQUE MAPA</t>
  </si>
  <si>
    <t>MARCIO ROGERIO DA SILVA MARTINS</t>
  </si>
  <si>
    <t>GILBERTO DE JESUS OLIVEIRA</t>
  </si>
  <si>
    <t>GILBERTO GOMES TEIXEIRA</t>
  </si>
  <si>
    <t>PAULO HENRIQUE SILVA LEAL</t>
  </si>
  <si>
    <t>GILBERTO SILVA SANTOS</t>
  </si>
  <si>
    <t>MARCO ANTONIO MARTINS</t>
  </si>
  <si>
    <t>GILCELIO SOARES</t>
  </si>
  <si>
    <t>MARCO AURELIO FREITAS PACHECO</t>
  </si>
  <si>
    <t>GILDENE DA SILVA</t>
  </si>
  <si>
    <t>MARCOS ALEXANDRE FERREIRA CARVALHO</t>
  </si>
  <si>
    <t>GILMAR RIBEIRO</t>
  </si>
  <si>
    <t>MARCOS ALVES DA SILVA</t>
  </si>
  <si>
    <t>MARCOS AURELIO DA COSTA MONTEIRO</t>
  </si>
  <si>
    <t>GILSON ALVES DA SILVA</t>
  </si>
  <si>
    <t>PAULO JOSE RIBEIRO</t>
  </si>
  <si>
    <t>GILSON DE OLIVEIRA</t>
  </si>
  <si>
    <t>MARCOS DAMIAO MARCONDES</t>
  </si>
  <si>
    <t>MARCOS DE PAULA PRADO</t>
  </si>
  <si>
    <t>GILVAN DE JESUS ROSA</t>
  </si>
  <si>
    <t>ANDRE SOARES PADILHA LIMA</t>
  </si>
  <si>
    <t>JEFFERSON SILVA ROSA</t>
  </si>
  <si>
    <t>CHARLES DEIVIDSON DE CARVALHO</t>
  </si>
  <si>
    <t>GILVANIA VIEIRA DOS SANTOS</t>
  </si>
  <si>
    <t>FAXINEIRO(A)</t>
  </si>
  <si>
    <t>DIEGO AUGUSTO DA PAIXAO</t>
  </si>
  <si>
    <t>ANILTON RIBEIRO SOUZA</t>
  </si>
  <si>
    <t>MARCOS FRANCISCO DA SILVA</t>
  </si>
  <si>
    <t>GIRLANIO CAVALCANTE DE ALMEIDA</t>
  </si>
  <si>
    <t>DIEGO DOS SANTOS SOUZA</t>
  </si>
  <si>
    <t>JOSE FERNANDO DA SILVA</t>
  </si>
  <si>
    <t>GISLAINE ALMEIDA DE JESUS</t>
  </si>
  <si>
    <t>MARCOS PEREIRA MARINHO</t>
  </si>
  <si>
    <t>JOSE LUCINALDO DA SILVA</t>
  </si>
  <si>
    <t>JOSE MARIA DE MOURA</t>
  </si>
  <si>
    <t>GIULIANO HENRIQUE DA SILVA</t>
  </si>
  <si>
    <t>MARCOS ROBERTO DE CARVALHO</t>
  </si>
  <si>
    <t>DIJALMA OLIVEIRA SOUZA</t>
  </si>
  <si>
    <t>ANTENOR VIEIRA LIMA</t>
  </si>
  <si>
    <t>JOSE APARECIDO ALVES DA SILVA</t>
  </si>
  <si>
    <t>MARCOS SANTOS DA SILVA</t>
  </si>
  <si>
    <t>JORGE ANTONIO PEREIRA DOS REIS</t>
  </si>
  <si>
    <t>DIMAS XAVIER DE JESUS</t>
  </si>
  <si>
    <t>MARCOS TADEU NERI</t>
  </si>
  <si>
    <t>JOSE DILSON SILVA</t>
  </si>
  <si>
    <t>PAULO ROBERO MUNIZ MOREIRA</t>
  </si>
  <si>
    <t>TECNICO EM SEGURANCA DO TRABALHO PLENO</t>
  </si>
  <si>
    <t>GIVANILDO FREIRE DE NOVAES</t>
  </si>
  <si>
    <t>DIOGO DA CRUZ SILVEIRA</t>
  </si>
  <si>
    <t>ANTONIO AIRTON BARBOSA ALEXANDRE</t>
  </si>
  <si>
    <t>GLEIDSTON BANDEIRA DA SILVA</t>
  </si>
  <si>
    <t>JOSE ANTONIO COSTA</t>
  </si>
  <si>
    <t>RAIMUNDO NONATO FILHO</t>
  </si>
  <si>
    <t>DOMINGOS DA CRUZ DOS SANTOS</t>
  </si>
  <si>
    <t>JOSE FONSECA DE SOUZA</t>
  </si>
  <si>
    <t>JOAO MANOEL DA SILVA</t>
  </si>
  <si>
    <t>DOMINGOS MENEZES DANTAS</t>
  </si>
  <si>
    <t>JOSE GILBERTO DA SILVA</t>
  </si>
  <si>
    <t>GLEISON ALAN DOS SANTOS</t>
  </si>
  <si>
    <t>DOMINGOS NORBERTO RODRIGUES</t>
  </si>
  <si>
    <t>ANTONIO CARLOS ALVES RAMOS</t>
  </si>
  <si>
    <t>JO ROSA RODRIGUES</t>
  </si>
  <si>
    <t>DOMINGOS SOUZA DE OLIVEIRA</t>
  </si>
  <si>
    <t>JOAO DA COSTA NUNES</t>
  </si>
  <si>
    <t>GRACIMAR MARIA PASSOS</t>
  </si>
  <si>
    <t>JOAQUIM BATISTA DE OLIVEIRA</t>
  </si>
  <si>
    <t>ANTONIO CARLOS GOMES DE PAULA</t>
  </si>
  <si>
    <t>JOSE ALUISIO DA SILVA</t>
  </si>
  <si>
    <t>JOSE BATISTA DOS SANTOS</t>
  </si>
  <si>
    <t>JOSE FRANCISCO VARELA</t>
  </si>
  <si>
    <t>JOSE GEAN FERNANDES DA SILVA ARAUJO</t>
  </si>
  <si>
    <t>ANTONIO CARLOS RIBEIRO</t>
  </si>
  <si>
    <t>PAULO SERGIO DA SILVA</t>
  </si>
  <si>
    <t>DOUGLAS SABINO SILVA DOS SANTOS</t>
  </si>
  <si>
    <t>DURVAL SABINO DOS SANTOS</t>
  </si>
  <si>
    <t>GUSTAVO DIAS TOMAZ</t>
  </si>
  <si>
    <t>DURCINO SILVA DE BRITO</t>
  </si>
  <si>
    <t>GUSTAVO OLIVEIRA SOUZA</t>
  </si>
  <si>
    <t>JOSE JORGE DOS SANTOS</t>
  </si>
  <si>
    <t>ANTONIO CARLOS SOUSA DOS SANTOS</t>
  </si>
  <si>
    <t>PAULO VIEIRA DOS SANTOS</t>
  </si>
  <si>
    <t>ANTONIO COSME FILHO</t>
  </si>
  <si>
    <t>JOSE LUIS ALVES DA SILVA</t>
  </si>
  <si>
    <t>HELCIO SOARES SARAIVA</t>
  </si>
  <si>
    <t>JACKSON PIRES NASCIMENTO</t>
  </si>
  <si>
    <t>PEDRO AMARO DA SILVA</t>
  </si>
  <si>
    <t>JAIR SOARES DE OLIVEIRA</t>
  </si>
  <si>
    <t>JOSE CLAUDIO BARBOSA</t>
  </si>
  <si>
    <t>HELIO ALVES DE OLIVEIRA</t>
  </si>
  <si>
    <t>JOSE DE SANTANA DIAS</t>
  </si>
  <si>
    <t>ANGELO JOSE DOS SANTOS</t>
  </si>
  <si>
    <t>EDINELIA PEREIRA DOS SANTOS</t>
  </si>
  <si>
    <t>JOSE GERALDO SILVA</t>
  </si>
  <si>
    <t>HELIO DE OLIVEIRA</t>
  </si>
  <si>
    <t>ANNA KAROLINIE GALDINO DOS SANTOS</t>
  </si>
  <si>
    <t>AUXILIAR DE SEGURANCA DO TRABALHO</t>
  </si>
  <si>
    <t>HELIO FRANCISCO DE OLIVEIRA</t>
  </si>
  <si>
    <t>JOAO DA COSTA MOREIRA</t>
  </si>
  <si>
    <t>ITAMAR NOVAIS SANTOS</t>
  </si>
  <si>
    <t>PEDRO BATISTA SANTIAGO</t>
  </si>
  <si>
    <t>ANTONIO AMORIM DA SILVA</t>
  </si>
  <si>
    <t>JERONIMO LEITE DOS SANTOS</t>
  </si>
  <si>
    <t>HENRIQUE BARBOSA DE SOUSA CORDEIRO</t>
  </si>
  <si>
    <t>JORGE RUBENS MORENO SOARES</t>
  </si>
  <si>
    <t>PEDRO FLAVIO FERREIRA DA SILVA</t>
  </si>
  <si>
    <t>JOSE ANTONIO DA SILVA</t>
  </si>
  <si>
    <t>ANTONIO CARLOS DE OLIVEIRA</t>
  </si>
  <si>
    <t>HENRIQUE DOS SANTOS LANA</t>
  </si>
  <si>
    <t>EDIVALDO VALERIANO DA SILVA</t>
  </si>
  <si>
    <t>ANTONIO CARLOS PEREIRA</t>
  </si>
  <si>
    <t>EDIVAN MOURA DOS SANTOS</t>
  </si>
  <si>
    <t>JOSE ERMESSON LOPES DA SILVA</t>
  </si>
  <si>
    <t>PEDRO HELI DE CASTRO</t>
  </si>
  <si>
    <t>HERCULANO CONCEICAO DE ARAUJO</t>
  </si>
  <si>
    <t>EDJOVANE PALMA PALMITO</t>
  </si>
  <si>
    <t>JOSE LINALDO PIMENTEL SANTANA</t>
  </si>
  <si>
    <t>HIGOR SABINO</t>
  </si>
  <si>
    <t>EDMAR DE FREITAS</t>
  </si>
  <si>
    <t>JOSE LINS DA SILVA FILHO</t>
  </si>
  <si>
    <t>PEDRO LUIZ DA SILVA</t>
  </si>
  <si>
    <t>HUGO CESAR CANUTO</t>
  </si>
  <si>
    <t>JOSE MARIA PEREIRA DOS SANTOS</t>
  </si>
  <si>
    <t>EDMILSO ALVES DA SILVA</t>
  </si>
  <si>
    <t>PEDRO PAULO DE ASSIS</t>
  </si>
  <si>
    <t>HUMBERTO JOSE DA SILVA</t>
  </si>
  <si>
    <t>IDENILSON PAURA RIBEIRO</t>
  </si>
  <si>
    <t>RAFAEL DE MELO</t>
  </si>
  <si>
    <t>IGOR SANTOS PALMEIRA</t>
  </si>
  <si>
    <t>ILDETE ARAUJO COELHO</t>
  </si>
  <si>
    <t>ANTONIO DA CONCEICAO SANTOS</t>
  </si>
  <si>
    <t>IRAM MOREIRA DOS SANTOS</t>
  </si>
  <si>
    <t>IRENO DE JESUS SOUZA</t>
  </si>
  <si>
    <t>IRINEU DE LIMA ASSUMPCAO</t>
  </si>
  <si>
    <t>ANTONIO DE LIMA RIBEIRO</t>
  </si>
  <si>
    <t>EDMILSON BATISTA DO NASCIMENTO</t>
  </si>
  <si>
    <t>RAFAEL DOS SANTOS PALMEIRA DA SILVA</t>
  </si>
  <si>
    <t>RAFAEL LIMA CARDOSO</t>
  </si>
  <si>
    <t>EDMILSON LOPES SALES</t>
  </si>
  <si>
    <t>IRISMAR BARBOSA SILVA</t>
  </si>
  <si>
    <t>RAFAEL OLIVEIRA MATOS</t>
  </si>
  <si>
    <t>RAFAEL RODRIGUES DA SILVA</t>
  </si>
  <si>
    <t>ISAIA DE ANDRADE CRUZ DUARTE</t>
  </si>
  <si>
    <t>ANTONIO FERREIRA FILHO</t>
  </si>
  <si>
    <t>EDMILSON TAVARES RAMOS</t>
  </si>
  <si>
    <t>EDMUNDO DE OLIVEIRA SOUZA</t>
  </si>
  <si>
    <t>ANTONIO GOMES DA MOTA</t>
  </si>
  <si>
    <t>EDNA MONTEIRO DE TOLEDO</t>
  </si>
  <si>
    <t>ISAQUIEL OLIMPIO BERNARDO</t>
  </si>
  <si>
    <t>RAFAEL THEODORO LEITE OLIVEIRA</t>
  </si>
  <si>
    <t>EDNALDO DE LIMA SILVA</t>
  </si>
  <si>
    <t>EDNILSON CARLOS ARCANJO DE JESUS</t>
  </si>
  <si>
    <t>RAILDO PEREIRA DE OLIVEIRA</t>
  </si>
  <si>
    <t>ANTONIO JOSE DE OLIVEIRA</t>
  </si>
  <si>
    <t>EDSON ALBERTINO DA COSTA SILVA</t>
  </si>
  <si>
    <t>RAIMUNDA MARIA DE FREITAS SOUZA</t>
  </si>
  <si>
    <t>EDSON ALMEIDA BONFIM</t>
  </si>
  <si>
    <t>ANTONIO JOSE DOS SANTOS</t>
  </si>
  <si>
    <t>EDSON ANTONIO DA SILVA</t>
  </si>
  <si>
    <t>RAIMUNDA TELES DE ALMEIDA</t>
  </si>
  <si>
    <t>EDSON BERNARDO DA SILVA</t>
  </si>
  <si>
    <t>CAIO PINHEIRO DE SOUSA</t>
  </si>
  <si>
    <t>EDSON BEZERRA DO NASCIMENTO</t>
  </si>
  <si>
    <t>ANTONIO LAERCIO DA SILVA</t>
  </si>
  <si>
    <t>BRUNO SANTOS PINA</t>
  </si>
  <si>
    <t>BRUNO SANTANA DE SA</t>
  </si>
  <si>
    <t>RAIMUNDO JOSE DA SILVA</t>
  </si>
  <si>
    <t>EDSON BRAZ DA SILVA FILHO</t>
  </si>
  <si>
    <t>ANTONIO LIMA DE LACERDA</t>
  </si>
  <si>
    <t>BRUNO PIZOLI DE MORAIS</t>
  </si>
  <si>
    <t>EDSON CARLOS DA SILVA</t>
  </si>
  <si>
    <t>RAIMUNDO JOSE DE SANTANA</t>
  </si>
  <si>
    <t>ANTONIO LUIS SEVERO</t>
  </si>
  <si>
    <t>RAIMUNDO RODRIGUES DOS SANTOS</t>
  </si>
  <si>
    <t>ANTONIO MARCOS MARQUES</t>
  </si>
  <si>
    <t>RAMON RICHARD DA SILVA</t>
  </si>
  <si>
    <t>BRUNO LOPES DA SILVA</t>
  </si>
  <si>
    <t>ANTONIO MARTINS DA SILVA</t>
  </si>
  <si>
    <t>RANIERE GOMES DA SILVA</t>
  </si>
  <si>
    <t>EDSON FERREIRA DA SILVA</t>
  </si>
  <si>
    <t>BRUNO FERNANDES DA SILVA</t>
  </si>
  <si>
    <t>RAUL APARECIDO LADISLAU</t>
  </si>
  <si>
    <t>REGINALDO ASSUMPCAO GARCIA</t>
  </si>
  <si>
    <t>EDSON NASCIMENTO DA SILVA</t>
  </si>
  <si>
    <t>NACISIO JANUARIO DOS SANTOS</t>
  </si>
  <si>
    <t>EDUARDO AMAURI ALVES DA SILVA</t>
  </si>
  <si>
    <t>BENEDITO SOARES DA SILVA</t>
  </si>
  <si>
    <t>EDUARDO ANDRADE DE SANTANA</t>
  </si>
  <si>
    <t>REGINALDO DA SILVA</t>
  </si>
  <si>
    <t>ANTONIO TEIXEIRA VASCONCELOS</t>
  </si>
  <si>
    <t>EDUARDO FELIPE LIRA PACHECO</t>
  </si>
  <si>
    <t>EDUARDO LOPES DA COSTA</t>
  </si>
  <si>
    <t>EDSON DE JESUS GUERRA</t>
  </si>
  <si>
    <t>EDSON LINO DE JESUS</t>
  </si>
  <si>
    <t>JACO LAURIANO DA SILVA</t>
  </si>
  <si>
    <t>JEOVA SULPINO COSTA</t>
  </si>
  <si>
    <t>EDVALDO ALVES</t>
  </si>
  <si>
    <t>EDVALDO ARAUJO DO NASCIMENTO</t>
  </si>
  <si>
    <t>REGINALDO FLORENCIO DA SILVA</t>
  </si>
  <si>
    <t>EDVALDO DA SILVA FERREIRA</t>
  </si>
  <si>
    <t>RICARDO RODRIGUES DAS NEVES</t>
  </si>
  <si>
    <t>EDVALDO NASCIMENTO SILVA</t>
  </si>
  <si>
    <t>JOSE ANTONIO DA SILVA FILHO</t>
  </si>
  <si>
    <t>JOSE APARECIDO BARBOSA DE SOUZA</t>
  </si>
  <si>
    <t>EDVALDO ROCHA DE LIMA</t>
  </si>
  <si>
    <t>EDVALDO RUFINO PEREIRA</t>
  </si>
  <si>
    <t>APARECIDA DE FATIMA RODRIGUES DE CASTRO</t>
  </si>
  <si>
    <t>EDVAN ALVES PINHEIRO</t>
  </si>
  <si>
    <t>RENATO LUIZ PEREIRA</t>
  </si>
  <si>
    <t>JOSE CARLOS HENRIQUE DA SILVA</t>
  </si>
  <si>
    <t>RENATO LUIZ DOS SANTOS</t>
  </si>
  <si>
    <t>APARECIDO DA SILVA</t>
  </si>
  <si>
    <t>JOSE NILTON BASTOS DE OLIVEIRA</t>
  </si>
  <si>
    <t>RENATO FELICIANO</t>
  </si>
  <si>
    <t>JOSE RAIMUNDO DAS CHAGAS</t>
  </si>
  <si>
    <t>EDVAN RIBEIRO DOS SANTOS</t>
  </si>
  <si>
    <t>JOSE EDELSON REIS</t>
  </si>
  <si>
    <t>RENATO DA SILVA PIRES</t>
  </si>
  <si>
    <t>RENATO DA CONCEICAO LUIZ</t>
  </si>
  <si>
    <t>JONAS FERREIRA DA SILVA</t>
  </si>
  <si>
    <t>ELIANE CICERA DUARTE CARDOZO</t>
  </si>
  <si>
    <t>RENATO CALIXTO DE GOUVEIA</t>
  </si>
  <si>
    <t>JONATAS BARBOSA DE OLIVEIRA</t>
  </si>
  <si>
    <t>MARCO ANTONIO DA SILVA</t>
  </si>
  <si>
    <t>REMI GONCALVES DOS SANTOS</t>
  </si>
  <si>
    <t>JOSE JEDSON NICACIO DOS SANTOS</t>
  </si>
  <si>
    <t>ELIAS FERREIRA DOS SANTOS</t>
  </si>
  <si>
    <t>REINALDO MARINHO DO NASCIMENTO</t>
  </si>
  <si>
    <t>EDVALDO FORTUNATO DA SILVA</t>
  </si>
  <si>
    <t>ASSISTENTE ADMINISTRATIVO</t>
  </si>
  <si>
    <t>REGIVAN FERNANDES DOS SANTOS</t>
  </si>
  <si>
    <t>APARECIDO PEDRO DA SILVA</t>
  </si>
  <si>
    <t>REGINALDO GOMES DE LIMA</t>
  </si>
  <si>
    <t>REGINALDO QUERINO DE SOUZA</t>
  </si>
  <si>
    <t>OZEIAS ROSA BARBOSA</t>
  </si>
  <si>
    <t>OZEILDO CONCEICAO NASCIMENTO</t>
  </si>
  <si>
    <t>EGUINALDO ULISSES DO NASCIMENTO</t>
  </si>
  <si>
    <t>MARIVALDO DOS SANTOS DA PAIXAO</t>
  </si>
  <si>
    <t>ARIACILDO BARROS VIEIRA</t>
  </si>
  <si>
    <t>AURELINO DE ALMEIDA SANTOS</t>
  </si>
  <si>
    <t>ARMANDO IZIDIO DOS SANTOS</t>
  </si>
  <si>
    <t>AURELIANO MATIAS MARTINS</t>
  </si>
  <si>
    <t>BENEDITO AMORIM DA SILVA</t>
  </si>
  <si>
    <t>REGINALDO CANDIDO DOS SANTOS</t>
  </si>
  <si>
    <t>RICARDO APARECIDO FERNANDO DE OLIVEIRA</t>
  </si>
  <si>
    <t>ARNALDO FREITAS DO NASCIMENTO</t>
  </si>
  <si>
    <t>BARTOLOMEU SEBASTIAO FELICIANO</t>
  </si>
  <si>
    <t>ARIVALDO DIAS DE ANDRADE</t>
  </si>
  <si>
    <t>ARISVALDO DE OLIVEIRA</t>
  </si>
  <si>
    <t>ARISVALDO LARANJEIRA DA SILVA NASCIMENTO</t>
  </si>
  <si>
    <t>ARNALDO ALVES DE JESUS</t>
  </si>
  <si>
    <t>ANTONIO FRANCISCO GUIMARAES FEITOSA</t>
  </si>
  <si>
    <t>ARNALDO DA SILVA</t>
  </si>
  <si>
    <t>PETRONILIO MACARIO DOS SANTOS</t>
  </si>
  <si>
    <t>ANTONIO DE SOUSA NETO</t>
  </si>
  <si>
    <t>ASSISTENTE DE DEPARTAMENTO PESSOAL</t>
  </si>
  <si>
    <t>DEVAIR MOREIRA ARAUJO</t>
  </si>
  <si>
    <t>ELETRICISTA ADM</t>
  </si>
  <si>
    <t>FILIPE NASCIMENTO DE PAULA</t>
  </si>
  <si>
    <t>JOAO ANDRE GALVAO</t>
  </si>
  <si>
    <t>PEDREIRO PLENO</t>
  </si>
  <si>
    <t>SOLDADOR</t>
  </si>
  <si>
    <t>MARCELO CANDIDO DOS SANTOS</t>
  </si>
  <si>
    <t>MARCUS VINICIUS PIRES</t>
  </si>
  <si>
    <t>PATRICK DOS SANTOS DANTAS</t>
  </si>
  <si>
    <t>ROBSON AMORIM DOS SANTOS</t>
  </si>
  <si>
    <t>SERVENTE</t>
  </si>
  <si>
    <t>SERRALHEIRO</t>
  </si>
  <si>
    <t>VANDECIR GOMES DA SILVA</t>
  </si>
  <si>
    <t>SUPERVISOR OPERACIONAL</t>
  </si>
  <si>
    <t>EDILEUMA DE SOUZA CAETANO</t>
  </si>
  <si>
    <t>ELIANA GONCALVES DA SILVA</t>
  </si>
  <si>
    <t>JOICE MARIA DO NASCIMENTO</t>
  </si>
  <si>
    <t>SANDRO HARUO AGUENA</t>
  </si>
  <si>
    <t>ROBERTO CARLOS DA SILVA</t>
  </si>
  <si>
    <t>SUPERVISOR DE TRAFEGO</t>
  </si>
  <si>
    <t>RENATO PAULINO DOS ANJOS</t>
  </si>
  <si>
    <t>ENCARREGADO DE CONTROLE DE MANUTENCAO</t>
  </si>
  <si>
    <t>FABIO DA COSTA FERNANDES</t>
  </si>
  <si>
    <t>ENCARREGADO DE PLANEJAMENTO</t>
  </si>
  <si>
    <t>GUSTAVO VALZACHI BENATTI</t>
  </si>
  <si>
    <t>GERENTE OPERACIONAL</t>
  </si>
  <si>
    <t>VICTOR ROLOFF MARQUES</t>
  </si>
  <si>
    <t>GERENTE DE FROTA</t>
  </si>
  <si>
    <t>JOAO PAULO SALES DE PAULA</t>
  </si>
  <si>
    <t>GERENTE DE PLANEJAMENTO</t>
  </si>
  <si>
    <t>DJAIR PATRICIO DA SILVA</t>
  </si>
  <si>
    <t>CARLA JANAINY BATISTA OLIVEIRA</t>
  </si>
  <si>
    <t>MONICA PAULA DA SILVA</t>
  </si>
  <si>
    <t>COORDENADOR(A) DE COMUNICACAO</t>
  </si>
  <si>
    <t>PRISCILA ALVES DE LIMA SILVA</t>
  </si>
  <si>
    <t>PAMELA SUELEN FIORENTINI</t>
  </si>
  <si>
    <t>AUXILIAR DE CONTROLE OPERACIONAL</t>
  </si>
  <si>
    <t>JULIANA CORREA DE BARROS</t>
  </si>
  <si>
    <t>BILLY JOE ZAKARIAN</t>
  </si>
  <si>
    <t>RAFAEL COSTA BORGES PEREIRA</t>
  </si>
  <si>
    <t>CRISTIANO DA SILVA OLIVEIRA</t>
  </si>
  <si>
    <t>LEONARDO FRANCISCO DOS SANTOS</t>
  </si>
  <si>
    <t>CRISTIANO APARECIDO VIEIRA LUZ</t>
  </si>
  <si>
    <t>ASSISTENTE DE ALMOXARIFADO</t>
  </si>
  <si>
    <t>DANIEL SOUZA SANTOS ALEXANDRE</t>
  </si>
  <si>
    <t>DANIEL ALEXANDRE DA COSTA MARQUES</t>
  </si>
  <si>
    <t>MECANICO III</t>
  </si>
  <si>
    <t>ERIVALDO TIBURCIO DE MELO</t>
  </si>
  <si>
    <t>MARIA DE FATIMA CORREIA DA SILVA</t>
  </si>
  <si>
    <t>KARINA CRISTINA BORGES DOS SANTOS</t>
  </si>
  <si>
    <t>ENGENHEIRO COORDENADOR QSMS</t>
  </si>
  <si>
    <t>MARIA APARECIDA NOBRE CAVALCANTE</t>
  </si>
  <si>
    <t>ELEN CRISTINA GOMES</t>
  </si>
  <si>
    <t>ANDERSON SOUZA DE OLIVEIRA</t>
  </si>
  <si>
    <t>ALEX DE SOUZA SILVA</t>
  </si>
  <si>
    <t>ASSISTENTE DE RECURSOS HUMANOS</t>
  </si>
  <si>
    <t>PAULO BATISTA FERNANDES</t>
  </si>
  <si>
    <t>WILLIAM LUIZ DA SILVA</t>
  </si>
  <si>
    <t>TECNICA DE ENFERMAGEM DO TRABALHO</t>
  </si>
  <si>
    <t>ANDRE LUIZ MOTTA</t>
  </si>
  <si>
    <t>JOSE ROBERTO MARQUES DE LIMA</t>
  </si>
  <si>
    <t>ANTONIO DOMINGOS MILANO</t>
  </si>
  <si>
    <t>MEDICO DO TRABALHO</t>
  </si>
  <si>
    <t>RENALDO VIEIRA SANTOS</t>
  </si>
  <si>
    <t>BARBARA BAUSCHERT</t>
  </si>
  <si>
    <t>ANALISTA JURIDICO</t>
  </si>
  <si>
    <t>WILLIAN DOS SANTOS LOPES</t>
  </si>
  <si>
    <t>VANILTON DOS SANTOS</t>
  </si>
  <si>
    <t>LILIANE ROSA FURTADO DA SILVA</t>
  </si>
  <si>
    <t>RICARDO APARECIDO DA CONCEICAO</t>
  </si>
  <si>
    <t>MARCELO SILVA DE OLIVEIRA</t>
  </si>
  <si>
    <t>VITOR BARRETO DOS SANTOS</t>
  </si>
  <si>
    <t>PAULO CESAR SILVA SANTOS</t>
  </si>
  <si>
    <t>WILLI CORREIA DOS SANTOS</t>
  </si>
  <si>
    <t>ROBERSON DOS SANTOS ALVES</t>
  </si>
  <si>
    <t>PAULO CARLOS PRADO LOURENCO</t>
  </si>
  <si>
    <t>REGIS RODRIGUES DE OLIVEIRA</t>
  </si>
  <si>
    <t>ALEX JUNIOR FERREIRA DE MELO</t>
  </si>
  <si>
    <t>NATANAEL ALBINO DE OLIVEIRA</t>
  </si>
  <si>
    <t>MARIA ISABEL DA SILVA NUNES</t>
  </si>
  <si>
    <t>GUILHERME DA SILVA FIM</t>
  </si>
  <si>
    <t>EDNALDO BARBOSA SILVA</t>
  </si>
  <si>
    <t>JOSE RIBEIRO DE MOURA</t>
  </si>
  <si>
    <t>FABIO ROBERTO DOS SANTOS</t>
  </si>
  <si>
    <t>VALDIR ROCHSTROCH BATISTA</t>
  </si>
  <si>
    <t>RONALDO ROCHA DA SILVA</t>
  </si>
  <si>
    <t>VAGNER VIANA</t>
  </si>
  <si>
    <t>JOVELINO MANOEL DA SILVA</t>
  </si>
  <si>
    <t>MOISES MENDES DE QUEIROZ</t>
  </si>
  <si>
    <t>ADINALDO MORAIS</t>
  </si>
  <si>
    <t>CARLOS EDUARDO DOS REIS</t>
  </si>
  <si>
    <t>MARCOS PAIVA DA SILVA</t>
  </si>
  <si>
    <t>ERDILENE RODRIGUES DE SOUSA</t>
  </si>
  <si>
    <t>ROGERIO SILVA PEREIRA</t>
  </si>
  <si>
    <t>RICARDO PINTO DA CONCEICAO</t>
  </si>
  <si>
    <t>REGINALDO DE OLIVEIRA COUTO</t>
  </si>
  <si>
    <t>FABIO ALVES DE LIMA</t>
  </si>
  <si>
    <t>THIAGO RANGEL DA SILVA</t>
  </si>
  <si>
    <t>JANAUCI LUIZ DOS SANTOS</t>
  </si>
  <si>
    <t>WILLINS RODRIGO TEODORO</t>
  </si>
  <si>
    <t>BRUNO DOS SANTOS SILVA</t>
  </si>
  <si>
    <t>MARCOS CAIQUE DE SOUZA SANTOS</t>
  </si>
  <si>
    <t>MAURICIO CAMPOS DOS SANTOS</t>
  </si>
  <si>
    <t>ALEX SANDRO DA SILVA XAVIER</t>
  </si>
  <si>
    <t>EMANOEL GOMES DA SILVA</t>
  </si>
  <si>
    <t>FELIPE GOMES DA SILVA</t>
  </si>
  <si>
    <t>WESLEY SILVA COSTA</t>
  </si>
  <si>
    <t>ELISANGELA VIEIRA DE SOUZA CORREIA</t>
  </si>
  <si>
    <t>VITOR DA CRUZ SANTOS</t>
  </si>
  <si>
    <t>DANIEL MARCOS DA SILVA</t>
  </si>
  <si>
    <t>RODRIGO SOARES</t>
  </si>
  <si>
    <t>JOSE JOELTON DOS SANTOS</t>
  </si>
  <si>
    <t>JOSE ALBERTO DE CASTRO BESERRA</t>
  </si>
  <si>
    <t>DAVID BARBOSA EVANGELISTA</t>
  </si>
  <si>
    <t>CARLOS RICARDO RAMOS DOS SANTOS</t>
  </si>
  <si>
    <t>FABIO JOSE DOS SANTOS</t>
  </si>
  <si>
    <t>PEDREIRO</t>
  </si>
  <si>
    <t>WAGNER BARBOSA DA SILVA</t>
  </si>
  <si>
    <t>ARNALDO BATISTA DE SOUSA</t>
  </si>
  <si>
    <t>EDUARDO EVANGELISTA DE CARVALHO</t>
  </si>
  <si>
    <t>CLEBSMAR ROCHA DE ALMEIDA</t>
  </si>
  <si>
    <t>LUCIANO FRANCISCO DOS SANTOS</t>
  </si>
  <si>
    <t>ANDERSON SILVA PEREIRA</t>
  </si>
  <si>
    <t>CICERO DIAS FERREIRA</t>
  </si>
  <si>
    <t>REINALDO ARAUJO DOS SANTOS</t>
  </si>
  <si>
    <t>JOAO JOAQUIM DOS SANTOS FILHO</t>
  </si>
  <si>
    <t>ANDRE GONCALVES CRUZ</t>
  </si>
  <si>
    <t>GLEYSSON NASCIMENTO DOS SANTOS</t>
  </si>
  <si>
    <t>EMERSON JESUS DO CARMO</t>
  </si>
  <si>
    <t>CARLOS ALBERTO ALVES</t>
  </si>
  <si>
    <t>RAFAEL LIMA SOUZA</t>
  </si>
  <si>
    <t>FABRICIO REGIS DO REGO</t>
  </si>
  <si>
    <t>ADRIANO OLIVEIRA DOS SANTOS</t>
  </si>
  <si>
    <t>ANDERSON FERNANDES DA SILVA</t>
  </si>
  <si>
    <t>MARCOS ANTONIO BERNARDINO DE SENA</t>
  </si>
  <si>
    <t>ADINALDO DE OLIVEIRA BASTOS</t>
  </si>
  <si>
    <t>ANALCASSIS LAMBIAZZI</t>
  </si>
  <si>
    <t>ANDERSON DE ALMEIDA SILVA</t>
  </si>
  <si>
    <t>ANDRE DA SILVA LIVERO</t>
  </si>
  <si>
    <t>ANDRE LOPES DE SOUZA</t>
  </si>
  <si>
    <t>ANDRE LUIZ MIGUEL</t>
  </si>
  <si>
    <t>CARLOS EDUARDO MACHADO SANTOS</t>
  </si>
  <si>
    <t>CLENILSON REIS SANTOS</t>
  </si>
  <si>
    <t>DANILO DE ALMEIDA</t>
  </si>
  <si>
    <t>EDSON CARLOS DOS SANTOS</t>
  </si>
  <si>
    <t>ELISANGELA BARRETO OLIVEIRA</t>
  </si>
  <si>
    <t>ERIK RIBEIRO DA SILVA</t>
  </si>
  <si>
    <t>FABIO DOS SANTOS SOUZA</t>
  </si>
  <si>
    <t>FABIANO SILVA LEITAO</t>
  </si>
  <si>
    <t>GUSTAVO DO NASCIMENTO BATISTA</t>
  </si>
  <si>
    <t>NILVAN CHARLES NUNES LOPES</t>
  </si>
  <si>
    <t>JOSE REGINALDO DA SILVA</t>
  </si>
  <si>
    <t>MARCELO DE OLIVEIRA FELIPE</t>
  </si>
  <si>
    <t>FELIPE DOS SANTOS</t>
  </si>
  <si>
    <t>EDSON OLIVEIRA SOUSA</t>
  </si>
  <si>
    <t>ROBERTO DA CRUZ RIBEIRO DA SILVA</t>
  </si>
  <si>
    <t>MAURO MIGUEL SATO DE LIMA</t>
  </si>
  <si>
    <t>RENATO MARQUES DE SOUSA</t>
  </si>
  <si>
    <t>LEANDRO SILVA DE SOUZA</t>
  </si>
  <si>
    <t>PAULO RICARDO SOARES SILVA DOS SANTOS</t>
  </si>
  <si>
    <t>JOSE ADALBERTO CORREIA</t>
  </si>
  <si>
    <t>RONILDO MENDES SOUZA</t>
  </si>
  <si>
    <t>WILSON CAMARGO DE AMANCIO</t>
  </si>
  <si>
    <t>LEONARDO JOSE DA SILVA</t>
  </si>
  <si>
    <t>MILTON MILET DE JESUS CASSEMIRO</t>
  </si>
  <si>
    <t>VALDEIR SILVA LEITAO</t>
  </si>
  <si>
    <t>MARCOS BRITO DA SILVA</t>
  </si>
  <si>
    <t>ANDERSON TAVARES OLIVEIRA</t>
  </si>
  <si>
    <t>NIVALDO MARQUES DOS SANTOS</t>
  </si>
  <si>
    <t>ADEILTON GOMES DA SILVA</t>
  </si>
  <si>
    <t>FLAVIO DOS SANTOS MALAQUIAS</t>
  </si>
  <si>
    <t>HELIO CORDEIRO LUCIO</t>
  </si>
  <si>
    <t>WILSON CARDOSO BARBOSA</t>
  </si>
  <si>
    <t>FRANCISCO GEAN PEREIRA DE ARAUJO</t>
  </si>
  <si>
    <t>ODAIR DA SILVA HESSEL</t>
  </si>
  <si>
    <t>JAIR VIEIRA DA COSTA</t>
  </si>
  <si>
    <t>CLEBIO SOUZA SANTOS</t>
  </si>
  <si>
    <t>DANIEL CARDOSO DA SILVA</t>
  </si>
  <si>
    <t>ADEMIR HENRIQUE DO NASCIMENTO</t>
  </si>
  <si>
    <t>DAMIAO COSTA PEREIRA DOS SANTOS</t>
  </si>
  <si>
    <t>ELVIS DOS SANTOS BATISTA</t>
  </si>
  <si>
    <t>FELIPE CESAR SATO AZEVEDO</t>
  </si>
  <si>
    <t>JOELIO DE OLIVEIRA NASCIMENTO</t>
  </si>
  <si>
    <t>JOSE CARLOS PEREIRA DOS SANTOS</t>
  </si>
  <si>
    <t>JHONATAN SILVIO RODRIGUES</t>
  </si>
  <si>
    <t>JOSE RAIMUNDO DA SILVA</t>
  </si>
  <si>
    <t>KELVIN CARLOS DE SOUSA AMORIM</t>
  </si>
  <si>
    <t>MATHEUS SILVA DA CUNHA</t>
  </si>
  <si>
    <t>NATHALIA APARECIDA OLIVEIRA MENDES</t>
  </si>
  <si>
    <t>RENAN BARBOSA SILVA</t>
  </si>
  <si>
    <t>MARCOS SANTANA DE JESUS</t>
  </si>
  <si>
    <t>ROGERIO ALEXANDRE DE SOUZA</t>
  </si>
  <si>
    <t>RUBENS DA ROCHA</t>
  </si>
  <si>
    <t>VALCI OLIVEIRA DOS SANTOS</t>
  </si>
  <si>
    <t>JOSE SILVA DE CARVALHO</t>
  </si>
  <si>
    <t>IGOR SANTOS SILVA</t>
  </si>
  <si>
    <t>WAGNER VARGENS DE ALMEIDA</t>
  </si>
  <si>
    <t>ILSON ROBERTO FONSECA</t>
  </si>
  <si>
    <t>JOSE ROSA DE LIMA</t>
  </si>
  <si>
    <t>FRANCISCO DE ASSIS SOUZA</t>
  </si>
  <si>
    <t>RONIE FERREIRA DOS SANTOS</t>
  </si>
  <si>
    <t>ROMILDO DOS SANTOS SILVA</t>
  </si>
  <si>
    <t>ISRAEL DO NASCIMENTO SILVA</t>
  </si>
  <si>
    <t>AIRTON DE JESUS SANTOS</t>
  </si>
  <si>
    <t>ANDERSON BARROS DA SILVA</t>
  </si>
  <si>
    <t>ANTONIO RODRIGUES DA SILVA</t>
  </si>
  <si>
    <t>ALECIO CARVALHO DA SILVA</t>
  </si>
  <si>
    <t>EDIVALDO SILVA DA COSTA</t>
  </si>
  <si>
    <t>PAULO FRANCISCO DO PRADO SILVA</t>
  </si>
  <si>
    <t>WAGNER SANTANA XAVIER</t>
  </si>
  <si>
    <t>CRISTIANO BASTOS DE OLIVEIRA</t>
  </si>
  <si>
    <t>JOSE LOURENCO DE SOUSA</t>
  </si>
  <si>
    <t>JAMES RODRIGUES DA SILVA</t>
  </si>
  <si>
    <t>MAURO JOSE DE JESUS SILVA</t>
  </si>
  <si>
    <t>FELIPE CUSTODIO DA SILVA</t>
  </si>
  <si>
    <t>EDIVAN FERREIRA DA SILVA</t>
  </si>
  <si>
    <t>CICERO FERREIRA DA SILVA</t>
  </si>
  <si>
    <t>MARCELO ROBERTO DE OLIVEIRA</t>
  </si>
  <si>
    <t>ADEMILSON DE JESUS</t>
  </si>
  <si>
    <t>ANTONIO DEODATO DE ALBUQUERQUE</t>
  </si>
  <si>
    <t>ORLANDO DE SOUZA BATISTA</t>
  </si>
  <si>
    <t>EDINEI RAMOS DE LIMA</t>
  </si>
  <si>
    <t>KATIA CONCEICAO ROCHA</t>
  </si>
  <si>
    <t>FELIPE DE SOUZA TELES</t>
  </si>
  <si>
    <t>FELIPE DE JESUS</t>
  </si>
  <si>
    <t>MARCELO DE SOUZA JACO DOS SANTOS</t>
  </si>
  <si>
    <t>SILVIO SOARES VIEIRA</t>
  </si>
  <si>
    <t>KELLINGTON ALVES PEREIRA</t>
  </si>
  <si>
    <t>LEANDRO GOMES DA SILVA</t>
  </si>
  <si>
    <t>CLAUDIONOR PROCOPIO DE OLIVEIRA</t>
  </si>
  <si>
    <t>JORNANDES JOSE BATISTA</t>
  </si>
  <si>
    <t>FLAVIO MANOEL DUARTE</t>
  </si>
  <si>
    <t>CARLOS ALBERTO VIEIRA</t>
  </si>
  <si>
    <t>CLAUDEMIR APARECIDO DE FREITAS</t>
  </si>
  <si>
    <t>NELSON NASCIMENTO DE OLIVEIRA JUNIOR</t>
  </si>
  <si>
    <t>MARIANA OLIVEIRA</t>
  </si>
  <si>
    <t>JULIA KATHLEEN OLIVEIRA DOS SANTOS</t>
  </si>
  <si>
    <t>LIGIA GOMES DA CRUZ</t>
  </si>
  <si>
    <t>FELIPE MENDES DO AMARANTE SOUSA</t>
  </si>
  <si>
    <t>DENSON RIBEIRO DA SILVA</t>
  </si>
  <si>
    <t>JAQUELINE DE ANDRADE GARCIA</t>
  </si>
  <si>
    <t>GABRIEL DA SILVA PRADO</t>
  </si>
  <si>
    <t>JOSE ROBSON DA SILVA</t>
  </si>
  <si>
    <t>LUIZ HENRIQUE SANTOS DE OLIVEIRA</t>
  </si>
  <si>
    <t>CARLOS APARIZ BARBOSA</t>
  </si>
  <si>
    <t>JACIRA DA SILVA ALBANO</t>
  </si>
  <si>
    <t>ALEX JULIO SILVA PEREIRA</t>
  </si>
  <si>
    <t>SIMONE MORAIS DOS SANTOS</t>
  </si>
  <si>
    <t>LEANDRO SOARES DA CRUZ</t>
  </si>
  <si>
    <t>CARLOS ALBERTO BISPO DA CRUZ</t>
  </si>
  <si>
    <t>EVERTON FREITAS DA SILVA</t>
  </si>
  <si>
    <t>MAURO SERGIO DOS SANTOS MENDES</t>
  </si>
  <si>
    <t>CICERO SILVA FRANCO</t>
  </si>
  <si>
    <t>ALAN ROCHA DA SILVA</t>
  </si>
  <si>
    <t>DIEGO SANTOS MUNIZ ALMEIDA</t>
  </si>
  <si>
    <t>ADRIANO MARCELO DOS SANTOS</t>
  </si>
  <si>
    <t>THIAGO PEREIRA DA COSTA</t>
  </si>
  <si>
    <t>RODRIGO PEREIRA BARROS</t>
  </si>
  <si>
    <t>VALTER PEREIRA</t>
  </si>
  <si>
    <t>SIDNEY APARECIDO FERREIRA</t>
  </si>
  <si>
    <t>ROBERTO SOARES CARDOSO</t>
  </si>
  <si>
    <t>VALDINEI GONCALVES DOS SANTOS</t>
  </si>
  <si>
    <t>ADRIANO DE PAIVA BOTELHO</t>
  </si>
  <si>
    <t>DIEGO SANTOS NASCIMENTO</t>
  </si>
  <si>
    <t>DOUGLAS BARRETO DE SOUSA</t>
  </si>
  <si>
    <t>MARCIO JOSE DE LIMA BARBOSA</t>
  </si>
  <si>
    <t>ISAQUE DE LIMA</t>
  </si>
  <si>
    <t>RENAN RODRIGUES DE FREITAS</t>
  </si>
  <si>
    <t>JULIANA DA SILVA ANDREOLI</t>
  </si>
  <si>
    <t>GERALDO CORREA</t>
  </si>
  <si>
    <t>IVANILDO SANTOS NOVAIS</t>
  </si>
  <si>
    <t>RUDINEI SILVA FERREIRA DA CRUZ</t>
  </si>
  <si>
    <t>HENRIQUE LISBOA DA SILVA</t>
  </si>
  <si>
    <t>CLAUDIO HENRIQUE RUFINO RODRIGUES</t>
  </si>
  <si>
    <t>GUILHERME MARINHO DOS SANTOS</t>
  </si>
  <si>
    <t>RICARDO GOMES</t>
  </si>
  <si>
    <t>LUIZ PAULO WANDERLEY DE CARVALHO</t>
  </si>
  <si>
    <t>VICTOR GUILHERME DE PAULA</t>
  </si>
  <si>
    <t>GABRIEL BARBOSA SOUZA</t>
  </si>
  <si>
    <t>DAVID DA SILVA QUIRINO</t>
  </si>
  <si>
    <t>RHUAN MATHEUS PEREIRA BARRETO</t>
  </si>
  <si>
    <t>AMARILDO LOPES SANTANA</t>
  </si>
  <si>
    <t>TIAGO ALVES CORREIA</t>
  </si>
  <si>
    <t>KEVIN DANNIEL CARDOSO DA SILVA</t>
  </si>
  <si>
    <t>LORIVAL LOPES</t>
  </si>
  <si>
    <t>JOSE IVANALDO DA SILVA</t>
  </si>
  <si>
    <t>GILSON MUNIZ SILVA</t>
  </si>
  <si>
    <t>COSME COSTA FERREIRA DA SILVA</t>
  </si>
  <si>
    <t>MAURICIO DA LUZ SARDINHA</t>
  </si>
  <si>
    <t>DANIELE CRISTINA PEDRO</t>
  </si>
  <si>
    <t>NADIO BORBA DOS SANTOS</t>
  </si>
  <si>
    <t>MATHEUS BATISTA CELSO</t>
  </si>
  <si>
    <t>ERIC DOS SANTOS PINTO</t>
  </si>
  <si>
    <t>GUILHERME PIOVESAN CUSTODIO</t>
  </si>
  <si>
    <t>ADILSON FERREIRA DO NASCIMENTO</t>
  </si>
  <si>
    <t>PAULO CESAR RODRIGUES</t>
  </si>
  <si>
    <t>CLAUDIO DA SILVA GOMES</t>
  </si>
  <si>
    <t>FERNANDO SARDINHA MIGUEL DE LIMA</t>
  </si>
  <si>
    <t>GERRI ALVES DOS SANTOS</t>
  </si>
  <si>
    <t>ID</t>
  </si>
  <si>
    <t>REGIONAL</t>
  </si>
  <si>
    <t>NOME</t>
  </si>
  <si>
    <t>CARGO</t>
  </si>
  <si>
    <t>Em Atividade Normal</t>
  </si>
  <si>
    <t>Gozando Férias</t>
  </si>
  <si>
    <t>ADMISSÃO</t>
  </si>
  <si>
    <t>SITUAÇÃO</t>
  </si>
  <si>
    <t>AILTON CLAUDINO DA SILVA</t>
  </si>
  <si>
    <t>ANTONIO ALVES CONCEICAO FILHO</t>
  </si>
  <si>
    <t>ANTONIO DA SILVA MENDES</t>
  </si>
  <si>
    <t>BIANCA ALMEIDA BIAGIONI</t>
  </si>
  <si>
    <t>COSME COSTA PEREIRA DOS SANTOS</t>
  </si>
  <si>
    <t>DIVA BRANDINO DE MORAES GONCALVES</t>
  </si>
  <si>
    <t>JOSE ROBERTO DE LIMA FERREIRA</t>
  </si>
  <si>
    <t>MAYCON KEVEN BRITO SILVA</t>
  </si>
  <si>
    <t>KARINA MARIA LIMA</t>
  </si>
  <si>
    <t>LUCIANO ROBERTO DE OLIVEIRA</t>
  </si>
  <si>
    <t>MICHELE APARECIDA GOMES</t>
  </si>
  <si>
    <t>PAULO HENRIQUE DOS ANJOS</t>
  </si>
  <si>
    <t>RAFAEL RODRIGUES DE FREITAS</t>
  </si>
  <si>
    <t>THIAGO FERREIRA DA SILVA</t>
  </si>
  <si>
    <t>ECOSAMPA PJ</t>
  </si>
  <si>
    <t>WILSON ROBERTO DE OLIVEIRA</t>
  </si>
  <si>
    <t>GERENTE ADMINISTRATIVO</t>
  </si>
  <si>
    <t>RENAN SOUZA OLIVEIRA ANDRADE</t>
  </si>
  <si>
    <t>SUPERINTENDENTE OPERACIONAL</t>
  </si>
  <si>
    <t>IOLANDA MARIA DA SILVA</t>
  </si>
  <si>
    <t>GLEICE FERNANDES DA SILVA</t>
  </si>
  <si>
    <t>JULIE DA SILVA PEREIRA</t>
  </si>
  <si>
    <t>BRUNO ANDRADE DA COSTA</t>
  </si>
  <si>
    <t>JOAO VITOR GOMES RIBEIRO</t>
  </si>
  <si>
    <t>RICARDO APARECIDO LEANDRO</t>
  </si>
  <si>
    <t>ROBSON NUNES MACARIO</t>
  </si>
  <si>
    <t>JOSE DE ASSIS DA SILVA</t>
  </si>
  <si>
    <t>LUIZ MORGADO</t>
  </si>
  <si>
    <t>ALBINO ISIDORO</t>
  </si>
  <si>
    <t>MANOEL DOS SANTOS DE LIRA TEIXEIRA</t>
  </si>
  <si>
    <t>DONIAS DO NASCIMENTO</t>
  </si>
  <si>
    <t>EDIVALDO NEVES DA MATA</t>
  </si>
  <si>
    <t>MARCELO FEITOZA SANTOS</t>
  </si>
  <si>
    <t>ANALISTA DE PLANEJAMENTO OPERACIONAL</t>
  </si>
  <si>
    <t>RODRIGO LISO DOS SANTOS</t>
  </si>
  <si>
    <t>FABIANA ARIANE TEIXEIRA DOS REIS</t>
  </si>
  <si>
    <t>THIAGO CELESTINO DE SOUZA</t>
  </si>
  <si>
    <t>GABRIEL ANTONIO COSTA DA SILVA</t>
  </si>
  <si>
    <t>RONALDO PEREIRA LOPES</t>
  </si>
  <si>
    <t>JACSON VALENTIM</t>
  </si>
  <si>
    <t>ALEXANDRE GEAN DA SILVA SANTOS</t>
  </si>
  <si>
    <t>GABRIEL SILVA MARQUES TRAJANO</t>
  </si>
  <si>
    <t>MARIA CELIA DE JESUS PEREIRA</t>
  </si>
  <si>
    <t>LOG VA</t>
  </si>
  <si>
    <t>LOG VR</t>
  </si>
  <si>
    <t>TOTAL</t>
  </si>
  <si>
    <t>FALTAS</t>
  </si>
  <si>
    <t>Auxílio-Doença</t>
  </si>
  <si>
    <t>ADILSON DE MATOS FERREIRA JUNIOR</t>
  </si>
  <si>
    <t>DIOGENES CARDOSO BARBOSA</t>
  </si>
  <si>
    <t>ORLANDO SEBASTIAO DA SILVA</t>
  </si>
  <si>
    <t>ADILSON GOMES EMIDIO</t>
  </si>
  <si>
    <t>FABIANO ANSALDI DOMINGOS</t>
  </si>
  <si>
    <t>GENEILSON RODRIGUES DA SILVA</t>
  </si>
  <si>
    <t>Total Geral</t>
  </si>
  <si>
    <t>Demitido no Mês</t>
  </si>
  <si>
    <t>Rótulos de Linha</t>
  </si>
  <si>
    <t>QUANT.</t>
  </si>
  <si>
    <t>Total Geral - PEDIDO</t>
  </si>
  <si>
    <t>PEDIDO COMPLEMENTAR</t>
  </si>
  <si>
    <t>TOTAL DE PEDIDOS NO MÊS</t>
  </si>
  <si>
    <t>COMPRA DE VALE REFEIÇÃO</t>
  </si>
  <si>
    <t>VALOR DO PEDIDO</t>
  </si>
  <si>
    <t>VALOR NOTA ALELO</t>
  </si>
  <si>
    <t>TOTAL VR</t>
  </si>
  <si>
    <t>COMPRA DE VALE ALIMENTAÇÃO</t>
  </si>
  <si>
    <t>TOTAL VA</t>
  </si>
  <si>
    <t>TOTAL VA / VR</t>
  </si>
  <si>
    <t>VENCIMENTO</t>
  </si>
  <si>
    <t>QUANT</t>
  </si>
  <si>
    <t>DIFERENÇA</t>
  </si>
  <si>
    <t>DESCRIÇÃO</t>
  </si>
  <si>
    <t>LUIZ PAULO WANDERLEY DE CARVAL</t>
  </si>
  <si>
    <t>Vale Refeição</t>
  </si>
  <si>
    <t>VR (pg no  VA) - EcoSampa</t>
  </si>
  <si>
    <t>ADAELSON ADAUTO S DE SIQUEIRA</t>
  </si>
  <si>
    <t>AGRIPINO BRANDAO DE SOUZA SOBR</t>
  </si>
  <si>
    <t>VR - EcoSampa - Operacional</t>
  </si>
  <si>
    <t>ANNA KAROLINIE G DOS SANTOS</t>
  </si>
  <si>
    <t>ANTONIO AIRTON BARBOSA ALEXAND</t>
  </si>
  <si>
    <t>ANTONIO CARLOS S DOS SANTOS</t>
  </si>
  <si>
    <t>ANTONIO FRANCISCO G FEITOSA</t>
  </si>
  <si>
    <t>APARECIDA DE F R DE CASTRO</t>
  </si>
  <si>
    <t>ARISVALDO L DA S NASCIMENTO</t>
  </si>
  <si>
    <t>ARLETE CRISTINA DOS SANTOS AMO</t>
  </si>
  <si>
    <t>CARLOS ALBERTO Q OLIVEIRA</t>
  </si>
  <si>
    <t>CARLOS HENRIQUE TEIXEIRA</t>
  </si>
  <si>
    <t>CARLOS RICARDO RAMOS</t>
  </si>
  <si>
    <t>CHRISTIAN ALVES SIQUEIRA DE OL</t>
  </si>
  <si>
    <t>CLAUDIO HENRIQUE RUFINO</t>
  </si>
  <si>
    <t>CLAUDIONOR PROCOPIO DE OLIVEIR</t>
  </si>
  <si>
    <t>CLERISTON BELAU DOS SANTOS</t>
  </si>
  <si>
    <t>DAMIAO COSTA PEREIRA</t>
  </si>
  <si>
    <t>DANIEL ALEXANDRE DA COSTA</t>
  </si>
  <si>
    <t>DAVI FERREIRA DOS SANTOS RODRI</t>
  </si>
  <si>
    <t>DIVA BRANDINO DE MORAES GONCAL</t>
  </si>
  <si>
    <t>DOUGLAS SABINO SILVA DOS SANTO</t>
  </si>
  <si>
    <t>EDNILSON CARLOS ARCANJO</t>
  </si>
  <si>
    <t>EDUARDO EVANGELISTA</t>
  </si>
  <si>
    <t>EGUINALDO ULISSES NO NASCIMENT</t>
  </si>
  <si>
    <t>ELISANGELA VIEIRA DE SOUZA</t>
  </si>
  <si>
    <t>FABIANA ARIANE TEIXEIRA</t>
  </si>
  <si>
    <t>FABIANO PEREIRA DE OLIVEIRA SA</t>
  </si>
  <si>
    <t>FELIPE MENDES DO AMARANTE SOUS</t>
  </si>
  <si>
    <t>FERNANDO SARDINHA MIGUEL DE LI</t>
  </si>
  <si>
    <t>FRANCISCO CARLOS LIMEIRA DA SI</t>
  </si>
  <si>
    <t>FRANCISCO DAS CHAGAS GOMES PIN</t>
  </si>
  <si>
    <t>FRANCISCO DE ASSIS ALEXANDRE</t>
  </si>
  <si>
    <t>FRANCISCO EDIVALDO GALDINO FRE</t>
  </si>
  <si>
    <t>FRANCISCO ERIVAN DA SILVA FELI</t>
  </si>
  <si>
    <t>FRANCISCO GEAN PEREIRA DE ARAU</t>
  </si>
  <si>
    <t>FRANCISCO NILBERTO BEZERRA</t>
  </si>
  <si>
    <t>FRANCISNALDO DA SILVA NEPOMUCE</t>
  </si>
  <si>
    <t>GERALDO EVANGELISTA DE CARVALH</t>
  </si>
  <si>
    <t>HENRIQUE BARBOSA DE SOUSA CORD</t>
  </si>
  <si>
    <t>JAILTON DA SILVA A NASCIMENTO</t>
  </si>
  <si>
    <t>JOAO EVANGELISTA V NASCIMENTO</t>
  </si>
  <si>
    <t>JOSE APARECIDO B DE SOUZA</t>
  </si>
  <si>
    <t>JOSE DOMINGOS A DE OLIVEIRA</t>
  </si>
  <si>
    <t>JOSE GEAN F DA SILVA ARAUJO</t>
  </si>
  <si>
    <t>JULIA KATHLEEN OLIVEIRA</t>
  </si>
  <si>
    <t>JULIANO LAURINDO CAMILO VICENT</t>
  </si>
  <si>
    <t>JUNIOR CESAR APARECIDO FERREIR</t>
  </si>
  <si>
    <t>KARINA CRISTINA BORGES</t>
  </si>
  <si>
    <t>KELVIN CARLOS DE SOUSA</t>
  </si>
  <si>
    <t>KLEBERT MARCOS DA SILVA FERREI</t>
  </si>
  <si>
    <t>LUIZ HENRIQUE SANTOS DE OLIVEI</t>
  </si>
  <si>
    <t>MANOEL CARLOS DA SILVA FIGUEIR</t>
  </si>
  <si>
    <t>MANOEL DOS SANTOS DE LIRA TEIX</t>
  </si>
  <si>
    <t>MANOEL FRANCISCO DA SILVA HEME</t>
  </si>
  <si>
    <t>MANOEL JOSE DO NASCIMENTO JUNI</t>
  </si>
  <si>
    <t>MARCELO DE PAULA VIEIRA DA SIL</t>
  </si>
  <si>
    <t>MARCELO DE SOUZA JACO</t>
  </si>
  <si>
    <t>MARCIO ROGERIO DA SILVA MARTIN</t>
  </si>
  <si>
    <t>MARCOS ALEXANDRE FERREIRA CARV</t>
  </si>
  <si>
    <t>MARCOS AURELIO DA COSTA MONTEI</t>
  </si>
  <si>
    <t>MARIA APARECIDA N CAVALCANTE</t>
  </si>
  <si>
    <t>MARIA DA CONCEICAO DE S FELIX</t>
  </si>
  <si>
    <t>MARIA DE FATIMA CORREIA</t>
  </si>
  <si>
    <t>MARIA DE FATIMA FARIAS SILVA</t>
  </si>
  <si>
    <t>MICHAEL DOUGLAS DOS SANTOS ALV</t>
  </si>
  <si>
    <t>MICHAEL JACKSON DE OLIVEIRA AL</t>
  </si>
  <si>
    <t>MISSIMEIRE FERREIRA LIMA DOS S</t>
  </si>
  <si>
    <t>NATHALIA APARECIDA OLIVEIRA</t>
  </si>
  <si>
    <t>NELSON ROBERTO RIBEIRO DA SILV</t>
  </si>
  <si>
    <t>RAIMUNDA MARIA DE FREITAS SOUZ</t>
  </si>
  <si>
    <t>RICARDO APARECIDO FERNANDO</t>
  </si>
  <si>
    <t>ROBERTO DA CRUZ RIBEIRO</t>
  </si>
  <si>
    <t>ROGERIO LUIZ RODRIGUES DA SILV</t>
  </si>
  <si>
    <t>RUBENS SANTOS OLIVEIRA JUNIOR</t>
  </si>
  <si>
    <t>SEVERINO DO RAMO FERREIRA LIMA</t>
  </si>
  <si>
    <t>VALDECI APARECIDO REIS ANDRADE</t>
  </si>
  <si>
    <t>VANDERSON BEZERRA ALVES SANTOS</t>
  </si>
  <si>
    <t>WELLINGTON TIAGO JESUS SANTOS</t>
  </si>
  <si>
    <t>VR - EcoSampa - PJ</t>
  </si>
  <si>
    <t>Vale Alimentação</t>
  </si>
  <si>
    <t>VA - EcoSampa - Operacional</t>
  </si>
  <si>
    <t>VA (pg no VR) - EcoSampa</t>
  </si>
  <si>
    <t>Colaboradores demitidos no mês</t>
  </si>
  <si>
    <t>Colaboradores afastados por Auxilio Doença</t>
  </si>
  <si>
    <t>ALEXSSANDRO MORAES DO NASCIMENTO</t>
  </si>
  <si>
    <t>ANDRE LUIZ DELMIRO</t>
  </si>
  <si>
    <t>ANTONIO DOS SANTOS</t>
  </si>
  <si>
    <t>ATAIDE BERNARDO RODRIGUES</t>
  </si>
  <si>
    <t>CARLOS EDUARDO DE SOUZA</t>
  </si>
  <si>
    <t>DAVI FERREIRA DE LIMA</t>
  </si>
  <si>
    <t>EDUARDO APARECIDO DE MORAES</t>
  </si>
  <si>
    <t>ELISSANDRA FERREIRA LIMA DOS SANTOS</t>
  </si>
  <si>
    <t>GILBERTO BENTO RODRIGUES</t>
  </si>
  <si>
    <t>JACKSON WENDELL FIRMINO DE ARAUJO</t>
  </si>
  <si>
    <t>JOELSON CAROLINO DOS SANTOS</t>
  </si>
  <si>
    <t>LACIEL CARLOS DE SENA</t>
  </si>
  <si>
    <t>LUCAS AMORIM DA SILVA DONIZETE</t>
  </si>
  <si>
    <t>MARCELO SILVA</t>
  </si>
  <si>
    <t>MARCELO VINICIUS SILVA SANTOS</t>
  </si>
  <si>
    <t>PATRICIO AUGUSTO ARAUJO DA SILVA</t>
  </si>
  <si>
    <t>RENALTY LEITE DE JESUS</t>
  </si>
  <si>
    <t>RICARDO ALEXANDRE DE OLIVEIRA</t>
  </si>
  <si>
    <t>WAGNER FERREIRA DE OLIVEIRA</t>
  </si>
  <si>
    <t>WELLINGTON PONTES FONSECA</t>
  </si>
  <si>
    <t>Folha</t>
  </si>
  <si>
    <t>Id Contratado</t>
  </si>
  <si>
    <t>Centro de Custo</t>
  </si>
  <si>
    <t>Nome</t>
  </si>
  <si>
    <t>Log Transação</t>
  </si>
  <si>
    <t>Benefício Contratado</t>
  </si>
  <si>
    <t>Quantidade Total de Dias do Benefício</t>
  </si>
  <si>
    <t>Valor Unitário do Tíquete</t>
  </si>
  <si>
    <t>Processo de Benefício</t>
  </si>
  <si>
    <t>Plano de Benefícios</t>
  </si>
  <si>
    <t>Data Início da Utilização</t>
  </si>
  <si>
    <t>Data Fim da Utilização</t>
  </si>
  <si>
    <t>PATRICIO AUGUSTO ARAUJO DA SIL</t>
  </si>
  <si>
    <t>JACKSON WENDELL FIRMINO DE ARA</t>
  </si>
  <si>
    <t>ELISSANDRA FERREIRA LIMA</t>
  </si>
  <si>
    <t>MARCOS MARCIO ROCHA SANTOS</t>
  </si>
  <si>
    <t>MARCUS HENRIQUE PLACIDO LISBOA</t>
  </si>
  <si>
    <t>SIDNEY ALVES DE JESUS</t>
  </si>
  <si>
    <t>COORDENADOR DE RH/DHO</t>
  </si>
  <si>
    <t>COORDENADOR DE DEPARTAMENTO PESSOAL</t>
  </si>
  <si>
    <t>Cargo</t>
  </si>
  <si>
    <t>ADILSON DE M FERREIRA JUNIOR</t>
  </si>
  <si>
    <t>CLAUDIO DIAS FERREIRA</t>
  </si>
  <si>
    <t>IDAEL LOPES RODRIGUES</t>
  </si>
  <si>
    <t>JOSE AUGUSTO DOS SANTOS</t>
  </si>
  <si>
    <t>JOSE BARBOSA FILHO</t>
  </si>
  <si>
    <t>JOSE ITAMAR DE LIMA</t>
  </si>
  <si>
    <t>JOSE JOSIAS DA SILVA</t>
  </si>
  <si>
    <t>MARCOS JOSE DA SILVA</t>
  </si>
  <si>
    <t>OCELIO LIMA BARBOSA</t>
  </si>
  <si>
    <t>PAULO CESAR PEREIRA DA SILVA</t>
  </si>
  <si>
    <t>AJUDANTE DE MECANICO</t>
  </si>
  <si>
    <t>RODRIGO MUNIZ FERNANDES</t>
  </si>
  <si>
    <t>VICTOR HUGO ALVES DE OLIVEIRA</t>
  </si>
  <si>
    <t>COMPRADOR</t>
  </si>
  <si>
    <t>WILLIANS MAXIMINO DOS SANTOS</t>
  </si>
  <si>
    <t>DATA</t>
  </si>
  <si>
    <t>TOTAL VA/VR</t>
  </si>
  <si>
    <t>LUCIANA RODRIGUES DE ANDRADE</t>
  </si>
  <si>
    <t>AUXILIAR DE DEPARTAMENTO PESSOAL</t>
  </si>
  <si>
    <t>SABRINA APARECIDA LIMA DA SILVA</t>
  </si>
  <si>
    <t>VANESSA OLIVEIRA MACEDO VIDAL</t>
  </si>
  <si>
    <t>SABRINA APARECIDA LIMA DA SILV</t>
  </si>
  <si>
    <t>LUCIANA DE SOUZA EVANGELISTA D</t>
  </si>
  <si>
    <t>ANTONIO LUZIA DOS SANTOS</t>
  </si>
  <si>
    <t>ARYANNE OLIVEIRA REIS</t>
  </si>
  <si>
    <t>MENOR/JOVEM APRENDIZ</t>
  </si>
  <si>
    <t>DORVALINO BRUIANI</t>
  </si>
  <si>
    <t>EDINALDO PEREIRA DE SOUZA</t>
  </si>
  <si>
    <t>ELVIS MATHEUS BORBA DA CRUZ</t>
  </si>
  <si>
    <t>ERIKA DOS SANTOS OLIVEIRA</t>
  </si>
  <si>
    <t>FABIANO FRANCISCO LOPES</t>
  </si>
  <si>
    <t>FELIPE FERREIRA PINTO</t>
  </si>
  <si>
    <t>FRANCISCO FIRMINO ALVES JUNIOR</t>
  </si>
  <si>
    <t>GABRIEL JOSE DA SILVA</t>
  </si>
  <si>
    <t>JOSE GILBERTO PEREIRA</t>
  </si>
  <si>
    <t>JULIO VICTOR OHARA SANCHEZ</t>
  </si>
  <si>
    <t>LEONARDO CESAR SOUZA DE OLIVEIRA</t>
  </si>
  <si>
    <t>LINDOMAR MOISES DA SILVA</t>
  </si>
  <si>
    <t>MARIA JOSE DA SILVA NASCIMENTO</t>
  </si>
  <si>
    <t>PAULO SERGIO DA SILVA MACHADO</t>
  </si>
  <si>
    <t>REINALDO DA SILVA MOTA</t>
  </si>
  <si>
    <t>RICARDO PEDRO DA SILVA</t>
  </si>
  <si>
    <t>TATTIANE ANDRADE RUFINO DOS SANTOS</t>
  </si>
  <si>
    <t>WESLEY LUCAS AGUIAR DOS ANJOS</t>
  </si>
  <si>
    <t>LEONARDO CESAR SOUZA DE OLI</t>
  </si>
  <si>
    <t>TATTIANE ANDRADE RUFINO DOS SA</t>
  </si>
  <si>
    <t>JONATAS MOREIRA LOPES DO AMARAL</t>
  </si>
  <si>
    <t>JOSELINE ALVES DOS SANTOS</t>
  </si>
  <si>
    <t>LUAN DE OLIVEIRA</t>
  </si>
  <si>
    <t>LUIZ FELIPE DA SILVA</t>
  </si>
  <si>
    <t>MARCIO ROBERTO CORREA</t>
  </si>
  <si>
    <t>MICHAEL LUIS PEIXOTO DOS SANTOS</t>
  </si>
  <si>
    <t>NELZELITO EDEN DE SOUZA</t>
  </si>
  <si>
    <t>RODRIGO ALENCAR LINO DOS ANJOS</t>
  </si>
  <si>
    <t>RONALDO RAIMUNDO DA SILVA</t>
  </si>
  <si>
    <t>WELLINGTON FERREIRA DA COSTA</t>
  </si>
  <si>
    <t>JONATAS MOREIRA LOPES DO AMARA</t>
  </si>
  <si>
    <t>MICHAEL LUIS PEIXOTO DOS SANTO</t>
  </si>
  <si>
    <t>ADILSON DA CUNHA ALENCAR</t>
  </si>
  <si>
    <t>ANDERSON SOUZA DA SILVA</t>
  </si>
  <si>
    <t>ANDRE LUIS ALMEIDA MARQUES</t>
  </si>
  <si>
    <t>EDUARDO DA SILVA</t>
  </si>
  <si>
    <t>FRANCISCO SANTOS FERNANDES DE LIMA</t>
  </si>
  <si>
    <t>HUMBERTO RAIMUNDO DE JESUS</t>
  </si>
  <si>
    <t>JOSE LUCAS ALVES DE OLIVEIRA</t>
  </si>
  <si>
    <t>JOSE MILTON DOS SANTOS</t>
  </si>
  <si>
    <t>RAFAEL BARBOSA DOS SANTOS</t>
  </si>
  <si>
    <t>RICARDO DE ALMEIDA LAURENTINO</t>
  </si>
  <si>
    <t>ROGERIO LUIS RODRIGUES</t>
  </si>
  <si>
    <t>MARCOS ANTONIO BERNARDINO</t>
  </si>
  <si>
    <t>FRANCISCO SANTOS FERNANDES DE</t>
  </si>
  <si>
    <t>ROBERTA CRISTINA DOS SANTOS AM</t>
  </si>
  <si>
    <t>VARIAÇÕES ENTRE OS ÚLTIMOS DOIS MESES</t>
  </si>
  <si>
    <t>CAIO WENDELL ASSIS ROCHA SANTOS</t>
  </si>
  <si>
    <t>GUILHERME PEREIRA MENDES</t>
  </si>
  <si>
    <t>ROBSON TADEU DA COSTA</t>
  </si>
  <si>
    <t>CAIO WENDELL ASSIS ROCHA SANTO</t>
  </si>
  <si>
    <t>Acidente do Trabalho</t>
  </si>
  <si>
    <t>PAULO OTAVIO ALEXANDRE VIANA</t>
  </si>
  <si>
    <t>ANA PAULA STIGLIANI</t>
  </si>
  <si>
    <t>GABRIELA FERREIRA DE JESUS</t>
  </si>
  <si>
    <t>Variação de faltas entre os dois meses</t>
  </si>
  <si>
    <t>DAYANE APARECIDA ABREU DA SILVA</t>
  </si>
  <si>
    <t>EDNILSON ALVES FERREIRA</t>
  </si>
  <si>
    <t>GUSTAVO RODRIGUES DOS SANTOS</t>
  </si>
  <si>
    <t>MANOEL DE ASSIS DA SILVA</t>
  </si>
  <si>
    <t>NILSON CUSTODIO DE ALCANTARA</t>
  </si>
  <si>
    <t>COORDENADOR(A) ADM / FINANCEIRO</t>
  </si>
  <si>
    <t>PAULO THIAGO SOBRAL RIBEIRO DE SOUZA</t>
  </si>
  <si>
    <t>(Vários itens)</t>
  </si>
  <si>
    <t>DAYANE APARECIDA ABREU DA SILV</t>
  </si>
  <si>
    <t>PAULO THIAGO SOBRAL RIBEIRO DE</t>
  </si>
  <si>
    <t>ALESSANDRO RAMALHO DIAS</t>
  </si>
  <si>
    <t>BRUNO BEZERRA DOS SANTOS</t>
  </si>
  <si>
    <t>CLEITON APARECIDO MIGUEL</t>
  </si>
  <si>
    <t>FABIO JULIO FRANCISCO LUZ DA SILVA</t>
  </si>
  <si>
    <t>IAGO HENRIQUE PEREIRA OLIVEIRA</t>
  </si>
  <si>
    <t>IGOR RENATO SOARES MARTINS</t>
  </si>
  <si>
    <t>ITAMAR DOS SANTOS COSTA</t>
  </si>
  <si>
    <t>JEFERSON DE JESUS DA SILVA</t>
  </si>
  <si>
    <t>JEFFERSON DA SILVA</t>
  </si>
  <si>
    <t>JEFFERSON DE LIMA SILVA</t>
  </si>
  <si>
    <t>JOSE DILMA JUSTINO DE OLIVEIRA</t>
  </si>
  <si>
    <t>LUCIANO RODRIGUES DE SOUZA</t>
  </si>
  <si>
    <t>MARCOS AURELIO LUIZ</t>
  </si>
  <si>
    <t>NICOLAS RIBEIRO CIDRAL</t>
  </si>
  <si>
    <t>RAILTON GOMES DOS SANTOS</t>
  </si>
  <si>
    <t>ROSELI FERREIRA DA SILVA</t>
  </si>
  <si>
    <t>STEVSON SANTOS GOMES</t>
  </si>
  <si>
    <t>WALTER CARINHANHA SOARES</t>
  </si>
  <si>
    <t>FABIO JULIO FRANCISCO LUZ DA S</t>
  </si>
  <si>
    <t>NELSON NASCIMENTO DE OLIVEIRA</t>
  </si>
  <si>
    <t>TIBURTINO BESERRA DA SILVA NET</t>
  </si>
  <si>
    <t>LETICIA FERREIRA DOS SANTOS</t>
  </si>
  <si>
    <t>ADAIL AUGUSTO VIEIRA</t>
  </si>
  <si>
    <t>ADAILTON SOUZA SANTOS</t>
  </si>
  <si>
    <t>ADRIANO NILO DOS SANTOS</t>
  </si>
  <si>
    <t>ALAN SILVA DE OLIVEIRA</t>
  </si>
  <si>
    <t>ALEXSANDRO AUGUSTO RIBEIRO RUFINO</t>
  </si>
  <si>
    <t>ANDRE DE SOUZA RAMOS</t>
  </si>
  <si>
    <t>CARLOS ALENCAR OLIVEIRA SOUZA</t>
  </si>
  <si>
    <t>CARLOS EDUARDO DA SILVA</t>
  </si>
  <si>
    <t>CARLOS HENRIQUE BASTOS DE OLIVEIRA</t>
  </si>
  <si>
    <t>CICERO JOSE DA SILVA</t>
  </si>
  <si>
    <t>DANIEL LIMA CARVALHO</t>
  </si>
  <si>
    <t>DIEGO AQUINO DOS SANTOS</t>
  </si>
  <si>
    <t>EDMILSON DA SILVA</t>
  </si>
  <si>
    <t>EDUARDO PINHEIRO DA SILVA</t>
  </si>
  <si>
    <t>ELI PINHEIRO DE ALCANTARA</t>
  </si>
  <si>
    <t>EVERTON SOUZA DA SILVA</t>
  </si>
  <si>
    <t>HUMBERTO CARLOS DA SILVA</t>
  </si>
  <si>
    <t>JACKSON GAMA DIAS</t>
  </si>
  <si>
    <t>JHONATAN CALDEIRA DE OLIVEIRA</t>
  </si>
  <si>
    <t>JURANDIR RODRIGUES DA SILVA</t>
  </si>
  <si>
    <t>LEANDRO APARECIDO VIEIRA DE SOUZA</t>
  </si>
  <si>
    <t>LUIS LOPES DE SOUSA</t>
  </si>
  <si>
    <t>MARCIO ANTONIO DA SILVA</t>
  </si>
  <si>
    <t>NILTON DE JESUS SANTANA</t>
  </si>
  <si>
    <t>PAULO SERGIO ALVES JOAQUIM</t>
  </si>
  <si>
    <t>RAIMUNDO BARROS DO NASCIMENTO</t>
  </si>
  <si>
    <t>SOLANGE SILVA LEITAO</t>
  </si>
  <si>
    <t>TIAGO SANTOS DA CONCEICAO</t>
  </si>
  <si>
    <t>WENDELL OLIVEIRA DA SILVA</t>
  </si>
  <si>
    <t>Cumprimento de Pena de Reclusão</t>
  </si>
  <si>
    <t>ALEXSANDRO AUGUSTO RIBEIRO RUF</t>
  </si>
  <si>
    <t>LEANDRO APARECIDO VIEIRA DE SO</t>
  </si>
  <si>
    <t>SABRINA FIGUEIREDO DE SOUSA</t>
  </si>
  <si>
    <t>ABRIL / 2023</t>
  </si>
  <si>
    <t>ALEXSSANDRO MORAES DO NASCIMEN</t>
  </si>
  <si>
    <t>Situação</t>
  </si>
  <si>
    <t>ECOSAMPA Operação Geral</t>
  </si>
  <si>
    <t>ADIJANILDO MONTEIRO BATISTA</t>
  </si>
  <si>
    <t>ECOSAMPA Administração</t>
  </si>
  <si>
    <t>ASSISTENTE DE COMPRAS</t>
  </si>
  <si>
    <t>ANA CRISTINA DA SILVA</t>
  </si>
  <si>
    <t>ANTONIO CARLOS COSTA DA SILVA</t>
  </si>
  <si>
    <t>CARLOS LUIS LIMA MATOS</t>
  </si>
  <si>
    <t>DONIZETE VENANCIO</t>
  </si>
  <si>
    <t>IRANILDO DOS SANTOS</t>
  </si>
  <si>
    <t>ITALO FERNANDO SILVA COSTA</t>
  </si>
  <si>
    <t>JARSON BENTES LUCENA DOS SANTOS</t>
  </si>
  <si>
    <t>LUCILENE MONTEIRO RODRIGUES</t>
  </si>
  <si>
    <t>MAURICIO ALVES SOUZA</t>
  </si>
  <si>
    <t>MICHEL ALVES PESSOA</t>
  </si>
  <si>
    <t>WALKER MINANCIAM DA SILVA</t>
  </si>
  <si>
    <t>Data Início na Situação</t>
  </si>
  <si>
    <t>JARSON BENTES LUCENA DOS SANTO</t>
  </si>
  <si>
    <t>ANA CAROLINA MARINHO DA SILVA</t>
  </si>
  <si>
    <t>RAQUEL LARISSA DA SILVA DIAS</t>
  </si>
  <si>
    <t>SABRINA VITORIA SILVA DA COSTA</t>
  </si>
  <si>
    <t>Colaboradores ADMITIDOS NO MÊS</t>
  </si>
  <si>
    <t>ADAO BARBOZA DOS SANTOS</t>
  </si>
  <si>
    <t>ADRIAN CAUE DE SOUZA ANJOS</t>
  </si>
  <si>
    <t>ALBERTO ALENCAR DE JESUS</t>
  </si>
  <si>
    <t>ARTHUR ROGERIO DA SILVA</t>
  </si>
  <si>
    <t>BRUNO HENRIQUE DE SOUZA E SILVA</t>
  </si>
  <si>
    <t>CAIO GONCALVES DOS SANTOS</t>
  </si>
  <si>
    <t>CARLINDO DA SILVA BARROS</t>
  </si>
  <si>
    <t>DANIELY LEANDRO DOS SANTOS</t>
  </si>
  <si>
    <t>FABRIANO SOUSA LIMA</t>
  </si>
  <si>
    <t>IAGO ALVES DA SILVA</t>
  </si>
  <si>
    <t>IZAQUE JUSTINO CANDIDO</t>
  </si>
  <si>
    <t>JOSEMAR DE PAULA MACEDO</t>
  </si>
  <si>
    <t>KARINA PEREIRA DA SILVA</t>
  </si>
  <si>
    <t>LOHANA ARAUJO FIDELES</t>
  </si>
  <si>
    <t>LUIS HENRIQUE JERONIMO VIEIRA</t>
  </si>
  <si>
    <t>MAIKE SANTOS NASCIMENTO</t>
  </si>
  <si>
    <t>RYAN FERREIRA CABRAL</t>
  </si>
  <si>
    <t>THAISSA RAQUEL MARCELINO DE OLIVEIRA</t>
  </si>
  <si>
    <t>THIAGO ORILHANA DE JESUS</t>
  </si>
  <si>
    <t>TIAGO NOVAES</t>
  </si>
  <si>
    <t>VINICIUS DE JESUS MARQUES</t>
  </si>
  <si>
    <t>VITOR SILVA DE SOUZA</t>
  </si>
  <si>
    <t>MAIO / 2023</t>
  </si>
  <si>
    <t>BRUNO HENRIQUE DE SOUZA E SILV</t>
  </si>
  <si>
    <t>THAISSA RAQUEL MARCELINO DE OL</t>
  </si>
  <si>
    <t>Admissão</t>
  </si>
  <si>
    <t>BRUNNA FARIAS SANT ANA</t>
  </si>
  <si>
    <t>EDUARDO FELIX DA SILVA</t>
  </si>
  <si>
    <t>ELAINE SOUZA DAMACENO DE JESUS</t>
  </si>
  <si>
    <t>FLAVIO RABELO DE MORAIS</t>
  </si>
  <si>
    <t>GILSON SILVA DIAS</t>
  </si>
  <si>
    <t>JOSE ALBINO DE JESUS</t>
  </si>
  <si>
    <t>LEONARDO APARECIDO DA SILVA</t>
  </si>
  <si>
    <t>LUCIELMA DOS SANTOS SILVA</t>
  </si>
  <si>
    <t>MARCIA DORNELES</t>
  </si>
  <si>
    <t>PEDRO FLOR DE LIMA</t>
  </si>
  <si>
    <t>TAYNARA MIGUEL SILVA</t>
  </si>
  <si>
    <t>THIAGO SENA DA SILVA</t>
  </si>
  <si>
    <t>WESLEY PEREIRA DE SOUZA</t>
  </si>
  <si>
    <t>SOLANGE APARECIDA DE ALENCAR CARVALHO</t>
  </si>
  <si>
    <t>CARLOS HENRIQUE BASTOS DE OLIV</t>
  </si>
  <si>
    <t>ELAINE SOUZA DAMACENO DE JESU</t>
  </si>
  <si>
    <t>MILTON MILET DE JESUS CASSEMIR</t>
  </si>
  <si>
    <t>SOLANGE APARECIDA DE ALENCAR C</t>
  </si>
  <si>
    <t>Contagem de NOME</t>
  </si>
  <si>
    <t>JUNHO / 2023</t>
  </si>
  <si>
    <t>BENEFICIO VA</t>
  </si>
  <si>
    <t>BENEFICIO VR</t>
  </si>
  <si>
    <t>BENEFICIO VR NO VA</t>
  </si>
  <si>
    <t>BENEFICO VA NO VR</t>
  </si>
  <si>
    <t>2ª VIAS DE CARTÕES</t>
  </si>
  <si>
    <t>COMPRA DE VA/VR - JUNHO/2023</t>
  </si>
  <si>
    <t>AMBROSILENE MARIA DA SILVA SANTOS</t>
  </si>
  <si>
    <t>AUXILIAR DE PLANEJAMENTO OPERACIONAL</t>
  </si>
  <si>
    <t>CARLOS WENDELL DE SOUSA AMORIM</t>
  </si>
  <si>
    <t>DIEGO JOSE RIBEIRO ARAUJO</t>
  </si>
  <si>
    <t>JOAO LUIS STACHUK</t>
  </si>
  <si>
    <t>JOAO QUEIROZ DOS SANTOS</t>
  </si>
  <si>
    <t>ASSISTENTE DE PLANEJAMENTO OPERACIONAL</t>
  </si>
  <si>
    <t>LUIZ CARLOS DE OLIVEIRA</t>
  </si>
  <si>
    <t>MARIA APARECIDA VIEIRA ALEXANDRE</t>
  </si>
  <si>
    <t>MICHEL ROGERIO SANTOS</t>
  </si>
  <si>
    <t>PAULO DE OLIVEIRA SOUZA</t>
  </si>
  <si>
    <t>RAFAEL CAMPOS BEZERRA</t>
  </si>
  <si>
    <t>VIVIAN BRITO MOTA COTIAS</t>
  </si>
  <si>
    <t>WAGNER AUGUSTO DAGLIO PEIKOW</t>
  </si>
  <si>
    <t>WALDIR ANTONIO MARTINS</t>
  </si>
  <si>
    <t>WASHINGTON SILVA LOPES</t>
  </si>
  <si>
    <t>Soma de FALTAS</t>
  </si>
  <si>
    <t>Manual</t>
  </si>
  <si>
    <t>MARIA APARECIDA VIEIRA ALEXAND</t>
  </si>
  <si>
    <t>JULHO.2023</t>
  </si>
  <si>
    <t>REDUÇÃO</t>
  </si>
  <si>
    <t>DEMONSTRATIVO DE TARIFAS DE REEMISSÃO DE CARTÃO DE ALELO</t>
  </si>
  <si>
    <t xml:space="preserve">VALOR </t>
  </si>
  <si>
    <t>VALOR PAGAMENTO</t>
  </si>
  <si>
    <t>Beneficios</t>
  </si>
  <si>
    <t>2ª Vias de Cartões</t>
  </si>
  <si>
    <t>BENEFICIO AFASTADOS / RETORNOS / Dif. ADMISÕES</t>
  </si>
  <si>
    <t>JULHO / 2023</t>
  </si>
  <si>
    <t>ADEILTON PEREIRA DE MELO</t>
  </si>
  <si>
    <t>ADRIANO PASTOR DA SILVA</t>
  </si>
  <si>
    <t>ALEX MESSIAS ALMEIDA OLIVIO</t>
  </si>
  <si>
    <t>ANDERSON APARECIDO DE ALMEIDA</t>
  </si>
  <si>
    <t>ANDERSON SILVA DE SOUZA</t>
  </si>
  <si>
    <t>CAIQUE RIBEIRO SILVA VALADARES</t>
  </si>
  <si>
    <t>DANIEL ALVES DANTAS PEIXINHO</t>
  </si>
  <si>
    <t>EDMAR CESAR DA SILVA</t>
  </si>
  <si>
    <t>EMERSON CLAYTON DA SILVA FILHO</t>
  </si>
  <si>
    <t>GILSON ARAUJO DE LIMA</t>
  </si>
  <si>
    <t>HUGO VINICIUS DOS SANTOS</t>
  </si>
  <si>
    <t>ISRAEL MARTINS DA SILVA</t>
  </si>
  <si>
    <t>JEFERSON XAVIER</t>
  </si>
  <si>
    <t>JEMIMA JOSEPH LOUIS</t>
  </si>
  <si>
    <t>JORGE LUIZ LIMA DA COSTA</t>
  </si>
  <si>
    <t>JOSE DE OLIVEIRA COELHO</t>
  </si>
  <si>
    <t>JOSE GERALDO XAVIER DE ARAUJO</t>
  </si>
  <si>
    <t>Afastado Pré-Auxílio-Doença</t>
  </si>
  <si>
    <t>KAIQUE DOS SANTOS ALMEIDA</t>
  </si>
  <si>
    <t>LAERCIO MARIANO DE ABREU</t>
  </si>
  <si>
    <t>MARCOS ROBERTO DA SILVA</t>
  </si>
  <si>
    <t>PATRICIA ALMEIDA DE LIMA</t>
  </si>
  <si>
    <t>PAULO ROGERIO MATIAS DOMINGUES</t>
  </si>
  <si>
    <t>RENELSON VALLIERE</t>
  </si>
  <si>
    <t>TIAGO FERNANDES DO NASCIMENTO</t>
  </si>
  <si>
    <t>VANDERSON WILIAN CASTRO BATISTA</t>
  </si>
  <si>
    <t>WESLEY SOARES DA SILVA OLIVEIRA</t>
  </si>
  <si>
    <t>WESLEY VIRGINIO DA SILVA</t>
  </si>
  <si>
    <t>ANALISTA ADM/FINANCEIRO</t>
  </si>
  <si>
    <t>Total</t>
  </si>
  <si>
    <t>VANDERSON WILIAN CASTRO BATIS</t>
  </si>
  <si>
    <t>WESLEY SOARES DA SILVA OLIVEIR</t>
  </si>
  <si>
    <t>AGOSTO-2023</t>
  </si>
  <si>
    <t>Soma de AGOSTO-2023</t>
  </si>
  <si>
    <t>AGOSTO.2023</t>
  </si>
  <si>
    <t>AGOSTO / 2023</t>
  </si>
  <si>
    <t>LUCIANO DE SOUSA AMORIM</t>
  </si>
  <si>
    <t>total</t>
  </si>
  <si>
    <t>PAULO RICARDO SOARES SILVA</t>
  </si>
  <si>
    <t>AJUDA</t>
  </si>
  <si>
    <t>Retorno</t>
  </si>
  <si>
    <t>AFASTADO</t>
  </si>
  <si>
    <t>SETEMBRO</t>
  </si>
  <si>
    <t>Soma de SETEMBRO</t>
  </si>
  <si>
    <t>SETEMBRO.2023</t>
  </si>
  <si>
    <t>Afastado</t>
  </si>
  <si>
    <t>Demitido No Mês</t>
  </si>
  <si>
    <t>COMPRA DE BENEFICIO (  VA E VR   ) PARA COMPETENCIA - SETEMBRO / 2023</t>
  </si>
  <si>
    <t>SETEMBRO /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</si>
</sst>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;\-0"/>
    <numFmt numFmtId="167" formatCode="0.00;\-0.00"/>
    <numFmt numFmtId="168" formatCode="_-* #,##0_-;\-* #,##0_-;_-* &quot;-&quot;??_-;_-@_-"/>
    <numFmt numFmtId="169" formatCode="_-* #,##0.00_-;\-* #,##0.00_-;_-* \-??_-;_-@_-"/>
    <numFmt numFmtId="170" formatCode="#,##0.00_ ;[Red]\-#,##0.00\ "/>
  </numFmts>
  <fonts count="60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Calibri Light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8"/>
      <color rgb="FF000000"/>
      <name val="Lucida Console"/>
      <family val="3"/>
    </font>
    <font>
      <sz val="10"/>
      <color rgb="FF000000"/>
      <name val="Arial"/>
      <family val="2"/>
    </font>
    <font>
      <sz val="8"/>
      <color rgb="FF000000"/>
      <name val="Courier New"/>
      <family val="3"/>
    </font>
    <font>
      <b/>
      <sz val="14"/>
      <color theme="0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2"/>
      <color theme="0"/>
      <name val="Arial"/>
      <family val="2"/>
    </font>
    <font>
      <b/>
      <sz val="12"/>
      <color rgb="FF000000"/>
      <name val="Arial"/>
      <family val="2"/>
    </font>
    <font>
      <b/>
      <sz val="14"/>
      <color theme="1"/>
      <name val="Arial"/>
      <family val="2"/>
    </font>
    <font>
      <sz val="14"/>
      <color rgb="FF000000"/>
      <name val="Arial"/>
      <family val="2"/>
    </font>
    <font>
      <b/>
      <sz val="16"/>
      <color theme="1"/>
      <name val="Arial"/>
      <family val="2"/>
    </font>
    <font>
      <sz val="16"/>
      <color rgb="FF000000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b/>
      <sz val="14"/>
      <color rgb="FF000000"/>
      <name val="Arial"/>
      <family val="2"/>
    </font>
    <font>
      <b/>
      <sz val="20"/>
      <color rgb="FF000000"/>
      <name val="Arial"/>
      <family val="2"/>
    </font>
    <font>
      <b/>
      <sz val="8"/>
      <color theme="0"/>
      <name val="Arial Black"/>
      <family val="2"/>
    </font>
    <font>
      <b/>
      <sz val="9"/>
      <color rgb="FFFFFF00"/>
      <name val="Arial Black"/>
      <family val="2"/>
    </font>
    <font>
      <b/>
      <sz val="9"/>
      <color theme="0"/>
      <name val="Arial Black"/>
      <family val="2"/>
    </font>
    <font>
      <sz val="8"/>
      <color rgb="FF000000"/>
      <name val="Arial Black"/>
      <family val="2"/>
    </font>
    <font>
      <sz val="10"/>
      <color rgb="FF000000"/>
      <name val="Calibri"/>
      <family val="2"/>
      <scheme val="minor"/>
    </font>
    <font>
      <b/>
      <sz val="12"/>
      <color theme="0"/>
      <name val="Arial Black"/>
      <family val="2"/>
    </font>
    <font>
      <b/>
      <sz val="18"/>
      <color theme="0"/>
      <name val="Arial"/>
      <family val="2"/>
    </font>
    <font>
      <b/>
      <sz val="18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12"/>
      <color theme="1"/>
      <name val="Arial"/>
      <family val="2"/>
    </font>
    <font>
      <b/>
      <sz val="8"/>
      <color rgb="FF000000"/>
      <name val="Courier New"/>
      <family val="3"/>
    </font>
    <font>
      <b/>
      <sz val="8"/>
      <color rgb="FF00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20"/>
      <color theme="0"/>
      <name val="Arial"/>
      <family val="2"/>
    </font>
    <font>
      <sz val="8"/>
      <color rgb="FF000000"/>
      <name val="Calibri"/>
      <family val="2"/>
    </font>
    <font>
      <b/>
      <sz val="8"/>
      <color rgb="FF000000"/>
      <name val="Calibri Light"/>
      <family val="2"/>
    </font>
    <font>
      <b/>
      <sz val="9"/>
      <color theme="1"/>
      <name val="Calibri"/>
      <family val="2"/>
    </font>
    <font>
      <sz val="8"/>
      <color theme="0"/>
      <name val="Arial Black"/>
      <family val="2"/>
    </font>
    <font>
      <sz val="8"/>
      <color rgb="FFFF0000"/>
      <name val="Calibri Light"/>
      <family val="2"/>
    </font>
    <font>
      <b/>
      <sz val="18"/>
      <color rgb="FF000000"/>
      <name val="Arial"/>
      <family val="2"/>
    </font>
    <font>
      <b/>
      <sz val="18"/>
      <color rgb="FF0070C0"/>
      <name val="Arial"/>
      <family val="2"/>
    </font>
    <font>
      <sz val="9"/>
      <color rgb="FFFFFF00"/>
      <name val="Calibri"/>
      <family val="2"/>
    </font>
    <font>
      <b/>
      <sz val="9"/>
      <color rgb="FFFFFF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8"/>
      <color theme="0"/>
      <name val="Calibri"/>
      <family val="2"/>
    </font>
    <font>
      <b/>
      <sz val="11"/>
      <color rgb="FF0070C0"/>
      <name val="Arial"/>
      <family val="2"/>
    </font>
    <font>
      <b/>
      <sz val="16"/>
      <color rgb="FF000000"/>
      <name val="Arial"/>
      <family val="2"/>
    </font>
    <font>
      <b/>
      <sz val="16"/>
      <color rgb="FF0070C0"/>
      <name val="Arial"/>
      <family val="2"/>
    </font>
    <font>
      <sz val="8"/>
      <color rgb="FF000000"/>
      <name val="Courier New"/>
      <family val="3"/>
    </font>
    <font>
      <b/>
      <sz val="12"/>
      <color rgb="FF0070C0"/>
      <name val="Calibri"/>
      <family val="2"/>
    </font>
    <font>
      <b/>
      <sz val="12"/>
      <color rgb="FFFF0000"/>
      <name val="Calibri"/>
      <family val="2"/>
    </font>
    <font>
      <sz val="10"/>
      <color rgb="FF0070C0"/>
      <name val="Times New Roman"/>
      <family val="1"/>
    </font>
    <font>
      <b/>
      <sz val="11"/>
      <color rgb="FF0070C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theme="4" tint="0.79998168889431442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theme="4" tint="0.79998168889431442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0000"/>
        <bgColor theme="4" tint="0.79998168889431442"/>
      </patternFill>
    </fill>
    <fill>
      <patternFill patternType="solid">
        <fgColor theme="9" tint="0.59999389629810485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medium">
        <color theme="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theme="0"/>
      </left>
      <right style="medium">
        <color indexed="64"/>
      </right>
      <top/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42">
    <xf numFmtId="0" fontId="0" fillId="0" borderId="0"/>
    <xf numFmtId="0" fontId="4" fillId="0" borderId="0"/>
    <xf numFmtId="165" fontId="5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164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169" fontId="4" fillId="0" borderId="0" applyBorder="0" applyProtection="0"/>
    <xf numFmtId="0" fontId="4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165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</cellStyleXfs>
  <cellXfs count="330">
    <xf numFmtId="0" fontId="0" fillId="0" borderId="0" xfId="0"/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165" fontId="3" fillId="0" borderId="0" xfId="2" applyFont="1" applyAlignment="1">
      <alignment horizontal="center" vertical="center"/>
    </xf>
    <xf numFmtId="165" fontId="6" fillId="5" borderId="1" xfId="2" applyFont="1" applyFill="1" applyBorder="1" applyAlignment="1">
      <alignment horizontal="center" vertical="center"/>
    </xf>
    <xf numFmtId="165" fontId="6" fillId="0" borderId="0" xfId="2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vertical="top"/>
    </xf>
    <xf numFmtId="0" fontId="8" fillId="0" borderId="0" xfId="0" applyFont="1" applyAlignment="1">
      <alignment vertical="top"/>
    </xf>
    <xf numFmtId="165" fontId="0" fillId="0" borderId="0" xfId="3" applyFont="1" applyFill="1" applyAlignment="1">
      <alignment vertical="top"/>
    </xf>
    <xf numFmtId="0" fontId="4" fillId="0" borderId="0" xfId="10"/>
    <xf numFmtId="165" fontId="0" fillId="0" borderId="0" xfId="11" applyFont="1"/>
    <xf numFmtId="0" fontId="10" fillId="5" borderId="0" xfId="10" applyFont="1" applyFill="1" applyAlignment="1">
      <alignment horizontal="center"/>
    </xf>
    <xf numFmtId="0" fontId="4" fillId="0" borderId="13" xfId="10" applyBorder="1"/>
    <xf numFmtId="165" fontId="4" fillId="0" borderId="0" xfId="10" applyNumberFormat="1"/>
    <xf numFmtId="165" fontId="4" fillId="0" borderId="0" xfId="11" applyFont="1" applyAlignment="1">
      <alignment horizontal="center"/>
    </xf>
    <xf numFmtId="0" fontId="0" fillId="0" borderId="0" xfId="0" applyAlignment="1">
      <alignment vertical="center"/>
    </xf>
    <xf numFmtId="165" fontId="0" fillId="0" borderId="0" xfId="6" applyFont="1" applyAlignment="1">
      <alignment vertical="center"/>
    </xf>
    <xf numFmtId="0" fontId="18" fillId="0" borderId="0" xfId="4" applyFont="1" applyAlignment="1">
      <alignment vertical="center"/>
    </xf>
    <xf numFmtId="0" fontId="18" fillId="0" borderId="0" xfId="4" applyFont="1"/>
    <xf numFmtId="0" fontId="18" fillId="0" borderId="0" xfId="4" applyFont="1" applyAlignment="1">
      <alignment horizontal="center"/>
    </xf>
    <xf numFmtId="165" fontId="18" fillId="0" borderId="0" xfId="6" applyFont="1"/>
    <xf numFmtId="165" fontId="18" fillId="0" borderId="0" xfId="6" applyFont="1" applyAlignment="1">
      <alignment horizontal="center"/>
    </xf>
    <xf numFmtId="0" fontId="19" fillId="0" borderId="0" xfId="4" applyFont="1" applyAlignment="1">
      <alignment vertical="center"/>
    </xf>
    <xf numFmtId="165" fontId="20" fillId="8" borderId="0" xfId="6" applyFont="1" applyFill="1" applyBorder="1" applyAlignment="1">
      <alignment vertical="center"/>
    </xf>
    <xf numFmtId="165" fontId="20" fillId="8" borderId="0" xfId="6" applyFont="1" applyFill="1" applyBorder="1" applyAlignment="1">
      <alignment horizontal="center" vertical="center"/>
    </xf>
    <xf numFmtId="165" fontId="21" fillId="0" borderId="0" xfId="5" applyFont="1"/>
    <xf numFmtId="14" fontId="3" fillId="0" borderId="0" xfId="0" applyNumberFormat="1" applyFont="1" applyAlignment="1">
      <alignment horizontal="center" vertical="center"/>
    </xf>
    <xf numFmtId="165" fontId="0" fillId="0" borderId="0" xfId="2" applyFont="1"/>
    <xf numFmtId="165" fontId="0" fillId="0" borderId="0" xfId="0" applyNumberFormat="1"/>
    <xf numFmtId="165" fontId="0" fillId="0" borderId="0" xfId="2" applyFont="1" applyAlignment="1">
      <alignment vertical="top"/>
    </xf>
    <xf numFmtId="0" fontId="22" fillId="0" borderId="16" xfId="0" applyFont="1" applyBorder="1" applyAlignment="1">
      <alignment vertical="center"/>
    </xf>
    <xf numFmtId="165" fontId="3" fillId="5" borderId="1" xfId="2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4" fillId="3" borderId="1" xfId="0" applyFont="1" applyFill="1" applyBorder="1" applyAlignment="1">
      <alignment horizontal="center" vertical="top"/>
    </xf>
    <xf numFmtId="0" fontId="24" fillId="3" borderId="1" xfId="0" applyFont="1" applyFill="1" applyBorder="1" applyAlignment="1">
      <alignment vertical="top"/>
    </xf>
    <xf numFmtId="0" fontId="24" fillId="15" borderId="1" xfId="0" applyFont="1" applyFill="1" applyBorder="1" applyAlignment="1">
      <alignment vertical="top"/>
    </xf>
    <xf numFmtId="0" fontId="27" fillId="0" borderId="0" xfId="0" applyFont="1" applyAlignment="1">
      <alignment horizontal="center" vertical="center"/>
    </xf>
    <xf numFmtId="0" fontId="0" fillId="16" borderId="0" xfId="0" applyFill="1" applyAlignment="1">
      <alignment vertical="top"/>
    </xf>
    <xf numFmtId="168" fontId="3" fillId="17" borderId="0" xfId="2" applyNumberFormat="1" applyFont="1" applyFill="1" applyAlignment="1">
      <alignment horizontal="center" vertical="center"/>
    </xf>
    <xf numFmtId="165" fontId="3" fillId="17" borderId="0" xfId="2" applyFont="1" applyFill="1" applyAlignment="1">
      <alignment horizontal="center" vertical="center"/>
    </xf>
    <xf numFmtId="165" fontId="6" fillId="17" borderId="0" xfId="2" applyFont="1" applyFill="1" applyAlignment="1">
      <alignment horizontal="center" vertical="center"/>
    </xf>
    <xf numFmtId="165" fontId="14" fillId="7" borderId="19" xfId="6" quotePrefix="1" applyFont="1" applyFill="1" applyBorder="1" applyAlignment="1">
      <alignment horizontal="center" vertical="center" wrapText="1"/>
    </xf>
    <xf numFmtId="165" fontId="14" fillId="7" borderId="20" xfId="6" applyFont="1" applyFill="1" applyBorder="1" applyAlignment="1">
      <alignment horizontal="center" vertical="center"/>
    </xf>
    <xf numFmtId="165" fontId="14" fillId="7" borderId="21" xfId="6" applyFont="1" applyFill="1" applyBorder="1" applyAlignment="1">
      <alignment horizontal="center" vertical="center"/>
    </xf>
    <xf numFmtId="0" fontId="18" fillId="22" borderId="0" xfId="4" applyFont="1" applyFill="1"/>
    <xf numFmtId="0" fontId="20" fillId="20" borderId="6" xfId="4" applyFont="1" applyFill="1" applyBorder="1" applyAlignment="1">
      <alignment vertical="center"/>
    </xf>
    <xf numFmtId="0" fontId="14" fillId="20" borderId="3" xfId="4" applyFont="1" applyFill="1" applyBorder="1" applyAlignment="1">
      <alignment vertical="center"/>
    </xf>
    <xf numFmtId="165" fontId="17" fillId="14" borderId="26" xfId="6" applyFont="1" applyFill="1" applyBorder="1" applyAlignment="1">
      <alignment vertical="center"/>
    </xf>
    <xf numFmtId="165" fontId="17" fillId="22" borderId="26" xfId="6" applyFont="1" applyFill="1" applyBorder="1" applyAlignment="1">
      <alignment vertical="center"/>
    </xf>
    <xf numFmtId="165" fontId="16" fillId="13" borderId="28" xfId="6" applyFont="1" applyFill="1" applyBorder="1" applyAlignment="1">
      <alignment horizontal="center" vertical="center"/>
    </xf>
    <xf numFmtId="165" fontId="15" fillId="14" borderId="1" xfId="2" applyFont="1" applyFill="1" applyBorder="1" applyAlignment="1">
      <alignment horizontal="center" vertical="center"/>
    </xf>
    <xf numFmtId="0" fontId="0" fillId="0" borderId="0" xfId="2" applyNumberFormat="1" applyFont="1"/>
    <xf numFmtId="165" fontId="0" fillId="0" borderId="1" xfId="2" applyFont="1" applyBorder="1"/>
    <xf numFmtId="165" fontId="25" fillId="2" borderId="1" xfId="2" applyFont="1" applyFill="1" applyBorder="1" applyAlignment="1">
      <alignment horizontal="center" vertical="center"/>
    </xf>
    <xf numFmtId="165" fontId="26" fillId="6" borderId="1" xfId="2" applyFont="1" applyFill="1" applyBorder="1" applyAlignment="1">
      <alignment horizontal="center" vertical="center"/>
    </xf>
    <xf numFmtId="0" fontId="17" fillId="14" borderId="32" xfId="7" applyFont="1" applyFill="1" applyBorder="1" applyAlignment="1">
      <alignment horizontal="center" vertical="center"/>
    </xf>
    <xf numFmtId="0" fontId="17" fillId="22" borderId="32" xfId="7" applyFont="1" applyFill="1" applyBorder="1" applyAlignment="1">
      <alignment horizontal="center" vertical="center"/>
    </xf>
    <xf numFmtId="168" fontId="16" fillId="13" borderId="29" xfId="6" applyNumberFormat="1" applyFont="1" applyFill="1" applyBorder="1" applyAlignment="1">
      <alignment horizontal="center" vertical="center"/>
    </xf>
    <xf numFmtId="165" fontId="16" fillId="21" borderId="33" xfId="6" applyFont="1" applyFill="1" applyBorder="1" applyAlignment="1">
      <alignment horizontal="center" vertical="center"/>
    </xf>
    <xf numFmtId="165" fontId="29" fillId="2" borderId="36" xfId="2" applyFont="1" applyFill="1" applyBorder="1" applyAlignment="1">
      <alignment horizontal="center" vertical="center"/>
    </xf>
    <xf numFmtId="165" fontId="29" fillId="3" borderId="36" xfId="2" applyFont="1" applyFill="1" applyBorder="1" applyAlignment="1">
      <alignment horizontal="center" vertical="center"/>
    </xf>
    <xf numFmtId="0" fontId="14" fillId="20" borderId="4" xfId="4" applyFont="1" applyFill="1" applyBorder="1" applyAlignment="1">
      <alignment vertical="center"/>
    </xf>
    <xf numFmtId="0" fontId="34" fillId="20" borderId="6" xfId="4" applyFont="1" applyFill="1" applyBorder="1" applyAlignment="1">
      <alignment vertical="center"/>
    </xf>
    <xf numFmtId="165" fontId="16" fillId="21" borderId="27" xfId="6" applyFont="1" applyFill="1" applyBorder="1" applyAlignment="1">
      <alignment vertical="center"/>
    </xf>
    <xf numFmtId="166" fontId="8" fillId="0" borderId="0" xfId="0" applyNumberFormat="1" applyFont="1" applyAlignment="1">
      <alignment horizontal="center" vertical="top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vertical="center"/>
    </xf>
    <xf numFmtId="165" fontId="16" fillId="13" borderId="37" xfId="6" applyFont="1" applyFill="1" applyBorder="1" applyAlignment="1">
      <alignment horizontal="center" vertical="center"/>
    </xf>
    <xf numFmtId="168" fontId="16" fillId="13" borderId="2" xfId="6" applyNumberFormat="1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left" vertical="center"/>
    </xf>
    <xf numFmtId="165" fontId="14" fillId="7" borderId="31" xfId="6" applyFont="1" applyFill="1" applyBorder="1" applyAlignment="1">
      <alignment vertical="center"/>
    </xf>
    <xf numFmtId="170" fontId="22" fillId="14" borderId="10" xfId="2" applyNumberFormat="1" applyFont="1" applyFill="1" applyBorder="1" applyAlignment="1">
      <alignment horizontal="right" vertical="center"/>
    </xf>
    <xf numFmtId="165" fontId="9" fillId="18" borderId="24" xfId="6" quotePrefix="1" applyFont="1" applyFill="1" applyBorder="1" applyAlignment="1">
      <alignment horizontal="center" vertical="center" wrapText="1"/>
    </xf>
    <xf numFmtId="0" fontId="16" fillId="20" borderId="38" xfId="4" applyFont="1" applyFill="1" applyBorder="1" applyAlignment="1">
      <alignment vertical="center"/>
    </xf>
    <xf numFmtId="0" fontId="16" fillId="20" borderId="39" xfId="4" applyFont="1" applyFill="1" applyBorder="1" applyAlignment="1">
      <alignment vertical="center"/>
    </xf>
    <xf numFmtId="0" fontId="13" fillId="0" borderId="8" xfId="10" applyFont="1" applyBorder="1"/>
    <xf numFmtId="14" fontId="13" fillId="0" borderId="9" xfId="11" applyNumberFormat="1" applyFont="1" applyBorder="1"/>
    <xf numFmtId="0" fontId="35" fillId="0" borderId="0" xfId="0" applyFont="1" applyAlignment="1">
      <alignment vertical="top"/>
    </xf>
    <xf numFmtId="0" fontId="28" fillId="5" borderId="0" xfId="0" applyFont="1" applyFill="1" applyAlignment="1">
      <alignment horizontal="center" vertical="center"/>
    </xf>
    <xf numFmtId="165" fontId="33" fillId="13" borderId="37" xfId="6" applyFont="1" applyFill="1" applyBorder="1" applyAlignment="1">
      <alignment horizontal="center" vertical="center"/>
    </xf>
    <xf numFmtId="166" fontId="8" fillId="0" borderId="0" xfId="0" applyNumberFormat="1" applyFont="1" applyAlignment="1">
      <alignment horizontal="right" vertical="top"/>
    </xf>
    <xf numFmtId="167" fontId="8" fillId="0" borderId="0" xfId="0" applyNumberFormat="1" applyFont="1" applyAlignment="1">
      <alignment horizontal="right" vertical="top"/>
    </xf>
    <xf numFmtId="14" fontId="8" fillId="0" borderId="0" xfId="0" applyNumberFormat="1" applyFont="1" applyAlignment="1">
      <alignment horizontal="center" vertical="top"/>
    </xf>
    <xf numFmtId="166" fontId="36" fillId="24" borderId="1" xfId="0" applyNumberFormat="1" applyFont="1" applyFill="1" applyBorder="1" applyAlignment="1">
      <alignment horizontal="center" vertical="center"/>
    </xf>
    <xf numFmtId="14" fontId="37" fillId="25" borderId="1" xfId="0" applyNumberFormat="1" applyFont="1" applyFill="1" applyBorder="1" applyAlignment="1">
      <alignment horizontal="left" vertical="center"/>
    </xf>
    <xf numFmtId="14" fontId="38" fillId="24" borderId="1" xfId="0" applyNumberFormat="1" applyFont="1" applyFill="1" applyBorder="1" applyAlignment="1">
      <alignment horizontal="center" vertical="center"/>
    </xf>
    <xf numFmtId="165" fontId="37" fillId="25" borderId="1" xfId="2" applyFont="1" applyFill="1" applyBorder="1" applyAlignment="1">
      <alignment horizontal="center" vertical="center"/>
    </xf>
    <xf numFmtId="0" fontId="10" fillId="9" borderId="43" xfId="10" applyFont="1" applyFill="1" applyBorder="1"/>
    <xf numFmtId="165" fontId="10" fillId="9" borderId="44" xfId="10" applyNumberFormat="1" applyFont="1" applyFill="1" applyBorder="1"/>
    <xf numFmtId="165" fontId="10" fillId="9" borderId="1" xfId="11" applyFont="1" applyFill="1" applyBorder="1"/>
    <xf numFmtId="4" fontId="0" fillId="0" borderId="1" xfId="0" applyNumberFormat="1" applyBorder="1"/>
    <xf numFmtId="2" fontId="4" fillId="10" borderId="1" xfId="12" applyNumberFormat="1" applyFill="1" applyBorder="1"/>
    <xf numFmtId="165" fontId="4" fillId="10" borderId="1" xfId="11" applyFont="1" applyFill="1" applyBorder="1"/>
    <xf numFmtId="0" fontId="12" fillId="12" borderId="8" xfId="10" applyFont="1" applyFill="1" applyBorder="1" applyAlignment="1">
      <alignment vertical="center"/>
    </xf>
    <xf numFmtId="165" fontId="12" fillId="12" borderId="31" xfId="11" applyFont="1" applyFill="1" applyBorder="1" applyAlignment="1">
      <alignment vertical="center"/>
    </xf>
    <xf numFmtId="165" fontId="12" fillId="12" borderId="9" xfId="10" applyNumberFormat="1" applyFont="1" applyFill="1" applyBorder="1" applyAlignment="1">
      <alignment vertical="center"/>
    </xf>
    <xf numFmtId="0" fontId="10" fillId="9" borderId="39" xfId="10" applyFont="1" applyFill="1" applyBorder="1"/>
    <xf numFmtId="0" fontId="10" fillId="9" borderId="30" xfId="10" applyFont="1" applyFill="1" applyBorder="1" applyAlignment="1">
      <alignment horizontal="right"/>
    </xf>
    <xf numFmtId="0" fontId="0" fillId="0" borderId="39" xfId="0" applyBorder="1" applyAlignment="1">
      <alignment horizontal="left" indent="1"/>
    </xf>
    <xf numFmtId="165" fontId="4" fillId="0" borderId="30" xfId="11" applyFont="1" applyBorder="1"/>
    <xf numFmtId="0" fontId="11" fillId="10" borderId="39" xfId="10" applyFont="1" applyFill="1" applyBorder="1"/>
    <xf numFmtId="169" fontId="4" fillId="10" borderId="30" xfId="13" applyNumberFormat="1" applyFill="1" applyBorder="1"/>
    <xf numFmtId="0" fontId="10" fillId="9" borderId="40" xfId="10" applyFont="1" applyFill="1" applyBorder="1"/>
    <xf numFmtId="165" fontId="10" fillId="11" borderId="11" xfId="11" applyFont="1" applyFill="1" applyBorder="1"/>
    <xf numFmtId="165" fontId="10" fillId="11" borderId="41" xfId="11" applyFont="1" applyFill="1" applyBorder="1"/>
    <xf numFmtId="165" fontId="0" fillId="0" borderId="13" xfId="11" applyFont="1" applyBorder="1"/>
    <xf numFmtId="165" fontId="4" fillId="10" borderId="30" xfId="11" applyFont="1" applyFill="1" applyBorder="1"/>
    <xf numFmtId="165" fontId="10" fillId="9" borderId="45" xfId="10" applyNumberFormat="1" applyFont="1" applyFill="1" applyBorder="1"/>
    <xf numFmtId="0" fontId="40" fillId="0" borderId="0" xfId="0" applyFont="1" applyAlignment="1">
      <alignment vertical="center"/>
    </xf>
    <xf numFmtId="0" fontId="40" fillId="0" borderId="0" xfId="0" applyFont="1" applyAlignment="1">
      <alignment horizontal="center" vertical="center"/>
    </xf>
    <xf numFmtId="165" fontId="16" fillId="13" borderId="0" xfId="6" applyFont="1" applyFill="1" applyBorder="1" applyAlignment="1">
      <alignment horizontal="center" vertical="center"/>
    </xf>
    <xf numFmtId="168" fontId="16" fillId="13" borderId="0" xfId="6" applyNumberFormat="1" applyFont="1" applyFill="1" applyBorder="1" applyAlignment="1">
      <alignment horizontal="center" vertical="center"/>
    </xf>
    <xf numFmtId="165" fontId="33" fillId="13" borderId="0" xfId="6" applyFont="1" applyFill="1" applyBorder="1" applyAlignment="1">
      <alignment horizontal="center" vertical="center"/>
    </xf>
    <xf numFmtId="170" fontId="0" fillId="0" borderId="30" xfId="2" applyNumberFormat="1" applyFont="1" applyBorder="1"/>
    <xf numFmtId="0" fontId="14" fillId="20" borderId="0" xfId="4" applyFont="1" applyFill="1" applyAlignment="1">
      <alignment vertical="center"/>
    </xf>
    <xf numFmtId="0" fontId="20" fillId="5" borderId="0" xfId="4" applyFont="1" applyFill="1" applyAlignment="1">
      <alignment vertical="center"/>
    </xf>
    <xf numFmtId="165" fontId="40" fillId="14" borderId="1" xfId="2" applyFont="1" applyFill="1" applyBorder="1" applyAlignment="1">
      <alignment horizontal="right" vertical="center"/>
    </xf>
    <xf numFmtId="170" fontId="40" fillId="14" borderId="1" xfId="2" applyNumberFormat="1" applyFont="1" applyFill="1" applyBorder="1" applyAlignment="1">
      <alignment horizontal="right" vertical="center"/>
    </xf>
    <xf numFmtId="170" fontId="40" fillId="5" borderId="1" xfId="2" applyNumberFormat="1" applyFont="1" applyFill="1" applyBorder="1" applyAlignment="1">
      <alignment horizontal="right" vertical="center"/>
    </xf>
    <xf numFmtId="0" fontId="40" fillId="0" borderId="0" xfId="0" applyFont="1"/>
    <xf numFmtId="14" fontId="40" fillId="0" borderId="0" xfId="0" applyNumberFormat="1" applyFont="1"/>
    <xf numFmtId="165" fontId="40" fillId="0" borderId="0" xfId="2" applyFont="1" applyAlignment="1">
      <alignment horizontal="right"/>
    </xf>
    <xf numFmtId="170" fontId="40" fillId="0" borderId="0" xfId="2" applyNumberFormat="1" applyFont="1" applyAlignment="1">
      <alignment horizontal="right"/>
    </xf>
    <xf numFmtId="0" fontId="40" fillId="5" borderId="0" xfId="0" applyFont="1" applyFill="1" applyAlignment="1">
      <alignment vertical="center"/>
    </xf>
    <xf numFmtId="0" fontId="40" fillId="0" borderId="1" xfId="0" applyFont="1" applyBorder="1" applyAlignment="1">
      <alignment horizontal="center"/>
    </xf>
    <xf numFmtId="0" fontId="42" fillId="7" borderId="1" xfId="0" applyFont="1" applyFill="1" applyBorder="1" applyAlignment="1">
      <alignment horizontal="center" vertical="center"/>
    </xf>
    <xf numFmtId="0" fontId="42" fillId="7" borderId="1" xfId="0" applyFont="1" applyFill="1" applyBorder="1" applyAlignment="1">
      <alignment vertical="center"/>
    </xf>
    <xf numFmtId="166" fontId="42" fillId="7" borderId="1" xfId="0" applyNumberFormat="1" applyFont="1" applyFill="1" applyBorder="1" applyAlignment="1">
      <alignment vertical="center"/>
    </xf>
    <xf numFmtId="0" fontId="40" fillId="0" borderId="0" xfId="0" applyFont="1" applyAlignment="1">
      <alignment horizontal="center"/>
    </xf>
    <xf numFmtId="166" fontId="36" fillId="4" borderId="1" xfId="0" applyNumberFormat="1" applyFont="1" applyFill="1" applyBorder="1" applyAlignment="1">
      <alignment horizontal="center" vertical="center"/>
    </xf>
    <xf numFmtId="14" fontId="37" fillId="13" borderId="1" xfId="0" applyNumberFormat="1" applyFont="1" applyFill="1" applyBorder="1" applyAlignment="1">
      <alignment horizontal="left" vertical="center"/>
    </xf>
    <xf numFmtId="14" fontId="38" fillId="4" borderId="1" xfId="0" applyNumberFormat="1" applyFont="1" applyFill="1" applyBorder="1" applyAlignment="1">
      <alignment horizontal="center" vertical="center"/>
    </xf>
    <xf numFmtId="165" fontId="37" fillId="13" borderId="1" xfId="2" applyFont="1" applyFill="1" applyBorder="1" applyAlignment="1">
      <alignment horizontal="center" vertical="center"/>
    </xf>
    <xf numFmtId="165" fontId="6" fillId="4" borderId="1" xfId="2" applyFont="1" applyFill="1" applyBorder="1" applyAlignment="1">
      <alignment horizontal="center" vertical="center"/>
    </xf>
    <xf numFmtId="168" fontId="3" fillId="0" borderId="0" xfId="2" applyNumberFormat="1" applyFont="1" applyAlignment="1">
      <alignment horizontal="center" vertical="center"/>
    </xf>
    <xf numFmtId="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2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5" fillId="14" borderId="1" xfId="2" applyNumberFormat="1" applyFont="1" applyFill="1" applyBorder="1" applyAlignment="1">
      <alignment horizontal="center" vertical="center"/>
    </xf>
    <xf numFmtId="43" fontId="18" fillId="0" borderId="0" xfId="4" applyNumberFormat="1" applyFont="1" applyAlignment="1">
      <alignment vertical="center"/>
    </xf>
    <xf numFmtId="0" fontId="3" fillId="27" borderId="0" xfId="0" applyFont="1" applyFill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  <xf numFmtId="0" fontId="24" fillId="15" borderId="1" xfId="0" applyFont="1" applyFill="1" applyBorder="1" applyAlignment="1">
      <alignment horizontal="left" vertical="top"/>
    </xf>
    <xf numFmtId="0" fontId="38" fillId="4" borderId="1" xfId="0" applyFont="1" applyFill="1" applyBorder="1" applyAlignment="1">
      <alignment horizontal="left" vertical="center"/>
    </xf>
    <xf numFmtId="0" fontId="38" fillId="24" borderId="1" xfId="0" applyFont="1" applyFill="1" applyBorder="1" applyAlignment="1">
      <alignment horizontal="left" vertical="center"/>
    </xf>
    <xf numFmtId="0" fontId="44" fillId="5" borderId="0" xfId="0" applyFont="1" applyFill="1" applyAlignment="1">
      <alignment horizontal="center" vertical="center"/>
    </xf>
    <xf numFmtId="0" fontId="24" fillId="23" borderId="14" xfId="0" applyFont="1" applyFill="1" applyBorder="1" applyAlignment="1">
      <alignment vertical="top"/>
    </xf>
    <xf numFmtId="165" fontId="43" fillId="3" borderId="14" xfId="2" quotePrefix="1" applyFont="1" applyFill="1" applyBorder="1" applyAlignment="1">
      <alignment horizontal="center" vertical="center"/>
    </xf>
    <xf numFmtId="170" fontId="43" fillId="3" borderId="14" xfId="2" quotePrefix="1" applyNumberFormat="1" applyFont="1" applyFill="1" applyBorder="1" applyAlignment="1">
      <alignment horizontal="center" vertical="center"/>
    </xf>
    <xf numFmtId="0" fontId="9" fillId="2" borderId="3" xfId="4" applyFont="1" applyFill="1" applyBorder="1" applyAlignment="1">
      <alignment horizontal="center" vertical="center"/>
    </xf>
    <xf numFmtId="0" fontId="16" fillId="20" borderId="47" xfId="4" applyFont="1" applyFill="1" applyBorder="1" applyAlignment="1">
      <alignment vertical="center"/>
    </xf>
    <xf numFmtId="165" fontId="30" fillId="18" borderId="24" xfId="6" quotePrefix="1" applyFont="1" applyFill="1" applyBorder="1" applyAlignment="1">
      <alignment horizontal="center" vertical="center" wrapText="1"/>
    </xf>
    <xf numFmtId="165" fontId="45" fillId="22" borderId="26" xfId="6" applyFont="1" applyFill="1" applyBorder="1" applyAlignment="1">
      <alignment vertical="center"/>
    </xf>
    <xf numFmtId="0" fontId="45" fillId="22" borderId="48" xfId="7" applyFont="1" applyFill="1" applyBorder="1" applyAlignment="1">
      <alignment horizontal="center" vertical="center"/>
    </xf>
    <xf numFmtId="165" fontId="45" fillId="14" borderId="26" xfId="6" applyFont="1" applyFill="1" applyBorder="1" applyAlignment="1">
      <alignment vertical="center"/>
    </xf>
    <xf numFmtId="0" fontId="45" fillId="14" borderId="48" xfId="7" applyFont="1" applyFill="1" applyBorder="1" applyAlignment="1">
      <alignment horizontal="center" vertical="center"/>
    </xf>
    <xf numFmtId="165" fontId="31" fillId="13" borderId="28" xfId="6" applyFont="1" applyFill="1" applyBorder="1" applyAlignment="1">
      <alignment horizontal="center" vertical="center"/>
    </xf>
    <xf numFmtId="168" fontId="31" fillId="13" borderId="49" xfId="6" applyNumberFormat="1" applyFont="1" applyFill="1" applyBorder="1" applyAlignment="1">
      <alignment horizontal="center" vertical="center"/>
    </xf>
    <xf numFmtId="165" fontId="31" fillId="21" borderId="27" xfId="6" applyFont="1" applyFill="1" applyBorder="1" applyAlignment="1">
      <alignment vertical="center"/>
    </xf>
    <xf numFmtId="165" fontId="31" fillId="21" borderId="50" xfId="6" applyFont="1" applyFill="1" applyBorder="1" applyAlignment="1">
      <alignment vertical="center"/>
    </xf>
    <xf numFmtId="0" fontId="16" fillId="20" borderId="34" xfId="4" applyFont="1" applyFill="1" applyBorder="1" applyAlignment="1">
      <alignment vertical="center"/>
    </xf>
    <xf numFmtId="165" fontId="15" fillId="14" borderId="35" xfId="2" applyFont="1" applyFill="1" applyBorder="1" applyAlignment="1">
      <alignment horizontal="center" vertical="center"/>
    </xf>
    <xf numFmtId="165" fontId="15" fillId="22" borderId="30" xfId="2" applyFont="1" applyFill="1" applyBorder="1" applyAlignment="1">
      <alignment horizontal="center" vertical="center"/>
    </xf>
    <xf numFmtId="165" fontId="15" fillId="22" borderId="51" xfId="2" applyFont="1" applyFill="1" applyBorder="1" applyAlignment="1">
      <alignment horizontal="center" vertical="center"/>
    </xf>
    <xf numFmtId="0" fontId="46" fillId="20" borderId="8" xfId="4" applyFont="1" applyFill="1" applyBorder="1" applyAlignment="1">
      <alignment vertical="center"/>
    </xf>
    <xf numFmtId="165" fontId="46" fillId="22" borderId="9" xfId="2" applyFont="1" applyFill="1" applyBorder="1" applyAlignment="1">
      <alignment horizontal="center" vertical="center"/>
    </xf>
    <xf numFmtId="0" fontId="0" fillId="0" borderId="5" xfId="0" applyBorder="1" applyAlignment="1">
      <alignment horizontal="left" indent="1"/>
    </xf>
    <xf numFmtId="4" fontId="0" fillId="0" borderId="0" xfId="0" applyNumberFormat="1"/>
    <xf numFmtId="0" fontId="40" fillId="0" borderId="1" xfId="0" applyFont="1" applyBorder="1" applyAlignment="1">
      <alignment vertical="top"/>
    </xf>
    <xf numFmtId="165" fontId="32" fillId="7" borderId="31" xfId="2" applyFont="1" applyFill="1" applyBorder="1"/>
    <xf numFmtId="0" fontId="32" fillId="7" borderId="31" xfId="0" applyFont="1" applyFill="1" applyBorder="1" applyAlignment="1">
      <alignment horizontal="center"/>
    </xf>
    <xf numFmtId="0" fontId="14" fillId="7" borderId="4" xfId="0" applyFont="1" applyFill="1" applyBorder="1" applyAlignment="1">
      <alignment vertical="center"/>
    </xf>
    <xf numFmtId="165" fontId="14" fillId="7" borderId="4" xfId="6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left" vertical="center"/>
    </xf>
    <xf numFmtId="165" fontId="14" fillId="7" borderId="43" xfId="6" applyFont="1" applyFill="1" applyBorder="1" applyAlignment="1">
      <alignment vertical="center"/>
    </xf>
    <xf numFmtId="0" fontId="14" fillId="7" borderId="43" xfId="6" applyNumberFormat="1" applyFont="1" applyFill="1" applyBorder="1" applyAlignment="1">
      <alignment horizontal="center" vertical="center"/>
    </xf>
    <xf numFmtId="0" fontId="23" fillId="0" borderId="52" xfId="0" applyFont="1" applyBorder="1" applyAlignment="1">
      <alignment horizontal="left" vertical="center"/>
    </xf>
    <xf numFmtId="165" fontId="15" fillId="14" borderId="14" xfId="2" applyFont="1" applyFill="1" applyBorder="1" applyAlignment="1">
      <alignment horizontal="center" vertical="center"/>
    </xf>
    <xf numFmtId="0" fontId="15" fillId="14" borderId="14" xfId="2" applyNumberFormat="1" applyFont="1" applyFill="1" applyBorder="1" applyAlignment="1">
      <alignment horizontal="center" vertical="center"/>
    </xf>
    <xf numFmtId="170" fontId="22" fillId="14" borderId="53" xfId="2" applyNumberFormat="1" applyFont="1" applyFill="1" applyBorder="1" applyAlignment="1">
      <alignment horizontal="right" vertical="center"/>
    </xf>
    <xf numFmtId="170" fontId="22" fillId="14" borderId="15" xfId="2" applyNumberFormat="1" applyFont="1" applyFill="1" applyBorder="1" applyAlignment="1">
      <alignment horizontal="right" vertical="center"/>
    </xf>
    <xf numFmtId="0" fontId="22" fillId="0" borderId="22" xfId="0" applyFont="1" applyBorder="1" applyAlignment="1">
      <alignment vertical="center"/>
    </xf>
    <xf numFmtId="0" fontId="30" fillId="22" borderId="0" xfId="4" applyFont="1" applyFill="1" applyAlignment="1">
      <alignment horizontal="center" vertical="center"/>
    </xf>
    <xf numFmtId="165" fontId="9" fillId="18" borderId="25" xfId="6" quotePrefix="1" applyFont="1" applyFill="1" applyBorder="1" applyAlignment="1">
      <alignment horizontal="center" vertical="center" wrapText="1"/>
    </xf>
    <xf numFmtId="0" fontId="39" fillId="19" borderId="3" xfId="4" applyFont="1" applyFill="1" applyBorder="1" applyAlignment="1">
      <alignment horizontal="centerContinuous" vertical="center"/>
    </xf>
    <xf numFmtId="0" fontId="39" fillId="19" borderId="18" xfId="4" applyFont="1" applyFill="1" applyBorder="1" applyAlignment="1">
      <alignment horizontal="centerContinuous" vertical="center"/>
    </xf>
    <xf numFmtId="0" fontId="39" fillId="19" borderId="17" xfId="4" applyFont="1" applyFill="1" applyBorder="1" applyAlignment="1">
      <alignment horizontal="centerContinuous" vertical="center"/>
    </xf>
    <xf numFmtId="0" fontId="4" fillId="0" borderId="0" xfId="0" applyFont="1"/>
    <xf numFmtId="0" fontId="16" fillId="20" borderId="34" xfId="4" applyFont="1" applyFill="1" applyBorder="1" applyAlignment="1">
      <alignment horizontal="center" vertical="center" wrapText="1"/>
    </xf>
    <xf numFmtId="0" fontId="16" fillId="20" borderId="34" xfId="4" applyFont="1" applyFill="1" applyBorder="1" applyAlignment="1">
      <alignment horizontal="center" vertical="center"/>
    </xf>
    <xf numFmtId="165" fontId="3" fillId="5" borderId="10" xfId="2" applyFont="1" applyFill="1" applyBorder="1" applyAlignment="1">
      <alignment horizontal="center" vertical="center"/>
    </xf>
    <xf numFmtId="165" fontId="6" fillId="5" borderId="10" xfId="2" applyFont="1" applyFill="1" applyBorder="1" applyAlignment="1">
      <alignment horizontal="center" vertical="center"/>
    </xf>
    <xf numFmtId="168" fontId="3" fillId="5" borderId="54" xfId="2" applyNumberFormat="1" applyFont="1" applyFill="1" applyBorder="1" applyAlignment="1">
      <alignment horizontal="center" vertical="center"/>
    </xf>
    <xf numFmtId="165" fontId="25" fillId="2" borderId="8" xfId="2" applyFont="1" applyFill="1" applyBorder="1" applyAlignment="1">
      <alignment horizontal="center" vertical="center"/>
    </xf>
    <xf numFmtId="165" fontId="25" fillId="2" borderId="31" xfId="2" applyFont="1" applyFill="1" applyBorder="1" applyAlignment="1">
      <alignment horizontal="center" vertical="center"/>
    </xf>
    <xf numFmtId="165" fontId="26" fillId="6" borderId="31" xfId="2" applyFont="1" applyFill="1" applyBorder="1" applyAlignment="1">
      <alignment horizontal="center" vertical="center"/>
    </xf>
    <xf numFmtId="168" fontId="25" fillId="2" borderId="9" xfId="2" applyNumberFormat="1" applyFont="1" applyFill="1" applyBorder="1" applyAlignment="1">
      <alignment horizontal="center" vertical="center"/>
    </xf>
    <xf numFmtId="0" fontId="47" fillId="0" borderId="2" xfId="0" pivotButton="1" applyFont="1" applyBorder="1" applyAlignment="1">
      <alignment vertical="center"/>
    </xf>
    <xf numFmtId="0" fontId="47" fillId="0" borderId="2" xfId="0" applyFont="1" applyBorder="1" applyAlignment="1">
      <alignment horizontal="center" vertical="center"/>
    </xf>
    <xf numFmtId="0" fontId="48" fillId="0" borderId="21" xfId="0" applyFont="1" applyBorder="1" applyAlignment="1">
      <alignment horizontal="left" vertical="center"/>
    </xf>
    <xf numFmtId="0" fontId="48" fillId="0" borderId="55" xfId="0" applyFont="1" applyBorder="1" applyAlignment="1">
      <alignment horizontal="left" vertical="center"/>
    </xf>
    <xf numFmtId="0" fontId="48" fillId="0" borderId="52" xfId="0" applyFont="1" applyBorder="1" applyAlignment="1">
      <alignment horizontal="left" vertical="center"/>
    </xf>
    <xf numFmtId="0" fontId="47" fillId="0" borderId="2" xfId="0" applyFont="1" applyBorder="1" applyAlignment="1">
      <alignment horizontal="left" vertical="center"/>
    </xf>
    <xf numFmtId="0" fontId="51" fillId="2" borderId="34" xfId="0" applyFont="1" applyFill="1" applyBorder="1" applyAlignment="1">
      <alignment horizontal="center" vertical="top"/>
    </xf>
    <xf numFmtId="0" fontId="51" fillId="2" borderId="14" xfId="0" applyFont="1" applyFill="1" applyBorder="1" applyAlignment="1">
      <alignment vertical="top"/>
    </xf>
    <xf numFmtId="165" fontId="29" fillId="3" borderId="56" xfId="2" applyFont="1" applyFill="1" applyBorder="1" applyAlignment="1">
      <alignment horizontal="center" vertical="center"/>
    </xf>
    <xf numFmtId="168" fontId="41" fillId="26" borderId="9" xfId="2" applyNumberFormat="1" applyFont="1" applyFill="1" applyBorder="1" applyAlignment="1">
      <alignment horizontal="center" vertical="center"/>
    </xf>
    <xf numFmtId="43" fontId="35" fillId="0" borderId="0" xfId="40" applyFont="1" applyAlignment="1">
      <alignment vertical="top"/>
    </xf>
    <xf numFmtId="43" fontId="8" fillId="0" borderId="0" xfId="40" applyFont="1" applyAlignment="1">
      <alignment horizontal="right" vertical="top"/>
    </xf>
    <xf numFmtId="165" fontId="52" fillId="29" borderId="2" xfId="2" applyFont="1" applyFill="1" applyBorder="1" applyAlignment="1">
      <alignment vertical="center"/>
    </xf>
    <xf numFmtId="0" fontId="14" fillId="7" borderId="31" xfId="6" applyNumberFormat="1" applyFont="1" applyFill="1" applyBorder="1" applyAlignment="1">
      <alignment horizontal="center" vertical="center"/>
    </xf>
    <xf numFmtId="0" fontId="49" fillId="0" borderId="34" xfId="0" applyFont="1" applyBorder="1" applyAlignment="1">
      <alignment horizontal="center" vertical="center"/>
    </xf>
    <xf numFmtId="0" fontId="49" fillId="0" borderId="14" xfId="0" applyFont="1" applyBorder="1" applyAlignment="1">
      <alignment vertical="center"/>
    </xf>
    <xf numFmtId="0" fontId="16" fillId="20" borderId="57" xfId="4" applyFont="1" applyFill="1" applyBorder="1" applyAlignment="1">
      <alignment vertical="center"/>
    </xf>
    <xf numFmtId="0" fontId="16" fillId="20" borderId="58" xfId="4" applyFont="1" applyFill="1" applyBorder="1" applyAlignment="1">
      <alignment vertical="center"/>
    </xf>
    <xf numFmtId="0" fontId="16" fillId="20" borderId="59" xfId="4" applyFont="1" applyFill="1" applyBorder="1" applyAlignment="1">
      <alignment vertical="center"/>
    </xf>
    <xf numFmtId="0" fontId="16" fillId="20" borderId="58" xfId="4" applyFont="1" applyFill="1" applyBorder="1" applyAlignment="1">
      <alignment horizontal="center" vertical="center" wrapText="1"/>
    </xf>
    <xf numFmtId="165" fontId="15" fillId="14" borderId="22" xfId="2" applyFont="1" applyFill="1" applyBorder="1" applyAlignment="1">
      <alignment horizontal="center" vertical="center"/>
    </xf>
    <xf numFmtId="165" fontId="15" fillId="22" borderId="16" xfId="2" applyFont="1" applyFill="1" applyBorder="1" applyAlignment="1">
      <alignment horizontal="center" vertical="center"/>
    </xf>
    <xf numFmtId="165" fontId="15" fillId="22" borderId="60" xfId="2" applyFont="1" applyFill="1" applyBorder="1" applyAlignment="1">
      <alignment horizontal="center" vertical="center"/>
    </xf>
    <xf numFmtId="165" fontId="15" fillId="14" borderId="23" xfId="2" applyFont="1" applyFill="1" applyBorder="1" applyAlignment="1">
      <alignment horizontal="center" vertical="center"/>
    </xf>
    <xf numFmtId="165" fontId="15" fillId="14" borderId="41" xfId="2" applyFont="1" applyFill="1" applyBorder="1" applyAlignment="1">
      <alignment horizontal="center" vertical="center"/>
    </xf>
    <xf numFmtId="165" fontId="53" fillId="14" borderId="35" xfId="2" applyFont="1" applyFill="1" applyBorder="1" applyAlignment="1">
      <alignment horizontal="center" vertical="center"/>
    </xf>
    <xf numFmtId="165" fontId="53" fillId="22" borderId="30" xfId="2" applyFont="1" applyFill="1" applyBorder="1" applyAlignment="1">
      <alignment horizontal="center" vertical="center"/>
    </xf>
    <xf numFmtId="165" fontId="53" fillId="22" borderId="51" xfId="2" applyFont="1" applyFill="1" applyBorder="1" applyAlignment="1">
      <alignment horizontal="center" vertical="center"/>
    </xf>
    <xf numFmtId="165" fontId="53" fillId="14" borderId="41" xfId="2" applyFont="1" applyFill="1" applyBorder="1" applyAlignment="1">
      <alignment horizontal="center" vertical="center"/>
    </xf>
    <xf numFmtId="165" fontId="54" fillId="22" borderId="9" xfId="2" applyFont="1" applyFill="1" applyBorder="1" applyAlignment="1">
      <alignment horizontal="center" vertical="center"/>
    </xf>
    <xf numFmtId="166" fontId="55" fillId="0" borderId="0" xfId="0" applyNumberFormat="1" applyFont="1" applyAlignment="1">
      <alignment horizontal="right" vertical="top"/>
    </xf>
    <xf numFmtId="0" fontId="55" fillId="0" borderId="0" xfId="0" applyFont="1" applyAlignment="1">
      <alignment vertical="top"/>
    </xf>
    <xf numFmtId="14" fontId="55" fillId="0" borderId="0" xfId="0" applyNumberFormat="1" applyFont="1" applyAlignment="1">
      <alignment horizontal="center" vertical="top"/>
    </xf>
    <xf numFmtId="165" fontId="3" fillId="5" borderId="61" xfId="2" applyFont="1" applyFill="1" applyBorder="1" applyAlignment="1">
      <alignment horizontal="center" vertical="center"/>
    </xf>
    <xf numFmtId="165" fontId="3" fillId="5" borderId="62" xfId="2" applyFont="1" applyFill="1" applyBorder="1" applyAlignment="1">
      <alignment horizontal="center" vertical="center"/>
    </xf>
    <xf numFmtId="166" fontId="55" fillId="0" borderId="1" xfId="0" applyNumberFormat="1" applyFont="1" applyBorder="1" applyAlignment="1">
      <alignment horizontal="right" vertical="top"/>
    </xf>
    <xf numFmtId="0" fontId="55" fillId="0" borderId="1" xfId="0" applyFont="1" applyBorder="1" applyAlignment="1">
      <alignment vertical="top"/>
    </xf>
    <xf numFmtId="14" fontId="55" fillId="0" borderId="1" xfId="0" applyNumberFormat="1" applyFont="1" applyBorder="1" applyAlignment="1">
      <alignment horizontal="center" vertical="top"/>
    </xf>
    <xf numFmtId="0" fontId="48" fillId="0" borderId="21" xfId="0" applyFont="1" applyBorder="1" applyAlignment="1">
      <alignment horizontal="center" vertical="center"/>
    </xf>
    <xf numFmtId="0" fontId="48" fillId="0" borderId="55" xfId="0" applyFont="1" applyBorder="1" applyAlignment="1">
      <alignment horizontal="center" vertical="center"/>
    </xf>
    <xf numFmtId="167" fontId="55" fillId="0" borderId="0" xfId="0" applyNumberFormat="1" applyFont="1" applyAlignment="1">
      <alignment horizontal="right" vertical="top"/>
    </xf>
    <xf numFmtId="0" fontId="51" fillId="2" borderId="34" xfId="0" applyFont="1" applyFill="1" applyBorder="1" applyAlignment="1">
      <alignment horizontal="center" vertical="center"/>
    </xf>
    <xf numFmtId="0" fontId="51" fillId="2" borderId="14" xfId="0" applyFont="1" applyFill="1" applyBorder="1" applyAlignment="1">
      <alignment vertical="center"/>
    </xf>
    <xf numFmtId="166" fontId="40" fillId="0" borderId="39" xfId="0" applyNumberFormat="1" applyFont="1" applyBorder="1" applyAlignment="1">
      <alignment horizontal="center" vertical="center"/>
    </xf>
    <xf numFmtId="0" fontId="40" fillId="0" borderId="1" xfId="0" applyFont="1" applyBorder="1" applyAlignment="1">
      <alignment vertical="center"/>
    </xf>
    <xf numFmtId="14" fontId="40" fillId="0" borderId="1" xfId="0" applyNumberFormat="1" applyFont="1" applyBorder="1" applyAlignment="1">
      <alignment horizontal="center" vertical="center"/>
    </xf>
    <xf numFmtId="166" fontId="40" fillId="0" borderId="40" xfId="0" applyNumberFormat="1" applyFont="1" applyBorder="1" applyAlignment="1">
      <alignment horizontal="center" vertical="center"/>
    </xf>
    <xf numFmtId="0" fontId="40" fillId="0" borderId="11" xfId="0" applyFont="1" applyBorder="1" applyAlignment="1">
      <alignment vertical="center"/>
    </xf>
    <xf numFmtId="14" fontId="40" fillId="0" borderId="11" xfId="0" applyNumberFormat="1" applyFont="1" applyBorder="1" applyAlignment="1">
      <alignment horizontal="center" vertical="center"/>
    </xf>
    <xf numFmtId="165" fontId="40" fillId="14" borderId="46" xfId="2" applyFont="1" applyFill="1" applyBorder="1" applyAlignment="1">
      <alignment horizontal="right" vertical="center"/>
    </xf>
    <xf numFmtId="165" fontId="57" fillId="4" borderId="3" xfId="2" applyFont="1" applyFill="1" applyBorder="1" applyAlignment="1">
      <alignment horizontal="right"/>
    </xf>
    <xf numFmtId="165" fontId="56" fillId="4" borderId="17" xfId="2" applyFont="1" applyFill="1" applyBorder="1" applyAlignment="1">
      <alignment horizontal="right"/>
    </xf>
    <xf numFmtId="0" fontId="32" fillId="7" borderId="63" xfId="0" applyFont="1" applyFill="1" applyBorder="1"/>
    <xf numFmtId="0" fontId="32" fillId="7" borderId="43" xfId="0" applyFont="1" applyFill="1" applyBorder="1" applyAlignment="1">
      <alignment horizontal="left"/>
    </xf>
    <xf numFmtId="165" fontId="32" fillId="7" borderId="44" xfId="2" applyFont="1" applyFill="1" applyBorder="1"/>
    <xf numFmtId="0" fontId="32" fillId="7" borderId="44" xfId="0" applyFont="1" applyFill="1" applyBorder="1" applyAlignment="1">
      <alignment horizontal="center"/>
    </xf>
    <xf numFmtId="170" fontId="10" fillId="28" borderId="45" xfId="2" applyNumberFormat="1" applyFont="1" applyFill="1" applyBorder="1"/>
    <xf numFmtId="0" fontId="0" fillId="0" borderId="39" xfId="0" applyBorder="1"/>
    <xf numFmtId="0" fontId="0" fillId="0" borderId="39" xfId="0" applyBorder="1" applyAlignment="1">
      <alignment horizontal="left"/>
    </xf>
    <xf numFmtId="0" fontId="0" fillId="0" borderId="40" xfId="0" applyBorder="1" applyAlignment="1">
      <alignment horizontal="left"/>
    </xf>
    <xf numFmtId="165" fontId="0" fillId="0" borderId="11" xfId="2" applyFont="1" applyBorder="1"/>
    <xf numFmtId="0" fontId="0" fillId="0" borderId="11" xfId="0" applyBorder="1" applyAlignment="1">
      <alignment horizontal="center"/>
    </xf>
    <xf numFmtId="170" fontId="0" fillId="0" borderId="41" xfId="2" applyNumberFormat="1" applyFont="1" applyBorder="1"/>
    <xf numFmtId="0" fontId="0" fillId="0" borderId="38" xfId="0" applyBorder="1"/>
    <xf numFmtId="165" fontId="0" fillId="0" borderId="10" xfId="2" applyFont="1" applyBorder="1"/>
    <xf numFmtId="165" fontId="0" fillId="0" borderId="10" xfId="0" applyNumberFormat="1" applyBorder="1"/>
    <xf numFmtId="0" fontId="0" fillId="0" borderId="10" xfId="0" applyBorder="1" applyAlignment="1">
      <alignment horizontal="center"/>
    </xf>
    <xf numFmtId="170" fontId="0" fillId="0" borderId="54" xfId="2" applyNumberFormat="1" applyFont="1" applyBorder="1"/>
    <xf numFmtId="0" fontId="32" fillId="7" borderId="8" xfId="0" applyFont="1" applyFill="1" applyBorder="1"/>
    <xf numFmtId="0" fontId="32" fillId="7" borderId="9" xfId="0" applyFont="1" applyFill="1" applyBorder="1"/>
    <xf numFmtId="170" fontId="45" fillId="14" borderId="6" xfId="2" applyNumberFormat="1" applyFont="1" applyFill="1" applyBorder="1" applyAlignment="1">
      <alignment horizontal="right" vertical="center"/>
    </xf>
    <xf numFmtId="170" fontId="22" fillId="14" borderId="1" xfId="2" applyNumberFormat="1" applyFont="1" applyFill="1" applyBorder="1" applyAlignment="1">
      <alignment horizontal="right" vertical="center"/>
    </xf>
    <xf numFmtId="0" fontId="14" fillId="7" borderId="8" xfId="0" applyFont="1" applyFill="1" applyBorder="1" applyAlignment="1">
      <alignment vertical="center"/>
    </xf>
    <xf numFmtId="165" fontId="14" fillId="7" borderId="31" xfId="6" quotePrefix="1" applyFont="1" applyFill="1" applyBorder="1" applyAlignment="1">
      <alignment horizontal="center" vertical="center" wrapText="1"/>
    </xf>
    <xf numFmtId="165" fontId="14" fillId="7" borderId="31" xfId="6" applyFont="1" applyFill="1" applyBorder="1" applyAlignment="1">
      <alignment horizontal="center" vertical="center"/>
    </xf>
    <xf numFmtId="0" fontId="16" fillId="20" borderId="66" xfId="4" applyFont="1" applyFill="1" applyBorder="1" applyAlignment="1">
      <alignment vertical="center"/>
    </xf>
    <xf numFmtId="170" fontId="22" fillId="14" borderId="46" xfId="2" applyNumberFormat="1" applyFont="1" applyFill="1" applyBorder="1" applyAlignment="1">
      <alignment horizontal="right" vertical="center"/>
    </xf>
    <xf numFmtId="170" fontId="45" fillId="14" borderId="31" xfId="2" applyNumberFormat="1" applyFont="1" applyFill="1" applyBorder="1" applyAlignment="1">
      <alignment horizontal="right" vertical="center"/>
    </xf>
    <xf numFmtId="165" fontId="15" fillId="4" borderId="10" xfId="2" applyFont="1" applyFill="1" applyBorder="1" applyAlignment="1">
      <alignment horizontal="center" vertical="center"/>
    </xf>
    <xf numFmtId="0" fontId="15" fillId="4" borderId="10" xfId="2" applyNumberFormat="1" applyFont="1" applyFill="1" applyBorder="1" applyAlignment="1">
      <alignment horizontal="center" vertical="center"/>
    </xf>
    <xf numFmtId="165" fontId="15" fillId="4" borderId="1" xfId="2" applyFont="1" applyFill="1" applyBorder="1" applyAlignment="1">
      <alignment horizontal="center" vertical="center"/>
    </xf>
    <xf numFmtId="0" fontId="15" fillId="4" borderId="1" xfId="2" applyNumberFormat="1" applyFont="1" applyFill="1" applyBorder="1" applyAlignment="1">
      <alignment horizontal="center" vertical="center"/>
    </xf>
    <xf numFmtId="165" fontId="15" fillId="4" borderId="46" xfId="2" applyFont="1" applyFill="1" applyBorder="1" applyAlignment="1">
      <alignment horizontal="center" vertical="center"/>
    </xf>
    <xf numFmtId="0" fontId="15" fillId="4" borderId="46" xfId="2" applyNumberFormat="1" applyFont="1" applyFill="1" applyBorder="1" applyAlignment="1">
      <alignment horizontal="center" vertical="center"/>
    </xf>
    <xf numFmtId="0" fontId="32" fillId="7" borderId="64" xfId="0" applyFont="1" applyFill="1" applyBorder="1" applyAlignment="1">
      <alignment horizontal="left"/>
    </xf>
    <xf numFmtId="165" fontId="32" fillId="7" borderId="64" xfId="0" applyNumberFormat="1" applyFont="1" applyFill="1" applyBorder="1"/>
    <xf numFmtId="43" fontId="18" fillId="0" borderId="0" xfId="4" applyNumberFormat="1" applyFont="1" applyAlignment="1">
      <alignment horizontal="center"/>
    </xf>
    <xf numFmtId="0" fontId="49" fillId="0" borderId="21" xfId="0" applyFont="1" applyBorder="1" applyAlignment="1">
      <alignment horizontal="center" vertical="center"/>
    </xf>
    <xf numFmtId="0" fontId="49" fillId="0" borderId="68" xfId="0" applyFont="1" applyBorder="1" applyAlignment="1">
      <alignment horizontal="center" vertical="center"/>
    </xf>
    <xf numFmtId="0" fontId="49" fillId="0" borderId="69" xfId="0" applyFont="1" applyBorder="1" applyAlignment="1">
      <alignment horizontal="center" vertical="center"/>
    </xf>
    <xf numFmtId="165" fontId="49" fillId="0" borderId="35" xfId="2" applyFont="1" applyBorder="1" applyAlignment="1">
      <alignment vertical="center"/>
    </xf>
    <xf numFmtId="0" fontId="49" fillId="0" borderId="39" xfId="0" applyFont="1" applyBorder="1" applyAlignment="1">
      <alignment horizontal="center" vertical="center"/>
    </xf>
    <xf numFmtId="165" fontId="49" fillId="0" borderId="30" xfId="2" applyFont="1" applyBorder="1" applyAlignment="1">
      <alignment vertical="center"/>
    </xf>
    <xf numFmtId="0" fontId="49" fillId="0" borderId="66" xfId="0" applyFont="1" applyBorder="1" applyAlignment="1">
      <alignment horizontal="center" vertical="center"/>
    </xf>
    <xf numFmtId="165" fontId="49" fillId="0" borderId="51" xfId="2" applyFont="1" applyBorder="1" applyAlignment="1">
      <alignment vertical="center"/>
    </xf>
    <xf numFmtId="0" fontId="58" fillId="0" borderId="8" xfId="0" applyFont="1" applyBorder="1" applyAlignment="1">
      <alignment vertical="center"/>
    </xf>
    <xf numFmtId="0" fontId="58" fillId="0" borderId="31" xfId="0" applyFont="1" applyBorder="1" applyAlignment="1">
      <alignment vertical="center"/>
    </xf>
    <xf numFmtId="165" fontId="59" fillId="0" borderId="9" xfId="2" applyFont="1" applyBorder="1" applyAlignment="1">
      <alignment vertical="center"/>
    </xf>
    <xf numFmtId="0" fontId="50" fillId="0" borderId="3" xfId="0" applyFont="1" applyBorder="1" applyAlignment="1">
      <alignment horizontal="center" vertical="center"/>
    </xf>
    <xf numFmtId="0" fontId="50" fillId="0" borderId="18" xfId="0" applyFont="1" applyBorder="1" applyAlignment="1">
      <alignment horizontal="center" vertical="center"/>
    </xf>
    <xf numFmtId="0" fontId="50" fillId="0" borderId="17" xfId="0" applyFont="1" applyBorder="1" applyAlignment="1">
      <alignment horizontal="center" vertical="center"/>
    </xf>
    <xf numFmtId="0" fontId="9" fillId="2" borderId="3" xfId="10" applyFont="1" applyFill="1" applyBorder="1" applyAlignment="1">
      <alignment horizontal="center"/>
    </xf>
    <xf numFmtId="0" fontId="9" fillId="2" borderId="18" xfId="10" applyFont="1" applyFill="1" applyBorder="1" applyAlignment="1">
      <alignment horizontal="center"/>
    </xf>
    <xf numFmtId="0" fontId="9" fillId="2" borderId="17" xfId="10" applyFont="1" applyFill="1" applyBorder="1" applyAlignment="1">
      <alignment horizontal="center"/>
    </xf>
    <xf numFmtId="0" fontId="12" fillId="3" borderId="34" xfId="10" applyFont="1" applyFill="1" applyBorder="1" applyAlignment="1">
      <alignment horizontal="center"/>
    </xf>
    <xf numFmtId="0" fontId="12" fillId="3" borderId="14" xfId="10" applyFont="1" applyFill="1" applyBorder="1" applyAlignment="1">
      <alignment horizontal="center"/>
    </xf>
    <xf numFmtId="0" fontId="12" fillId="3" borderId="35" xfId="10" applyFont="1" applyFill="1" applyBorder="1" applyAlignment="1">
      <alignment horizontal="center"/>
    </xf>
    <xf numFmtId="165" fontId="14" fillId="7" borderId="1" xfId="6" applyFont="1" applyFill="1" applyBorder="1" applyAlignment="1">
      <alignment horizontal="left" vertical="center"/>
    </xf>
    <xf numFmtId="165" fontId="14" fillId="7" borderId="67" xfId="6" applyFont="1" applyFill="1" applyBorder="1" applyAlignment="1">
      <alignment horizontal="left" vertical="center"/>
    </xf>
    <xf numFmtId="165" fontId="14" fillId="7" borderId="7" xfId="6" applyFont="1" applyFill="1" applyBorder="1" applyAlignment="1">
      <alignment horizontal="left" vertical="center"/>
    </xf>
    <xf numFmtId="165" fontId="14" fillId="7" borderId="12" xfId="6" applyFont="1" applyFill="1" applyBorder="1" applyAlignment="1">
      <alignment horizontal="left" vertical="center"/>
    </xf>
    <xf numFmtId="0" fontId="23" fillId="0" borderId="42" xfId="0" applyFont="1" applyBorder="1" applyAlignment="1">
      <alignment horizontal="left" vertical="center"/>
    </xf>
    <xf numFmtId="0" fontId="23" fillId="0" borderId="18" xfId="0" applyFont="1" applyBorder="1" applyAlignment="1">
      <alignment horizontal="left" vertical="center"/>
    </xf>
    <xf numFmtId="0" fontId="23" fillId="0" borderId="17" xfId="0" applyFont="1" applyBorder="1" applyAlignment="1">
      <alignment horizontal="left" vertical="center"/>
    </xf>
    <xf numFmtId="0" fontId="30" fillId="19" borderId="5" xfId="4" applyFont="1" applyFill="1" applyBorder="1" applyAlignment="1">
      <alignment horizontal="center" vertical="center"/>
    </xf>
    <xf numFmtId="0" fontId="30" fillId="19" borderId="0" xfId="4" applyFont="1" applyFill="1" applyAlignment="1">
      <alignment horizontal="center" vertical="center"/>
    </xf>
    <xf numFmtId="0" fontId="30" fillId="19" borderId="65" xfId="4" applyFont="1" applyFill="1" applyBorder="1" applyAlignment="1">
      <alignment horizontal="center" vertical="center"/>
    </xf>
    <xf numFmtId="165" fontId="14" fillId="7" borderId="42" xfId="6" applyFont="1" applyFill="1" applyBorder="1" applyAlignment="1">
      <alignment horizontal="left" vertical="center"/>
    </xf>
    <xf numFmtId="165" fontId="14" fillId="7" borderId="18" xfId="6" applyFont="1" applyFill="1" applyBorder="1" applyAlignment="1">
      <alignment horizontal="left" vertical="center"/>
    </xf>
    <xf numFmtId="165" fontId="14" fillId="7" borderId="17" xfId="6" applyFont="1" applyFill="1" applyBorder="1" applyAlignment="1">
      <alignment horizontal="left" vertical="center"/>
    </xf>
    <xf numFmtId="165" fontId="14" fillId="7" borderId="10" xfId="6" applyFont="1" applyFill="1" applyBorder="1" applyAlignment="1">
      <alignment horizontal="left" vertical="center"/>
    </xf>
    <xf numFmtId="166" fontId="55" fillId="16" borderId="1" xfId="0" applyNumberFormat="1" applyFont="1" applyFill="1" applyBorder="1" applyAlignment="1">
      <alignment horizontal="right" vertical="top"/>
    </xf>
    <xf numFmtId="0" fontId="55" fillId="16" borderId="1" xfId="0" applyFont="1" applyFill="1" applyBorder="1" applyAlignment="1">
      <alignment vertical="top"/>
    </xf>
    <xf numFmtId="14" fontId="55" fillId="16" borderId="1" xfId="0" applyNumberFormat="1" applyFont="1" applyFill="1" applyBorder="1" applyAlignment="1">
      <alignment horizontal="center" vertical="top"/>
    </xf>
    <xf numFmtId="165" fontId="3" fillId="16" borderId="62" xfId="2" applyFont="1" applyFill="1" applyBorder="1" applyAlignment="1">
      <alignment horizontal="center" vertical="center"/>
    </xf>
    <xf numFmtId="165" fontId="3" fillId="16" borderId="1" xfId="2" applyFont="1" applyFill="1" applyBorder="1" applyAlignment="1">
      <alignment horizontal="center" vertical="center"/>
    </xf>
    <xf numFmtId="165" fontId="6" fillId="16" borderId="1" xfId="2" applyFont="1" applyFill="1" applyBorder="1" applyAlignment="1">
      <alignment horizontal="center" vertical="center"/>
    </xf>
    <xf numFmtId="168" fontId="3" fillId="16" borderId="54" xfId="2" applyNumberFormat="1" applyFont="1" applyFill="1" applyBorder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43" fontId="3" fillId="5" borderId="0" xfId="0" applyNumberFormat="1" applyFont="1" applyFill="1" applyAlignment="1">
      <alignment horizontal="center" vertical="center"/>
    </xf>
  </cellXfs>
  <cellStyles count="42">
    <cellStyle name="Moeda 2" xfId="9" xr:uid="{7A4A5715-D390-4CBC-BFD5-B1BFF18624FE}"/>
    <cellStyle name="Moeda 2 2" xfId="20" xr:uid="{E40568A9-1F36-4547-9663-D6F04318FE20}"/>
    <cellStyle name="Moeda 3" xfId="8" xr:uid="{77D481CF-46C5-47AC-8DAC-B7E14D5406E3}"/>
    <cellStyle name="Moeda 3 2" xfId="19" xr:uid="{00F4C556-0987-4FBD-94F7-EE6EA0115A2E}"/>
    <cellStyle name="Normal" xfId="0" builtinId="0"/>
    <cellStyle name="Normal 2" xfId="1" xr:uid="{DF681D53-6745-4846-A251-1F1548453B82}"/>
    <cellStyle name="Normal 2 2" xfId="4" xr:uid="{6E069CA5-3A1D-4975-82E5-33AEC42D6D3D}"/>
    <cellStyle name="Normal 2 2 2" xfId="16" xr:uid="{D5FF9E84-2A98-49E0-A8F5-CF2A13AAC96E}"/>
    <cellStyle name="Normal 2 3" xfId="7" xr:uid="{48AE6885-A387-40A7-AD8E-DABA057CB03A}"/>
    <cellStyle name="Normal 2 3 2" xfId="10" xr:uid="{5C08577C-EC9B-48B3-903E-9310A219C09C}"/>
    <cellStyle name="Normal 3 2" xfId="13" xr:uid="{D98CC513-47F3-40B3-887F-1354254DCD7E}"/>
    <cellStyle name="Normal 4" xfId="23" xr:uid="{D0FC7616-CA77-43FC-8FB6-D6E8294D0EB6}"/>
    <cellStyle name="Normal 5" xfId="25" xr:uid="{F7ADEB50-B583-4532-ACC4-6F3A415C91E2}"/>
    <cellStyle name="Normal 5 2" xfId="41" xr:uid="{716C6638-1487-4808-92D3-F9834DDE0F75}"/>
    <cellStyle name="Normal 7" xfId="26" xr:uid="{4AB8C918-182A-422C-8B64-1E8B20D0AD0B}"/>
    <cellStyle name="Normal 8" xfId="27" xr:uid="{4D2CE9C4-4587-4448-A57E-C04456CC5DA9}"/>
    <cellStyle name="Normal 8 2" xfId="30" xr:uid="{FAF5473B-3EDD-49A5-BA14-9B039073EB41}"/>
    <cellStyle name="Normal 8 3" xfId="38" xr:uid="{302E3F5D-9729-43C6-9902-A893F6D2AAE5}"/>
    <cellStyle name="Vírgula" xfId="2" builtinId="3"/>
    <cellStyle name="Vírgula 2" xfId="3" xr:uid="{05E56B5B-F675-4535-A1FD-A91826F53815}"/>
    <cellStyle name="Vírgula 2 2" xfId="6" xr:uid="{FF031116-2E0A-498C-BA94-4BB1E0E65C5C}"/>
    <cellStyle name="Vírgula 2 2 2" xfId="11" xr:uid="{97059691-44FE-40CC-BB2C-6CBE8BA3F647}"/>
    <cellStyle name="Vírgula 2 2 2 2" xfId="21" xr:uid="{4A1F7A8D-17A9-467E-8888-DA921BE85BBB}"/>
    <cellStyle name="Vírgula 2 2 2 2 2" xfId="40" xr:uid="{CC0FCC07-F2B9-4F72-BDA6-26EACDB7CE54}"/>
    <cellStyle name="Vírgula 2 2 2 3" xfId="29" xr:uid="{6FBA8F14-8CF9-4D78-B9A2-251727111028}"/>
    <cellStyle name="Vírgula 2 2 2 4" xfId="35" xr:uid="{9CF44124-D767-4E59-9280-ED5D7E3F5E1F}"/>
    <cellStyle name="Vírgula 2 2 3" xfId="18" xr:uid="{355AC9AF-87C7-4481-AA3C-49892989BBF6}"/>
    <cellStyle name="Vírgula 2 2 3 2" xfId="37" xr:uid="{474EA571-4400-44A1-A812-A2C479AFA15F}"/>
    <cellStyle name="Vírgula 2 2 4" xfId="24" xr:uid="{CD242D31-28F3-4D66-9C91-F15D17928832}"/>
    <cellStyle name="Vírgula 2 2 5" xfId="32" xr:uid="{D67D84E0-CBE2-401C-B7BA-785A1EDC7BF3}"/>
    <cellStyle name="Vírgula 2 3" xfId="5" xr:uid="{BAC74CEC-E0A5-4734-8743-F6276256E4AB}"/>
    <cellStyle name="Vírgula 2 3 2" xfId="17" xr:uid="{CE41145F-E871-4FC8-A103-AA2A905AE920}"/>
    <cellStyle name="Vírgula 2 3 3" xfId="39" xr:uid="{77B3CFEA-147D-4C9E-ADA0-17478AA8B810}"/>
    <cellStyle name="Vírgula 2 4" xfId="15" xr:uid="{0C56F42A-5DFE-4444-A3F6-CAA97D34565C}"/>
    <cellStyle name="Vírgula 2 5" xfId="28" xr:uid="{3835CA59-1088-4E65-AC44-5412A4AD6DB4}"/>
    <cellStyle name="Vírgula 2 6" xfId="34" xr:uid="{B7E41E83-3604-4389-A16E-0DDC87E65258}"/>
    <cellStyle name="Vírgula 3" xfId="14" xr:uid="{73DF3E08-CED2-4384-9DFF-283A9A002DCF}"/>
    <cellStyle name="Vírgula 3 2" xfId="33" xr:uid="{88AB63C4-A60F-4CD7-BEDB-0EDF0A443663}"/>
    <cellStyle name="Vírgula 4" xfId="12" xr:uid="{AE5A9C11-E1CC-424C-A458-5ACEBC21A182}"/>
    <cellStyle name="Vírgula 5" xfId="22" xr:uid="{BB532C85-6C6F-40D4-A9ED-E00053FA5479}"/>
    <cellStyle name="Vírgula 5 2" xfId="36" xr:uid="{3D3DE9D9-DF25-4F46-83EC-261CF942E992}"/>
    <cellStyle name="Vírgula 6" xfId="31" xr:uid="{9FC491FA-6231-4701-8492-5CF8494E6BC1}"/>
  </cellStyles>
  <dxfs count="57">
    <dxf>
      <numFmt numFmtId="165" formatCode="_(* #,##0.00_);_(* \(#,##0.00\);_(* &quot;-&quot;??_);_(@_)"/>
    </dxf>
    <dxf>
      <numFmt numFmtId="165" formatCode="_(* #,##0.00_);_(* \(#,##0.00\);_(* &quot;-&quot;??_);_(@_)"/>
    </dxf>
    <dxf>
      <numFmt numFmtId="165" formatCode="_(* #,##0.00_);_(* \(#,##0.00\);_(* &quot;-&quot;??_);_(@_)"/>
    </dxf>
    <dxf>
      <font>
        <color rgb="FF9C0006"/>
      </font>
      <fill>
        <patternFill>
          <bgColor rgb="FFFFC7CE"/>
        </patternFill>
      </fill>
    </dxf>
    <dxf>
      <font>
        <color rgb="FFFFFF00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/>
    </dxf>
    <dxf>
      <alignment horizontal="center"/>
    </dxf>
    <dxf>
      <font>
        <b/>
      </font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font>
        <name val="Calibri"/>
        <family val="2"/>
        <scheme val="none"/>
      </font>
    </dxf>
    <dxf>
      <alignment vertical="center"/>
    </dxf>
    <dxf>
      <alignment vertical="center"/>
    </dxf>
    <dxf>
      <alignment vertical="center"/>
    </dxf>
    <dxf>
      <alignment vertical="center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name val="Calibri"/>
        <scheme val="minor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tonio.neto\Documents\QUADRO%20GERAL%20-%20ECOSAMPA.xlsm" TargetMode="External"/><Relationship Id="rId1" Type="http://schemas.openxmlformats.org/officeDocument/2006/relationships/externalLinkPath" Target="file:///C:\Users\antonio.neto\Documents\QUADRO%20GERAL%20-%20ECOSAMP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QUADRO"/>
      <sheetName val="FÉRIAS ADM"/>
      <sheetName val="DEMISSÕES"/>
      <sheetName val="ADMISSÕES"/>
      <sheetName val="VT - PEC"/>
      <sheetName val="CENTRO DE CUSTO"/>
      <sheetName val="INTERJORNADAS - 1 MINUTO"/>
      <sheetName val="DESISTENTES"/>
    </sheetNames>
    <sheetDataSet>
      <sheetData sheetId="0">
        <row r="1">
          <cell r="A1" t="str">
            <v>ID</v>
          </cell>
          <cell r="B1" t="str">
            <v>NOME</v>
          </cell>
          <cell r="C1" t="str">
            <v>Cargo</v>
          </cell>
          <cell r="D1" t="str">
            <v>REGIONAL</v>
          </cell>
        </row>
        <row r="2">
          <cell r="A2">
            <v>112194</v>
          </cell>
          <cell r="B2" t="str">
            <v>ABELITO FERREIRA DOS SANTOS</v>
          </cell>
          <cell r="C2" t="str">
            <v>VARREDOR</v>
          </cell>
          <cell r="D2" t="str">
            <v>ECOSAMPA M'Boi Mirim</v>
          </cell>
        </row>
        <row r="3">
          <cell r="A3">
            <v>112198</v>
          </cell>
          <cell r="B3" t="str">
            <v>ADAELSON ADAUTO SENA DE SIQUEIRA</v>
          </cell>
          <cell r="C3" t="str">
            <v>VARREDOR</v>
          </cell>
          <cell r="D3" t="str">
            <v>ECOSAMPA Santo Amaro</v>
          </cell>
        </row>
        <row r="4">
          <cell r="A4">
            <v>121403</v>
          </cell>
          <cell r="B4" t="str">
            <v>ADAIL AUGUSTO VIEIRA</v>
          </cell>
          <cell r="C4" t="str">
            <v>AJUDANTE EQ SERVICOS DIVERSOS</v>
          </cell>
          <cell r="D4" t="str">
            <v>ECOSAMPA Operação Geral</v>
          </cell>
        </row>
        <row r="5">
          <cell r="A5">
            <v>112214</v>
          </cell>
          <cell r="B5" t="str">
            <v>ADAILTON PAULO FERREIRA</v>
          </cell>
          <cell r="C5" t="str">
            <v>BUEIRISTA</v>
          </cell>
          <cell r="D5" t="str">
            <v>ECOSAMPA Capela do Socorro</v>
          </cell>
        </row>
        <row r="6">
          <cell r="A6">
            <v>112225</v>
          </cell>
          <cell r="B6" t="str">
            <v>ADAILTON RODRIGUES SANTOS</v>
          </cell>
          <cell r="C6" t="str">
            <v>AJUDANTE EQ SERVICOS DIVERSOS</v>
          </cell>
          <cell r="D6" t="str">
            <v>ECOSAMPA Operação Geral</v>
          </cell>
        </row>
        <row r="7">
          <cell r="A7">
            <v>121531</v>
          </cell>
          <cell r="B7" t="str">
            <v>ADAILTON SOUZA SANTOS</v>
          </cell>
          <cell r="C7" t="str">
            <v>MOTORISTA CAMINHAO</v>
          </cell>
          <cell r="D7" t="str">
            <v>ECOSAMPA Operação Geral</v>
          </cell>
        </row>
        <row r="8">
          <cell r="A8">
            <v>121455</v>
          </cell>
          <cell r="B8" t="str">
            <v>ADAIR JOSE DOS SANTOS</v>
          </cell>
          <cell r="C8" t="str">
            <v>AJUDANTE EQ SERVICOS DIVERSOS</v>
          </cell>
          <cell r="D8" t="str">
            <v>ECOSAMPA Operação Geral</v>
          </cell>
        </row>
        <row r="9">
          <cell r="A9">
            <v>112233</v>
          </cell>
          <cell r="B9" t="str">
            <v>ADAIR PEREIRA DA ROCHA</v>
          </cell>
          <cell r="C9" t="str">
            <v>VARREDOR</v>
          </cell>
          <cell r="D9" t="str">
            <v>ECOSAMPA Santo Amaro</v>
          </cell>
        </row>
        <row r="10">
          <cell r="A10">
            <v>112246</v>
          </cell>
          <cell r="B10" t="str">
            <v>ADALBERTO PEREIRA AMARO</v>
          </cell>
          <cell r="C10" t="str">
            <v>VARREDOR</v>
          </cell>
          <cell r="D10" t="str">
            <v>ECOSAMPA Campo Limpo</v>
          </cell>
        </row>
        <row r="11">
          <cell r="A11">
            <v>114982</v>
          </cell>
          <cell r="B11" t="str">
            <v>ADALGISIO TEIXEIRA AGUIAR SOBRINHO</v>
          </cell>
          <cell r="C11" t="str">
            <v>AJUDANTE EQ SERVICOS DIVERSOS</v>
          </cell>
          <cell r="D11" t="str">
            <v>ECOSAMPA Operação Geral</v>
          </cell>
        </row>
        <row r="12">
          <cell r="A12">
            <v>112251</v>
          </cell>
          <cell r="B12" t="str">
            <v>ADALTO ARAUJO DE ALMEIDA</v>
          </cell>
          <cell r="C12" t="str">
            <v>AJUDANTE EQ SERVICOS DIVERSOS</v>
          </cell>
          <cell r="D12" t="str">
            <v>ECOSAMPA M'Boi Mirim</v>
          </cell>
        </row>
        <row r="13">
          <cell r="A13">
            <v>121851</v>
          </cell>
          <cell r="B13" t="str">
            <v>ADAO BARBOZA DOS SANTOS</v>
          </cell>
          <cell r="C13" t="str">
            <v>AJUDANTE EQ SERVICOS DIVERSOS</v>
          </cell>
          <cell r="D13" t="str">
            <v>ECOSAMPA Santo Amaro</v>
          </cell>
        </row>
        <row r="14">
          <cell r="A14">
            <v>114763</v>
          </cell>
          <cell r="B14" t="str">
            <v>ADEILTON GOMES DA SILVA</v>
          </cell>
          <cell r="C14" t="str">
            <v>MOTORISTA DE CAMINHAO</v>
          </cell>
          <cell r="D14" t="str">
            <v>ECOSAMPA Operação Geral</v>
          </cell>
        </row>
        <row r="15">
          <cell r="A15">
            <v>121507</v>
          </cell>
          <cell r="B15" t="str">
            <v>ADEILTON PEREIRA DE MELO</v>
          </cell>
          <cell r="C15" t="str">
            <v>AJUDANTE EQ SERVICOS DIVERSOS</v>
          </cell>
          <cell r="D15" t="str">
            <v>ECOSAMPA Operação Geral</v>
          </cell>
        </row>
        <row r="16">
          <cell r="A16">
            <v>122404</v>
          </cell>
          <cell r="B16" t="str">
            <v>ADEILTON PEREIRA DE MELO</v>
          </cell>
          <cell r="C16" t="str">
            <v>AJUDANTE EQ SERVICOS DIVERSOS</v>
          </cell>
          <cell r="D16" t="str">
            <v>ECOSAMPA Operação Geral</v>
          </cell>
        </row>
        <row r="17">
          <cell r="A17">
            <v>112254</v>
          </cell>
          <cell r="B17" t="str">
            <v>ADELCIO PIMENTEL DOS SANTOS</v>
          </cell>
          <cell r="C17" t="str">
            <v>COLETOR</v>
          </cell>
          <cell r="D17" t="str">
            <v>ECOSAMPA Operação Geral</v>
          </cell>
        </row>
        <row r="18">
          <cell r="A18">
            <v>112258</v>
          </cell>
          <cell r="B18" t="str">
            <v>ADELSON BEZERRA DA SILVA</v>
          </cell>
          <cell r="C18" t="str">
            <v>VARREDOR</v>
          </cell>
          <cell r="D18" t="str">
            <v>ECOSAMPA Capela do Socorro</v>
          </cell>
        </row>
        <row r="19">
          <cell r="A19">
            <v>112265</v>
          </cell>
          <cell r="B19" t="str">
            <v>ADELSON DOS SANTOS TEIXEIRA</v>
          </cell>
          <cell r="C19" t="str">
            <v>AJUDANTE EQ SERVICOS DIVERSOS</v>
          </cell>
          <cell r="D19" t="str">
            <v>ECOSAMPA M'Boi Mirim</v>
          </cell>
        </row>
        <row r="20">
          <cell r="A20">
            <v>112271</v>
          </cell>
          <cell r="B20" t="str">
            <v>ADELSON FRANCISCO FREITAS</v>
          </cell>
          <cell r="C20" t="str">
            <v>AJUDANTE EQ SERVICOS DIVERSOS</v>
          </cell>
          <cell r="D20" t="str">
            <v>ECOSAMPA Parelheiros</v>
          </cell>
        </row>
        <row r="21">
          <cell r="A21">
            <v>115223</v>
          </cell>
          <cell r="B21" t="str">
            <v>ADEMILSON DE JESUS</v>
          </cell>
          <cell r="C21" t="str">
            <v>AJUDANTE EQ SERVICOS DIVERSOS</v>
          </cell>
          <cell r="D21" t="str">
            <v>ECOSAMPA Campo Limpo</v>
          </cell>
        </row>
        <row r="22">
          <cell r="A22">
            <v>114910</v>
          </cell>
          <cell r="B22" t="str">
            <v>ADEMIR HENRIQUE DO NASCIMENTO</v>
          </cell>
          <cell r="C22" t="str">
            <v>AJUDANTE EQ SERVICOS DIVERSOS</v>
          </cell>
          <cell r="D22" t="str">
            <v>ECOSAMPA Operação Geral</v>
          </cell>
        </row>
        <row r="23">
          <cell r="A23">
            <v>112279</v>
          </cell>
          <cell r="B23" t="str">
            <v>ADEMIR MANOEL DA SILVA</v>
          </cell>
          <cell r="C23" t="str">
            <v>VARREDOR</v>
          </cell>
          <cell r="D23" t="str">
            <v>ECOSAMPA Santo Amaro</v>
          </cell>
        </row>
        <row r="24">
          <cell r="A24">
            <v>112291</v>
          </cell>
          <cell r="B24" t="str">
            <v>ADEMIR MURILO SOARES DA SILVA</v>
          </cell>
          <cell r="C24" t="str">
            <v>VARREDOR</v>
          </cell>
          <cell r="D24" t="str">
            <v>ECOSAMPA Capela do Socorro</v>
          </cell>
        </row>
        <row r="25">
          <cell r="A25">
            <v>112295</v>
          </cell>
          <cell r="B25" t="str">
            <v>ADEMIR RODRIGUES LUZ</v>
          </cell>
          <cell r="C25" t="str">
            <v>AJUDANTE EQ SERVICOS DIVERSOS</v>
          </cell>
          <cell r="D25" t="str">
            <v>ECOSAMPA Parelheiros</v>
          </cell>
        </row>
        <row r="26">
          <cell r="A26">
            <v>112299</v>
          </cell>
          <cell r="B26" t="str">
            <v>ADEMIR SILVA LIMA</v>
          </cell>
          <cell r="C26" t="str">
            <v>VARREDOR</v>
          </cell>
          <cell r="D26" t="str">
            <v>ECOSAMPA Capela do Socorro</v>
          </cell>
        </row>
        <row r="27">
          <cell r="A27">
            <v>121802</v>
          </cell>
          <cell r="B27" t="str">
            <v>ADIJANILDO MONTEIRO BATISTA</v>
          </cell>
          <cell r="C27" t="str">
            <v>ASSISTENTE DE COMPRAS</v>
          </cell>
          <cell r="D27" t="str">
            <v>ECOSAMPA Administração</v>
          </cell>
        </row>
        <row r="28">
          <cell r="A28">
            <v>112310</v>
          </cell>
          <cell r="B28" t="str">
            <v>ADILIO PEREIRA SILVA</v>
          </cell>
          <cell r="C28" t="str">
            <v>AJUDANTE EQ SERVICOS DIVERSOS</v>
          </cell>
          <cell r="D28" t="str">
            <v>ECOSAMPA Operação Geral</v>
          </cell>
        </row>
        <row r="29">
          <cell r="A29">
            <v>120186</v>
          </cell>
          <cell r="B29" t="str">
            <v>ADILSON DA CUNHA ALENCAR</v>
          </cell>
          <cell r="C29" t="str">
            <v>MOTORISTA CAMINHAO</v>
          </cell>
          <cell r="D29" t="str">
            <v>ECOSAMPA Operação Geral</v>
          </cell>
        </row>
        <row r="30">
          <cell r="A30">
            <v>112319</v>
          </cell>
          <cell r="B30" t="str">
            <v>ADILSON DE MATOS FERREIRA JUNIOR</v>
          </cell>
          <cell r="C30" t="str">
            <v>AJUDANTE EQ SERVICOS DIVERSOS</v>
          </cell>
          <cell r="D30" t="str">
            <v>ECOSAMPA M'Boi Mirim</v>
          </cell>
        </row>
        <row r="31">
          <cell r="A31">
            <v>116729</v>
          </cell>
          <cell r="B31" t="str">
            <v>ADILSON FERREIRA DO NASCIMENTO</v>
          </cell>
          <cell r="C31" t="str">
            <v>MOTORISTA CAMINHAO</v>
          </cell>
          <cell r="D31" t="str">
            <v>ECOSAMPA Operação Geral</v>
          </cell>
        </row>
        <row r="32">
          <cell r="A32">
            <v>112171</v>
          </cell>
          <cell r="B32" t="str">
            <v>ADILSON FLORES DE LIMA</v>
          </cell>
          <cell r="C32" t="str">
            <v>AJUDANTE EQ SERVICOS DIVERSOS</v>
          </cell>
          <cell r="D32" t="str">
            <v>ECOSAMPA Santo Amaro</v>
          </cell>
        </row>
        <row r="33">
          <cell r="A33">
            <v>112355</v>
          </cell>
          <cell r="B33" t="str">
            <v>ADILSON GOMES EMIDIO</v>
          </cell>
          <cell r="C33" t="str">
            <v>VARREDOR</v>
          </cell>
          <cell r="D33" t="str">
            <v>ECOSAMPA Campo Limpo</v>
          </cell>
        </row>
        <row r="34">
          <cell r="A34">
            <v>112358</v>
          </cell>
          <cell r="B34" t="str">
            <v>ADILSON GONCALVES DA SILVA</v>
          </cell>
          <cell r="C34" t="str">
            <v>AJUDANTE EQ SERVICOS DIVERSOS</v>
          </cell>
          <cell r="D34" t="str">
            <v>ECOSAMPA M'Boi Mirim</v>
          </cell>
        </row>
        <row r="35">
          <cell r="A35">
            <v>112688</v>
          </cell>
          <cell r="B35" t="str">
            <v>ADILSON MANUEL DO NASCIMENTO</v>
          </cell>
          <cell r="C35" t="str">
            <v>VARREDOR</v>
          </cell>
          <cell r="D35" t="str">
            <v>ECOSAMPA Campo Limpo</v>
          </cell>
        </row>
        <row r="36">
          <cell r="A36">
            <v>112362</v>
          </cell>
          <cell r="B36" t="str">
            <v>ADILSON PEREIRA DA SILVA</v>
          </cell>
          <cell r="C36" t="str">
            <v>BUEIRISTA</v>
          </cell>
          <cell r="D36" t="str">
            <v>ECOSAMPA Parelheiros</v>
          </cell>
        </row>
        <row r="37">
          <cell r="A37">
            <v>112367</v>
          </cell>
          <cell r="B37" t="str">
            <v>ADILSON SANTANA SOUZA</v>
          </cell>
          <cell r="C37" t="str">
            <v>AJUDANTE EQ SERVICOS DIVERSOS</v>
          </cell>
          <cell r="D37" t="str">
            <v>ECOSAMPA Campo Limpo</v>
          </cell>
        </row>
        <row r="38">
          <cell r="A38">
            <v>114679</v>
          </cell>
          <cell r="B38" t="str">
            <v>ADINALDO DE OLIVEIRA BASTOS</v>
          </cell>
          <cell r="C38" t="str">
            <v>VARREDOR</v>
          </cell>
          <cell r="D38" t="str">
            <v>ECOSAMPA Campo Limpo</v>
          </cell>
        </row>
        <row r="39">
          <cell r="A39">
            <v>114239</v>
          </cell>
          <cell r="B39" t="str">
            <v>ADINALDO MORAIS</v>
          </cell>
          <cell r="C39" t="str">
            <v>FISCAL DE TURMA PLENO</v>
          </cell>
          <cell r="D39" t="str">
            <v>ECOSAMPA Parelheiros</v>
          </cell>
        </row>
        <row r="40">
          <cell r="A40">
            <v>121941</v>
          </cell>
          <cell r="B40" t="str">
            <v>ADRIAN CAUE DE SOUZA ANJOS</v>
          </cell>
          <cell r="C40" t="str">
            <v>MENOR/JOVEM APRENDIZ</v>
          </cell>
          <cell r="D40" t="str">
            <v>ECOSAMPA Administração</v>
          </cell>
        </row>
        <row r="41">
          <cell r="A41">
            <v>118644</v>
          </cell>
          <cell r="B41" t="str">
            <v>ADRIANA BARBOSA DO NASCIMENTO</v>
          </cell>
          <cell r="C41" t="str">
            <v>AJUDANTE EQ SERVICOS DIVERSOS</v>
          </cell>
          <cell r="D41" t="str">
            <v>ECOSAMPA M'Boi Mirim</v>
          </cell>
        </row>
        <row r="42">
          <cell r="A42">
            <v>112173</v>
          </cell>
          <cell r="B42" t="str">
            <v>ADRIANA MARIA REGIS DA SILVA</v>
          </cell>
          <cell r="C42" t="str">
            <v>AJUDANTE EQ SERVICOS DIVERSOS</v>
          </cell>
          <cell r="D42" t="str">
            <v>ECOSAMPA Capela do Socorro</v>
          </cell>
        </row>
        <row r="43">
          <cell r="A43">
            <v>112375</v>
          </cell>
          <cell r="B43" t="str">
            <v>ADRIANO BARBOSA MARTINS DOS SANTOS</v>
          </cell>
          <cell r="C43" t="str">
            <v>AJUDANTE EQ SERVICOS DIVERSOS</v>
          </cell>
          <cell r="D43" t="str">
            <v>ECOSAMPA Capela do Socorro</v>
          </cell>
        </row>
        <row r="44">
          <cell r="A44">
            <v>121406</v>
          </cell>
          <cell r="B44" t="str">
            <v>ADRIANO DA SILVA</v>
          </cell>
          <cell r="C44" t="str">
            <v>AJUDANTE EQ SERVICOS DIVERSOS</v>
          </cell>
          <cell r="D44" t="str">
            <v>ECOSAMPA Operação Geral</v>
          </cell>
        </row>
        <row r="45">
          <cell r="A45">
            <v>112377</v>
          </cell>
          <cell r="B45" t="str">
            <v>ADRIANO DA SILVA PEREIRA</v>
          </cell>
          <cell r="C45" t="str">
            <v>BUEIRISTA</v>
          </cell>
          <cell r="D45" t="str">
            <v>ECOSAMPA Campo Limpo</v>
          </cell>
        </row>
        <row r="46">
          <cell r="A46">
            <v>116224</v>
          </cell>
          <cell r="B46" t="str">
            <v>ADRIANO DE PAIVA BOTELHO</v>
          </cell>
          <cell r="C46" t="str">
            <v>AJUDANTE EQ SERVICOS DIVERSOS</v>
          </cell>
          <cell r="D46" t="str">
            <v>ECOSAMPA Santo Amaro</v>
          </cell>
        </row>
        <row r="47">
          <cell r="A47">
            <v>116087</v>
          </cell>
          <cell r="B47" t="str">
            <v>ADRIANO MARCELO DOS SANTOS</v>
          </cell>
          <cell r="C47" t="str">
            <v>MOTORISTA CAMINHAO</v>
          </cell>
          <cell r="D47" t="str">
            <v>ECOSAMPA Operação Geral</v>
          </cell>
        </row>
        <row r="48">
          <cell r="A48">
            <v>112389</v>
          </cell>
          <cell r="B48" t="str">
            <v>ADRIANO MONTEIRO DOS SANTOS</v>
          </cell>
          <cell r="C48" t="str">
            <v>VARREDOR</v>
          </cell>
          <cell r="D48" t="str">
            <v>ECOSAMPA Capela do Socorro</v>
          </cell>
        </row>
        <row r="49">
          <cell r="A49">
            <v>112393</v>
          </cell>
          <cell r="B49" t="str">
            <v>ADRIANO NEVES DE MATOS</v>
          </cell>
          <cell r="C49" t="str">
            <v>AJUDANTE EQ SERVICOS DIVERSOS</v>
          </cell>
          <cell r="D49" t="str">
            <v>ECOSAMPA M'Boi Mirim</v>
          </cell>
        </row>
        <row r="50">
          <cell r="A50">
            <v>112396</v>
          </cell>
          <cell r="B50" t="str">
            <v>ADRIANO NILO DOS SANTOS</v>
          </cell>
          <cell r="C50" t="str">
            <v>VARREDOR</v>
          </cell>
          <cell r="D50" t="str">
            <v>ECOSAMPA Santo Amaro</v>
          </cell>
        </row>
        <row r="51">
          <cell r="A51">
            <v>114607</v>
          </cell>
          <cell r="B51" t="str">
            <v>ADRIANO OLIVEIRA DOS SANTOS</v>
          </cell>
          <cell r="C51" t="str">
            <v>AUXILIAR DE TRAFEGO</v>
          </cell>
          <cell r="D51" t="str">
            <v>ECOSAMPA Operação Geral</v>
          </cell>
        </row>
        <row r="52">
          <cell r="A52">
            <v>121408</v>
          </cell>
          <cell r="B52" t="str">
            <v>ADRIANO PASTOR DA SILVA</v>
          </cell>
          <cell r="C52" t="str">
            <v>AJUDANTE EQ SERVICOS DIVERSOS</v>
          </cell>
          <cell r="D52" t="str">
            <v>ECOSAMPA Operação Geral</v>
          </cell>
        </row>
        <row r="53">
          <cell r="A53">
            <v>122411</v>
          </cell>
          <cell r="B53" t="str">
            <v>ADRIANO PASTOR DA SILVA</v>
          </cell>
          <cell r="C53" t="str">
            <v>AJUDANTE EQ SERVICOS DIVERSOS</v>
          </cell>
          <cell r="D53" t="str">
            <v>ECOSAMPA Operação Geral</v>
          </cell>
        </row>
        <row r="54">
          <cell r="A54">
            <v>112399</v>
          </cell>
          <cell r="B54" t="str">
            <v>ADRIANO RAMOS DOS SANTOS</v>
          </cell>
          <cell r="C54" t="str">
            <v>VARREDOR</v>
          </cell>
          <cell r="D54" t="str">
            <v>ECOSAMPA Campo Limpo</v>
          </cell>
        </row>
        <row r="55">
          <cell r="A55">
            <v>112406</v>
          </cell>
          <cell r="B55" t="str">
            <v>ADRIANO SOARES MEDEIROS</v>
          </cell>
          <cell r="C55" t="str">
            <v>MOTORISTA CAMINHAO</v>
          </cell>
          <cell r="D55" t="str">
            <v>ECOSAMPA Operação Geral</v>
          </cell>
        </row>
        <row r="56">
          <cell r="A56">
            <v>112412</v>
          </cell>
          <cell r="B56" t="str">
            <v>ADRIANO TAVARES DA SILVA</v>
          </cell>
          <cell r="C56" t="str">
            <v>VARREDOR</v>
          </cell>
          <cell r="D56" t="str">
            <v>ECOSAMPA Santo Amaro</v>
          </cell>
        </row>
        <row r="57">
          <cell r="A57">
            <v>112419</v>
          </cell>
          <cell r="B57" t="str">
            <v>AFONSO CIMINIO</v>
          </cell>
          <cell r="C57" t="str">
            <v>VARREDOR</v>
          </cell>
          <cell r="D57" t="str">
            <v>ECOSAMPA M'Boi Mirim</v>
          </cell>
        </row>
        <row r="58">
          <cell r="A58">
            <v>112422</v>
          </cell>
          <cell r="B58" t="str">
            <v>AGNALDO BISPO DOS SANTOS</v>
          </cell>
          <cell r="C58" t="str">
            <v>VARREDOR</v>
          </cell>
          <cell r="D58" t="str">
            <v>ECOSAMPA Campo Limpo</v>
          </cell>
        </row>
        <row r="59">
          <cell r="A59">
            <v>112174</v>
          </cell>
          <cell r="B59" t="str">
            <v>AGNALDO DA SILVA ARAUJO</v>
          </cell>
          <cell r="C59" t="str">
            <v>AJUDANTE EQ SERVICOS DIVERSOS</v>
          </cell>
          <cell r="D59" t="str">
            <v>ECOSAMPA Campo Limpo</v>
          </cell>
        </row>
        <row r="60">
          <cell r="A60">
            <v>112425</v>
          </cell>
          <cell r="B60" t="str">
            <v>AGNALDO JESUS SANTOS</v>
          </cell>
          <cell r="C60" t="str">
            <v>AJUDANTE EQ SERVICOS DIVERSOS</v>
          </cell>
          <cell r="D60" t="str">
            <v>ECOSAMPA Capela do Socorro</v>
          </cell>
        </row>
        <row r="61">
          <cell r="A61">
            <v>112430</v>
          </cell>
          <cell r="B61" t="str">
            <v>AGNELO MARTINS DE SOUZA</v>
          </cell>
          <cell r="C61" t="str">
            <v>AJUDANTE EQ SERVICOS DIVERSOS</v>
          </cell>
          <cell r="D61" t="str">
            <v>ECOSAMPA Operação Geral</v>
          </cell>
        </row>
        <row r="62">
          <cell r="A62">
            <v>112433</v>
          </cell>
          <cell r="B62" t="str">
            <v>AGRIPINO BRANDAO DE SOUZA SOBRINHO</v>
          </cell>
          <cell r="C62" t="str">
            <v>COLETOR</v>
          </cell>
          <cell r="D62" t="str">
            <v>ECOSAMPA Operação Geral</v>
          </cell>
        </row>
        <row r="63">
          <cell r="A63">
            <v>112436</v>
          </cell>
          <cell r="B63" t="str">
            <v>AGUINALDO NASCIMENTO</v>
          </cell>
          <cell r="C63" t="str">
            <v>BUEIRISTA</v>
          </cell>
          <cell r="D63" t="str">
            <v>ECOSAMPA Campo Limpo</v>
          </cell>
        </row>
        <row r="64">
          <cell r="A64">
            <v>114972</v>
          </cell>
          <cell r="B64" t="str">
            <v>AILSON FERREIRA MELO</v>
          </cell>
          <cell r="C64" t="str">
            <v>MOTORISTA DE CAMINHAO</v>
          </cell>
          <cell r="D64" t="str">
            <v>ECOSAMPA Operação Geral</v>
          </cell>
        </row>
        <row r="65">
          <cell r="A65">
            <v>112446</v>
          </cell>
          <cell r="B65" t="str">
            <v>AILTON ABREU RIBEIRO</v>
          </cell>
          <cell r="C65" t="str">
            <v>AJUDANTE EQ SERVICOS DIVERSOS</v>
          </cell>
          <cell r="D65" t="str">
            <v>ECOSAMPA Parelheiros</v>
          </cell>
        </row>
        <row r="66">
          <cell r="A66">
            <v>112452</v>
          </cell>
          <cell r="B66" t="str">
            <v>AILTON ALVES DA SILVA</v>
          </cell>
          <cell r="C66" t="str">
            <v>AJUDANTE EQ SERVICOS DIVERSOS</v>
          </cell>
          <cell r="D66" t="str">
            <v>ECOSAMPA Operação Geral</v>
          </cell>
        </row>
        <row r="67">
          <cell r="A67">
            <v>112462</v>
          </cell>
          <cell r="B67" t="str">
            <v>AILTON ALVES DA SILVA</v>
          </cell>
          <cell r="C67" t="str">
            <v>MOTORISTA CAMINHAO</v>
          </cell>
          <cell r="D67" t="str">
            <v>ECOSAMPA Operação Geral</v>
          </cell>
        </row>
        <row r="68">
          <cell r="A68">
            <v>116968</v>
          </cell>
          <cell r="B68" t="str">
            <v>AILTON CLAUDINO DA SILVA</v>
          </cell>
          <cell r="C68" t="str">
            <v>AJUDANTE EQ SERVICOS DIVERSOS</v>
          </cell>
          <cell r="D68" t="str">
            <v>ECOSAMPA Capela do Socorro</v>
          </cell>
        </row>
        <row r="69">
          <cell r="A69">
            <v>112547</v>
          </cell>
          <cell r="B69" t="str">
            <v>AILTON CONCEICAO DA SILVA</v>
          </cell>
          <cell r="C69" t="str">
            <v>VARREDOR</v>
          </cell>
          <cell r="D69" t="str">
            <v>ECOSAMPA Campo Limpo</v>
          </cell>
        </row>
        <row r="70">
          <cell r="A70">
            <v>112632</v>
          </cell>
          <cell r="B70" t="str">
            <v>AILTON DE JESUS</v>
          </cell>
          <cell r="C70" t="str">
            <v>VARREDOR</v>
          </cell>
          <cell r="D70" t="str">
            <v>ECOSAMPA Campo Limpo</v>
          </cell>
        </row>
        <row r="71">
          <cell r="A71">
            <v>112549</v>
          </cell>
          <cell r="B71" t="str">
            <v>AILTON JOSE DO NASCIMENTO</v>
          </cell>
          <cell r="C71" t="str">
            <v>VARREDOR</v>
          </cell>
          <cell r="D71" t="str">
            <v>ECOSAMPA Campo Limpo</v>
          </cell>
        </row>
        <row r="72">
          <cell r="A72">
            <v>112641</v>
          </cell>
          <cell r="B72" t="str">
            <v>AIRTON COSTA</v>
          </cell>
          <cell r="C72" t="str">
            <v>VARREDOR</v>
          </cell>
          <cell r="D72" t="str">
            <v>ECOSAMPA Campo Limpo</v>
          </cell>
        </row>
        <row r="73">
          <cell r="A73">
            <v>114966</v>
          </cell>
          <cell r="B73" t="str">
            <v>AIRTON DE JESUS SANTOS</v>
          </cell>
          <cell r="C73" t="str">
            <v>COLETOR</v>
          </cell>
          <cell r="D73" t="str">
            <v>ECOSAMPA Operação Geral</v>
          </cell>
        </row>
        <row r="74">
          <cell r="A74">
            <v>121411</v>
          </cell>
          <cell r="B74" t="str">
            <v>ALAN FARIA</v>
          </cell>
          <cell r="C74" t="str">
            <v>AJUDANTE EQ SERVICOS DIVERSOS</v>
          </cell>
          <cell r="D74" t="str">
            <v>ECOSAMPA Operação Geral</v>
          </cell>
        </row>
        <row r="75">
          <cell r="A75">
            <v>116325</v>
          </cell>
          <cell r="B75" t="str">
            <v>ALAN GABRIEL HAYNE</v>
          </cell>
          <cell r="C75" t="str">
            <v>AJUDANTE EQ SERVICOS DIVERSOS</v>
          </cell>
          <cell r="D75" t="str">
            <v>ECOSAMPA Campo Limpo</v>
          </cell>
        </row>
        <row r="76">
          <cell r="A76">
            <v>116076</v>
          </cell>
          <cell r="B76" t="str">
            <v>ALAN ROCHA DA SILVA</v>
          </cell>
          <cell r="C76" t="str">
            <v>LAVADOR</v>
          </cell>
          <cell r="D76" t="str">
            <v>ECOSAMPA Operação Geral</v>
          </cell>
        </row>
        <row r="77">
          <cell r="A77">
            <v>112554</v>
          </cell>
          <cell r="B77" t="str">
            <v>ALAN RODRIGUES FREIRE</v>
          </cell>
          <cell r="C77" t="str">
            <v>AJUDANTE EQ SERVICOS DIVERSOS</v>
          </cell>
          <cell r="D77" t="str">
            <v>ECOSAMPA Parelheiros</v>
          </cell>
        </row>
        <row r="78">
          <cell r="A78">
            <v>113710</v>
          </cell>
          <cell r="B78" t="str">
            <v>ALAN SILVA DE OLIVEIRA</v>
          </cell>
          <cell r="C78" t="str">
            <v>TECNICO EM SEGURANCA DO TRABALHO PLENO</v>
          </cell>
          <cell r="D78" t="str">
            <v>ECOSAMPA Operação Geral</v>
          </cell>
        </row>
        <row r="79">
          <cell r="A79">
            <v>112560</v>
          </cell>
          <cell r="B79" t="str">
            <v>ALBERES JOSE RIBEIRO</v>
          </cell>
          <cell r="C79" t="str">
            <v>AJUDANTE EQ SERVICOS DIVERSOS</v>
          </cell>
          <cell r="D79" t="str">
            <v>ECOSAMPA Campo Limpo</v>
          </cell>
        </row>
        <row r="80">
          <cell r="A80">
            <v>112646</v>
          </cell>
          <cell r="B80" t="str">
            <v>ALBERICO DA SILVA BRANDAO</v>
          </cell>
          <cell r="C80" t="str">
            <v>AJUDANTE EQ SERVICOS DIVERSOS</v>
          </cell>
          <cell r="D80" t="str">
            <v>ECOSAMPA M'Boi Mirim</v>
          </cell>
        </row>
        <row r="81">
          <cell r="A81">
            <v>121954</v>
          </cell>
          <cell r="B81" t="str">
            <v>ALBERTO ALENCAR DE JESUS</v>
          </cell>
          <cell r="C81" t="str">
            <v>AJUDANTE EQ SERVICOS DIVERSOS</v>
          </cell>
          <cell r="D81" t="str">
            <v>ECOSAMPA Operação Geral</v>
          </cell>
        </row>
        <row r="82">
          <cell r="A82">
            <v>112564</v>
          </cell>
          <cell r="B82" t="str">
            <v>ALBERTO LUIZ DA SILVA</v>
          </cell>
          <cell r="C82" t="str">
            <v>AJUDANTE EQ SERVICOS DIVERSOS</v>
          </cell>
          <cell r="D82" t="str">
            <v>ECOSAMPA Capela do Socorro</v>
          </cell>
        </row>
        <row r="83">
          <cell r="A83">
            <v>115411</v>
          </cell>
          <cell r="B83" t="str">
            <v>ALBERTO PAULO DE OLIVEIRA</v>
          </cell>
          <cell r="C83" t="str">
            <v>AJUDANTE EQ SERVICOS DIVERSOS</v>
          </cell>
          <cell r="D83" t="str">
            <v>ECOSAMPA M'Boi Mirim</v>
          </cell>
        </row>
        <row r="84">
          <cell r="A84">
            <v>114123</v>
          </cell>
          <cell r="B84" t="str">
            <v>ALBERTO RODRIGUES</v>
          </cell>
          <cell r="C84" t="str">
            <v>MOTORISTA CAMINHAO</v>
          </cell>
          <cell r="D84" t="str">
            <v>ECOSAMPA Operação Geral</v>
          </cell>
        </row>
        <row r="85">
          <cell r="A85">
            <v>117290</v>
          </cell>
          <cell r="B85" t="str">
            <v>ALBINO ISIDORO</v>
          </cell>
          <cell r="C85" t="str">
            <v>ELETRICISTA ADM</v>
          </cell>
          <cell r="D85" t="str">
            <v>ECOSAMPA Operação Geral</v>
          </cell>
        </row>
        <row r="86">
          <cell r="A86">
            <v>112652</v>
          </cell>
          <cell r="B86" t="str">
            <v>ALCIDES JOSE DOS SANTOS</v>
          </cell>
          <cell r="C86" t="str">
            <v>AJUDANTE EQ SERVICOS DIVERSOS</v>
          </cell>
          <cell r="D86" t="str">
            <v>ECOSAMPA Parelheiros</v>
          </cell>
        </row>
        <row r="87">
          <cell r="A87">
            <v>112567</v>
          </cell>
          <cell r="B87" t="str">
            <v>ALCIDES NEI JAIR INEZ</v>
          </cell>
          <cell r="C87" t="str">
            <v>AJUDANTE EQ SERVICOS DIVERSOS</v>
          </cell>
          <cell r="D87" t="str">
            <v>ECOSAMPA Capela do Socorro</v>
          </cell>
        </row>
        <row r="88">
          <cell r="A88">
            <v>117242</v>
          </cell>
          <cell r="B88" t="str">
            <v>ALDIANE DA SILVA PORTO OLIVEIRA</v>
          </cell>
          <cell r="C88" t="str">
            <v>AJUDANTE EQ SERVICOS DIVERSOS</v>
          </cell>
          <cell r="D88" t="str">
            <v>ECOSAMPA Operação Geral</v>
          </cell>
        </row>
        <row r="89">
          <cell r="A89">
            <v>112656</v>
          </cell>
          <cell r="B89" t="str">
            <v>ALDO DOS SANTOS ORESTES</v>
          </cell>
          <cell r="C89" t="str">
            <v>COLETOR</v>
          </cell>
          <cell r="D89" t="str">
            <v>ECOSAMPA Operação Geral</v>
          </cell>
        </row>
        <row r="90">
          <cell r="A90">
            <v>112572</v>
          </cell>
          <cell r="B90" t="str">
            <v>ALDO SALLES SOUSA</v>
          </cell>
          <cell r="C90" t="str">
            <v>VARREDOR</v>
          </cell>
          <cell r="D90" t="str">
            <v>ECOSAMPA Capela do Socorro</v>
          </cell>
        </row>
        <row r="91">
          <cell r="A91">
            <v>114976</v>
          </cell>
          <cell r="B91" t="str">
            <v>ALECIO CARVALHO DA SILVA</v>
          </cell>
          <cell r="C91" t="str">
            <v>MOTORISTA DE CAMINHAO</v>
          </cell>
          <cell r="D91" t="str">
            <v>ECOSAMPA Operação Geral</v>
          </cell>
        </row>
        <row r="92">
          <cell r="A92">
            <v>114680</v>
          </cell>
          <cell r="B92" t="str">
            <v>ALEKSANDRO BENEDITO DO NASCIMENTO</v>
          </cell>
          <cell r="C92" t="str">
            <v>AJUDANTE EQ SERVICOS DIVERSOS</v>
          </cell>
          <cell r="D92" t="str">
            <v>ECOSAMPA Santo Amaro</v>
          </cell>
        </row>
        <row r="93">
          <cell r="A93">
            <v>112660</v>
          </cell>
          <cell r="B93" t="str">
            <v>ALESANDRO VIEIRA PINTO DOS SANTOS</v>
          </cell>
          <cell r="C93" t="str">
            <v>AJUDANTE EQ SERVICOS DIVERSOS</v>
          </cell>
          <cell r="D93" t="str">
            <v>ECOSAMPA Capela do Socorro</v>
          </cell>
        </row>
        <row r="94">
          <cell r="A94">
            <v>112664</v>
          </cell>
          <cell r="B94" t="str">
            <v>ALESSANDRA SANTOSTASI TEIXEIRA</v>
          </cell>
          <cell r="C94" t="str">
            <v>VARREDOR</v>
          </cell>
          <cell r="D94" t="str">
            <v>ECOSAMPA Santo Amaro</v>
          </cell>
        </row>
        <row r="95">
          <cell r="A95">
            <v>112691</v>
          </cell>
          <cell r="B95" t="str">
            <v>ALESSANDRE DE OLIVEIRA SILVA</v>
          </cell>
          <cell r="C95" t="str">
            <v>COLETOR</v>
          </cell>
          <cell r="D95" t="str">
            <v>ECOSAMPA Operação Geral</v>
          </cell>
        </row>
        <row r="96">
          <cell r="A96">
            <v>112697</v>
          </cell>
          <cell r="B96" t="str">
            <v>ALESSANDRO ARRUDA DE OLIVEIRA</v>
          </cell>
          <cell r="C96" t="str">
            <v>VARREDOR</v>
          </cell>
          <cell r="D96" t="str">
            <v>ECOSAMPA Capela do Socorro</v>
          </cell>
        </row>
        <row r="97">
          <cell r="A97">
            <v>112700</v>
          </cell>
          <cell r="B97" t="str">
            <v>ALESSANDRO DE JESUS SILVA</v>
          </cell>
          <cell r="C97" t="str">
            <v>VARREDOR</v>
          </cell>
          <cell r="D97" t="str">
            <v>ECOSAMPA Capela do Socorro</v>
          </cell>
        </row>
        <row r="98">
          <cell r="A98">
            <v>112175</v>
          </cell>
          <cell r="B98" t="str">
            <v>ALESSANDRO DOS SANTOS MARTINS</v>
          </cell>
          <cell r="C98" t="str">
            <v>AJUDANTE EQ SERVICOS DIVERSOS</v>
          </cell>
          <cell r="D98" t="str">
            <v>ECOSAMPA Campo Limpo</v>
          </cell>
        </row>
        <row r="99">
          <cell r="A99">
            <v>112708</v>
          </cell>
          <cell r="B99" t="str">
            <v>ALESSANDRO LIMA SILVA</v>
          </cell>
          <cell r="C99" t="str">
            <v>VARREDOR</v>
          </cell>
          <cell r="D99" t="str">
            <v>ECOSAMPA Santo Amaro</v>
          </cell>
        </row>
        <row r="100">
          <cell r="A100">
            <v>121314</v>
          </cell>
          <cell r="B100" t="str">
            <v>ALESSANDRO RAMALHO DIAS</v>
          </cell>
          <cell r="C100" t="str">
            <v>AJUDANTE EQ SERVICOS DIVERSOS</v>
          </cell>
          <cell r="D100" t="str">
            <v>ECOSAMPA Campo Limpo</v>
          </cell>
        </row>
        <row r="101">
          <cell r="A101">
            <v>112719</v>
          </cell>
          <cell r="B101" t="str">
            <v>ALEX APARECIDO DOS SANTOS</v>
          </cell>
          <cell r="C101" t="str">
            <v>MOTORISTA CAMINHAO</v>
          </cell>
          <cell r="D101" t="str">
            <v>ECOSAMPA Operação Geral</v>
          </cell>
        </row>
        <row r="102">
          <cell r="A102">
            <v>117411</v>
          </cell>
          <cell r="B102" t="str">
            <v>ALEX BEZERRA ALVES DOS SANTOS</v>
          </cell>
          <cell r="C102" t="str">
            <v>VARREDOR</v>
          </cell>
          <cell r="D102" t="str">
            <v>ECOSAMPA Parelheiros</v>
          </cell>
        </row>
        <row r="103">
          <cell r="A103">
            <v>112726</v>
          </cell>
          <cell r="B103" t="str">
            <v>ALEX DE FIGUEIREDO COSTA</v>
          </cell>
          <cell r="C103" t="str">
            <v>COLETOR</v>
          </cell>
          <cell r="D103" t="str">
            <v>ECOSAMPA Operação Geral</v>
          </cell>
        </row>
        <row r="104">
          <cell r="A104">
            <v>113795</v>
          </cell>
          <cell r="B104" t="str">
            <v>ALEX DE SOUZA SILVA</v>
          </cell>
          <cell r="C104" t="str">
            <v>ASSISTENTE DE RECURSOS HUMANOS</v>
          </cell>
          <cell r="D104" t="str">
            <v>ECOSAMPA Administração</v>
          </cell>
        </row>
        <row r="105">
          <cell r="A105">
            <v>112743</v>
          </cell>
          <cell r="B105" t="str">
            <v>ALEX DO CARMO RODRIGUES</v>
          </cell>
          <cell r="C105" t="str">
            <v>AJUDANTE EQ SERVICOS DIVERSOS</v>
          </cell>
          <cell r="D105" t="str">
            <v>ECOSAMPA Parelheiros</v>
          </cell>
        </row>
        <row r="106">
          <cell r="A106">
            <v>121413</v>
          </cell>
          <cell r="B106" t="str">
            <v>ALEX FERNANDES DOS SANTOS</v>
          </cell>
          <cell r="C106" t="str">
            <v>AJUDANTE EQ SERVICOS DIVERSOS</v>
          </cell>
          <cell r="D106" t="str">
            <v>ECOSAMPA Operação Geral</v>
          </cell>
        </row>
        <row r="107">
          <cell r="A107">
            <v>116020</v>
          </cell>
          <cell r="B107" t="str">
            <v>ALEX JULIO SILVA PEREIRA</v>
          </cell>
          <cell r="C107" t="str">
            <v>AJUDANTE EQ SERVICOS DIVERSOS</v>
          </cell>
          <cell r="D107" t="str">
            <v>ECOSAMPA Santo Amaro</v>
          </cell>
        </row>
        <row r="108">
          <cell r="A108">
            <v>114101</v>
          </cell>
          <cell r="B108" t="str">
            <v>ALEX JUNIOR FERREIRA DE MELO</v>
          </cell>
          <cell r="C108" t="str">
            <v>AJUDANTE EQ SERVICOS DIVERSOS</v>
          </cell>
          <cell r="D108" t="str">
            <v>ECOSAMPA M'Boi Mirim</v>
          </cell>
        </row>
        <row r="109">
          <cell r="A109">
            <v>121508</v>
          </cell>
          <cell r="B109" t="str">
            <v>ALEX MESSIAS ALMEIDA OLIVIO</v>
          </cell>
          <cell r="C109" t="str">
            <v>AJUDANTE EQ SERVICOS DIVERSOS</v>
          </cell>
          <cell r="D109" t="str">
            <v>ECOSAMPA Operação Geral</v>
          </cell>
        </row>
        <row r="110">
          <cell r="A110">
            <v>122437</v>
          </cell>
          <cell r="B110" t="str">
            <v>ALEX MESSIAS ALMEIDA OLIVIO</v>
          </cell>
          <cell r="C110" t="str">
            <v>AJUDANTE EQ SERVICOS DIVERSOS</v>
          </cell>
          <cell r="D110" t="str">
            <v>ECOSAMPA Operação Geral</v>
          </cell>
        </row>
        <row r="111">
          <cell r="A111">
            <v>116753</v>
          </cell>
          <cell r="B111" t="str">
            <v>ALEX PEREIRA DOS SANTOS</v>
          </cell>
          <cell r="C111" t="str">
            <v>TECNICO EM EDIFICACOES</v>
          </cell>
          <cell r="D111" t="str">
            <v>ECOSAMPA Operação Geral</v>
          </cell>
        </row>
        <row r="112">
          <cell r="A112">
            <v>114969</v>
          </cell>
          <cell r="B112" t="str">
            <v>ALEX RODRIGUES DE LIMA</v>
          </cell>
          <cell r="C112" t="str">
            <v>AJUDANTE EQ SERVICOS DIVERSOS</v>
          </cell>
          <cell r="D112" t="str">
            <v>ECOSAMPA Operação Geral</v>
          </cell>
        </row>
        <row r="113">
          <cell r="A113">
            <v>114273</v>
          </cell>
          <cell r="B113" t="str">
            <v>ALEX SANDRO DA SILVA XAVIER</v>
          </cell>
          <cell r="C113" t="str">
            <v>AJUDANTE EQ SERVICOS DIVERSOS</v>
          </cell>
          <cell r="D113" t="str">
            <v>ECOSAMPA Santo Amaro</v>
          </cell>
        </row>
        <row r="114">
          <cell r="A114">
            <v>112763</v>
          </cell>
          <cell r="B114" t="str">
            <v>ALEX SANDRO PEREIRA DOS SANTOS</v>
          </cell>
          <cell r="C114" t="str">
            <v>MOTORISTA CAMINHAO</v>
          </cell>
          <cell r="D114" t="str">
            <v>ECOSAMPA Operação Geral</v>
          </cell>
        </row>
        <row r="115">
          <cell r="A115">
            <v>121453</v>
          </cell>
          <cell r="B115" t="str">
            <v>ALEX SANDRO TAVARES DOS SANTOS</v>
          </cell>
          <cell r="C115" t="str">
            <v>AJUDANTE EQ SERVICOS DIVERSOS</v>
          </cell>
          <cell r="D115" t="str">
            <v>ECOSAMPA Operação Geral</v>
          </cell>
        </row>
        <row r="116">
          <cell r="A116">
            <v>114681</v>
          </cell>
          <cell r="B116" t="str">
            <v>ALEXANDER CAMPOS DOS SANTOS</v>
          </cell>
          <cell r="C116" t="str">
            <v>AJUDANTE EQ SERVICOS DIVERSOS</v>
          </cell>
          <cell r="D116" t="str">
            <v>ECOSAMPA Santo Amaro</v>
          </cell>
        </row>
        <row r="117">
          <cell r="A117">
            <v>112770</v>
          </cell>
          <cell r="B117" t="str">
            <v>ALEXANDRE AUGUSTO GOMES DA SILVA</v>
          </cell>
          <cell r="C117" t="str">
            <v>AJUDANTE EQ SERVICOS DIVERSOS</v>
          </cell>
          <cell r="D117" t="str">
            <v>ECOSAMPA Santo Amaro</v>
          </cell>
        </row>
        <row r="118">
          <cell r="A118">
            <v>114755</v>
          </cell>
          <cell r="B118" t="str">
            <v>ALEXANDRE DA SILVA</v>
          </cell>
          <cell r="C118" t="str">
            <v>MOTORISTA DE CAMINHAO</v>
          </cell>
          <cell r="D118" t="str">
            <v>ECOSAMPA Operação Geral</v>
          </cell>
        </row>
        <row r="119">
          <cell r="A119">
            <v>112777</v>
          </cell>
          <cell r="B119" t="str">
            <v>ALEXANDRE DANTAS DOS SANTOS</v>
          </cell>
          <cell r="C119" t="str">
            <v>MOTORISTA CAMINHAO</v>
          </cell>
          <cell r="D119" t="str">
            <v>ECOSAMPA Operação Geral</v>
          </cell>
        </row>
        <row r="120">
          <cell r="A120">
            <v>113000</v>
          </cell>
          <cell r="B120" t="str">
            <v>ALEXANDRE DAS NEVES NETO</v>
          </cell>
          <cell r="C120" t="str">
            <v>MOTORISTA CAMINHAO</v>
          </cell>
          <cell r="D120" t="str">
            <v>ECOSAMPA Operação Geral</v>
          </cell>
        </row>
        <row r="121">
          <cell r="A121">
            <v>112784</v>
          </cell>
          <cell r="B121" t="str">
            <v>ALEXANDRE DOS SANTOS OLIVEIRA</v>
          </cell>
          <cell r="C121" t="str">
            <v>AJUDANTE EQ SERVICOS DIVERSOS</v>
          </cell>
          <cell r="D121" t="str">
            <v>ECOSAMPA Campo Limpo</v>
          </cell>
        </row>
        <row r="122">
          <cell r="A122">
            <v>113010</v>
          </cell>
          <cell r="B122" t="str">
            <v>ALEXANDRE FEITOZA DA SILVA</v>
          </cell>
          <cell r="C122" t="str">
            <v>AJUDANTE EQ SERVICOS DIVERSOS</v>
          </cell>
          <cell r="D122" t="str">
            <v>ECOSAMPA Campo Limpo</v>
          </cell>
        </row>
        <row r="123">
          <cell r="A123">
            <v>112793</v>
          </cell>
          <cell r="B123" t="str">
            <v>ALEXANDRE FERREIRA DA SILVA</v>
          </cell>
          <cell r="C123" t="str">
            <v>VARREDOR</v>
          </cell>
          <cell r="D123" t="str">
            <v>ECOSAMPA Campo Limpo</v>
          </cell>
        </row>
        <row r="124">
          <cell r="A124">
            <v>117410</v>
          </cell>
          <cell r="B124" t="str">
            <v>ALEXANDRE GEAN DA SILVA SANTOS</v>
          </cell>
          <cell r="C124" t="str">
            <v>AUXILIAR DE ALMOXARIFADO PLENO</v>
          </cell>
          <cell r="D124" t="str">
            <v>ECOSAMPA Operação Geral</v>
          </cell>
        </row>
        <row r="125">
          <cell r="A125">
            <v>113019</v>
          </cell>
          <cell r="B125" t="str">
            <v>ALEXANDRE LINO FERRAO</v>
          </cell>
          <cell r="C125" t="str">
            <v>MOTORISTA CAMINHAO</v>
          </cell>
          <cell r="D125" t="str">
            <v>ECOSAMPA Operação Geral</v>
          </cell>
        </row>
        <row r="126">
          <cell r="A126">
            <v>112798</v>
          </cell>
          <cell r="B126" t="str">
            <v>ALEXANDRE PEREIRA DA SILVA</v>
          </cell>
          <cell r="C126" t="str">
            <v>VARREDOR</v>
          </cell>
          <cell r="D126" t="str">
            <v>ECOSAMPA Capela do Socorro</v>
          </cell>
        </row>
        <row r="127">
          <cell r="A127">
            <v>113028</v>
          </cell>
          <cell r="B127" t="str">
            <v>ALEXANDRE REINALDO DE SOUZA</v>
          </cell>
          <cell r="C127" t="str">
            <v>ENCARREGADO DE TURMA</v>
          </cell>
          <cell r="D127" t="str">
            <v>ECOSAMPA M'Boi Mirim</v>
          </cell>
        </row>
        <row r="128">
          <cell r="A128">
            <v>112804</v>
          </cell>
          <cell r="B128" t="str">
            <v>ALEXANDRE SILVA RAMOS</v>
          </cell>
          <cell r="C128" t="str">
            <v>VARREDOR</v>
          </cell>
          <cell r="D128" t="str">
            <v>ECOSAMPA Parelheiros</v>
          </cell>
        </row>
        <row r="129">
          <cell r="A129">
            <v>121421</v>
          </cell>
          <cell r="B129" t="str">
            <v>ALEXANDRE SOARES OLIVEIRA</v>
          </cell>
          <cell r="C129" t="str">
            <v>AJUDANTE EQ SERVICOS DIVERSOS</v>
          </cell>
          <cell r="D129" t="str">
            <v>ECOSAMPA Operação Geral</v>
          </cell>
        </row>
        <row r="130">
          <cell r="A130">
            <v>113043</v>
          </cell>
          <cell r="B130" t="str">
            <v>ALEXANDRE XAVIER DA SILVA</v>
          </cell>
          <cell r="C130" t="str">
            <v>AJUDANTE EQ SERVICOS DIVERSOS</v>
          </cell>
          <cell r="D130" t="str">
            <v>ECOSAMPA Campo Limpo</v>
          </cell>
        </row>
        <row r="131">
          <cell r="A131">
            <v>121482</v>
          </cell>
          <cell r="B131" t="str">
            <v>ALEXSANDRO AUGUSTO RIBEIRO RUFINO</v>
          </cell>
          <cell r="C131" t="str">
            <v>MOTORISTA CAMINHAO</v>
          </cell>
          <cell r="D131" t="str">
            <v>ECOSAMPA Operação Geral</v>
          </cell>
        </row>
        <row r="132">
          <cell r="A132">
            <v>112812</v>
          </cell>
          <cell r="B132" t="str">
            <v>ALEXSANDRO NOGUEIRA DE SANTANA</v>
          </cell>
          <cell r="C132" t="str">
            <v>FISCAL DE TURMA PLENO</v>
          </cell>
          <cell r="D132" t="str">
            <v>ECOSAMPA M'Boi Mirim</v>
          </cell>
        </row>
        <row r="133">
          <cell r="A133">
            <v>113052</v>
          </cell>
          <cell r="B133" t="str">
            <v>ALEXSANDRO PEREIRA DE SOUZA</v>
          </cell>
          <cell r="C133" t="str">
            <v>COLETOR</v>
          </cell>
          <cell r="D133" t="str">
            <v>ECOSAMPA Operação Geral</v>
          </cell>
        </row>
        <row r="134">
          <cell r="A134">
            <v>112815</v>
          </cell>
          <cell r="B134" t="str">
            <v>ALEXSANDRO SOARES CORREA</v>
          </cell>
          <cell r="C134" t="str">
            <v>AJUDANTE EQ SERVICOS DIVERSOS</v>
          </cell>
          <cell r="D134" t="str">
            <v>ECOSAMPA Campo Limpo</v>
          </cell>
        </row>
        <row r="135">
          <cell r="A135">
            <v>118049</v>
          </cell>
          <cell r="B135" t="str">
            <v>ALEXSSANDRO MORAES DO NASCIMENTO</v>
          </cell>
          <cell r="C135" t="str">
            <v>AJUDANTE EQ SERVICOS DIVERSOS</v>
          </cell>
          <cell r="D135" t="str">
            <v>ECOSAMPA Santo Amaro</v>
          </cell>
        </row>
        <row r="136">
          <cell r="A136">
            <v>114908</v>
          </cell>
          <cell r="B136" t="str">
            <v>ALEXSSANDRO SATO DE LIMA</v>
          </cell>
          <cell r="C136" t="str">
            <v>AJUDANTE EQ SERVICOS DIVERSOS</v>
          </cell>
          <cell r="D136" t="str">
            <v>ECOSAMPA Operação Geral</v>
          </cell>
        </row>
        <row r="137">
          <cell r="A137">
            <v>113058</v>
          </cell>
          <cell r="B137" t="str">
            <v>ALFREDO SEIFERT</v>
          </cell>
          <cell r="C137" t="str">
            <v>VARREDOR</v>
          </cell>
          <cell r="D137" t="str">
            <v>ECOSAMPA Capela do Socorro</v>
          </cell>
        </row>
        <row r="138">
          <cell r="A138">
            <v>112824</v>
          </cell>
          <cell r="B138" t="str">
            <v>ALICIO SILVA DE ADORNO</v>
          </cell>
          <cell r="C138" t="str">
            <v>VARREDOR</v>
          </cell>
          <cell r="D138" t="str">
            <v>ECOSAMPA Campo Limpo</v>
          </cell>
        </row>
        <row r="139">
          <cell r="A139">
            <v>113062</v>
          </cell>
          <cell r="B139" t="str">
            <v>ALINE CRISTINA CASTRO ALVES</v>
          </cell>
          <cell r="C139" t="str">
            <v>AJUDANTE EQ SERVICOS DIVERSOS</v>
          </cell>
          <cell r="D139" t="str">
            <v>ECOSAMPA Santo Amaro</v>
          </cell>
        </row>
        <row r="140">
          <cell r="A140">
            <v>112857</v>
          </cell>
          <cell r="B140" t="str">
            <v>ALMERIL FERNANDES DA SILVA</v>
          </cell>
          <cell r="C140" t="str">
            <v>VARREDOR</v>
          </cell>
          <cell r="D140" t="str">
            <v>ECOSAMPA Santo Amaro</v>
          </cell>
        </row>
        <row r="141">
          <cell r="A141">
            <v>122364</v>
          </cell>
          <cell r="B141" t="str">
            <v>ALMIRA PACHECO ROCHA</v>
          </cell>
          <cell r="C141" t="str">
            <v>PENSIONISTAS</v>
          </cell>
          <cell r="D141" t="str">
            <v>ECOSAMPA Pensionistas</v>
          </cell>
        </row>
        <row r="142">
          <cell r="A142">
            <v>113069</v>
          </cell>
          <cell r="B142" t="str">
            <v>ALOISIO FERNANDES DE NOVAIS</v>
          </cell>
          <cell r="C142" t="str">
            <v>VARREDOR</v>
          </cell>
          <cell r="D142" t="str">
            <v>ECOSAMPA M'Boi Mirim</v>
          </cell>
        </row>
        <row r="143">
          <cell r="A143">
            <v>112889</v>
          </cell>
          <cell r="B143" t="str">
            <v>ALOISO OLIVEIRA SANTOS</v>
          </cell>
          <cell r="C143" t="str">
            <v>VARREDOR</v>
          </cell>
          <cell r="D143" t="str">
            <v>ECOSAMPA Santo Amaro</v>
          </cell>
        </row>
        <row r="144">
          <cell r="A144">
            <v>113086</v>
          </cell>
          <cell r="B144" t="str">
            <v>ALTAMIR REIS LUIZ</v>
          </cell>
          <cell r="C144" t="str">
            <v>MOTORISTA CAMINHAO</v>
          </cell>
          <cell r="D144" t="str">
            <v>ECOSAMPA Operação Geral</v>
          </cell>
        </row>
        <row r="145">
          <cell r="A145">
            <v>112995</v>
          </cell>
          <cell r="B145" t="str">
            <v>ALTINO COSTA</v>
          </cell>
          <cell r="C145" t="str">
            <v>VARREDOR</v>
          </cell>
          <cell r="D145" t="str">
            <v>ECOSAMPA M'Boi Mirim</v>
          </cell>
        </row>
        <row r="146">
          <cell r="A146">
            <v>121522</v>
          </cell>
          <cell r="B146" t="str">
            <v>ALUISIO BERNARDINO DE SENA</v>
          </cell>
          <cell r="C146" t="str">
            <v>AJUDANTE EQ SERVICOS DIVERSOS</v>
          </cell>
          <cell r="D146" t="str">
            <v>ECOSAMPA Operação Geral</v>
          </cell>
        </row>
        <row r="147">
          <cell r="A147">
            <v>113096</v>
          </cell>
          <cell r="B147" t="str">
            <v>AMARILDO DOS SANTOS SILVA</v>
          </cell>
          <cell r="C147" t="str">
            <v>AJUDANTE EQ SERVICOS DIVERSOS</v>
          </cell>
          <cell r="D147" t="str">
            <v>ECOSAMPA M'Boi Mirim</v>
          </cell>
        </row>
        <row r="148">
          <cell r="A148">
            <v>116330</v>
          </cell>
          <cell r="B148" t="str">
            <v>AMARILDO LOPES SANTANA</v>
          </cell>
          <cell r="C148" t="str">
            <v>AJUDANTE EQ SERVICOS DIVERSOS</v>
          </cell>
          <cell r="D148" t="str">
            <v>ECOSAMPA Santo Amaro</v>
          </cell>
        </row>
        <row r="149">
          <cell r="A149">
            <v>113103</v>
          </cell>
          <cell r="B149" t="str">
            <v>AMARILDO MAMEDE DA SILVA</v>
          </cell>
          <cell r="C149" t="str">
            <v>AJUDANTE EQ SERVICOS DIVERSOS</v>
          </cell>
          <cell r="D149" t="str">
            <v>ECOSAMPA Capela do Socorro</v>
          </cell>
        </row>
        <row r="150">
          <cell r="A150">
            <v>113109</v>
          </cell>
          <cell r="B150" t="str">
            <v>AMARO NIVALDO PLINIO</v>
          </cell>
          <cell r="C150" t="str">
            <v>BUEIRISTA</v>
          </cell>
          <cell r="D150" t="str">
            <v>ECOSAMPA Capela do Socorro</v>
          </cell>
        </row>
        <row r="151">
          <cell r="A151">
            <v>113117</v>
          </cell>
          <cell r="B151" t="str">
            <v>AMAURI FERREIRA DA SILVA</v>
          </cell>
          <cell r="C151" t="str">
            <v>AJUDANTE EQ SERVICOS DIVERSOS</v>
          </cell>
          <cell r="D151" t="str">
            <v>ECOSAMPA Parelheiros</v>
          </cell>
        </row>
        <row r="152">
          <cell r="A152">
            <v>122352</v>
          </cell>
          <cell r="B152" t="str">
            <v>AMBROSILENE MARIA DA SILVA SANTOS</v>
          </cell>
          <cell r="C152" t="str">
            <v>AUXILIAR DE CONTROLE OPERACIONAL</v>
          </cell>
          <cell r="D152" t="str">
            <v>ECOSAMPA Operação Geral</v>
          </cell>
        </row>
        <row r="153">
          <cell r="A153">
            <v>113124</v>
          </cell>
          <cell r="B153" t="str">
            <v>AMILTON PEREIRA SANTOS</v>
          </cell>
          <cell r="C153" t="str">
            <v>COLETOR</v>
          </cell>
          <cell r="D153" t="str">
            <v>ECOSAMPA Operação Geral</v>
          </cell>
        </row>
        <row r="154">
          <cell r="A154">
            <v>113130</v>
          </cell>
          <cell r="B154" t="str">
            <v>AMILTON SOUZA SANTOS</v>
          </cell>
          <cell r="C154" t="str">
            <v>VARREDOR</v>
          </cell>
          <cell r="D154" t="str">
            <v>ECOSAMPA Santo Amaro</v>
          </cell>
        </row>
        <row r="155">
          <cell r="A155">
            <v>117422</v>
          </cell>
          <cell r="B155" t="str">
            <v>ANA CARLA SANTOS DA PAIXAO</v>
          </cell>
          <cell r="C155" t="str">
            <v>PENSIONISTAS</v>
          </cell>
          <cell r="D155" t="str">
            <v>ECOSAMPA Pensionistas</v>
          </cell>
        </row>
        <row r="156">
          <cell r="A156">
            <v>121817</v>
          </cell>
          <cell r="B156" t="str">
            <v>ANA CAROLINA MARINHO DA SILVA</v>
          </cell>
          <cell r="C156" t="str">
            <v>MENOR/JOVEM APRENDIZ</v>
          </cell>
          <cell r="D156" t="str">
            <v>ECOSAMPA Administração</v>
          </cell>
        </row>
        <row r="157">
          <cell r="A157">
            <v>113907</v>
          </cell>
          <cell r="B157" t="str">
            <v>ANA CLARA APARECIDA SANT'ANA</v>
          </cell>
          <cell r="C157" t="str">
            <v>PENSIONISTAS</v>
          </cell>
          <cell r="D157" t="str">
            <v>ECOSAMPA Pensionistas</v>
          </cell>
        </row>
        <row r="158">
          <cell r="A158">
            <v>113135</v>
          </cell>
          <cell r="B158" t="str">
            <v>ANA CLAUDIA RODRIGUES BRITO</v>
          </cell>
          <cell r="C158" t="str">
            <v>VARREDOR</v>
          </cell>
          <cell r="D158" t="str">
            <v>ECOSAMPA M'Boi Mirim</v>
          </cell>
        </row>
        <row r="159">
          <cell r="A159">
            <v>121672</v>
          </cell>
          <cell r="B159" t="str">
            <v>ANA CRISTINA DA SILVA</v>
          </cell>
          <cell r="C159" t="str">
            <v>AJUDANTE EQ SERVICOS DIVERSOS</v>
          </cell>
          <cell r="D159" t="str">
            <v>ECOSAMPA Parelheiros</v>
          </cell>
        </row>
        <row r="160">
          <cell r="A160">
            <v>113139</v>
          </cell>
          <cell r="B160" t="str">
            <v>ANA LUCIA GONZAGA DE SOUZA</v>
          </cell>
          <cell r="C160" t="str">
            <v>VARREDOR</v>
          </cell>
          <cell r="D160" t="str">
            <v>ECOSAMPA Campo Limpo</v>
          </cell>
        </row>
        <row r="161">
          <cell r="A161">
            <v>113851</v>
          </cell>
          <cell r="B161" t="str">
            <v>ANA PAULA LOPES ALVES</v>
          </cell>
          <cell r="C161" t="str">
            <v>TECNICA DE ENFERMAGEM DO TRABALHO</v>
          </cell>
          <cell r="D161" t="str">
            <v>ECOSAMPA Operação Geral</v>
          </cell>
        </row>
        <row r="162">
          <cell r="A162">
            <v>113148</v>
          </cell>
          <cell r="B162" t="str">
            <v>ANA PAULA RODRIGUES DE OLIVEIRA</v>
          </cell>
          <cell r="C162" t="str">
            <v>VARREDOR</v>
          </cell>
          <cell r="D162" t="str">
            <v>ECOSAMPA M'Boi Mirim</v>
          </cell>
        </row>
        <row r="163">
          <cell r="A163">
            <v>115497</v>
          </cell>
          <cell r="B163" t="str">
            <v>ANA PAULA SILVA DE SOUZA</v>
          </cell>
          <cell r="C163" t="str">
            <v>PENSIONISTAS</v>
          </cell>
          <cell r="D163" t="str">
            <v>ECOSAMPA Pensionistas</v>
          </cell>
        </row>
        <row r="164">
          <cell r="A164">
            <v>113760</v>
          </cell>
          <cell r="B164" t="str">
            <v>ANA PAULA STIGLIANI</v>
          </cell>
          <cell r="C164" t="str">
            <v>AUXILIAR DE PLANEJAMENTO OPERACIONAL</v>
          </cell>
          <cell r="D164" t="str">
            <v>ECOSAMPA Operação Geral</v>
          </cell>
        </row>
        <row r="165">
          <cell r="A165">
            <v>114682</v>
          </cell>
          <cell r="B165" t="str">
            <v>ANALCASSIS LAMBIAZZI</v>
          </cell>
          <cell r="C165" t="str">
            <v>AJUDANTE EQ SERVICOS DIVERSOS</v>
          </cell>
          <cell r="D165" t="str">
            <v>ECOSAMPA Campo Limpo</v>
          </cell>
        </row>
        <row r="166">
          <cell r="A166">
            <v>113151</v>
          </cell>
          <cell r="B166" t="str">
            <v>ANDERSON ALBERTO LAPIETRA</v>
          </cell>
          <cell r="C166" t="str">
            <v>AJUDANTE EQ SERVICOS DIVERSOS</v>
          </cell>
          <cell r="D166" t="str">
            <v>ECOSAMPA Parelheiros</v>
          </cell>
        </row>
        <row r="167">
          <cell r="A167">
            <v>114979</v>
          </cell>
          <cell r="B167" t="str">
            <v>ANDERSON AMARAL DAS NEVES</v>
          </cell>
          <cell r="C167" t="str">
            <v>AJUDANTE EQ SERVICOS DIVERSOS</v>
          </cell>
          <cell r="D167" t="str">
            <v>ECOSAMPA Operação Geral</v>
          </cell>
        </row>
        <row r="168">
          <cell r="A168">
            <v>122440</v>
          </cell>
          <cell r="B168" t="str">
            <v>ANDERSON APARECIDO DE ALMEIDA</v>
          </cell>
          <cell r="C168" t="str">
            <v>AJUDANTE EQ SERVICOS DIVERSOS</v>
          </cell>
          <cell r="D168" t="str">
            <v>ECOSAMPA Operação Geral</v>
          </cell>
        </row>
        <row r="169">
          <cell r="A169">
            <v>114968</v>
          </cell>
          <cell r="B169" t="str">
            <v>ANDERSON BARROS DA SILVA</v>
          </cell>
          <cell r="C169" t="str">
            <v>AJUDANTE EQ SERVICOS DIVERSOS</v>
          </cell>
          <cell r="D169" t="str">
            <v>ECOSAMPA Operação Geral</v>
          </cell>
        </row>
        <row r="170">
          <cell r="A170">
            <v>113156</v>
          </cell>
          <cell r="B170" t="str">
            <v>ANDERSON BRASILINO DA SILVA</v>
          </cell>
          <cell r="C170" t="str">
            <v>AJUDANTE EQ SERVICOS DIVERSOS</v>
          </cell>
          <cell r="D170" t="str">
            <v>ECOSAMPA Capela do Socorro</v>
          </cell>
        </row>
        <row r="171">
          <cell r="A171">
            <v>115380</v>
          </cell>
          <cell r="B171" t="str">
            <v>ANDERSON BRASILINO DA SILVA</v>
          </cell>
          <cell r="C171" t="str">
            <v>AJUDANTE EQ SERVICOS DIVERSOS</v>
          </cell>
          <cell r="D171" t="str">
            <v>ECOSAMPA Campo Limpo</v>
          </cell>
        </row>
        <row r="172">
          <cell r="A172">
            <v>113168</v>
          </cell>
          <cell r="B172" t="str">
            <v>ANDERSON BRESSANINI MISSIAS</v>
          </cell>
          <cell r="C172" t="str">
            <v>AJUDANTE EQ SERVICOS DIVERSOS</v>
          </cell>
          <cell r="D172" t="str">
            <v>ECOSAMPA M'Boi Mirim</v>
          </cell>
        </row>
        <row r="173">
          <cell r="A173">
            <v>113171</v>
          </cell>
          <cell r="B173" t="str">
            <v>ANDERSON BUENO TAVARES</v>
          </cell>
          <cell r="C173" t="str">
            <v>AJUDANTE EQ SERVICOS DIVERSOS</v>
          </cell>
          <cell r="D173" t="str">
            <v>ECOSAMPA Operação Geral</v>
          </cell>
        </row>
        <row r="174">
          <cell r="A174">
            <v>116721</v>
          </cell>
          <cell r="B174" t="str">
            <v>ANDERSON DA SILVA FARIA</v>
          </cell>
          <cell r="C174" t="str">
            <v>VARREDOR</v>
          </cell>
          <cell r="D174" t="str">
            <v>ECOSAMPA Capela do Socorro</v>
          </cell>
        </row>
        <row r="175">
          <cell r="A175">
            <v>114683</v>
          </cell>
          <cell r="B175" t="str">
            <v>ANDERSON DE ALMEIDA SILVA</v>
          </cell>
          <cell r="C175" t="str">
            <v>VARREDOR</v>
          </cell>
          <cell r="D175" t="str">
            <v>ECOSAMPA M'Boi Mirim</v>
          </cell>
        </row>
        <row r="176">
          <cell r="A176">
            <v>113173</v>
          </cell>
          <cell r="B176" t="str">
            <v>ANDERSON DOS SANTOS ALVES</v>
          </cell>
          <cell r="C176" t="str">
            <v>AJUDANTE EQ SERVICOS DIVERSOS</v>
          </cell>
          <cell r="D176" t="str">
            <v>ECOSAMPA M'Boi Mirim</v>
          </cell>
        </row>
        <row r="177">
          <cell r="A177">
            <v>115398</v>
          </cell>
          <cell r="B177" t="str">
            <v>ANDERSON DOS SANTOS BATISTA</v>
          </cell>
          <cell r="C177" t="str">
            <v>AJUDANTE EQ SERVICOS DIVERSOS</v>
          </cell>
          <cell r="D177" t="str">
            <v>ECOSAMPA Santo Amaro</v>
          </cell>
        </row>
        <row r="178">
          <cell r="A178">
            <v>114616</v>
          </cell>
          <cell r="B178" t="str">
            <v>ANDERSON FERNANDES DA SILVA</v>
          </cell>
          <cell r="C178" t="str">
            <v>MOTORISTA CAMINHAO</v>
          </cell>
          <cell r="D178" t="str">
            <v>ECOSAMPA Operação Geral</v>
          </cell>
        </row>
        <row r="179">
          <cell r="A179">
            <v>114960</v>
          </cell>
          <cell r="B179" t="str">
            <v>ANDERSON LUIZ SOUZA NASCIMENTO</v>
          </cell>
          <cell r="C179" t="str">
            <v>AJUDANTE EQ SERVICOS DIVERSOS</v>
          </cell>
          <cell r="D179" t="str">
            <v>ECOSAMPA Operação Geral</v>
          </cell>
        </row>
        <row r="180">
          <cell r="A180">
            <v>113175</v>
          </cell>
          <cell r="B180" t="str">
            <v>ANDERSON MANUEL JESUS DO NASCIMENTO</v>
          </cell>
          <cell r="C180" t="str">
            <v>AJUDANTE EQ SERVICOS DIVERSOS</v>
          </cell>
          <cell r="D180" t="str">
            <v>ECOSAMPA M'Boi Mirim</v>
          </cell>
        </row>
        <row r="181">
          <cell r="A181">
            <v>119105</v>
          </cell>
          <cell r="B181" t="str">
            <v>ANDERSON NASCIMENTO DOS SANTOS</v>
          </cell>
          <cell r="C181" t="str">
            <v>AJUDANTE EQ SERVICOS DIVERSOS</v>
          </cell>
          <cell r="D181" t="str">
            <v>ECOSAMPA Campo Limpo</v>
          </cell>
        </row>
        <row r="182">
          <cell r="A182">
            <v>113299</v>
          </cell>
          <cell r="B182" t="str">
            <v>ANDERSON NASCIMENTO SANTOS</v>
          </cell>
          <cell r="C182" t="str">
            <v>COLETOR</v>
          </cell>
          <cell r="D182" t="str">
            <v>ECOSAMPA Operação Geral</v>
          </cell>
        </row>
        <row r="183">
          <cell r="A183">
            <v>113178</v>
          </cell>
          <cell r="B183" t="str">
            <v>ANDERSON OSVALDO FREITAS FONSECA</v>
          </cell>
          <cell r="C183" t="str">
            <v>AJUDANTE EQ SERVICOS DIVERSOS</v>
          </cell>
          <cell r="D183" t="str">
            <v>ECOSAMPA Parelheiros</v>
          </cell>
        </row>
        <row r="184">
          <cell r="A184">
            <v>113182</v>
          </cell>
          <cell r="B184" t="str">
            <v>ANDERSON PATRICK SANTOS RANGEL</v>
          </cell>
          <cell r="C184" t="str">
            <v>AJUDANTE EQ SERVICOS DIVERSOS</v>
          </cell>
          <cell r="D184" t="str">
            <v>ECOSAMPA Santo Amaro</v>
          </cell>
        </row>
        <row r="185">
          <cell r="A185">
            <v>122438</v>
          </cell>
          <cell r="B185" t="str">
            <v>ANDERSON SILVA DE SOUZA</v>
          </cell>
          <cell r="C185" t="str">
            <v>AJUDANTE EQ SERVICOS DIVERSOS</v>
          </cell>
          <cell r="D185" t="str">
            <v>ECOSAMPA Operação Geral</v>
          </cell>
        </row>
        <row r="186">
          <cell r="A186">
            <v>114529</v>
          </cell>
          <cell r="B186" t="str">
            <v>ANDERSON SILVA PEREIRA</v>
          </cell>
          <cell r="C186" t="str">
            <v>AJUDANTE EQ SERVICOS DIVERSOS</v>
          </cell>
          <cell r="D186" t="str">
            <v>ECOSAMPA Operação Geral</v>
          </cell>
        </row>
        <row r="187">
          <cell r="A187">
            <v>113186</v>
          </cell>
          <cell r="B187" t="str">
            <v>ANDERSON SOARES CARDOSO</v>
          </cell>
          <cell r="C187" t="str">
            <v>VARREDOR</v>
          </cell>
          <cell r="D187" t="str">
            <v>ECOSAMPA Capela do Socorro</v>
          </cell>
        </row>
        <row r="188">
          <cell r="A188">
            <v>120187</v>
          </cell>
          <cell r="B188" t="str">
            <v>ANDERSON SOUZA DA SILVA</v>
          </cell>
          <cell r="C188" t="str">
            <v>AJUDANTE EQ SERVICOS DIVERSOS</v>
          </cell>
          <cell r="D188" t="str">
            <v>ECOSAMPA Operação Geral</v>
          </cell>
        </row>
        <row r="189">
          <cell r="A189">
            <v>113792</v>
          </cell>
          <cell r="B189" t="str">
            <v>ANDERSON SOUZA DE OLIVEIRA</v>
          </cell>
          <cell r="C189" t="str">
            <v>MECANICO II</v>
          </cell>
          <cell r="D189" t="str">
            <v>ECOSAMPA Operação Geral</v>
          </cell>
        </row>
        <row r="190">
          <cell r="A190">
            <v>114760</v>
          </cell>
          <cell r="B190" t="str">
            <v>ANDERSON TAVARES OLIVEIRA</v>
          </cell>
          <cell r="C190" t="str">
            <v>MOTORISTA DE CAMINHAO</v>
          </cell>
          <cell r="D190" t="str">
            <v>ECOSAMPA Operação Geral</v>
          </cell>
        </row>
        <row r="191">
          <cell r="A191">
            <v>113190</v>
          </cell>
          <cell r="B191" t="str">
            <v>ANDERSON VAZ DE OLIVEIRA</v>
          </cell>
          <cell r="C191" t="str">
            <v>COLETOR</v>
          </cell>
          <cell r="D191" t="str">
            <v>ECOSAMPA Operação Geral</v>
          </cell>
        </row>
        <row r="192">
          <cell r="A192">
            <v>116030</v>
          </cell>
          <cell r="B192" t="str">
            <v>ANDERSON VIEIRA DOS SANTOS</v>
          </cell>
          <cell r="C192" t="str">
            <v>AJUDANTE EQ SERVICOS DIVERSOS</v>
          </cell>
          <cell r="D192" t="str">
            <v>ECOSAMPA M'Boi Mirim</v>
          </cell>
        </row>
        <row r="193">
          <cell r="A193">
            <v>113195</v>
          </cell>
          <cell r="B193" t="str">
            <v>ANDERSON VIEIRA LUIZ</v>
          </cell>
          <cell r="C193" t="str">
            <v>AJUDANTE EQ SERVICOS DIVERSOS</v>
          </cell>
          <cell r="D193" t="str">
            <v>ECOSAMPA Campo Limpo</v>
          </cell>
        </row>
        <row r="194">
          <cell r="A194">
            <v>114686</v>
          </cell>
          <cell r="B194" t="str">
            <v>ANDRE ALVES CRUZ</v>
          </cell>
          <cell r="C194" t="str">
            <v>AJUDANTE EQ SERVICOS DIVERSOS</v>
          </cell>
          <cell r="D194" t="str">
            <v>ECOSAMPA Campo Limpo</v>
          </cell>
        </row>
        <row r="195">
          <cell r="A195">
            <v>113213</v>
          </cell>
          <cell r="B195" t="str">
            <v>ANDRE BARBOSA DE PAULA</v>
          </cell>
          <cell r="C195" t="str">
            <v>MOTORISTA CAMINHAO</v>
          </cell>
          <cell r="D195" t="str">
            <v>ECOSAMPA Operação Geral</v>
          </cell>
        </row>
        <row r="196">
          <cell r="A196">
            <v>113219</v>
          </cell>
          <cell r="B196" t="str">
            <v>ANDRE BARBOSA MATIAS</v>
          </cell>
          <cell r="C196" t="str">
            <v>MOTORISTA CAMINHAO</v>
          </cell>
          <cell r="D196" t="str">
            <v>ECOSAMPA Operação Geral</v>
          </cell>
        </row>
        <row r="197">
          <cell r="A197">
            <v>113223</v>
          </cell>
          <cell r="B197" t="str">
            <v>ANDRE BORGES SOUZA</v>
          </cell>
          <cell r="C197" t="str">
            <v>AJUDANTE EQ SERVICOS DIVERSOS</v>
          </cell>
          <cell r="D197" t="str">
            <v>ECOSAMPA Capela do Socorro</v>
          </cell>
        </row>
        <row r="198">
          <cell r="A198">
            <v>114684</v>
          </cell>
          <cell r="B198" t="str">
            <v>ANDRE DA SILVA LIVERO</v>
          </cell>
          <cell r="C198" t="str">
            <v>VARREDOR</v>
          </cell>
          <cell r="D198" t="str">
            <v>ECOSAMPA Santo Amaro</v>
          </cell>
        </row>
        <row r="199">
          <cell r="A199">
            <v>121449</v>
          </cell>
          <cell r="B199" t="str">
            <v>ANDRE DE SOUZA RAMOS</v>
          </cell>
          <cell r="C199" t="str">
            <v>AJUDANTE EQ SERVICOS DIVERSOS</v>
          </cell>
          <cell r="D199" t="str">
            <v>ECOSAMPA Operação Geral</v>
          </cell>
        </row>
        <row r="200">
          <cell r="A200">
            <v>121452</v>
          </cell>
          <cell r="B200" t="str">
            <v>ANDRE DE VERAS</v>
          </cell>
          <cell r="C200" t="str">
            <v>AJUDANTE EQ SERVICOS DIVERSOS</v>
          </cell>
          <cell r="D200" t="str">
            <v>ECOSAMPA Operação Geral</v>
          </cell>
        </row>
        <row r="201">
          <cell r="A201">
            <v>121509</v>
          </cell>
          <cell r="B201" t="str">
            <v>ANDRE FELIPE DA MOTA NORONHA</v>
          </cell>
          <cell r="C201" t="str">
            <v>AJUDANTE EQ SERVICOS DIVERSOS</v>
          </cell>
          <cell r="D201" t="str">
            <v>ECOSAMPA Operação Geral</v>
          </cell>
        </row>
        <row r="202">
          <cell r="A202">
            <v>113226</v>
          </cell>
          <cell r="B202" t="str">
            <v>ANDRE FERREIRA DA SILVA</v>
          </cell>
          <cell r="C202" t="str">
            <v>VARREDOR</v>
          </cell>
          <cell r="D202" t="str">
            <v>ECOSAMPA Santo Amaro</v>
          </cell>
        </row>
        <row r="203">
          <cell r="A203">
            <v>114546</v>
          </cell>
          <cell r="B203" t="str">
            <v>ANDRE GONCALVES CRUZ</v>
          </cell>
          <cell r="C203" t="str">
            <v>VARREDOR</v>
          </cell>
          <cell r="D203" t="str">
            <v>ECOSAMPA Capela do Socorro</v>
          </cell>
        </row>
        <row r="204">
          <cell r="A204">
            <v>113232</v>
          </cell>
          <cell r="B204" t="str">
            <v>ANDRE GUSTAVO DOS SANTOS</v>
          </cell>
          <cell r="C204" t="str">
            <v>FISCAL DE TRAFEGO PLENO</v>
          </cell>
          <cell r="D204" t="str">
            <v>ECOSAMPA Operação Geral</v>
          </cell>
        </row>
        <row r="205">
          <cell r="A205">
            <v>113238</v>
          </cell>
          <cell r="B205" t="str">
            <v>ANDRE JOSE DE LIMA</v>
          </cell>
          <cell r="C205" t="str">
            <v>VARREDOR</v>
          </cell>
          <cell r="D205" t="str">
            <v>ECOSAMPA M'Boi Mirim</v>
          </cell>
        </row>
        <row r="206">
          <cell r="A206">
            <v>114685</v>
          </cell>
          <cell r="B206" t="str">
            <v>ANDRE LOPES DE SOUZA</v>
          </cell>
          <cell r="C206" t="str">
            <v>VARREDOR</v>
          </cell>
          <cell r="D206" t="str">
            <v>ECOSAMPA Campo Limpo</v>
          </cell>
        </row>
        <row r="207">
          <cell r="A207">
            <v>113241</v>
          </cell>
          <cell r="B207" t="str">
            <v>ANDRE LOURENCO DA SILVA</v>
          </cell>
          <cell r="C207" t="str">
            <v>MOTORISTA CAMINHAO</v>
          </cell>
          <cell r="D207" t="str">
            <v>ECOSAMPA Operação Geral</v>
          </cell>
        </row>
        <row r="208">
          <cell r="A208">
            <v>120163</v>
          </cell>
          <cell r="B208" t="str">
            <v>ANDRE LUIS ALMEIDA MARQUES</v>
          </cell>
          <cell r="C208" t="str">
            <v>BUEIRISTA</v>
          </cell>
          <cell r="D208" t="str">
            <v>ECOSAMPA Capela do Socorro</v>
          </cell>
        </row>
        <row r="209">
          <cell r="A209">
            <v>113245</v>
          </cell>
          <cell r="B209" t="str">
            <v>ANDRE LUIS FERREIRA DA SILVA</v>
          </cell>
          <cell r="C209" t="str">
            <v>COLETOR</v>
          </cell>
          <cell r="D209" t="str">
            <v>ECOSAMPA Operação Geral</v>
          </cell>
        </row>
        <row r="210">
          <cell r="A210">
            <v>113251</v>
          </cell>
          <cell r="B210" t="str">
            <v>ANDRE LUIZ ALMEIDA PEREIRA</v>
          </cell>
          <cell r="C210" t="str">
            <v>MOTORISTA CAMINHAO</v>
          </cell>
          <cell r="D210" t="str">
            <v>ECOSAMPA Operação Geral</v>
          </cell>
        </row>
        <row r="211">
          <cell r="A211">
            <v>118646</v>
          </cell>
          <cell r="B211" t="str">
            <v>ANDRE LUIZ DELMIRO</v>
          </cell>
          <cell r="C211" t="str">
            <v>AJUDANTE EQ SERVICOS DIVERSOS</v>
          </cell>
          <cell r="D211" t="str">
            <v>ECOSAMPA Santo Amaro</v>
          </cell>
        </row>
        <row r="212">
          <cell r="A212">
            <v>113253</v>
          </cell>
          <cell r="B212" t="str">
            <v>ANDRE LUIZ LEITE DE JESUS</v>
          </cell>
          <cell r="C212" t="str">
            <v>FISCAL DE TURMA PLENO</v>
          </cell>
          <cell r="D212" t="str">
            <v>ECOSAMPA Capela do Socorro</v>
          </cell>
        </row>
        <row r="213">
          <cell r="A213">
            <v>114687</v>
          </cell>
          <cell r="B213" t="str">
            <v>ANDRE LUIZ MIGUEL</v>
          </cell>
          <cell r="C213" t="str">
            <v>VARREDOR</v>
          </cell>
          <cell r="D213" t="str">
            <v>ECOSAMPA M'Boi Mirim</v>
          </cell>
        </row>
        <row r="214">
          <cell r="A214">
            <v>113899</v>
          </cell>
          <cell r="B214" t="str">
            <v>ANDRE LUIZ MOTTA</v>
          </cell>
          <cell r="C214" t="str">
            <v>MOTORISTA CAMINHAO</v>
          </cell>
          <cell r="D214" t="str">
            <v>ECOSAMPA Operação Geral</v>
          </cell>
        </row>
        <row r="215">
          <cell r="A215">
            <v>122832</v>
          </cell>
          <cell r="B215" t="str">
            <v>ANDRE LUIZ MUNIZ DE ARRUDA</v>
          </cell>
          <cell r="C215" t="str">
            <v>AJUDANTE EQ SERVICOS DIVERSOS</v>
          </cell>
          <cell r="D215" t="str">
            <v>ECOSAMPA Operação Geral</v>
          </cell>
        </row>
        <row r="216">
          <cell r="A216">
            <v>114536</v>
          </cell>
          <cell r="B216" t="str">
            <v>ANDRE LUIZ NERIS DE SOUZA</v>
          </cell>
          <cell r="C216" t="str">
            <v>AJUDANTE EQ SERVICOS DIVERSOS</v>
          </cell>
          <cell r="D216" t="str">
            <v>ECOSAMPA Capela do Socorro</v>
          </cell>
        </row>
        <row r="217">
          <cell r="A217">
            <v>113258</v>
          </cell>
          <cell r="B217" t="str">
            <v>ANDRE MISSIAS AMOROSO</v>
          </cell>
          <cell r="C217" t="str">
            <v>AJUDANTE EQ SERVICOS DIVERSOS</v>
          </cell>
          <cell r="D217" t="str">
            <v>ECOSAMPA Capela do Socorro</v>
          </cell>
        </row>
        <row r="218">
          <cell r="A218">
            <v>114768</v>
          </cell>
          <cell r="B218" t="str">
            <v>ANDRE RICARDO DA SILVA</v>
          </cell>
          <cell r="C218" t="str">
            <v>MOTORISTA DE CAMINHAO</v>
          </cell>
          <cell r="D218" t="str">
            <v>ECOSAMPA Operação Geral</v>
          </cell>
        </row>
        <row r="219">
          <cell r="A219">
            <v>116725</v>
          </cell>
          <cell r="B219" t="str">
            <v>ANDRE RODRIGUES DE OLIVEIRA SILVA</v>
          </cell>
          <cell r="C219" t="str">
            <v>AJUDANTE EQ SERVICOS DIVERSOS</v>
          </cell>
          <cell r="D219" t="str">
            <v>ECOSAMPA Campo Limpo</v>
          </cell>
        </row>
        <row r="220">
          <cell r="A220">
            <v>113302</v>
          </cell>
          <cell r="B220" t="str">
            <v>ANDRE SOARES PADILHA LIMA</v>
          </cell>
          <cell r="C220" t="str">
            <v>VARREDOR</v>
          </cell>
          <cell r="D220" t="str">
            <v>ECOSAMPA Capela do Socorro</v>
          </cell>
        </row>
        <row r="221">
          <cell r="A221">
            <v>113731</v>
          </cell>
          <cell r="B221" t="str">
            <v>ANDRES ROBERTO ATAHIDES LOPEZ</v>
          </cell>
          <cell r="C221" t="str">
            <v>AUXILIAR DE ELETRICISTA</v>
          </cell>
          <cell r="D221" t="str">
            <v>ECOSAMPA Operação Geral</v>
          </cell>
        </row>
        <row r="222">
          <cell r="A222">
            <v>114909</v>
          </cell>
          <cell r="B222" t="str">
            <v>ANDREZA CARMO DA SILVA</v>
          </cell>
          <cell r="C222" t="str">
            <v>AJUDANTE EQ SERVICOS DIVERSOS</v>
          </cell>
          <cell r="D222" t="str">
            <v>ECOSAMPA Capela do Socorro</v>
          </cell>
        </row>
        <row r="223">
          <cell r="A223">
            <v>115054</v>
          </cell>
          <cell r="B223" t="str">
            <v>ANDREZA PEREIRA GARCIA</v>
          </cell>
          <cell r="C223" t="str">
            <v>PENSIONISTAS</v>
          </cell>
          <cell r="D223" t="str">
            <v>ECOSAMPA Pensionistas</v>
          </cell>
        </row>
        <row r="224">
          <cell r="A224">
            <v>113415</v>
          </cell>
          <cell r="B224" t="str">
            <v>ANGELO JOSE DOS SANTOS</v>
          </cell>
          <cell r="C224" t="str">
            <v>VARREDOR</v>
          </cell>
          <cell r="D224" t="str">
            <v>ECOSAMPA Santo Amaro</v>
          </cell>
        </row>
        <row r="225">
          <cell r="A225">
            <v>113310</v>
          </cell>
          <cell r="B225" t="str">
            <v>ANILTON RIBEIRO SOUZA</v>
          </cell>
          <cell r="C225" t="str">
            <v>MOTORISTA CAMINHAO</v>
          </cell>
          <cell r="D225" t="str">
            <v>ECOSAMPA Operação Geral</v>
          </cell>
        </row>
        <row r="226">
          <cell r="A226">
            <v>113419</v>
          </cell>
          <cell r="B226" t="str">
            <v>ANNA KAROLINIE GALDINO DOS SANTOS</v>
          </cell>
          <cell r="C226" t="str">
            <v>AUXILIAR DE SEGURANCA DO TRABALHO</v>
          </cell>
          <cell r="D226" t="str">
            <v>ECOSAMPA Operação Geral</v>
          </cell>
        </row>
        <row r="227">
          <cell r="A227">
            <v>113312</v>
          </cell>
          <cell r="B227" t="str">
            <v>ANSELMO PINTO DA SILVA</v>
          </cell>
          <cell r="C227" t="str">
            <v>VARREDOR</v>
          </cell>
          <cell r="D227" t="str">
            <v>ECOSAMPA Santo Amaro</v>
          </cell>
        </row>
        <row r="228">
          <cell r="A228">
            <v>113423</v>
          </cell>
          <cell r="B228" t="str">
            <v>ANTENOR OLIVEIRA</v>
          </cell>
          <cell r="C228" t="str">
            <v>AJUDANTE EQ SERVICOS DIVERSOS</v>
          </cell>
          <cell r="D228" t="str">
            <v>ECOSAMPA Santo Amaro</v>
          </cell>
        </row>
        <row r="229">
          <cell r="A229">
            <v>113334</v>
          </cell>
          <cell r="B229" t="str">
            <v>ANTENOR VIEIRA LIMA</v>
          </cell>
          <cell r="C229" t="str">
            <v>MOTORISTA DE CAMINHAO</v>
          </cell>
          <cell r="D229" t="str">
            <v>ECOSAMPA Operação Geral</v>
          </cell>
        </row>
        <row r="230">
          <cell r="A230">
            <v>113355</v>
          </cell>
          <cell r="B230" t="str">
            <v>ANTONIO AIRTON BARBOSA ALEXANDRE</v>
          </cell>
          <cell r="C230" t="str">
            <v>AJUDANTE EQ SERVICOS DIVERSOS</v>
          </cell>
          <cell r="D230" t="str">
            <v>ECOSAMPA Santo Amaro</v>
          </cell>
        </row>
        <row r="231">
          <cell r="A231">
            <v>116969</v>
          </cell>
          <cell r="B231" t="str">
            <v>ANTONIO ALVES CONCEICAO FILHO</v>
          </cell>
          <cell r="C231" t="str">
            <v>AJUDANTE EQ SERVICOS DIVERSOS</v>
          </cell>
          <cell r="D231" t="str">
            <v>ECOSAMPA Capela do Socorro</v>
          </cell>
        </row>
        <row r="232">
          <cell r="A232">
            <v>113360</v>
          </cell>
          <cell r="B232" t="str">
            <v>ANTONIO AMARO DA SILVA</v>
          </cell>
          <cell r="C232" t="str">
            <v>VARREDOR</v>
          </cell>
          <cell r="D232" t="str">
            <v>ECOSAMPA Santo Amaro</v>
          </cell>
        </row>
        <row r="233">
          <cell r="A233">
            <v>113431</v>
          </cell>
          <cell r="B233" t="str">
            <v>ANTONIO AMORIM DA SILVA</v>
          </cell>
          <cell r="C233" t="str">
            <v>VARREDOR</v>
          </cell>
          <cell r="D233" t="str">
            <v>ECOSAMPA Santo Amaro</v>
          </cell>
        </row>
        <row r="234">
          <cell r="A234">
            <v>114689</v>
          </cell>
          <cell r="B234" t="str">
            <v>ANTONIO CAMARGO LEME FILHO</v>
          </cell>
          <cell r="C234" t="str">
            <v>AJUDANTE EQ SERVICOS DIVERSOS</v>
          </cell>
          <cell r="D234" t="str">
            <v>ECOSAMPA Capela do Socorro</v>
          </cell>
        </row>
        <row r="235">
          <cell r="A235">
            <v>113369</v>
          </cell>
          <cell r="B235" t="str">
            <v>ANTONIO CARLOS ALVES RAMOS</v>
          </cell>
          <cell r="C235" t="str">
            <v>VARREDOR</v>
          </cell>
          <cell r="D235" t="str">
            <v>ECOSAMPA Campo Limpo</v>
          </cell>
        </row>
        <row r="236">
          <cell r="A236">
            <v>121673</v>
          </cell>
          <cell r="B236" t="str">
            <v>ANTONIO CARLOS COSTA DA SILVA</v>
          </cell>
          <cell r="C236" t="str">
            <v>AJUDANTE EQ SERVICOS DIVERSOS</v>
          </cell>
          <cell r="D236" t="str">
            <v>ECOSAMPA Santo Amaro</v>
          </cell>
        </row>
        <row r="237">
          <cell r="A237">
            <v>113438</v>
          </cell>
          <cell r="B237" t="str">
            <v>ANTONIO CARLOS DE OLIVEIRA</v>
          </cell>
          <cell r="C237" t="str">
            <v>AJUDANTE EQ SERVICOS DIVERSOS</v>
          </cell>
          <cell r="D237" t="str">
            <v>ECOSAMPA M'Boi Mirim</v>
          </cell>
        </row>
        <row r="238">
          <cell r="A238">
            <v>113379</v>
          </cell>
          <cell r="B238" t="str">
            <v>ANTONIO CARLOS GOMES DE PAULA</v>
          </cell>
          <cell r="C238" t="str">
            <v>BUEIRISTA</v>
          </cell>
          <cell r="D238" t="str">
            <v>ECOSAMPA Capela do Socorro</v>
          </cell>
        </row>
        <row r="239">
          <cell r="A239">
            <v>121528</v>
          </cell>
          <cell r="B239" t="str">
            <v>ANTONIO CARLOS PAULINO DE OLIVEIRA</v>
          </cell>
          <cell r="C239" t="str">
            <v>AJUDANTE EQ SERVICOS DIVERSOS</v>
          </cell>
          <cell r="D239" t="str">
            <v>ECOSAMPA Operação Geral</v>
          </cell>
        </row>
        <row r="240">
          <cell r="A240">
            <v>113445</v>
          </cell>
          <cell r="B240" t="str">
            <v>ANTONIO CARLOS PEREIRA</v>
          </cell>
          <cell r="C240" t="str">
            <v>AJUDANTE EQ SERVICOS DIVERSOS</v>
          </cell>
          <cell r="D240" t="str">
            <v>ECOSAMPA Capela do Socorro</v>
          </cell>
        </row>
        <row r="241">
          <cell r="A241">
            <v>114688</v>
          </cell>
          <cell r="B241" t="str">
            <v>ANTONIO CARLOS PEREIRA DA SILVA</v>
          </cell>
          <cell r="C241" t="str">
            <v>VARREDOR</v>
          </cell>
          <cell r="D241" t="str">
            <v>ECOSAMPA Capela do Socorro</v>
          </cell>
        </row>
        <row r="242">
          <cell r="A242">
            <v>113388</v>
          </cell>
          <cell r="B242" t="str">
            <v>ANTONIO CARLOS RIBEIRO</v>
          </cell>
          <cell r="C242" t="str">
            <v>VARREDOR</v>
          </cell>
          <cell r="D242" t="str">
            <v>ECOSAMPA Santo Amaro</v>
          </cell>
        </row>
        <row r="243">
          <cell r="A243">
            <v>113454</v>
          </cell>
          <cell r="B243" t="str">
            <v>ANTONIO CARLOS SOARES FILHO</v>
          </cell>
          <cell r="C243" t="str">
            <v>AJUDANTE EQ SERVICOS DIVERSOS</v>
          </cell>
          <cell r="D243" t="str">
            <v>ECOSAMPA Capela do Socorro</v>
          </cell>
        </row>
        <row r="244">
          <cell r="A244">
            <v>113396</v>
          </cell>
          <cell r="B244" t="str">
            <v>ANTONIO CARLOS SOUSA DOS SANTOS</v>
          </cell>
          <cell r="C244" t="str">
            <v>AJUDANTE EQ SERVICOS DIVERSOS</v>
          </cell>
          <cell r="D244" t="str">
            <v>ECOSAMPA M'Boi Mirim</v>
          </cell>
        </row>
        <row r="245">
          <cell r="A245">
            <v>119106</v>
          </cell>
          <cell r="B245" t="str">
            <v>ANTONIO CEZAR MOTA SANTOS</v>
          </cell>
          <cell r="C245" t="str">
            <v>AJUDANTE EQ SERVICOS DIVERSOS</v>
          </cell>
          <cell r="D245" t="str">
            <v>ECOSAMPA Operação Geral</v>
          </cell>
        </row>
        <row r="246">
          <cell r="A246">
            <v>113479</v>
          </cell>
          <cell r="B246" t="str">
            <v>ANTONIO CLIMAR DA SILVA</v>
          </cell>
          <cell r="C246" t="str">
            <v>AJUDANTE EQ SERVICOS DIVERSOS</v>
          </cell>
          <cell r="D246" t="str">
            <v>ECOSAMPA Capela do Socorro</v>
          </cell>
        </row>
        <row r="247">
          <cell r="A247">
            <v>113400</v>
          </cell>
          <cell r="B247" t="str">
            <v>ANTONIO COSME FILHO</v>
          </cell>
          <cell r="C247" t="str">
            <v>COLETOR</v>
          </cell>
          <cell r="D247" t="str">
            <v>ECOSAMPA Operação Geral</v>
          </cell>
        </row>
        <row r="248">
          <cell r="A248">
            <v>113482</v>
          </cell>
          <cell r="B248" t="str">
            <v>ANTONIO DA CONCEICAO SANTOS</v>
          </cell>
          <cell r="C248" t="str">
            <v>ELETRICISTA</v>
          </cell>
          <cell r="D248" t="str">
            <v>ECOSAMPA Operação Geral</v>
          </cell>
        </row>
        <row r="249">
          <cell r="A249">
            <v>116970</v>
          </cell>
          <cell r="B249" t="str">
            <v>ANTONIO DA SILVA MENDES</v>
          </cell>
          <cell r="C249" t="str">
            <v>AJUDANTE EQ SERVICOS DIVERSOS</v>
          </cell>
          <cell r="D249" t="str">
            <v>ECOSAMPA Parelheiros</v>
          </cell>
        </row>
        <row r="250">
          <cell r="A250">
            <v>113485</v>
          </cell>
          <cell r="B250" t="str">
            <v>ANTONIO DE LIMA ARAUJO</v>
          </cell>
          <cell r="C250" t="str">
            <v>VARREDOR</v>
          </cell>
          <cell r="D250" t="str">
            <v>ECOSAMPA M'Boi Mirim</v>
          </cell>
        </row>
        <row r="251">
          <cell r="A251">
            <v>113490</v>
          </cell>
          <cell r="B251" t="str">
            <v>ANTONIO DE LIMA RIBEIRO</v>
          </cell>
          <cell r="C251" t="str">
            <v>MECANICO II</v>
          </cell>
          <cell r="D251" t="str">
            <v>ECOSAMPA Operação Geral</v>
          </cell>
        </row>
        <row r="252">
          <cell r="A252">
            <v>113494</v>
          </cell>
          <cell r="B252" t="str">
            <v>ANTONIO DE OLIVEIRA PAIVA</v>
          </cell>
          <cell r="C252" t="str">
            <v>COLETOR</v>
          </cell>
          <cell r="D252" t="str">
            <v>ECOSAMPA Operação Geral</v>
          </cell>
        </row>
        <row r="253">
          <cell r="A253">
            <v>113711</v>
          </cell>
          <cell r="B253" t="str">
            <v>ANTONIO DE SOUSA NETO</v>
          </cell>
          <cell r="C253" t="str">
            <v>ASSISTENTE DE DEPARTAMENTO PESSOAL</v>
          </cell>
          <cell r="D253" t="str">
            <v>ECOSAMPA Administração</v>
          </cell>
        </row>
        <row r="254">
          <cell r="A254">
            <v>115225</v>
          </cell>
          <cell r="B254" t="str">
            <v>ANTONIO DEODATO DE ALBUQUERQUE</v>
          </cell>
          <cell r="C254" t="str">
            <v>AJUDANTE EQ SERVICOS DIVERSOS</v>
          </cell>
          <cell r="D254" t="str">
            <v>ECOSAMPA M'Boi Mirim</v>
          </cell>
        </row>
        <row r="255">
          <cell r="A255">
            <v>113488</v>
          </cell>
          <cell r="B255" t="str">
            <v>ANTONIO DIONES RODRIGUES BRANDAO</v>
          </cell>
          <cell r="C255" t="str">
            <v>COLETOR</v>
          </cell>
          <cell r="D255" t="str">
            <v>ECOSAMPA Operação Geral</v>
          </cell>
        </row>
        <row r="256">
          <cell r="A256">
            <v>113922</v>
          </cell>
          <cell r="B256" t="str">
            <v>ANTONIO DOMINGOS MILANO</v>
          </cell>
          <cell r="C256" t="str">
            <v>MEDICO DO TRABALHO</v>
          </cell>
          <cell r="D256" t="str">
            <v>ECOSAMPA Operação Geral</v>
          </cell>
        </row>
        <row r="257">
          <cell r="A257">
            <v>113497</v>
          </cell>
          <cell r="B257" t="str">
            <v>ANTONIO DOS SANTOS</v>
          </cell>
          <cell r="C257" t="str">
            <v>VARREDOR</v>
          </cell>
          <cell r="D257" t="str">
            <v>ECOSAMPA M'Boi Mirim</v>
          </cell>
        </row>
        <row r="258">
          <cell r="A258">
            <v>118633</v>
          </cell>
          <cell r="B258" t="str">
            <v>ANTONIO DOS SANTOS</v>
          </cell>
          <cell r="C258" t="str">
            <v>AJUDANTE EQ SERVICOS DIVERSOS</v>
          </cell>
          <cell r="D258" t="str">
            <v>ECOSAMPA Santo Amaro</v>
          </cell>
        </row>
        <row r="259">
          <cell r="A259">
            <v>113502</v>
          </cell>
          <cell r="B259" t="str">
            <v>ANTONIO EVANGEL VIEIRA DOS REIS</v>
          </cell>
          <cell r="C259" t="str">
            <v>VARREDOR</v>
          </cell>
          <cell r="D259" t="str">
            <v>ECOSAMPA Santo Amaro</v>
          </cell>
        </row>
        <row r="260">
          <cell r="A260">
            <v>113508</v>
          </cell>
          <cell r="B260" t="str">
            <v>ANTONIO FERREIRA FILHO</v>
          </cell>
          <cell r="C260" t="str">
            <v>MOTORISTA CAMINHAO</v>
          </cell>
          <cell r="D260" t="str">
            <v>ECOSAMPA Operação Geral</v>
          </cell>
        </row>
        <row r="261">
          <cell r="A261">
            <v>113699</v>
          </cell>
          <cell r="B261" t="str">
            <v>ANTONIO FRANCISCO GUIMARAES FEITOSA</v>
          </cell>
          <cell r="C261" t="str">
            <v>VARREDOR</v>
          </cell>
          <cell r="D261" t="str">
            <v>ECOSAMPA Capela do Socorro</v>
          </cell>
        </row>
        <row r="262">
          <cell r="A262">
            <v>113515</v>
          </cell>
          <cell r="B262" t="str">
            <v>ANTONIO GOMES DA MOTA</v>
          </cell>
          <cell r="C262" t="str">
            <v>VARREDOR</v>
          </cell>
          <cell r="D262" t="str">
            <v>ECOSAMPA Campo Limpo</v>
          </cell>
        </row>
        <row r="263">
          <cell r="A263">
            <v>113679</v>
          </cell>
          <cell r="B263" t="str">
            <v>ANTONIO GOMES DA SILVA</v>
          </cell>
          <cell r="C263" t="str">
            <v>VARREDOR</v>
          </cell>
          <cell r="D263" t="str">
            <v>ECOSAMPA Santo Amaro</v>
          </cell>
        </row>
        <row r="264">
          <cell r="A264">
            <v>113522</v>
          </cell>
          <cell r="B264" t="str">
            <v>ANTONIO HONORIO DA CUNHA</v>
          </cell>
          <cell r="C264" t="str">
            <v>VARREDOR</v>
          </cell>
          <cell r="D264" t="str">
            <v>ECOSAMPA Santo Amaro</v>
          </cell>
        </row>
        <row r="265">
          <cell r="A265">
            <v>113525</v>
          </cell>
          <cell r="B265" t="str">
            <v>ANTONIO JOEL OLIVEIRA DE SANTANA</v>
          </cell>
          <cell r="C265" t="str">
            <v>VARREDOR</v>
          </cell>
          <cell r="D265" t="str">
            <v>ECOSAMPA Capela do Socorro</v>
          </cell>
        </row>
        <row r="266">
          <cell r="A266">
            <v>113529</v>
          </cell>
          <cell r="B266" t="str">
            <v>ANTONIO JOSE DE OLIVEIRA</v>
          </cell>
          <cell r="C266" t="str">
            <v>MOTORISTA CAMINHAO</v>
          </cell>
          <cell r="D266" t="str">
            <v>ECOSAMPA Operação Geral</v>
          </cell>
        </row>
        <row r="267">
          <cell r="A267">
            <v>113533</v>
          </cell>
          <cell r="B267" t="str">
            <v>ANTONIO JOSE DOS SANTOS</v>
          </cell>
          <cell r="C267" t="str">
            <v>VARREDOR</v>
          </cell>
          <cell r="D267" t="str">
            <v>ECOSAMPA Campo Limpo</v>
          </cell>
        </row>
        <row r="268">
          <cell r="A268">
            <v>113539</v>
          </cell>
          <cell r="B268" t="str">
            <v>ANTONIO JOSE FERREIRA</v>
          </cell>
          <cell r="C268" t="str">
            <v>VARREDOR</v>
          </cell>
          <cell r="D268" t="str">
            <v>ECOSAMPA Santo Amaro</v>
          </cell>
        </row>
        <row r="269">
          <cell r="A269">
            <v>113543</v>
          </cell>
          <cell r="B269" t="str">
            <v>ANTONIO LAERCIO DA SILVA</v>
          </cell>
          <cell r="C269" t="str">
            <v>MOTORISTA CAMINHAO</v>
          </cell>
          <cell r="D269" t="str">
            <v>ECOSAMPA Operação Geral</v>
          </cell>
        </row>
        <row r="270">
          <cell r="A270">
            <v>113549</v>
          </cell>
          <cell r="B270" t="str">
            <v>ANTONIO LIMA DE LACERDA</v>
          </cell>
          <cell r="C270" t="str">
            <v>AJUDANTE EQ SERVICOS DIVERSOS</v>
          </cell>
          <cell r="D270" t="str">
            <v>ECOSAMPA Santo Amaro</v>
          </cell>
        </row>
        <row r="271">
          <cell r="A271">
            <v>114911</v>
          </cell>
          <cell r="B271" t="str">
            <v>ANTONIO LUCIANO FELIX</v>
          </cell>
          <cell r="C271" t="str">
            <v>AJUDANTE EQ SERVICOS DIVERSOS</v>
          </cell>
          <cell r="D271" t="str">
            <v>ECOSAMPA Operação Geral</v>
          </cell>
        </row>
        <row r="272">
          <cell r="A272">
            <v>113553</v>
          </cell>
          <cell r="B272" t="str">
            <v>ANTONIO LUIS SEVERO</v>
          </cell>
          <cell r="C272" t="str">
            <v>VARREDOR</v>
          </cell>
          <cell r="D272" t="str">
            <v>ECOSAMPA Capela do Socorro</v>
          </cell>
        </row>
        <row r="273">
          <cell r="A273">
            <v>119644</v>
          </cell>
          <cell r="B273" t="str">
            <v>ANTONIO LUZIA DOS SANTOS</v>
          </cell>
          <cell r="C273" t="str">
            <v>AJUDANTE EQ SERVICOS DIVERSOS</v>
          </cell>
          <cell r="D273" t="str">
            <v>ECOSAMPA M'Boi Mirim</v>
          </cell>
        </row>
        <row r="274">
          <cell r="A274">
            <v>113556</v>
          </cell>
          <cell r="B274" t="str">
            <v>ANTONIO MARCOS EVANGELISTA SOARES</v>
          </cell>
          <cell r="C274" t="str">
            <v>MOTORISTA CAMINHAO</v>
          </cell>
          <cell r="D274" t="str">
            <v>ECOSAMPA Operação Geral</v>
          </cell>
        </row>
        <row r="275">
          <cell r="A275">
            <v>113558</v>
          </cell>
          <cell r="B275" t="str">
            <v>ANTONIO MARCOS MARQUES</v>
          </cell>
          <cell r="C275" t="str">
            <v>VARREDOR</v>
          </cell>
          <cell r="D275" t="str">
            <v>ECOSAMPA Santo Amaro</v>
          </cell>
        </row>
        <row r="276">
          <cell r="A276">
            <v>113561</v>
          </cell>
          <cell r="B276" t="str">
            <v>ANTONIO MARTINS DA SILVA</v>
          </cell>
          <cell r="C276" t="str">
            <v>VARREDOR</v>
          </cell>
          <cell r="D276" t="str">
            <v>ECOSAMPA Campo Limpo</v>
          </cell>
        </row>
        <row r="277">
          <cell r="A277">
            <v>113567</v>
          </cell>
          <cell r="B277" t="str">
            <v>ANTONIO MIGUEL DA SILVA FERREIRA</v>
          </cell>
          <cell r="C277" t="str">
            <v>AJUDANTE EQ SERVICOS DIVERSOS</v>
          </cell>
          <cell r="D277" t="str">
            <v>ECOSAMPA Santo Amaro</v>
          </cell>
        </row>
        <row r="278">
          <cell r="A278">
            <v>113652</v>
          </cell>
          <cell r="B278" t="str">
            <v>ANTONIO PEREIRA PRACA</v>
          </cell>
          <cell r="C278" t="str">
            <v>VARREDOR</v>
          </cell>
          <cell r="D278" t="str">
            <v>ECOSAMPA Campo Limpo</v>
          </cell>
        </row>
        <row r="279">
          <cell r="A279">
            <v>114213</v>
          </cell>
          <cell r="B279" t="str">
            <v>ANTONIO PERMEGIANI NETO</v>
          </cell>
          <cell r="C279" t="str">
            <v>MOTORISTA INSTRUTOR</v>
          </cell>
          <cell r="D279" t="str">
            <v>ECOSAMPA Operação Geral</v>
          </cell>
        </row>
        <row r="280">
          <cell r="A280">
            <v>116383</v>
          </cell>
          <cell r="B280" t="str">
            <v>ANTONIO PERMEGIANI NETO</v>
          </cell>
          <cell r="C280" t="str">
            <v>AJUDANTE EQ SERVICOS DIVERSOS</v>
          </cell>
          <cell r="D280" t="str">
            <v>ECOSAMPA Santo Amaro</v>
          </cell>
        </row>
        <row r="281">
          <cell r="A281">
            <v>113576</v>
          </cell>
          <cell r="B281" t="str">
            <v>ANTONIO ROBERTO BISCAIA</v>
          </cell>
          <cell r="C281" t="str">
            <v>VARREDOR</v>
          </cell>
          <cell r="D281" t="str">
            <v>ECOSAMPA Campo Limpo</v>
          </cell>
        </row>
        <row r="282">
          <cell r="A282">
            <v>113580</v>
          </cell>
          <cell r="B282" t="str">
            <v>ANTONIO ROBISON MARTINS DE SOUSA</v>
          </cell>
          <cell r="C282" t="str">
            <v>AJUDANTE EQ SERVICOS DIVERSOS</v>
          </cell>
          <cell r="D282" t="str">
            <v>ECOSAMPA Campo Limpo</v>
          </cell>
        </row>
        <row r="283">
          <cell r="A283">
            <v>114973</v>
          </cell>
          <cell r="B283" t="str">
            <v>ANTONIO RODRIGUES DA SILVA</v>
          </cell>
          <cell r="C283" t="str">
            <v>MOTORISTA DE CAMINHAO</v>
          </cell>
          <cell r="D283" t="str">
            <v>ECOSAMPA Operação Geral</v>
          </cell>
        </row>
        <row r="284">
          <cell r="A284">
            <v>116971</v>
          </cell>
          <cell r="B284" t="str">
            <v>ANTONIO SALES DA PAZ</v>
          </cell>
          <cell r="C284" t="str">
            <v>AJUDANTE EQ SERVICOS DIVERSOS</v>
          </cell>
          <cell r="D284" t="str">
            <v>ECOSAMPA Campo Limpo</v>
          </cell>
        </row>
        <row r="285">
          <cell r="A285">
            <v>113588</v>
          </cell>
          <cell r="B285" t="str">
            <v>ANTONIO TEIXEIRA VASCONCELOS</v>
          </cell>
          <cell r="C285" t="str">
            <v>VARREDOR</v>
          </cell>
          <cell r="D285" t="str">
            <v>ECOSAMPA Capela do Socorro</v>
          </cell>
        </row>
        <row r="286">
          <cell r="A286">
            <v>113610</v>
          </cell>
          <cell r="B286" t="str">
            <v>ANTONIO VIEIRA DA SILVA</v>
          </cell>
          <cell r="C286" t="str">
            <v>COLETOR</v>
          </cell>
          <cell r="D286" t="str">
            <v>ECOSAMPA Operação Geral</v>
          </cell>
        </row>
        <row r="287">
          <cell r="A287">
            <v>113613</v>
          </cell>
          <cell r="B287" t="str">
            <v>ANTONIO VILELA DA SILVA</v>
          </cell>
          <cell r="C287" t="str">
            <v>VARREDOR</v>
          </cell>
          <cell r="D287" t="str">
            <v>ECOSAMPA M'Boi Mirim</v>
          </cell>
        </row>
        <row r="288">
          <cell r="A288">
            <v>113625</v>
          </cell>
          <cell r="B288" t="str">
            <v>APARECIDA DE FATIMA RODRIGUES DE CASTRO</v>
          </cell>
          <cell r="C288" t="str">
            <v>AJUDANTE EQ SERVICOS DIVERSOS</v>
          </cell>
          <cell r="D288" t="str">
            <v>ECOSAMPA Santo Amaro</v>
          </cell>
        </row>
        <row r="289">
          <cell r="A289">
            <v>113631</v>
          </cell>
          <cell r="B289" t="str">
            <v>APARECIDO DA SILVA</v>
          </cell>
          <cell r="C289" t="str">
            <v>VARREDOR</v>
          </cell>
          <cell r="D289" t="str">
            <v>ECOSAMPA Campo Limpo</v>
          </cell>
        </row>
        <row r="290">
          <cell r="A290">
            <v>113660</v>
          </cell>
          <cell r="B290" t="str">
            <v>APARECIDO FRANCISCO DE SOUZA</v>
          </cell>
          <cell r="C290" t="str">
            <v>COLETOR</v>
          </cell>
          <cell r="D290" t="str">
            <v>ECOSAMPA Operação Geral</v>
          </cell>
        </row>
        <row r="291">
          <cell r="A291">
            <v>113666</v>
          </cell>
          <cell r="B291" t="str">
            <v>APARECIDO PEDRO DA SILVA</v>
          </cell>
          <cell r="C291" t="str">
            <v>ENCARREGADO DE MANUTENCAO OFICINA</v>
          </cell>
          <cell r="D291" t="str">
            <v>ECOSAMPA Operação Geral</v>
          </cell>
        </row>
        <row r="292">
          <cell r="A292">
            <v>113677</v>
          </cell>
          <cell r="B292" t="str">
            <v>ARIACILDO BARROS VIEIRA</v>
          </cell>
          <cell r="C292" t="str">
            <v>VARREDOR</v>
          </cell>
          <cell r="D292" t="str">
            <v>ECOSAMPA Campo Limpo</v>
          </cell>
        </row>
        <row r="293">
          <cell r="A293">
            <v>113703</v>
          </cell>
          <cell r="B293" t="str">
            <v>ARISTEU ALVES</v>
          </cell>
          <cell r="C293" t="str">
            <v>VARREDOR</v>
          </cell>
          <cell r="D293" t="str">
            <v>ECOSAMPA Parelheiros</v>
          </cell>
        </row>
        <row r="294">
          <cell r="A294">
            <v>113694</v>
          </cell>
          <cell r="B294" t="str">
            <v>ARISVALDO DE OLIVEIRA</v>
          </cell>
          <cell r="C294" t="str">
            <v>MOTORISTA CAMINHAO</v>
          </cell>
          <cell r="D294" t="str">
            <v>ECOSAMPA Operação Geral</v>
          </cell>
        </row>
        <row r="295">
          <cell r="A295">
            <v>113696</v>
          </cell>
          <cell r="B295" t="str">
            <v>ARISVALDO LARANJEIRA DA SILVA NASCIMENTO</v>
          </cell>
          <cell r="C295" t="str">
            <v>AJUDANTE EQ SERVICOS DIVERSOS</v>
          </cell>
          <cell r="D295" t="str">
            <v>ECOSAMPA M'Boi Mirim</v>
          </cell>
        </row>
        <row r="296">
          <cell r="A296">
            <v>113693</v>
          </cell>
          <cell r="B296" t="str">
            <v>ARIVALDO DIAS DE ANDRADE</v>
          </cell>
          <cell r="C296" t="str">
            <v>VARREDOR</v>
          </cell>
          <cell r="D296" t="str">
            <v>ECOSAMPA Santo Amaro</v>
          </cell>
        </row>
        <row r="297">
          <cell r="A297">
            <v>113686</v>
          </cell>
          <cell r="B297" t="str">
            <v>ARLETE CRISTINA DOS SANTOS AMORIM</v>
          </cell>
          <cell r="C297" t="str">
            <v>VARREDOR</v>
          </cell>
          <cell r="D297" t="str">
            <v>ECOSAMPA Parelheiros</v>
          </cell>
        </row>
        <row r="298">
          <cell r="A298">
            <v>113700</v>
          </cell>
          <cell r="B298" t="str">
            <v>ARLINDO RODRIGUES DOS SANTOS</v>
          </cell>
          <cell r="C298" t="str">
            <v>MOTORISTA CAMINHAO</v>
          </cell>
          <cell r="D298" t="str">
            <v>ECOSAMPA Operação Geral</v>
          </cell>
        </row>
        <row r="299">
          <cell r="A299">
            <v>113702</v>
          </cell>
          <cell r="B299" t="str">
            <v>ARMANDO ALVES DOS SANTOS</v>
          </cell>
          <cell r="C299" t="str">
            <v>MOTORISTA CAMINHAO</v>
          </cell>
          <cell r="D299" t="str">
            <v>ECOSAMPA Operação Geral</v>
          </cell>
        </row>
        <row r="300">
          <cell r="A300">
            <v>113681</v>
          </cell>
          <cell r="B300" t="str">
            <v>ARMANDO IZIDIO DOS SANTOS</v>
          </cell>
          <cell r="C300" t="str">
            <v>VARREDOR</v>
          </cell>
          <cell r="D300" t="str">
            <v>ECOSAMPA Santo Amaro</v>
          </cell>
        </row>
        <row r="301">
          <cell r="A301">
            <v>113698</v>
          </cell>
          <cell r="B301" t="str">
            <v>ARNALDO ALVES DE JESUS</v>
          </cell>
          <cell r="C301" t="str">
            <v>AJUDANTE EQ SERVICOS DIVERSOS</v>
          </cell>
          <cell r="D301" t="str">
            <v>ECOSAMPA Operação Geral</v>
          </cell>
        </row>
        <row r="302">
          <cell r="A302">
            <v>114523</v>
          </cell>
          <cell r="B302" t="str">
            <v>ARNALDO BATISTA DE SOUSA</v>
          </cell>
          <cell r="C302" t="str">
            <v>MOTORISTA CAMINHAO</v>
          </cell>
          <cell r="D302" t="str">
            <v>ECOSAMPA Operação Geral</v>
          </cell>
        </row>
        <row r="303">
          <cell r="A303">
            <v>113704</v>
          </cell>
          <cell r="B303" t="str">
            <v>ARNALDO DA SILVA</v>
          </cell>
          <cell r="C303" t="str">
            <v>VARREDOR</v>
          </cell>
          <cell r="D303" t="str">
            <v>ECOSAMPA Capela do Socorro</v>
          </cell>
        </row>
        <row r="304">
          <cell r="A304">
            <v>113690</v>
          </cell>
          <cell r="B304" t="str">
            <v>ARNALDO FREITAS DO NASCIMENTO</v>
          </cell>
          <cell r="C304" t="str">
            <v>VARREDOR</v>
          </cell>
          <cell r="D304" t="str">
            <v>ECOSAMPA Capela do Socorro</v>
          </cell>
        </row>
        <row r="305">
          <cell r="A305">
            <v>121849</v>
          </cell>
          <cell r="B305" t="str">
            <v>ARTHUR ROGERIO DA SILVA</v>
          </cell>
          <cell r="C305" t="str">
            <v>AJUDANTE EQ SERVICOS DIVERSOS</v>
          </cell>
          <cell r="D305" t="str">
            <v>ECOSAMPA Santo Amaro</v>
          </cell>
        </row>
        <row r="306">
          <cell r="A306">
            <v>113701</v>
          </cell>
          <cell r="B306" t="str">
            <v>ARTUR DE ARRUDA RODRIGUES</v>
          </cell>
          <cell r="C306" t="str">
            <v>FISCAL DE TURMA PLENO</v>
          </cell>
          <cell r="D306" t="str">
            <v>ECOSAMPA Operação Geral</v>
          </cell>
        </row>
        <row r="307">
          <cell r="A307">
            <v>121365</v>
          </cell>
          <cell r="B307" t="str">
            <v>ARUSKA DELGADO DOS SANTOS</v>
          </cell>
          <cell r="C307" t="str">
            <v>PENSIONISTAS</v>
          </cell>
          <cell r="D307" t="str">
            <v>ECOSAMPA Pensionistas</v>
          </cell>
        </row>
        <row r="308">
          <cell r="A308">
            <v>119754</v>
          </cell>
          <cell r="B308" t="str">
            <v>ARYANNE OLIVEIRA REIS</v>
          </cell>
          <cell r="C308" t="str">
            <v>MENOR/JOVEM APRENDIZ</v>
          </cell>
          <cell r="D308" t="str">
            <v>ECOSAMPA Administração</v>
          </cell>
        </row>
        <row r="309">
          <cell r="A309">
            <v>118056</v>
          </cell>
          <cell r="B309" t="str">
            <v>ATAIDE BERNARDO RODRIGUES</v>
          </cell>
          <cell r="C309" t="str">
            <v>AJUDANTE EQ SERVICOS DIVERSOS</v>
          </cell>
          <cell r="D309" t="str">
            <v>ECOSAMPA Santo Amaro</v>
          </cell>
        </row>
        <row r="310">
          <cell r="A310">
            <v>113685</v>
          </cell>
          <cell r="B310" t="str">
            <v>ATAIDE DOS SANTOS NASCIMENTO</v>
          </cell>
          <cell r="C310" t="str">
            <v>AJUDANTE EQ SERVICOS DIVERSOS</v>
          </cell>
          <cell r="D310" t="str">
            <v>ECOSAMPA M'Boi Mirim</v>
          </cell>
        </row>
        <row r="311">
          <cell r="A311">
            <v>113691</v>
          </cell>
          <cell r="B311" t="str">
            <v>ATENILTON ROSA ANDRADE</v>
          </cell>
          <cell r="C311" t="str">
            <v>MOTORISTA CAMINHAO</v>
          </cell>
          <cell r="D311" t="str">
            <v>ECOSAMPA Operação Geral</v>
          </cell>
        </row>
        <row r="312">
          <cell r="A312">
            <v>122829</v>
          </cell>
          <cell r="B312" t="str">
            <v>AUGUSTO DOS SANTOS FRANCISCO</v>
          </cell>
          <cell r="C312" t="str">
            <v>AJUDANTE EQ SERVICOS DIVERSOS</v>
          </cell>
          <cell r="D312" t="str">
            <v>ECOSAMPA Santo Amaro</v>
          </cell>
        </row>
        <row r="313">
          <cell r="A313">
            <v>114912</v>
          </cell>
          <cell r="B313" t="str">
            <v>AUGUSTO SERGIO CANELLAS DA SILVA FILHO</v>
          </cell>
          <cell r="C313" t="str">
            <v>AJUDANTE EQ SERVICOS DIVERSOS</v>
          </cell>
          <cell r="D313" t="str">
            <v>ECOSAMPA Operação Geral</v>
          </cell>
        </row>
        <row r="314">
          <cell r="A314">
            <v>113682</v>
          </cell>
          <cell r="B314" t="str">
            <v>AURELIANO MATIAS MARTINS</v>
          </cell>
          <cell r="C314" t="str">
            <v>AJUDANTE EQ SERVICOS DIVERSOS</v>
          </cell>
          <cell r="D314" t="str">
            <v>ECOSAMPA Operação Geral</v>
          </cell>
        </row>
        <row r="315">
          <cell r="A315">
            <v>113678</v>
          </cell>
          <cell r="B315" t="str">
            <v>AURELINO DE ALMEIDA SANTOS</v>
          </cell>
          <cell r="C315" t="str">
            <v>AJUDANTE EQ SERVICOS DIVERSOS</v>
          </cell>
          <cell r="D315" t="str">
            <v>ECOSAMPA Santo Amaro</v>
          </cell>
        </row>
        <row r="316">
          <cell r="A316">
            <v>113673</v>
          </cell>
          <cell r="B316" t="str">
            <v>BALBINO CAVALCANTE NETO</v>
          </cell>
          <cell r="C316" t="str">
            <v>AJUDANTE EQ SERVICOS DIVERSOS</v>
          </cell>
          <cell r="D316" t="str">
            <v>ECOSAMPA Capela do Socorro</v>
          </cell>
        </row>
        <row r="317">
          <cell r="A317">
            <v>113930</v>
          </cell>
          <cell r="B317" t="str">
            <v>BARBARA BAUSCHERT</v>
          </cell>
          <cell r="C317" t="str">
            <v>ANALISTA JURIDICO</v>
          </cell>
          <cell r="D317" t="str">
            <v>ECOSAMPA Administração</v>
          </cell>
        </row>
        <row r="318">
          <cell r="A318">
            <v>113692</v>
          </cell>
          <cell r="B318" t="str">
            <v>BARTOLOMEU SEBASTIAO FELICIANO</v>
          </cell>
          <cell r="C318" t="str">
            <v>MOTORISTA DE CAMINHAO</v>
          </cell>
          <cell r="D318" t="str">
            <v>ECOSAMPA Operação Geral</v>
          </cell>
        </row>
        <row r="319">
          <cell r="A319">
            <v>118804</v>
          </cell>
          <cell r="B319" t="str">
            <v>BEATRIZ ESTEVES</v>
          </cell>
          <cell r="C319" t="str">
            <v>AUXILIAR ADMINISTRATIVO</v>
          </cell>
          <cell r="D319" t="str">
            <v>ECOSAMPA Operação Geral</v>
          </cell>
        </row>
        <row r="320">
          <cell r="A320">
            <v>116240</v>
          </cell>
          <cell r="B320" t="str">
            <v>BEATRIZ FELIPINI SILVA</v>
          </cell>
          <cell r="C320" t="str">
            <v>AGENTE AMBIENTAL</v>
          </cell>
          <cell r="D320" t="str">
            <v>ECOSAMPA Operação Geral</v>
          </cell>
        </row>
        <row r="321">
          <cell r="A321">
            <v>113683</v>
          </cell>
          <cell r="B321" t="str">
            <v>BENEDITO AMORIM DA SILVA</v>
          </cell>
          <cell r="C321" t="str">
            <v>VARREDOR</v>
          </cell>
          <cell r="D321" t="str">
            <v>ECOSAMPA Santo Amaro</v>
          </cell>
        </row>
        <row r="322">
          <cell r="A322">
            <v>113695</v>
          </cell>
          <cell r="B322" t="str">
            <v>BENEDITO BRANDINO DE MORAES</v>
          </cell>
          <cell r="C322" t="str">
            <v>VARREDOR</v>
          </cell>
          <cell r="D322" t="str">
            <v>ECOSAMPA Santo Amaro</v>
          </cell>
        </row>
        <row r="323">
          <cell r="A323">
            <v>113585</v>
          </cell>
          <cell r="B323" t="str">
            <v>BENEDITO SOARES DA SILVA</v>
          </cell>
          <cell r="C323" t="str">
            <v>VARREDOR</v>
          </cell>
          <cell r="D323" t="str">
            <v>ECOSAMPA M'Boi Mirim</v>
          </cell>
        </row>
        <row r="324">
          <cell r="A324">
            <v>116972</v>
          </cell>
          <cell r="B324" t="str">
            <v>BIANCA ALMEIDA BIAGIONI</v>
          </cell>
          <cell r="C324" t="str">
            <v>AJUDANTE EQ SERVICOS DIVERSOS</v>
          </cell>
          <cell r="D324" t="str">
            <v>ECOSAMPA Santo Amaro</v>
          </cell>
        </row>
        <row r="325">
          <cell r="A325">
            <v>113763</v>
          </cell>
          <cell r="B325" t="str">
            <v>BILLY JOE ZAKARIAN</v>
          </cell>
          <cell r="C325" t="str">
            <v>ENCARREGADO DE TRAFEGO II</v>
          </cell>
          <cell r="D325" t="str">
            <v>ECOSAMPA Operação Geral</v>
          </cell>
        </row>
        <row r="326">
          <cell r="A326">
            <v>114690</v>
          </cell>
          <cell r="B326" t="str">
            <v>BISMARC SAMPAIO DE SOUSA</v>
          </cell>
          <cell r="C326" t="str">
            <v>AJUDANTE EQ SERVICOS DIVERSOS</v>
          </cell>
          <cell r="D326" t="str">
            <v>ECOSAMPA Capela do Socorro</v>
          </cell>
        </row>
        <row r="327">
          <cell r="A327">
            <v>119123</v>
          </cell>
          <cell r="B327" t="str">
            <v>BRENDON MESQUITA DINIZ DE OLIVEIRA</v>
          </cell>
          <cell r="C327" t="str">
            <v>AJUDANTE EQ SERVICOS DIVERSOS</v>
          </cell>
          <cell r="D327" t="str">
            <v>ECOSAMPA Campo Limpo</v>
          </cell>
        </row>
        <row r="328">
          <cell r="A328">
            <v>117288</v>
          </cell>
          <cell r="B328" t="str">
            <v>BRUNA ALVES DE PAIVA NOGUEIRA</v>
          </cell>
          <cell r="C328" t="str">
            <v>PENSIONISTAS</v>
          </cell>
          <cell r="D328" t="str">
            <v>ECOSAMPA Pensionistas</v>
          </cell>
        </row>
        <row r="329">
          <cell r="A329">
            <v>121059</v>
          </cell>
          <cell r="B329" t="str">
            <v>BRUNA JANAINA INACIO</v>
          </cell>
          <cell r="C329" t="str">
            <v>PENSIONISTAS</v>
          </cell>
          <cell r="D329" t="str">
            <v>ECOSAMPA Pensionistas</v>
          </cell>
        </row>
        <row r="330">
          <cell r="A330">
            <v>113578</v>
          </cell>
          <cell r="B330" t="str">
            <v>BRUNA LETICIA IOSI</v>
          </cell>
          <cell r="C330" t="str">
            <v>VARREDOR</v>
          </cell>
          <cell r="D330" t="str">
            <v>ECOSAMPA M'Boi Mirim</v>
          </cell>
        </row>
        <row r="331">
          <cell r="A331">
            <v>122028</v>
          </cell>
          <cell r="B331" t="str">
            <v>BRUNNA FARIAS SANT ANA</v>
          </cell>
          <cell r="C331" t="str">
            <v>AGENTE AMBIENTAL</v>
          </cell>
          <cell r="D331" t="str">
            <v>ECOSAMPA Operação Geral</v>
          </cell>
        </row>
        <row r="332">
          <cell r="A332">
            <v>114032</v>
          </cell>
          <cell r="B332" t="str">
            <v>BRUNO ALVES DE MORAES</v>
          </cell>
          <cell r="C332" t="str">
            <v>AUXILIAR DE CHECK LIST</v>
          </cell>
          <cell r="D332" t="str">
            <v>ECOSAMPA Operação Geral</v>
          </cell>
        </row>
        <row r="333">
          <cell r="A333">
            <v>117238</v>
          </cell>
          <cell r="B333" t="str">
            <v>BRUNO ANDRADE DA COSTA</v>
          </cell>
          <cell r="C333" t="str">
            <v>AJUDANTE EQ SERVICOS DIVERSOS</v>
          </cell>
          <cell r="D333" t="str">
            <v>ECOSAMPA Operação Geral</v>
          </cell>
        </row>
        <row r="334">
          <cell r="A334">
            <v>121320</v>
          </cell>
          <cell r="B334" t="str">
            <v>BRUNO BEZERRA DOS SANTOS</v>
          </cell>
          <cell r="C334" t="str">
            <v>VARREDOR</v>
          </cell>
          <cell r="D334" t="str">
            <v>ECOSAMPA Campo Limpo</v>
          </cell>
        </row>
        <row r="335">
          <cell r="A335">
            <v>122830</v>
          </cell>
          <cell r="B335" t="str">
            <v>BRUNO DE JESUS SANTOS QUEIROZ</v>
          </cell>
          <cell r="C335" t="str">
            <v>AJUDANTE EQ SERVICOS DIVERSOS</v>
          </cell>
          <cell r="D335" t="str">
            <v>ECOSAMPA Parelheiros</v>
          </cell>
        </row>
        <row r="336">
          <cell r="A336">
            <v>121537</v>
          </cell>
          <cell r="B336" t="str">
            <v>BRUNO DE OLIVEIRA CAMPOS</v>
          </cell>
          <cell r="C336" t="str">
            <v>AJUDANTE EQ SERVICOS DIVERSOS</v>
          </cell>
          <cell r="D336" t="str">
            <v>ECOSAMPA Operação Geral</v>
          </cell>
        </row>
        <row r="337">
          <cell r="A337">
            <v>114266</v>
          </cell>
          <cell r="B337" t="str">
            <v>BRUNO DOS SANTOS SILVA</v>
          </cell>
          <cell r="C337" t="str">
            <v>VARREDOR</v>
          </cell>
          <cell r="D337" t="str">
            <v>ECOSAMPA Santo Amaro</v>
          </cell>
        </row>
        <row r="338">
          <cell r="A338">
            <v>113571</v>
          </cell>
          <cell r="B338" t="str">
            <v>BRUNO FELIX CARDOSO</v>
          </cell>
          <cell r="C338" t="str">
            <v>COLETOR</v>
          </cell>
          <cell r="D338" t="str">
            <v>ECOSAMPA Operação Geral</v>
          </cell>
        </row>
        <row r="339">
          <cell r="A339">
            <v>113568</v>
          </cell>
          <cell r="B339" t="str">
            <v>BRUNO FERNANDES DA SILVA</v>
          </cell>
          <cell r="C339" t="str">
            <v>MOTORISTA CAMINHAO</v>
          </cell>
          <cell r="D339" t="str">
            <v>ECOSAMPA Operação Geral</v>
          </cell>
        </row>
        <row r="340">
          <cell r="A340">
            <v>113563</v>
          </cell>
          <cell r="B340" t="str">
            <v>BRUNO FERREIRA</v>
          </cell>
          <cell r="C340" t="str">
            <v>AJUDANTE EQ SERVICOS DIVERSOS</v>
          </cell>
          <cell r="D340" t="str">
            <v>ECOSAMPA Campo Limpo</v>
          </cell>
        </row>
        <row r="341">
          <cell r="A341">
            <v>121857</v>
          </cell>
          <cell r="B341" t="str">
            <v>BRUNO HENRIQUE DE SOUZA E SILVA</v>
          </cell>
          <cell r="C341" t="str">
            <v>AJUDANTE EQ SERVICOS DIVERSOS</v>
          </cell>
          <cell r="D341" t="str">
            <v>ECOSAMPA Santo Amaro</v>
          </cell>
        </row>
        <row r="342">
          <cell r="A342">
            <v>113560</v>
          </cell>
          <cell r="B342" t="str">
            <v>BRUNO LOPES DA SILVA</v>
          </cell>
          <cell r="C342" t="str">
            <v>AJUDANTE EQ SERVICOS DIVERSOS</v>
          </cell>
          <cell r="D342" t="str">
            <v>ECOSAMPA Campo Limpo</v>
          </cell>
        </row>
        <row r="343">
          <cell r="A343">
            <v>114970</v>
          </cell>
          <cell r="B343" t="str">
            <v>BRUNO MALAQUIAS DA SILVA</v>
          </cell>
          <cell r="C343" t="str">
            <v>AJUDANTE EQ SERVICOS DIVERSOS</v>
          </cell>
          <cell r="D343" t="str">
            <v>ECOSAMPA Operação Geral</v>
          </cell>
        </row>
        <row r="344">
          <cell r="A344">
            <v>113550</v>
          </cell>
          <cell r="B344" t="str">
            <v>BRUNO PIZOLI DE MORAIS</v>
          </cell>
          <cell r="C344" t="str">
            <v>AJUDANTE EQ SERVICOS DIVERSOS</v>
          </cell>
          <cell r="D344" t="str">
            <v>ECOSAMPA Campo Limpo</v>
          </cell>
        </row>
        <row r="345">
          <cell r="A345">
            <v>114984</v>
          </cell>
          <cell r="B345" t="str">
            <v>BRUNO RODRIGUES DA SILVA</v>
          </cell>
          <cell r="C345" t="str">
            <v>AJUDANTE EQ SERVICOS DIVERSOS</v>
          </cell>
          <cell r="D345" t="str">
            <v>ECOSAMPA Operação Geral</v>
          </cell>
        </row>
        <row r="346">
          <cell r="A346">
            <v>113546</v>
          </cell>
          <cell r="B346" t="str">
            <v>BRUNO SANTANA DE SA</v>
          </cell>
          <cell r="C346" t="str">
            <v>COLETOR</v>
          </cell>
          <cell r="D346" t="str">
            <v>ECOSAMPA Operação Geral</v>
          </cell>
        </row>
        <row r="347">
          <cell r="A347">
            <v>113545</v>
          </cell>
          <cell r="B347" t="str">
            <v>BRUNO SANTOS PINA</v>
          </cell>
          <cell r="C347" t="str">
            <v>VARREDOR</v>
          </cell>
          <cell r="D347" t="str">
            <v>ECOSAMPA Capela do Socorro</v>
          </cell>
        </row>
        <row r="348">
          <cell r="A348">
            <v>113542</v>
          </cell>
          <cell r="B348" t="str">
            <v>CAIO CALADO DE ARAUJO</v>
          </cell>
          <cell r="C348" t="str">
            <v>AJUDANTE EQ SERVICOS DIVERSOS</v>
          </cell>
          <cell r="D348" t="str">
            <v>ECOSAMPA Santo Amaro</v>
          </cell>
        </row>
        <row r="349">
          <cell r="A349">
            <v>121947</v>
          </cell>
          <cell r="B349" t="str">
            <v>CAIO GONCALVES DOS SANTOS</v>
          </cell>
          <cell r="C349" t="str">
            <v>MENOR/JOVEM APRENDIZ</v>
          </cell>
          <cell r="D349" t="str">
            <v>ECOSAMPA Administração</v>
          </cell>
        </row>
        <row r="350">
          <cell r="A350">
            <v>113540</v>
          </cell>
          <cell r="B350" t="str">
            <v>CAIO PINHEIRO DE SOUSA</v>
          </cell>
          <cell r="C350" t="str">
            <v>MOTORISTA CAMINHAO</v>
          </cell>
          <cell r="D350" t="str">
            <v>ECOSAMPA Operação Geral</v>
          </cell>
        </row>
        <row r="351">
          <cell r="A351">
            <v>120356</v>
          </cell>
          <cell r="B351" t="str">
            <v>CAIO WENDELL ASSIS ROCHA SANTOS</v>
          </cell>
          <cell r="C351" t="str">
            <v>AJUDANTE EQ SERVICOS DIVERSOS</v>
          </cell>
          <cell r="D351" t="str">
            <v>ECOSAMPA Parelheiros</v>
          </cell>
        </row>
        <row r="352">
          <cell r="A352">
            <v>113534</v>
          </cell>
          <cell r="B352" t="str">
            <v>CAIQUE APARECIDO RODRIGUES DE SOUZA ALVES</v>
          </cell>
          <cell r="C352" t="str">
            <v>AJUDANTE EQ SERVICOS DIVERSOS</v>
          </cell>
          <cell r="D352" t="str">
            <v>ECOSAMPA Capela do Socorro</v>
          </cell>
        </row>
        <row r="353">
          <cell r="A353">
            <v>116328</v>
          </cell>
          <cell r="B353" t="str">
            <v>CAIQUE MARTINS DE JESUS</v>
          </cell>
          <cell r="C353" t="str">
            <v>AJUDANTE EQ SERVICOS DIVERSOS</v>
          </cell>
          <cell r="D353" t="str">
            <v>ECOSAMPA Capela do Socorro</v>
          </cell>
        </row>
        <row r="354">
          <cell r="A354">
            <v>122410</v>
          </cell>
          <cell r="B354" t="str">
            <v>CAIQUE RIBEIRO SILVA VALADARES</v>
          </cell>
          <cell r="C354" t="str">
            <v>AJUDANTE EQ SERVICOS DIVERSOS</v>
          </cell>
          <cell r="D354" t="str">
            <v>ECOSAMPA Operação Geral</v>
          </cell>
        </row>
        <row r="355">
          <cell r="A355">
            <v>116842</v>
          </cell>
          <cell r="B355" t="str">
            <v>CAMILA ALVES DOS SANTOS</v>
          </cell>
          <cell r="C355" t="str">
            <v>Nenhum</v>
          </cell>
          <cell r="D355" t="str">
            <v>ECOSAMPA Pensionistas</v>
          </cell>
        </row>
        <row r="356">
          <cell r="A356">
            <v>117056</v>
          </cell>
          <cell r="B356" t="str">
            <v>CARINE FRANCA SANTOS</v>
          </cell>
          <cell r="C356" t="str">
            <v>PENSIONISTAS</v>
          </cell>
          <cell r="D356" t="str">
            <v>ECOSAMPA Pensionistas</v>
          </cell>
        </row>
        <row r="357">
          <cell r="A357">
            <v>116754</v>
          </cell>
          <cell r="B357" t="str">
            <v>CARLA AZEVEDO DA SILVA SANTANA LEITE</v>
          </cell>
          <cell r="C357" t="str">
            <v>PENSIONISTAS</v>
          </cell>
          <cell r="D357" t="str">
            <v>ECOSAMPA Pensionistas</v>
          </cell>
        </row>
        <row r="358">
          <cell r="A358">
            <v>113740</v>
          </cell>
          <cell r="B358" t="str">
            <v>CARLA JANAINY BATISTA OLIVEIRA</v>
          </cell>
          <cell r="C358" t="str">
            <v>COORDENADOR DE RH/DHO</v>
          </cell>
          <cell r="D358" t="str">
            <v>ECOSAMPA Administração</v>
          </cell>
        </row>
        <row r="359">
          <cell r="A359">
            <v>121459</v>
          </cell>
          <cell r="B359" t="str">
            <v>CARLEONICE DO CARMO SOUZA</v>
          </cell>
          <cell r="C359" t="str">
            <v>AJUDANTE EQ SERVICOS DIVERSOS</v>
          </cell>
          <cell r="D359" t="str">
            <v>ECOSAMPA Operação Geral</v>
          </cell>
        </row>
        <row r="360">
          <cell r="A360">
            <v>121848</v>
          </cell>
          <cell r="B360" t="str">
            <v>CARLINDO DA SILVA BARROS</v>
          </cell>
          <cell r="C360" t="str">
            <v>AJUDANTE EQ SERVICOS DIVERSOS</v>
          </cell>
          <cell r="D360" t="str">
            <v>ECOSAMPA Capela do Socorro</v>
          </cell>
        </row>
        <row r="361">
          <cell r="A361">
            <v>112169</v>
          </cell>
          <cell r="B361" t="str">
            <v>CARLIONEI HOLANDA DE SOUSA</v>
          </cell>
          <cell r="C361" t="str">
            <v>VARREDOR</v>
          </cell>
          <cell r="D361" t="str">
            <v>ECOSAMPA Santo Amaro</v>
          </cell>
        </row>
        <row r="362">
          <cell r="A362">
            <v>112170</v>
          </cell>
          <cell r="B362" t="str">
            <v>CARLITO PASTOR DA SILVA</v>
          </cell>
          <cell r="C362" t="str">
            <v>VARREDOR</v>
          </cell>
          <cell r="D362" t="str">
            <v>ECOSAMPA Santo Amaro</v>
          </cell>
        </row>
        <row r="363">
          <cell r="A363">
            <v>114549</v>
          </cell>
          <cell r="B363" t="str">
            <v>CARLOS ALBERTO ALVES</v>
          </cell>
          <cell r="C363" t="str">
            <v>VARREDOR</v>
          </cell>
          <cell r="D363" t="str">
            <v>ECOSAMPA Santo Amaro</v>
          </cell>
        </row>
        <row r="364">
          <cell r="A364">
            <v>116026</v>
          </cell>
          <cell r="B364" t="str">
            <v>CARLOS ALBERTO BISPO DA CRUZ</v>
          </cell>
          <cell r="C364" t="str">
            <v>AJUDANTE EQ SERVICOS DIVERSOS</v>
          </cell>
          <cell r="D364" t="str">
            <v>ECOSAMPA Santo Amaro</v>
          </cell>
        </row>
        <row r="365">
          <cell r="A365">
            <v>112177</v>
          </cell>
          <cell r="B365" t="str">
            <v>CARLOS ALBERTO QUEIROZ DE OLIVEIRA</v>
          </cell>
          <cell r="C365" t="str">
            <v>MOTORISTA CAMINHAO</v>
          </cell>
          <cell r="D365" t="str">
            <v>ECOSAMPA Operação Geral</v>
          </cell>
        </row>
        <row r="366">
          <cell r="A366">
            <v>112179</v>
          </cell>
          <cell r="B366" t="str">
            <v>CARLOS ALBERTO TEIXEIRA RAMOS</v>
          </cell>
          <cell r="C366" t="str">
            <v>AJUDANTE EQ SERVICOS DIVERSOS</v>
          </cell>
          <cell r="D366" t="str">
            <v>ECOSAMPA Campo Limpo</v>
          </cell>
        </row>
        <row r="367">
          <cell r="A367">
            <v>115413</v>
          </cell>
          <cell r="B367" t="str">
            <v>CARLOS ALBERTO VIEIRA</v>
          </cell>
          <cell r="C367" t="str">
            <v>AJUDANTE EQ SERVICOS DIVERSOS</v>
          </cell>
          <cell r="D367" t="str">
            <v>ECOSAMPA M'Boi Mirim</v>
          </cell>
        </row>
        <row r="368">
          <cell r="A368">
            <v>112181</v>
          </cell>
          <cell r="B368" t="str">
            <v>CARLOS ALENCAR OLIVEIRA SOUZA</v>
          </cell>
          <cell r="C368" t="str">
            <v>AJUDANTE EQ SERVICOS DIVERSOS</v>
          </cell>
          <cell r="D368" t="str">
            <v>ECOSAMPA Capela do Socorro</v>
          </cell>
        </row>
        <row r="369">
          <cell r="A369">
            <v>115381</v>
          </cell>
          <cell r="B369" t="str">
            <v>CARLOS ANDRE DA COSTA</v>
          </cell>
          <cell r="C369" t="str">
            <v>AJUDANTE EQ SERVICOS DIVERSOS</v>
          </cell>
          <cell r="D369" t="str">
            <v>ECOSAMPA Capela do Socorro</v>
          </cell>
        </row>
        <row r="370">
          <cell r="A370">
            <v>112182</v>
          </cell>
          <cell r="B370" t="str">
            <v>CARLOS ANDRE MARCIANO</v>
          </cell>
          <cell r="C370" t="str">
            <v>MOTORISTA CAMINHAO</v>
          </cell>
          <cell r="D370" t="str">
            <v>ECOSAMPA Operação Geral</v>
          </cell>
        </row>
        <row r="371">
          <cell r="A371">
            <v>116008</v>
          </cell>
          <cell r="B371" t="str">
            <v>CARLOS APARIZ BARBOSA</v>
          </cell>
          <cell r="C371" t="str">
            <v>AJUDANTE EQ SERVICOS DIVERSOS</v>
          </cell>
          <cell r="D371" t="str">
            <v>ECOSAMPA Santo Amaro</v>
          </cell>
        </row>
        <row r="372">
          <cell r="A372">
            <v>114274</v>
          </cell>
          <cell r="B372" t="str">
            <v>CARLOS CARDOSO DIAS DA SILVA</v>
          </cell>
          <cell r="C372" t="str">
            <v>AJUDANTE EQ SERVICOS DIVERSOS</v>
          </cell>
          <cell r="D372" t="str">
            <v>ECOSAMPA Santo Amaro</v>
          </cell>
        </row>
        <row r="373">
          <cell r="A373">
            <v>112183</v>
          </cell>
          <cell r="B373" t="str">
            <v>CARLOS DE OLIVEIRA BORGES</v>
          </cell>
          <cell r="C373" t="str">
            <v>AJUDANTE EQ SERVICOS DIVERSOS</v>
          </cell>
          <cell r="D373" t="str">
            <v>ECOSAMPA Campo Limpo</v>
          </cell>
        </row>
        <row r="374">
          <cell r="A374">
            <v>112184</v>
          </cell>
          <cell r="B374" t="str">
            <v>CARLOS DOS SANTOS</v>
          </cell>
          <cell r="C374" t="str">
            <v>VARREDOR</v>
          </cell>
          <cell r="D374" t="str">
            <v>ECOSAMPA M'Boi Mirim</v>
          </cell>
        </row>
        <row r="375">
          <cell r="A375">
            <v>121436</v>
          </cell>
          <cell r="B375" t="str">
            <v>CARLOS EDUARDO DA SILVA</v>
          </cell>
          <cell r="C375" t="str">
            <v>AJUDANTE EQ SERVICOS DIVERSOS</v>
          </cell>
          <cell r="D375" t="str">
            <v>ECOSAMPA Operação Geral</v>
          </cell>
        </row>
        <row r="376">
          <cell r="A376">
            <v>118650</v>
          </cell>
          <cell r="B376" t="str">
            <v>CARLOS EDUARDO DE SOUZA</v>
          </cell>
          <cell r="C376" t="str">
            <v>AJUDANTE EQ SERVICOS DIVERSOS</v>
          </cell>
          <cell r="D376" t="str">
            <v>ECOSAMPA Operação Geral</v>
          </cell>
        </row>
        <row r="377">
          <cell r="A377">
            <v>114253</v>
          </cell>
          <cell r="B377" t="str">
            <v>CARLOS EDUARDO DOS REIS</v>
          </cell>
          <cell r="C377" t="str">
            <v>AJUDANTE EQ SERVICOS DIVERSOS</v>
          </cell>
          <cell r="D377" t="str">
            <v>ECOSAMPA Santo Amaro</v>
          </cell>
        </row>
        <row r="378">
          <cell r="A378">
            <v>114691</v>
          </cell>
          <cell r="B378" t="str">
            <v>CARLOS EDUARDO MACHADO SANTOS</v>
          </cell>
          <cell r="C378" t="str">
            <v>AJUDANTE EQ SERVICOS DIVERSOS</v>
          </cell>
          <cell r="D378" t="str">
            <v>ECOSAMPA Santo Amaro</v>
          </cell>
        </row>
        <row r="379">
          <cell r="A379">
            <v>112185</v>
          </cell>
          <cell r="B379" t="str">
            <v>CARLOS GUILHERME SILVA</v>
          </cell>
          <cell r="C379" t="str">
            <v>AJUDANTE EQ SERVICOS DIVERSOS</v>
          </cell>
          <cell r="D379" t="str">
            <v>ECOSAMPA Santo Amaro</v>
          </cell>
        </row>
        <row r="380">
          <cell r="A380">
            <v>112186</v>
          </cell>
          <cell r="B380" t="str">
            <v>CARLOS HENRIQUE BASTOS DE OLIVEIRA</v>
          </cell>
          <cell r="C380" t="str">
            <v>AJUDANTE EQ SERVICOS DIVERSOS</v>
          </cell>
          <cell r="D380" t="str">
            <v>ECOSAMPA Operação Geral</v>
          </cell>
        </row>
        <row r="381">
          <cell r="A381">
            <v>112187</v>
          </cell>
          <cell r="B381" t="str">
            <v>CARLOS HENRIQUE TEIXEIRA DE JESUS</v>
          </cell>
          <cell r="C381" t="str">
            <v>COLETOR</v>
          </cell>
          <cell r="D381" t="str">
            <v>ECOSAMPA Operação Geral</v>
          </cell>
        </row>
        <row r="382">
          <cell r="A382">
            <v>121674</v>
          </cell>
          <cell r="B382" t="str">
            <v>CARLOS LUIS LIMA MATOS</v>
          </cell>
          <cell r="C382" t="str">
            <v>AJUDANTE EQ SERVICOS DIVERSOS</v>
          </cell>
          <cell r="D382" t="str">
            <v>ECOSAMPA Operação Geral</v>
          </cell>
        </row>
        <row r="383">
          <cell r="A383">
            <v>114504</v>
          </cell>
          <cell r="B383" t="str">
            <v>CARLOS RICARDO RAMOS DOS SANTOS</v>
          </cell>
          <cell r="C383" t="str">
            <v>VARREDOR</v>
          </cell>
          <cell r="D383" t="str">
            <v>ECOSAMPA Santo Amaro</v>
          </cell>
        </row>
        <row r="384">
          <cell r="A384">
            <v>112318</v>
          </cell>
          <cell r="B384" t="str">
            <v>CARLOS ROBERTO BARBOSA SALES</v>
          </cell>
          <cell r="C384" t="str">
            <v>VARREDOR</v>
          </cell>
          <cell r="D384" t="str">
            <v>ECOSAMPA Capela do Socorro</v>
          </cell>
        </row>
        <row r="385">
          <cell r="A385">
            <v>112324</v>
          </cell>
          <cell r="B385" t="str">
            <v>CARLOS ROBERTO DA SILVA</v>
          </cell>
          <cell r="C385" t="str">
            <v>VARREDOR</v>
          </cell>
          <cell r="D385" t="str">
            <v>ECOSAMPA Santo Amaro</v>
          </cell>
        </row>
        <row r="386">
          <cell r="A386">
            <v>112327</v>
          </cell>
          <cell r="B386" t="str">
            <v>CARLOS ROBERTO DA SILVA JESUS</v>
          </cell>
          <cell r="C386" t="str">
            <v>AJUDANTE EQ SERVICOS DIVERSOS</v>
          </cell>
          <cell r="D386" t="str">
            <v>ECOSAMPA M'Boi Mirim</v>
          </cell>
        </row>
        <row r="387">
          <cell r="A387">
            <v>112334</v>
          </cell>
          <cell r="B387" t="str">
            <v>CARLOS ROBERTO ROCHA DA SILVA</v>
          </cell>
          <cell r="C387" t="str">
            <v>VARREDOR</v>
          </cell>
          <cell r="D387" t="str">
            <v>ECOSAMPA M'Boi Mirim</v>
          </cell>
        </row>
        <row r="388">
          <cell r="A388">
            <v>121520</v>
          </cell>
          <cell r="B388" t="str">
            <v>CARLOS ROBERTO SILVERIO</v>
          </cell>
          <cell r="C388" t="str">
            <v>AJUDANTE EQ SERVICOS DIVERSOS</v>
          </cell>
          <cell r="D388" t="str">
            <v>ECOSAMPA Operação Geral</v>
          </cell>
        </row>
        <row r="389">
          <cell r="A389">
            <v>112340</v>
          </cell>
          <cell r="B389" t="str">
            <v>CARLOS ROGER DE SOUZA JESUS</v>
          </cell>
          <cell r="C389" t="str">
            <v>FISCAL DE TURMA PLENO</v>
          </cell>
          <cell r="D389" t="str">
            <v>ECOSAMPA Santo Amaro</v>
          </cell>
        </row>
        <row r="390">
          <cell r="A390">
            <v>112348</v>
          </cell>
          <cell r="B390" t="str">
            <v>CARLOS SIMON SELIS DE OLIVEIRA</v>
          </cell>
          <cell r="C390" t="str">
            <v>VARREDOR</v>
          </cell>
          <cell r="D390" t="str">
            <v>ECOSAMPA Capela do Socorro</v>
          </cell>
        </row>
        <row r="391">
          <cell r="A391">
            <v>112438</v>
          </cell>
          <cell r="B391" t="str">
            <v>CARLOS SOUZA CAMPOS</v>
          </cell>
          <cell r="C391" t="str">
            <v>COLETOR</v>
          </cell>
          <cell r="D391" t="str">
            <v>ECOSAMPA Operação Geral</v>
          </cell>
        </row>
        <row r="392">
          <cell r="A392">
            <v>122343</v>
          </cell>
          <cell r="B392" t="str">
            <v>CARLOS WENDELL DE SOUSA AMORIM</v>
          </cell>
          <cell r="C392" t="str">
            <v>VARREDOR</v>
          </cell>
          <cell r="D392" t="str">
            <v>ECOSAMPA Capela do Socorro</v>
          </cell>
        </row>
        <row r="393">
          <cell r="A393">
            <v>119196</v>
          </cell>
          <cell r="B393" t="str">
            <v>CAROLINE DA CRUZ INACIO</v>
          </cell>
          <cell r="C393" t="str">
            <v>PENSIONISTAS</v>
          </cell>
          <cell r="D393" t="str">
            <v>ECOSAMPA Pensionistas</v>
          </cell>
        </row>
        <row r="394">
          <cell r="A394">
            <v>112443</v>
          </cell>
          <cell r="B394" t="str">
            <v>CASSIA GOMES DA SILVA</v>
          </cell>
          <cell r="C394" t="str">
            <v>AJUDANTE EQ SERVICOS DIVERSOS</v>
          </cell>
          <cell r="D394" t="str">
            <v>ECOSAMPA M'Boi Mirim</v>
          </cell>
        </row>
        <row r="395">
          <cell r="A395">
            <v>117246</v>
          </cell>
          <cell r="B395" t="str">
            <v>CASSIO JONAS DA SILVA FERREIRA</v>
          </cell>
          <cell r="C395" t="str">
            <v>AJUDANTE EQ SERVICOS DIVERSOS</v>
          </cell>
          <cell r="D395" t="str">
            <v>ECOSAMPA Operação Geral</v>
          </cell>
        </row>
        <row r="396">
          <cell r="A396">
            <v>116025</v>
          </cell>
          <cell r="B396" t="str">
            <v>CASSIO ROGERIO DA SILVA</v>
          </cell>
          <cell r="C396" t="str">
            <v>AJUDANTE EQ SERVICOS DIVERSOS</v>
          </cell>
          <cell r="D396" t="str">
            <v>ECOSAMPA Campo Limpo</v>
          </cell>
        </row>
        <row r="397">
          <cell r="A397">
            <v>112455</v>
          </cell>
          <cell r="B397" t="str">
            <v>CECILIO JOSE DO NASCIMENTO</v>
          </cell>
          <cell r="C397" t="str">
            <v>COLETOR</v>
          </cell>
          <cell r="D397" t="str">
            <v>ECOSAMPA Operação Geral</v>
          </cell>
        </row>
        <row r="398">
          <cell r="A398">
            <v>112490</v>
          </cell>
          <cell r="B398" t="str">
            <v>CELSO APARECIDO AVELINO</v>
          </cell>
          <cell r="C398" t="str">
            <v>COLETOR</v>
          </cell>
          <cell r="D398" t="str">
            <v>ECOSAMPA Operação Geral</v>
          </cell>
        </row>
        <row r="399">
          <cell r="A399">
            <v>112502</v>
          </cell>
          <cell r="B399" t="str">
            <v>CELSO RICARDO DE JESUS</v>
          </cell>
          <cell r="C399" t="str">
            <v>MOTORISTA CAMINHAO</v>
          </cell>
          <cell r="D399" t="str">
            <v>ECOSAMPA Operação Geral</v>
          </cell>
        </row>
        <row r="400">
          <cell r="A400">
            <v>112519</v>
          </cell>
          <cell r="B400" t="str">
            <v>CELSO VIEIRA SOUZA</v>
          </cell>
          <cell r="C400" t="str">
            <v>COLETOR</v>
          </cell>
          <cell r="D400" t="str">
            <v>ECOSAMPA Operação Geral</v>
          </cell>
        </row>
        <row r="401">
          <cell r="A401">
            <v>112521</v>
          </cell>
          <cell r="B401" t="str">
            <v>CELSON DUARTE</v>
          </cell>
          <cell r="C401" t="str">
            <v>VARREDOR</v>
          </cell>
          <cell r="D401" t="str">
            <v>ECOSAMPA Capela do Socorro</v>
          </cell>
        </row>
        <row r="402">
          <cell r="A402">
            <v>122824</v>
          </cell>
          <cell r="B402" t="str">
            <v>CESAR FRANCISCO ALVES LIMA</v>
          </cell>
          <cell r="C402" t="str">
            <v>AJUDANTE EQ SERVICOS DIVERSOS</v>
          </cell>
          <cell r="D402" t="str">
            <v>ECOSAMPA Santo Amaro</v>
          </cell>
        </row>
        <row r="403">
          <cell r="A403">
            <v>114553</v>
          </cell>
          <cell r="B403" t="str">
            <v>CESAR SOUZA SAKAGUCHI</v>
          </cell>
          <cell r="C403" t="str">
            <v>AJUDANTE EQ SERVICOS DIVERSOS</v>
          </cell>
          <cell r="D403" t="str">
            <v>ECOSAMPA Capela do Socorro</v>
          </cell>
        </row>
        <row r="404">
          <cell r="A404">
            <v>113305</v>
          </cell>
          <cell r="B404" t="str">
            <v>CHARLES DEIVIDSON DE CARVALHO</v>
          </cell>
          <cell r="C404" t="str">
            <v>VARREDOR</v>
          </cell>
          <cell r="D404" t="str">
            <v>ECOSAMPA Santo Amaro</v>
          </cell>
        </row>
        <row r="405">
          <cell r="A405">
            <v>112525</v>
          </cell>
          <cell r="B405" t="str">
            <v>CHARLES MOREIRA DOS SANTOS</v>
          </cell>
          <cell r="C405" t="str">
            <v>MOTORISTA CAMINHAO</v>
          </cell>
          <cell r="D405" t="str">
            <v>ECOSAMPA Operação Geral</v>
          </cell>
        </row>
        <row r="406">
          <cell r="A406">
            <v>112527</v>
          </cell>
          <cell r="B406" t="str">
            <v>CHRISTIAN ALVES SIQUEIRA DE OLIVEIRA</v>
          </cell>
          <cell r="C406" t="str">
            <v>MOTORISTA CAMINHAO</v>
          </cell>
          <cell r="D406" t="str">
            <v>ECOSAMPA Operação Geral</v>
          </cell>
        </row>
        <row r="407">
          <cell r="A407">
            <v>112528</v>
          </cell>
          <cell r="B407" t="str">
            <v>CICERA SIMONE RODRIGUES</v>
          </cell>
          <cell r="C407" t="str">
            <v>VARREDOR</v>
          </cell>
          <cell r="D407" t="str">
            <v>ECOSAMPA Campo Limpo</v>
          </cell>
        </row>
        <row r="408">
          <cell r="A408">
            <v>112530</v>
          </cell>
          <cell r="B408" t="str">
            <v>CICERO ALVES DE MARIO</v>
          </cell>
          <cell r="C408" t="str">
            <v>MOTORISTA CAMINHAO</v>
          </cell>
          <cell r="D408" t="str">
            <v>ECOSAMPA Operação Geral</v>
          </cell>
        </row>
        <row r="409">
          <cell r="A409">
            <v>112532</v>
          </cell>
          <cell r="B409" t="str">
            <v>CICERO ANTONIO FAUSTINO</v>
          </cell>
          <cell r="C409" t="str">
            <v>VARREDOR</v>
          </cell>
          <cell r="D409" t="str">
            <v>ECOSAMPA Campo Limpo</v>
          </cell>
        </row>
        <row r="410">
          <cell r="A410">
            <v>112533</v>
          </cell>
          <cell r="B410" t="str">
            <v>CICERO APARECIDO DOS SANTOS</v>
          </cell>
          <cell r="C410" t="str">
            <v>VARREDOR</v>
          </cell>
          <cell r="D410" t="str">
            <v>ECOSAMPA Santo Amaro</v>
          </cell>
        </row>
        <row r="411">
          <cell r="A411">
            <v>112535</v>
          </cell>
          <cell r="B411" t="str">
            <v>CICERO BENEDITO DA SILVA</v>
          </cell>
          <cell r="C411" t="str">
            <v>VARREDOR</v>
          </cell>
          <cell r="D411" t="str">
            <v>ECOSAMPA Capela do Socorro</v>
          </cell>
        </row>
        <row r="412">
          <cell r="A412">
            <v>114974</v>
          </cell>
          <cell r="B412" t="str">
            <v>CICERO DA CONCEICAO ALVES</v>
          </cell>
          <cell r="C412" t="str">
            <v>MOTORISTA DE CAMINHAO</v>
          </cell>
          <cell r="D412" t="str">
            <v>ECOSAMPA Operação Geral</v>
          </cell>
        </row>
        <row r="413">
          <cell r="A413">
            <v>121431</v>
          </cell>
          <cell r="B413" t="str">
            <v>CICERO DA SILVA ARAUJO</v>
          </cell>
          <cell r="C413" t="str">
            <v>AJUDANTE EQ SERVICOS DIVERSOS</v>
          </cell>
          <cell r="D413" t="str">
            <v>ECOSAMPA Operação Geral</v>
          </cell>
        </row>
        <row r="414">
          <cell r="A414">
            <v>112538</v>
          </cell>
          <cell r="B414" t="str">
            <v>CICERO DA SILVA COSTA</v>
          </cell>
          <cell r="C414" t="str">
            <v>VARREDOR</v>
          </cell>
          <cell r="D414" t="str">
            <v>ECOSAMPA Campo Limpo</v>
          </cell>
        </row>
        <row r="415">
          <cell r="A415">
            <v>114537</v>
          </cell>
          <cell r="B415" t="str">
            <v>CICERO DIAS FERREIRA</v>
          </cell>
          <cell r="C415" t="str">
            <v>AJUDANTE EQ SERVICOS DIVERSOS</v>
          </cell>
          <cell r="D415" t="str">
            <v>ECOSAMPA Capela do Socorro</v>
          </cell>
        </row>
        <row r="416">
          <cell r="A416">
            <v>115218</v>
          </cell>
          <cell r="B416" t="str">
            <v>CICERO FERREIRA DA SILVA</v>
          </cell>
          <cell r="C416" t="str">
            <v>AJUDANTE EQ SERVICOS DIVERSOS</v>
          </cell>
          <cell r="D416" t="str">
            <v>ECOSAMPA M'Boi Mirim</v>
          </cell>
        </row>
        <row r="417">
          <cell r="A417">
            <v>112544</v>
          </cell>
          <cell r="B417" t="str">
            <v>CICERO JOSE DA SILVA</v>
          </cell>
          <cell r="C417" t="str">
            <v>VARREDOR</v>
          </cell>
          <cell r="D417" t="str">
            <v>ECOSAMPA Santo Amaro</v>
          </cell>
        </row>
        <row r="418">
          <cell r="A418">
            <v>112548</v>
          </cell>
          <cell r="B418" t="str">
            <v>CICERO LUIZ DA SILVA</v>
          </cell>
          <cell r="C418" t="str">
            <v>BUEIRISTA</v>
          </cell>
          <cell r="D418" t="str">
            <v>ECOSAMPA Parelheiros</v>
          </cell>
        </row>
        <row r="419">
          <cell r="A419">
            <v>112550</v>
          </cell>
          <cell r="B419" t="str">
            <v>CICERO NIVALDO DA SILVA</v>
          </cell>
          <cell r="C419" t="str">
            <v>LUBRIFICADOR</v>
          </cell>
          <cell r="D419" t="str">
            <v>ECOSAMPA Operação Geral</v>
          </cell>
        </row>
        <row r="420">
          <cell r="A420">
            <v>116072</v>
          </cell>
          <cell r="B420" t="str">
            <v>CICERO SILVA FRANCO</v>
          </cell>
          <cell r="C420" t="str">
            <v>TECNICO EM SEGURANCA DO TRABALHO JUNIOR</v>
          </cell>
          <cell r="D420" t="str">
            <v>ECOSAMPA Operação Geral</v>
          </cell>
        </row>
        <row r="421">
          <cell r="A421">
            <v>112551</v>
          </cell>
          <cell r="B421" t="str">
            <v>CICERO VIEIRA</v>
          </cell>
          <cell r="C421" t="str">
            <v>BUEIRISTA</v>
          </cell>
          <cell r="D421" t="str">
            <v>ECOSAMPA M'Boi Mirim</v>
          </cell>
        </row>
        <row r="422">
          <cell r="A422">
            <v>115211</v>
          </cell>
          <cell r="B422" t="str">
            <v>CLAUDECIR FRANCISCO DANTE</v>
          </cell>
          <cell r="C422" t="str">
            <v>AJUDANTE EQ SERVICOS DIVERSOS</v>
          </cell>
          <cell r="D422" t="str">
            <v>ECOSAMPA Capela do Socorro</v>
          </cell>
        </row>
        <row r="423">
          <cell r="A423">
            <v>115415</v>
          </cell>
          <cell r="B423" t="str">
            <v>CLAUDEMIR APARECIDO DE FREITAS</v>
          </cell>
          <cell r="C423" t="str">
            <v>AJUDANTE EQ SERVICOS DIVERSOS</v>
          </cell>
          <cell r="D423" t="str">
            <v>ECOSAMPA Santo Amaro</v>
          </cell>
        </row>
        <row r="424">
          <cell r="A424">
            <v>112553</v>
          </cell>
          <cell r="B424" t="str">
            <v>CLAUDEMIR DE ANDRADE FELICIANO</v>
          </cell>
          <cell r="C424" t="str">
            <v>VARREDOR</v>
          </cell>
          <cell r="D424" t="str">
            <v>ECOSAMPA Capela do Socorro</v>
          </cell>
        </row>
        <row r="425">
          <cell r="A425">
            <v>117243</v>
          </cell>
          <cell r="B425" t="str">
            <v>CLAUDEMIR LEITE FERREIRA</v>
          </cell>
          <cell r="C425" t="str">
            <v>AJUDANTE EQ SERVICOS DIVERSOS</v>
          </cell>
          <cell r="D425" t="str">
            <v>ECOSAMPA Operação Geral</v>
          </cell>
        </row>
        <row r="426">
          <cell r="A426">
            <v>112555</v>
          </cell>
          <cell r="B426" t="str">
            <v>CLAUDEMIRO PRATA DE ALMEIDA</v>
          </cell>
          <cell r="C426" t="str">
            <v>VARREDOR</v>
          </cell>
          <cell r="D426" t="str">
            <v>ECOSAMPA Capela do Socorro</v>
          </cell>
        </row>
        <row r="427">
          <cell r="A427">
            <v>122576</v>
          </cell>
          <cell r="B427" t="str">
            <v>CLAUDIA APARECIDA SANTOS RAIMUNDO</v>
          </cell>
          <cell r="C427" t="str">
            <v>PENSIONISTAS</v>
          </cell>
          <cell r="D427" t="str">
            <v>ECOSAMPA Pensionistas</v>
          </cell>
        </row>
        <row r="428">
          <cell r="A428">
            <v>121776</v>
          </cell>
          <cell r="B428" t="str">
            <v>CLAUDIA RAMOS DOS REIS</v>
          </cell>
          <cell r="C428" t="str">
            <v>PENSIONISTAS</v>
          </cell>
          <cell r="D428" t="str">
            <v>ECOSAMPA Pensionistas</v>
          </cell>
        </row>
        <row r="429">
          <cell r="A429">
            <v>120185</v>
          </cell>
          <cell r="B429" t="str">
            <v>CLAUDINEI MACIEL DOS SANTOS</v>
          </cell>
          <cell r="C429" t="str">
            <v>AJUDANTE EQ SERVICOS DIVERSOS</v>
          </cell>
          <cell r="D429" t="str">
            <v>ECOSAMPA Operação Geral</v>
          </cell>
        </row>
        <row r="430">
          <cell r="A430">
            <v>112557</v>
          </cell>
          <cell r="B430" t="str">
            <v>CLAUDINEI MENDES DA SILVA</v>
          </cell>
          <cell r="C430" t="str">
            <v>COLETOR</v>
          </cell>
          <cell r="D430" t="str">
            <v>ECOSAMPA Operação Geral</v>
          </cell>
        </row>
        <row r="431">
          <cell r="A431">
            <v>112559</v>
          </cell>
          <cell r="B431" t="str">
            <v>CLAUDINEI OLIVEIRA E SILVA</v>
          </cell>
          <cell r="C431" t="str">
            <v>VARREDOR</v>
          </cell>
          <cell r="D431" t="str">
            <v>ECOSAMPA Santo Amaro</v>
          </cell>
        </row>
        <row r="432">
          <cell r="A432">
            <v>112561</v>
          </cell>
          <cell r="B432" t="str">
            <v>CLAUDIO DA SILVA ALVINO</v>
          </cell>
          <cell r="C432" t="str">
            <v>VARREDOR</v>
          </cell>
          <cell r="D432" t="str">
            <v>ECOSAMPA Campo Limpo</v>
          </cell>
        </row>
        <row r="433">
          <cell r="A433">
            <v>116731</v>
          </cell>
          <cell r="B433" t="str">
            <v>CLAUDIO DA SILVA GOMES</v>
          </cell>
          <cell r="C433" t="str">
            <v>MOTORISTA CAMINHAO</v>
          </cell>
          <cell r="D433" t="str">
            <v>ECOSAMPA Operação Geral</v>
          </cell>
        </row>
        <row r="434">
          <cell r="A434">
            <v>115401</v>
          </cell>
          <cell r="B434" t="str">
            <v>CLAUDIO DE JESUS MONTEIRO</v>
          </cell>
          <cell r="C434" t="str">
            <v>AJUDANTE EQ SERVICOS DIVERSOS</v>
          </cell>
          <cell r="D434" t="str">
            <v>ECOSAMPA Santo Amaro</v>
          </cell>
        </row>
        <row r="435">
          <cell r="A435">
            <v>112563</v>
          </cell>
          <cell r="B435" t="str">
            <v>CLAUDIO DE SOUZA</v>
          </cell>
          <cell r="C435" t="str">
            <v>VARREDOR</v>
          </cell>
          <cell r="D435" t="str">
            <v>ECOSAMPA Santo Amaro</v>
          </cell>
        </row>
        <row r="436">
          <cell r="A436">
            <v>119109</v>
          </cell>
          <cell r="B436" t="str">
            <v>CLAUDIO DIAS FERREIRA</v>
          </cell>
          <cell r="C436" t="str">
            <v>AJUDANTE EQ SERVICOS DIVERSOS</v>
          </cell>
          <cell r="D436" t="str">
            <v>ECOSAMPA Operação Geral</v>
          </cell>
        </row>
        <row r="437">
          <cell r="A437">
            <v>116315</v>
          </cell>
          <cell r="B437" t="str">
            <v>CLAUDIO HENRIQUE RUFINO RODRIGUES</v>
          </cell>
          <cell r="C437" t="str">
            <v>AJUDANTE EQ SERVICOS DIVERSOS</v>
          </cell>
          <cell r="D437" t="str">
            <v>ECOSAMPA Parelheiros</v>
          </cell>
        </row>
        <row r="438">
          <cell r="A438">
            <v>114550</v>
          </cell>
          <cell r="B438" t="str">
            <v>CLAUDIO LINO DOS SANTOS</v>
          </cell>
          <cell r="C438" t="str">
            <v>AJUDANTE EQ SERVICOS DIVERSOS</v>
          </cell>
          <cell r="D438" t="str">
            <v>ECOSAMPA Operação Geral</v>
          </cell>
        </row>
        <row r="439">
          <cell r="A439">
            <v>112565</v>
          </cell>
          <cell r="B439" t="str">
            <v>CLAUDIO MACIEL DA SILVA</v>
          </cell>
          <cell r="C439" t="str">
            <v>AJUDANTE EQ SERVICOS DIVERSOS</v>
          </cell>
          <cell r="D439" t="str">
            <v>ECOSAMPA Campo Limpo</v>
          </cell>
        </row>
        <row r="440">
          <cell r="A440">
            <v>112568</v>
          </cell>
          <cell r="B440" t="str">
            <v>CLAUDIO MOREIRA DA SILVA</v>
          </cell>
          <cell r="C440" t="str">
            <v>MOTORISTA CAMINHAO</v>
          </cell>
          <cell r="D440" t="str">
            <v>ECOSAMPA Operação Geral</v>
          </cell>
        </row>
        <row r="441">
          <cell r="A441">
            <v>112571</v>
          </cell>
          <cell r="B441" t="str">
            <v>CLAUDIO RODRIGUES</v>
          </cell>
          <cell r="C441" t="str">
            <v>VARREDOR</v>
          </cell>
          <cell r="D441" t="str">
            <v>ECOSAMPA Campo Limpo</v>
          </cell>
        </row>
        <row r="442">
          <cell r="A442">
            <v>114348</v>
          </cell>
          <cell r="B442" t="str">
            <v>CLAUDIO SILVA DE OLIVEIRA</v>
          </cell>
          <cell r="C442" t="str">
            <v>AJUDANTE EQ SERVICOS DIVERSOS</v>
          </cell>
          <cell r="D442" t="str">
            <v>ECOSAMPA Santo Amaro</v>
          </cell>
        </row>
        <row r="443">
          <cell r="A443">
            <v>115406</v>
          </cell>
          <cell r="B443" t="str">
            <v>CLAUDIONOR PROCOPIO DE OLIVEIRA</v>
          </cell>
          <cell r="C443" t="str">
            <v>AJUDANTE EQ SERVICOS DIVERSOS</v>
          </cell>
          <cell r="D443" t="str">
            <v>ECOSAMPA Santo Amaro</v>
          </cell>
        </row>
        <row r="444">
          <cell r="A444">
            <v>112576</v>
          </cell>
          <cell r="B444" t="str">
            <v>CLAYTON FERREIRA DE MELO</v>
          </cell>
          <cell r="C444" t="str">
            <v>VARREDOR</v>
          </cell>
          <cell r="D444" t="str">
            <v>ECOSAMPA Capela do Socorro</v>
          </cell>
        </row>
        <row r="445">
          <cell r="A445">
            <v>114694</v>
          </cell>
          <cell r="B445" t="str">
            <v>CLAYTON GOMES DA SILVA</v>
          </cell>
          <cell r="C445" t="str">
            <v>AJUDANTE EQ SERVICOS DIVERSOS</v>
          </cell>
          <cell r="D445" t="str">
            <v>ECOSAMPA M'Boi Mirim</v>
          </cell>
        </row>
        <row r="446">
          <cell r="A446">
            <v>112581</v>
          </cell>
          <cell r="B446" t="str">
            <v>CLAYVES CRISTIANO DE JESUS</v>
          </cell>
          <cell r="C446" t="str">
            <v>AJUDANTE EQ SERVICOS DIVERSOS</v>
          </cell>
          <cell r="D446" t="str">
            <v>ECOSAMPA Operação Geral</v>
          </cell>
        </row>
        <row r="447">
          <cell r="A447">
            <v>112587</v>
          </cell>
          <cell r="B447" t="str">
            <v>CLEBER GONCALVES DOS SANTOS</v>
          </cell>
          <cell r="C447" t="str">
            <v>VARREDOR</v>
          </cell>
          <cell r="D447" t="str">
            <v>ECOSAMPA Santo Amaro</v>
          </cell>
        </row>
        <row r="448">
          <cell r="A448">
            <v>114805</v>
          </cell>
          <cell r="B448" t="str">
            <v>CLEBIO SOUZA SANTOS</v>
          </cell>
          <cell r="C448" t="str">
            <v>MOTORISTA CAMINHAO</v>
          </cell>
          <cell r="D448" t="str">
            <v>ECOSAMPA Operação Geral</v>
          </cell>
        </row>
        <row r="449">
          <cell r="A449">
            <v>114526</v>
          </cell>
          <cell r="B449" t="str">
            <v>CLEBSMAR ROCHA DE ALMEIDA</v>
          </cell>
          <cell r="C449" t="str">
            <v>MOTORISTA CAMINHAO</v>
          </cell>
          <cell r="D449" t="str">
            <v>ECOSAMPA Operação Geral</v>
          </cell>
        </row>
        <row r="450">
          <cell r="A450">
            <v>112591</v>
          </cell>
          <cell r="B450" t="str">
            <v>CLEBSON FRANCA SANTOS MOURA</v>
          </cell>
          <cell r="C450" t="str">
            <v>VARREDOR</v>
          </cell>
          <cell r="D450" t="str">
            <v>ECOSAMPA Parelheiros</v>
          </cell>
        </row>
        <row r="451">
          <cell r="A451">
            <v>121524</v>
          </cell>
          <cell r="B451" t="str">
            <v>CLEDSON DE JESUS MARQUES</v>
          </cell>
          <cell r="C451" t="str">
            <v>AJUDANTE EQ SERVICOS DIVERSOS</v>
          </cell>
          <cell r="D451" t="str">
            <v>ECOSAMPA Operação Geral</v>
          </cell>
        </row>
        <row r="452">
          <cell r="A452">
            <v>121328</v>
          </cell>
          <cell r="B452" t="str">
            <v>CLEITON APARECIDO MIGUEL</v>
          </cell>
          <cell r="C452" t="str">
            <v>AJUDANTE EQ SERVICOS DIVERSOS</v>
          </cell>
          <cell r="D452" t="str">
            <v>ECOSAMPA Capela do Socorro</v>
          </cell>
        </row>
        <row r="453">
          <cell r="A453">
            <v>114507</v>
          </cell>
          <cell r="B453" t="str">
            <v>CLEITON PESSOA DA SILVA</v>
          </cell>
          <cell r="C453" t="str">
            <v>AJUDANTE EQ SERVICOS DIVERSOS</v>
          </cell>
          <cell r="D453" t="str">
            <v>ECOSAMPA M'Boi Mirim</v>
          </cell>
        </row>
        <row r="454">
          <cell r="A454">
            <v>116005</v>
          </cell>
          <cell r="B454" t="str">
            <v>CLEITON SOTERO AVELINO</v>
          </cell>
          <cell r="C454" t="str">
            <v>VARREDOR</v>
          </cell>
          <cell r="D454" t="str">
            <v>ECOSAMPA Campo Limpo</v>
          </cell>
        </row>
        <row r="455">
          <cell r="A455">
            <v>112594</v>
          </cell>
          <cell r="B455" t="str">
            <v>CLELIO ANDRADE ARAUJO</v>
          </cell>
          <cell r="C455" t="str">
            <v>VARREDOR</v>
          </cell>
          <cell r="D455" t="str">
            <v>ECOSAMPA Parelheiros</v>
          </cell>
        </row>
        <row r="456">
          <cell r="A456">
            <v>114693</v>
          </cell>
          <cell r="B456" t="str">
            <v>CLENILSON REIS SANTOS</v>
          </cell>
          <cell r="C456" t="str">
            <v>AJUDANTE EQ SERVICOS DIVERSOS</v>
          </cell>
          <cell r="D456" t="str">
            <v>ECOSAMPA Santo Amaro</v>
          </cell>
        </row>
        <row r="457">
          <cell r="A457">
            <v>112601</v>
          </cell>
          <cell r="B457" t="str">
            <v>CLERIO TRINDADE DE SOUSA</v>
          </cell>
          <cell r="C457" t="str">
            <v>MOTORISTA CAMINHAO</v>
          </cell>
          <cell r="D457" t="str">
            <v>ECOSAMPA Operação Geral</v>
          </cell>
        </row>
        <row r="458">
          <cell r="A458">
            <v>112610</v>
          </cell>
          <cell r="B458" t="str">
            <v>CLERISTON BELAU DOS SANTOS CRUZ</v>
          </cell>
          <cell r="C458" t="str">
            <v>AJUDANTE EQ SERVICOS DIVERSOS</v>
          </cell>
          <cell r="D458" t="str">
            <v>ECOSAMPA M'Boi Mirim</v>
          </cell>
        </row>
        <row r="459">
          <cell r="A459">
            <v>112613</v>
          </cell>
          <cell r="B459" t="str">
            <v>CLEYTON DIAS MACHADO</v>
          </cell>
          <cell r="C459" t="str">
            <v>AJUDANTE EQ SERVICOS DIVERSOS</v>
          </cell>
          <cell r="D459" t="str">
            <v>ECOSAMPA Capela do Socorro</v>
          </cell>
        </row>
        <row r="460">
          <cell r="A460">
            <v>112620</v>
          </cell>
          <cell r="B460" t="str">
            <v>CLOVES TAVARES DIAS</v>
          </cell>
          <cell r="C460" t="str">
            <v>AJUDANTE EQ SERVICOS DIVERSOS</v>
          </cell>
          <cell r="D460" t="str">
            <v>ECOSAMPA Campo Limpo</v>
          </cell>
        </row>
        <row r="461">
          <cell r="A461">
            <v>112634</v>
          </cell>
          <cell r="B461" t="str">
            <v>COSMA LIBERATO DE OLIVEIRA</v>
          </cell>
          <cell r="C461" t="str">
            <v>VARREDOR</v>
          </cell>
          <cell r="D461" t="str">
            <v>ECOSAMPA Santo Amaro</v>
          </cell>
        </row>
        <row r="462">
          <cell r="A462">
            <v>116712</v>
          </cell>
          <cell r="B462" t="str">
            <v>COSME COSTA FERREIRA DA SILVA</v>
          </cell>
          <cell r="C462" t="str">
            <v>AJUDANTE EQ SERVICOS DIVERSOS</v>
          </cell>
          <cell r="D462" t="str">
            <v>ECOSAMPA Campo Limpo</v>
          </cell>
        </row>
        <row r="463">
          <cell r="A463">
            <v>116973</v>
          </cell>
          <cell r="B463" t="str">
            <v>COSME COSTA PEREIRA DOS SANTOS</v>
          </cell>
          <cell r="C463" t="str">
            <v>AJUDANTE EQ SERVICOS DIVERSOS</v>
          </cell>
          <cell r="D463" t="str">
            <v>ECOSAMPA Santo Amaro</v>
          </cell>
        </row>
        <row r="464">
          <cell r="A464">
            <v>112797</v>
          </cell>
          <cell r="B464" t="str">
            <v>COSME GALDINO DA SILVA</v>
          </cell>
          <cell r="C464" t="str">
            <v>VARREDOR</v>
          </cell>
          <cell r="D464" t="str">
            <v>ECOSAMPA Santo Amaro</v>
          </cell>
        </row>
        <row r="465">
          <cell r="A465">
            <v>121521</v>
          </cell>
          <cell r="B465" t="str">
            <v>COSME OLIVEIRA SANTOS</v>
          </cell>
          <cell r="C465" t="str">
            <v>AJUDANTE EQ SERVICOS DIVERSOS</v>
          </cell>
          <cell r="D465" t="str">
            <v>ECOSAMPA Operação Geral</v>
          </cell>
        </row>
        <row r="466">
          <cell r="A466">
            <v>112851</v>
          </cell>
          <cell r="B466" t="str">
            <v>COSMO DOMINGOS DE SOUSA</v>
          </cell>
          <cell r="C466" t="str">
            <v>AJUDANTE EQ SERVICOS DIVERSOS</v>
          </cell>
          <cell r="D466" t="str">
            <v>ECOSAMPA Capela do Socorro</v>
          </cell>
        </row>
        <row r="467">
          <cell r="A467">
            <v>112855</v>
          </cell>
          <cell r="B467" t="str">
            <v>COSMO FERNANDES PEREIRA</v>
          </cell>
          <cell r="C467" t="str">
            <v>AJUDANTE EQ SERVICOS DIVERSOS</v>
          </cell>
          <cell r="D467" t="str">
            <v>ECOSAMPA Santo Amaro</v>
          </cell>
        </row>
        <row r="468">
          <cell r="A468">
            <v>112860</v>
          </cell>
          <cell r="B468" t="str">
            <v>COSMO JOSE DE OLIVEIRA</v>
          </cell>
          <cell r="C468" t="str">
            <v>AJUDANTE EQ SERVICOS DIVERSOS</v>
          </cell>
          <cell r="D468" t="str">
            <v>ECOSAMPA Operação Geral</v>
          </cell>
        </row>
        <row r="469">
          <cell r="A469">
            <v>114113</v>
          </cell>
          <cell r="B469" t="str">
            <v>CRISTIANA PAPAIANI DE CARVALHO</v>
          </cell>
          <cell r="C469" t="str">
            <v>AJUDANTE EQ SERVICOS DIVERSOS</v>
          </cell>
          <cell r="D469" t="str">
            <v>ECOSAMPA Santo Amaro</v>
          </cell>
        </row>
        <row r="470">
          <cell r="A470">
            <v>112865</v>
          </cell>
          <cell r="B470" t="str">
            <v>CRISTIANE BARBOSA DA SILVA</v>
          </cell>
          <cell r="C470" t="str">
            <v>VARREDOR</v>
          </cell>
          <cell r="D470" t="str">
            <v>ECOSAMPA M'Boi Mirim</v>
          </cell>
        </row>
        <row r="471">
          <cell r="A471">
            <v>112868</v>
          </cell>
          <cell r="B471" t="str">
            <v>CRISTIANO APARECIDO DA CRUZ</v>
          </cell>
          <cell r="C471" t="str">
            <v>AJUDANTE EQ SERVICOS DIVERSOS</v>
          </cell>
          <cell r="D471" t="str">
            <v>ECOSAMPA M'Boi Mirim</v>
          </cell>
        </row>
        <row r="472">
          <cell r="A472">
            <v>113769</v>
          </cell>
          <cell r="B472" t="str">
            <v>CRISTIANO APARECIDO VIEIRA LUZ</v>
          </cell>
          <cell r="C472" t="str">
            <v>ASSISTENTE DE ALMOXARIFADO</v>
          </cell>
          <cell r="D472" t="str">
            <v>ECOSAMPA Operação Geral</v>
          </cell>
        </row>
        <row r="473">
          <cell r="A473">
            <v>114988</v>
          </cell>
          <cell r="B473" t="str">
            <v>CRISTIANO BASTOS DE OLIVEIRA</v>
          </cell>
          <cell r="C473" t="str">
            <v>MOTORISTA DE CAMINHAO</v>
          </cell>
          <cell r="D473" t="str">
            <v>ECOSAMPA Operação Geral</v>
          </cell>
        </row>
        <row r="474">
          <cell r="A474">
            <v>122367</v>
          </cell>
          <cell r="B474" t="str">
            <v>CRISTIANO BUENO DE CAMARGO</v>
          </cell>
          <cell r="C474" t="str">
            <v>PENSIONISTAS</v>
          </cell>
          <cell r="D474" t="str">
            <v>ECOSAMPA Pensionistas</v>
          </cell>
        </row>
        <row r="475">
          <cell r="A475">
            <v>112875</v>
          </cell>
          <cell r="B475" t="str">
            <v>CRISTIANO DA SILVA GOMES</v>
          </cell>
          <cell r="C475" t="str">
            <v>MOTORISTA CAMINHAO</v>
          </cell>
          <cell r="D475" t="str">
            <v>ECOSAMPA Operação Geral</v>
          </cell>
        </row>
        <row r="476">
          <cell r="A476">
            <v>113766</v>
          </cell>
          <cell r="B476" t="str">
            <v>CRISTIANO DA SILVA OLIVEIRA</v>
          </cell>
          <cell r="C476" t="str">
            <v>TECNICO EM SEGURANCA DO TRABALHO PLENO</v>
          </cell>
          <cell r="D476" t="str">
            <v>ECOSAMPA Operação Geral</v>
          </cell>
        </row>
        <row r="477">
          <cell r="A477">
            <v>112883</v>
          </cell>
          <cell r="B477" t="str">
            <v>CRISTIANO SENA SILVA</v>
          </cell>
          <cell r="C477" t="str">
            <v>AJUDANTE EQ SERVICOS DIVERSOS</v>
          </cell>
          <cell r="D477" t="str">
            <v>ECOSAMPA Santo Amaro</v>
          </cell>
        </row>
        <row r="478">
          <cell r="A478">
            <v>112891</v>
          </cell>
          <cell r="B478" t="str">
            <v>CRISTIANO SILVA BEZERRA</v>
          </cell>
          <cell r="C478" t="str">
            <v>VARREDOR</v>
          </cell>
          <cell r="D478" t="str">
            <v>ECOSAMPA M'Boi Mirim</v>
          </cell>
        </row>
        <row r="479">
          <cell r="A479">
            <v>112900</v>
          </cell>
          <cell r="B479" t="str">
            <v>CRISTIANO TEIXEIRA DA SILVA</v>
          </cell>
          <cell r="C479" t="str">
            <v>AJUDANTE EQ SERVICOS DIVERSOS</v>
          </cell>
          <cell r="D479" t="str">
            <v>ECOSAMPA Campo Limpo</v>
          </cell>
        </row>
        <row r="480">
          <cell r="A480">
            <v>112910</v>
          </cell>
          <cell r="B480" t="str">
            <v>CRISTINA PEREIRA DA CRUZ</v>
          </cell>
          <cell r="C480" t="str">
            <v>AJUDANTE EQ SERVICOS DIVERSOS</v>
          </cell>
          <cell r="D480" t="str">
            <v>ECOSAMPA Campo Limpo</v>
          </cell>
        </row>
        <row r="481">
          <cell r="A481">
            <v>112916</v>
          </cell>
          <cell r="B481" t="str">
            <v>CRISTOVAO DE SOUSA</v>
          </cell>
          <cell r="C481" t="str">
            <v>VARREDOR</v>
          </cell>
          <cell r="D481" t="str">
            <v>ECOSAMPA M'Boi Mirim</v>
          </cell>
        </row>
        <row r="482">
          <cell r="A482">
            <v>112919</v>
          </cell>
          <cell r="B482" t="str">
            <v>CUSTODIO DOS SANTOS FLORENCO</v>
          </cell>
          <cell r="C482" t="str">
            <v>VARREDOR</v>
          </cell>
          <cell r="D482" t="str">
            <v>ECOSAMPA Santo Amaro</v>
          </cell>
        </row>
        <row r="483">
          <cell r="A483">
            <v>113844</v>
          </cell>
          <cell r="B483" t="str">
            <v>DAISY GONCALVES DE AZEVEDO</v>
          </cell>
          <cell r="C483" t="str">
            <v>PENSIONISTAS</v>
          </cell>
          <cell r="D483" t="str">
            <v>ECOSAMPA Pensionistas</v>
          </cell>
        </row>
        <row r="484">
          <cell r="A484">
            <v>121466</v>
          </cell>
          <cell r="B484" t="str">
            <v>DAMIANA DA CONCEICAO DOS SANTOS</v>
          </cell>
          <cell r="C484" t="str">
            <v>AJUDANTE EQ SERVICOS DIVERSOS</v>
          </cell>
          <cell r="D484" t="str">
            <v>ECOSAMPA Operação Geral</v>
          </cell>
        </row>
        <row r="485">
          <cell r="A485">
            <v>112534</v>
          </cell>
          <cell r="B485" t="str">
            <v>DAMIAO BEZERRA DE OLIVEIRA</v>
          </cell>
          <cell r="C485" t="str">
            <v>AJUDANTE EQ SERVICOS DIVERSOS</v>
          </cell>
          <cell r="D485" t="str">
            <v>ECOSAMPA Operação Geral</v>
          </cell>
        </row>
        <row r="486">
          <cell r="A486">
            <v>114913</v>
          </cell>
          <cell r="B486" t="str">
            <v>DAMIAO COSTA PEREIRA DOS SANTOS</v>
          </cell>
          <cell r="C486" t="str">
            <v>AUXILIAR DE CHECK LIST</v>
          </cell>
          <cell r="D486" t="str">
            <v>ECOSAMPA Operação Geral</v>
          </cell>
        </row>
        <row r="487">
          <cell r="A487">
            <v>112536</v>
          </cell>
          <cell r="B487" t="str">
            <v>DAMIAO DO NASCIMENTO SANTANA</v>
          </cell>
          <cell r="C487" t="str">
            <v>COLETOR</v>
          </cell>
          <cell r="D487" t="str">
            <v>ECOSAMPA Operação Geral</v>
          </cell>
        </row>
        <row r="488">
          <cell r="A488">
            <v>112537</v>
          </cell>
          <cell r="B488" t="str">
            <v>DAMIAO JOSE DA SILVA</v>
          </cell>
          <cell r="C488" t="str">
            <v>AJUDANTE EQ SERVICOS DIVERSOS</v>
          </cell>
          <cell r="D488" t="str">
            <v>ECOSAMPA Campo Limpo</v>
          </cell>
        </row>
        <row r="489">
          <cell r="A489">
            <v>112539</v>
          </cell>
          <cell r="B489" t="str">
            <v>DAMIAO LIMA BISPO</v>
          </cell>
          <cell r="C489" t="str">
            <v>VARREDOR</v>
          </cell>
          <cell r="D489" t="str">
            <v>ECOSAMPA Santo Amaro</v>
          </cell>
        </row>
        <row r="490">
          <cell r="A490">
            <v>112540</v>
          </cell>
          <cell r="B490" t="str">
            <v>DAMIAO RODRIGUES PITA</v>
          </cell>
          <cell r="C490" t="str">
            <v>AJUDANTE EQ SERVICOS DIVERSOS</v>
          </cell>
          <cell r="D490" t="str">
            <v>ECOSAMPA Santo Amaro</v>
          </cell>
        </row>
        <row r="491">
          <cell r="A491">
            <v>113775</v>
          </cell>
          <cell r="B491" t="str">
            <v>DANIEL ALEXANDRE DA COSTA MARQUES</v>
          </cell>
          <cell r="C491" t="str">
            <v>MECANICO III</v>
          </cell>
          <cell r="D491" t="str">
            <v>ECOSAMPA Operação Geral</v>
          </cell>
        </row>
        <row r="492">
          <cell r="A492">
            <v>122573</v>
          </cell>
          <cell r="B492" t="str">
            <v>DANIEL ALVES DANTAS PEIXINHO</v>
          </cell>
          <cell r="C492" t="str">
            <v>MOTORISTA CAMINHAO</v>
          </cell>
          <cell r="D492" t="str">
            <v>ECOSAMPA Operação Geral</v>
          </cell>
        </row>
        <row r="493">
          <cell r="A493">
            <v>112821</v>
          </cell>
          <cell r="B493" t="str">
            <v>DANIEL BONIFACIO</v>
          </cell>
          <cell r="C493" t="str">
            <v>MOTORISTA CAMINHAO</v>
          </cell>
          <cell r="D493" t="str">
            <v>ECOSAMPA Operação Geral</v>
          </cell>
        </row>
        <row r="494">
          <cell r="A494">
            <v>114907</v>
          </cell>
          <cell r="B494" t="str">
            <v>DANIEL CARDOSO DA SILVA</v>
          </cell>
          <cell r="C494" t="str">
            <v>AJUDANTE EQ SERVICOS DIVERSOS</v>
          </cell>
          <cell r="D494" t="str">
            <v>ECOSAMPA Operação Geral</v>
          </cell>
        </row>
        <row r="495">
          <cell r="A495">
            <v>112827</v>
          </cell>
          <cell r="B495" t="str">
            <v>DANIEL DA CUNHA PUPO</v>
          </cell>
          <cell r="C495" t="str">
            <v>COLETOR</v>
          </cell>
          <cell r="D495" t="str">
            <v>ECOSAMPA Operação Geral</v>
          </cell>
        </row>
        <row r="496">
          <cell r="A496">
            <v>112834</v>
          </cell>
          <cell r="B496" t="str">
            <v>DANIEL DE PAULA CUNHA</v>
          </cell>
          <cell r="C496" t="str">
            <v>VARREDOR</v>
          </cell>
          <cell r="D496" t="str">
            <v>ECOSAMPA Capela do Socorro</v>
          </cell>
        </row>
        <row r="497">
          <cell r="A497">
            <v>112839</v>
          </cell>
          <cell r="B497" t="str">
            <v>DANIEL DE SOUZA</v>
          </cell>
          <cell r="C497" t="str">
            <v>COLETOR</v>
          </cell>
          <cell r="D497" t="str">
            <v>ECOSAMPA Operação Geral</v>
          </cell>
        </row>
        <row r="498">
          <cell r="A498">
            <v>112843</v>
          </cell>
          <cell r="B498" t="str">
            <v>DANIEL DOS REIS CARVALHO</v>
          </cell>
          <cell r="C498" t="str">
            <v>AJUDANTE EQ SERVICOS DIVERSOS</v>
          </cell>
          <cell r="D498" t="str">
            <v>ECOSAMPA Santo Amaro</v>
          </cell>
        </row>
        <row r="499">
          <cell r="A499">
            <v>112922</v>
          </cell>
          <cell r="B499" t="str">
            <v>DANIEL GOMES DA SILVA</v>
          </cell>
          <cell r="C499" t="str">
            <v>COLETOR</v>
          </cell>
          <cell r="D499" t="str">
            <v>ECOSAMPA Operação Geral</v>
          </cell>
        </row>
        <row r="500">
          <cell r="A500">
            <v>112930</v>
          </cell>
          <cell r="B500" t="str">
            <v>DANIEL JACINTO DA SILVA</v>
          </cell>
          <cell r="C500" t="str">
            <v>AJUDANTE EQ SERVICOS DIVERSOS</v>
          </cell>
          <cell r="D500" t="str">
            <v>ECOSAMPA Campo Limpo</v>
          </cell>
        </row>
        <row r="501">
          <cell r="A501">
            <v>114109</v>
          </cell>
          <cell r="B501" t="str">
            <v>DANIEL JOSE DA SILVA</v>
          </cell>
          <cell r="C501" t="str">
            <v>AJUDANTE EQ SERVICOS DIVERSOS</v>
          </cell>
          <cell r="D501" t="str">
            <v>ECOSAMPA Capela do Socorro</v>
          </cell>
        </row>
        <row r="502">
          <cell r="A502">
            <v>116331</v>
          </cell>
          <cell r="B502" t="str">
            <v>DANIEL LIMA CARVALHO</v>
          </cell>
          <cell r="C502" t="str">
            <v>AJUDANTE EQ SERVICOS DIVERSOS</v>
          </cell>
          <cell r="D502" t="str">
            <v>ECOSAMPA Santo Amaro</v>
          </cell>
        </row>
        <row r="503">
          <cell r="A503">
            <v>114418</v>
          </cell>
          <cell r="B503" t="str">
            <v>DANIEL MARCOS DA SILVA</v>
          </cell>
          <cell r="C503" t="str">
            <v>VARREDOR</v>
          </cell>
          <cell r="D503" t="str">
            <v>ECOSAMPA Santo Amaro</v>
          </cell>
        </row>
        <row r="504">
          <cell r="A504">
            <v>112936</v>
          </cell>
          <cell r="B504" t="str">
            <v>DANIEL MARQUES ALVES</v>
          </cell>
          <cell r="C504" t="str">
            <v>VARREDOR</v>
          </cell>
          <cell r="D504" t="str">
            <v>ECOSAMPA M'Boi Mirim</v>
          </cell>
        </row>
        <row r="505">
          <cell r="A505">
            <v>112942</v>
          </cell>
          <cell r="B505" t="str">
            <v>DANIEL PAULO DOS SANTOS</v>
          </cell>
          <cell r="C505" t="str">
            <v>MOTORISTA CAMINHAO</v>
          </cell>
          <cell r="D505" t="str">
            <v>ECOSAMPA Operação Geral</v>
          </cell>
        </row>
        <row r="506">
          <cell r="A506">
            <v>113774</v>
          </cell>
          <cell r="B506" t="str">
            <v>DANIEL SOUZA SANTOS ALEXANDRE</v>
          </cell>
          <cell r="C506" t="str">
            <v>FISCAL DE TURMA PLENO</v>
          </cell>
          <cell r="D506" t="str">
            <v>ECOSAMPA Campo Limpo</v>
          </cell>
        </row>
        <row r="507">
          <cell r="A507">
            <v>113904</v>
          </cell>
          <cell r="B507" t="str">
            <v>DANIELA ESTER DE MEDEIROS</v>
          </cell>
          <cell r="C507" t="str">
            <v>PENSIONISTAS</v>
          </cell>
          <cell r="D507" t="str">
            <v>ECOSAMPA Pensionistas</v>
          </cell>
        </row>
        <row r="508">
          <cell r="A508">
            <v>120896</v>
          </cell>
          <cell r="B508" t="str">
            <v>DANIELE APARECIDA SILVA</v>
          </cell>
          <cell r="C508" t="str">
            <v>AUXILIAR DE CONTROLE OPERACIONAL</v>
          </cell>
          <cell r="D508" t="str">
            <v>ECOSAMPA Operação Geral</v>
          </cell>
        </row>
        <row r="509">
          <cell r="A509">
            <v>116716</v>
          </cell>
          <cell r="B509" t="str">
            <v>DANIELE CRISTINA PEDRO</v>
          </cell>
          <cell r="C509" t="str">
            <v>VARREDOR</v>
          </cell>
          <cell r="D509" t="str">
            <v>ECOSAMPA Capela do Socorro</v>
          </cell>
        </row>
        <row r="510">
          <cell r="A510">
            <v>121948</v>
          </cell>
          <cell r="B510" t="str">
            <v>DANIELY LEANDRO DOS SANTOS</v>
          </cell>
          <cell r="C510" t="str">
            <v>MENOR/JOVEM APRENDIZ</v>
          </cell>
          <cell r="D510" t="str">
            <v>ECOSAMPA Administração</v>
          </cell>
        </row>
        <row r="511">
          <cell r="A511">
            <v>112947</v>
          </cell>
          <cell r="B511" t="str">
            <v>DANILO BARBOSA DOS SANTOS</v>
          </cell>
          <cell r="C511" t="str">
            <v>AJUDANTE EQ SERVICOS DIVERSOS</v>
          </cell>
          <cell r="D511" t="str">
            <v>ECOSAMPA Parelheiros</v>
          </cell>
        </row>
        <row r="512">
          <cell r="A512">
            <v>112950</v>
          </cell>
          <cell r="B512" t="str">
            <v>DANILO CARDOSO DA SILVA</v>
          </cell>
          <cell r="C512" t="str">
            <v>VARREDOR</v>
          </cell>
          <cell r="D512" t="str">
            <v>ECOSAMPA Santo Amaro</v>
          </cell>
        </row>
        <row r="513">
          <cell r="A513">
            <v>114695</v>
          </cell>
          <cell r="B513" t="str">
            <v>DANILO DE ALMEIDA</v>
          </cell>
          <cell r="C513" t="str">
            <v>VARREDOR</v>
          </cell>
          <cell r="D513" t="str">
            <v>ECOSAMPA M'Boi Mirim</v>
          </cell>
        </row>
        <row r="514">
          <cell r="A514">
            <v>119630</v>
          </cell>
          <cell r="B514" t="str">
            <v>DANILO DOS SANTOS</v>
          </cell>
          <cell r="C514" t="str">
            <v>AJUDANTE EQ SERVICOS DIVERSOS</v>
          </cell>
          <cell r="D514" t="str">
            <v>ECOSAMPA Operação Geral</v>
          </cell>
        </row>
        <row r="515">
          <cell r="A515">
            <v>112954</v>
          </cell>
          <cell r="B515" t="str">
            <v>DANILO SOARES OLIVEIRA</v>
          </cell>
          <cell r="C515" t="str">
            <v>VARREDOR</v>
          </cell>
          <cell r="D515" t="str">
            <v>ECOSAMPA Capela do Socorro</v>
          </cell>
        </row>
        <row r="516">
          <cell r="A516">
            <v>112956</v>
          </cell>
          <cell r="B516" t="str">
            <v>DANLEY SILVA SANTOS</v>
          </cell>
          <cell r="C516" t="str">
            <v>AJUDANTE EQ SERVICOS DIVERSOS</v>
          </cell>
          <cell r="D516" t="str">
            <v>ECOSAMPA M'Boi Mirim</v>
          </cell>
        </row>
        <row r="517">
          <cell r="A517">
            <v>114696</v>
          </cell>
          <cell r="B517" t="str">
            <v>DARIO CARDOSO VIANA FILHO</v>
          </cell>
          <cell r="C517" t="str">
            <v>AJUDANTE EQ SERVICOS DIVERSOS</v>
          </cell>
          <cell r="D517" t="str">
            <v>ECOSAMPA Capela do Socorro</v>
          </cell>
        </row>
        <row r="518">
          <cell r="A518">
            <v>112958</v>
          </cell>
          <cell r="B518" t="str">
            <v>DAVI COSTA SILVA</v>
          </cell>
          <cell r="C518" t="str">
            <v>AJUDANTE EQ SERVICOS DIVERSOS</v>
          </cell>
          <cell r="D518" t="str">
            <v>ECOSAMPA M'Boi Mirim</v>
          </cell>
        </row>
        <row r="519">
          <cell r="A519">
            <v>118052</v>
          </cell>
          <cell r="B519" t="str">
            <v>DAVI FERREIRA DE LIMA</v>
          </cell>
          <cell r="C519" t="str">
            <v>AJUDANTE EQ SERVICOS DIVERSOS</v>
          </cell>
          <cell r="D519" t="str">
            <v>ECOSAMPA Santo Amaro</v>
          </cell>
        </row>
        <row r="520">
          <cell r="A520">
            <v>112961</v>
          </cell>
          <cell r="B520" t="str">
            <v>DAVI FERREIRA DOS SANTOS RODRIGUES</v>
          </cell>
          <cell r="C520" t="str">
            <v>MOTORISTA CAMINHAO</v>
          </cell>
          <cell r="D520" t="str">
            <v>ECOSAMPA Operação Geral</v>
          </cell>
        </row>
        <row r="521">
          <cell r="A521">
            <v>112963</v>
          </cell>
          <cell r="B521" t="str">
            <v>DAVI TADEUS PUPO</v>
          </cell>
          <cell r="C521" t="str">
            <v>COLETOR</v>
          </cell>
          <cell r="D521" t="str">
            <v>ECOSAMPA Operação Geral</v>
          </cell>
        </row>
        <row r="522">
          <cell r="A522">
            <v>112969</v>
          </cell>
          <cell r="B522" t="str">
            <v>DAVID ALMEIDA DA SILVA</v>
          </cell>
          <cell r="C522" t="str">
            <v>COLETOR</v>
          </cell>
          <cell r="D522" t="str">
            <v>ECOSAMPA Operação Geral</v>
          </cell>
        </row>
        <row r="523">
          <cell r="A523">
            <v>113009</v>
          </cell>
          <cell r="B523" t="str">
            <v>DAVID ALVES DA SILVA</v>
          </cell>
          <cell r="C523" t="str">
            <v>VARREDOR</v>
          </cell>
          <cell r="D523" t="str">
            <v>ECOSAMPA Capela do Socorro</v>
          </cell>
        </row>
        <row r="524">
          <cell r="A524">
            <v>114500</v>
          </cell>
          <cell r="B524" t="str">
            <v>DAVID BARBOSA EVANGELISTA</v>
          </cell>
          <cell r="C524" t="str">
            <v>AJUDANTE EQ SERVICOS DIVERSOS</v>
          </cell>
          <cell r="D524" t="str">
            <v>ECOSAMPA Santo Amaro</v>
          </cell>
        </row>
        <row r="525">
          <cell r="A525">
            <v>116326</v>
          </cell>
          <cell r="B525" t="str">
            <v>DAVID DA SILVA QUIRINO</v>
          </cell>
          <cell r="C525" t="str">
            <v>AJUDANTE EQ SERVICOS DIVERSOS</v>
          </cell>
          <cell r="D525" t="str">
            <v>ECOSAMPA Campo Limpo</v>
          </cell>
        </row>
        <row r="526">
          <cell r="A526">
            <v>113023</v>
          </cell>
          <cell r="B526" t="str">
            <v>DAVID EDUARDO DA SILVA</v>
          </cell>
          <cell r="C526" t="str">
            <v>MOTORISTA CAMINHAO</v>
          </cell>
          <cell r="D526" t="str">
            <v>ECOSAMPA Operação Geral</v>
          </cell>
        </row>
        <row r="527">
          <cell r="A527">
            <v>113068</v>
          </cell>
          <cell r="B527" t="str">
            <v>DAVID PEREIRA LIMA</v>
          </cell>
          <cell r="C527" t="str">
            <v>COLETOR</v>
          </cell>
          <cell r="D527" t="str">
            <v>ECOSAMPA Operação Geral</v>
          </cell>
        </row>
        <row r="528">
          <cell r="A528">
            <v>113076</v>
          </cell>
          <cell r="B528" t="str">
            <v>DAVID ROSA RODRIGUES</v>
          </cell>
          <cell r="C528" t="str">
            <v>VARREDOR</v>
          </cell>
          <cell r="D528" t="str">
            <v>ECOSAMPA Santo Amaro</v>
          </cell>
        </row>
        <row r="529">
          <cell r="A529">
            <v>121030</v>
          </cell>
          <cell r="B529" t="str">
            <v>DAYANE APARECIDA ABREU DA SILVA</v>
          </cell>
          <cell r="C529" t="str">
            <v>VARREDOR</v>
          </cell>
          <cell r="D529" t="str">
            <v>ECOSAMPA Campo Limpo</v>
          </cell>
        </row>
        <row r="530">
          <cell r="A530">
            <v>114153</v>
          </cell>
          <cell r="B530" t="str">
            <v>DEBORA STIGLIANI</v>
          </cell>
          <cell r="C530" t="str">
            <v>AUXILIAR DE SAC</v>
          </cell>
          <cell r="D530" t="str">
            <v>ECOSAMPA Operação Geral</v>
          </cell>
        </row>
        <row r="531">
          <cell r="A531">
            <v>113087</v>
          </cell>
          <cell r="B531" t="str">
            <v>DEIVID PATRIC OLIVEIRA DE SOUZA</v>
          </cell>
          <cell r="C531" t="str">
            <v>ELETRICISTA</v>
          </cell>
          <cell r="D531" t="str">
            <v>ECOSAMPA Operação Geral</v>
          </cell>
        </row>
        <row r="532">
          <cell r="A532">
            <v>114089</v>
          </cell>
          <cell r="B532" t="str">
            <v>DEIVISON DA SILVA LOPES</v>
          </cell>
          <cell r="C532" t="str">
            <v>AJUDANTE EQ SERVICOS DIVERSOS</v>
          </cell>
          <cell r="D532" t="str">
            <v>ECOSAMPA Santo Amaro</v>
          </cell>
        </row>
        <row r="533">
          <cell r="A533">
            <v>113092</v>
          </cell>
          <cell r="B533" t="str">
            <v>DELCO BARBOSA DE SOUSA</v>
          </cell>
          <cell r="C533" t="str">
            <v>VARREDOR</v>
          </cell>
          <cell r="D533" t="str">
            <v>ECOSAMPA Santo Amaro</v>
          </cell>
        </row>
        <row r="534">
          <cell r="A534">
            <v>113100</v>
          </cell>
          <cell r="B534" t="str">
            <v>DEMOSTENES JOSE DE SANTANA</v>
          </cell>
          <cell r="C534" t="str">
            <v>MOTORISTA CAMINHAO</v>
          </cell>
          <cell r="D534" t="str">
            <v>ECOSAMPA Operação Geral</v>
          </cell>
        </row>
        <row r="535">
          <cell r="A535">
            <v>113107</v>
          </cell>
          <cell r="B535" t="str">
            <v>DENES GABRIEL COSTA SILVA</v>
          </cell>
          <cell r="C535" t="str">
            <v>VARREDOR</v>
          </cell>
          <cell r="D535" t="str">
            <v>ECOSAMPA Capela do Socorro</v>
          </cell>
        </row>
        <row r="536">
          <cell r="A536">
            <v>113119</v>
          </cell>
          <cell r="B536" t="str">
            <v>DENILSON SOARES BATISTA</v>
          </cell>
          <cell r="C536" t="str">
            <v>COLETOR</v>
          </cell>
          <cell r="D536" t="str">
            <v>ECOSAMPA Operação Geral</v>
          </cell>
        </row>
        <row r="537">
          <cell r="A537">
            <v>114104</v>
          </cell>
          <cell r="B537" t="str">
            <v>DENIS DOS SANTOS RODRIGUES</v>
          </cell>
          <cell r="C537" t="str">
            <v>AJUDANTE EQ SERVICOS DIVERSOS</v>
          </cell>
          <cell r="D537" t="str">
            <v>ECOSAMPA Parelheiros</v>
          </cell>
        </row>
        <row r="538">
          <cell r="A538">
            <v>116043</v>
          </cell>
          <cell r="B538" t="str">
            <v>DENIS GONCALVES DOS SANTOS DA CONCEICAO</v>
          </cell>
          <cell r="C538" t="str">
            <v>AJUDANTE EQ SERVICOS DIVERSOS</v>
          </cell>
          <cell r="D538" t="str">
            <v>ECOSAMPA Campo Limpo</v>
          </cell>
        </row>
        <row r="539">
          <cell r="A539">
            <v>114710</v>
          </cell>
          <cell r="B539" t="str">
            <v>DENIS REIS SIMPLICIO PRAXEDE ALVES</v>
          </cell>
          <cell r="C539" t="str">
            <v>VARREDOR</v>
          </cell>
          <cell r="D539" t="str">
            <v>ECOSAMPA Parelheiros</v>
          </cell>
        </row>
        <row r="540">
          <cell r="A540">
            <v>113157</v>
          </cell>
          <cell r="B540" t="str">
            <v>DENIS RODRIGUES DE ALMEIDA</v>
          </cell>
          <cell r="C540" t="str">
            <v>VARREDOR</v>
          </cell>
          <cell r="D540" t="str">
            <v>ECOSAMPA Parelheiros</v>
          </cell>
        </row>
        <row r="541">
          <cell r="A541">
            <v>113204</v>
          </cell>
          <cell r="B541" t="str">
            <v>DENIS SANTOS DA SILVA</v>
          </cell>
          <cell r="C541" t="str">
            <v>AJUDANTE EQ SERVICOS DIVERSOS</v>
          </cell>
          <cell r="D541" t="str">
            <v>ECOSAMPA Santo Amaro</v>
          </cell>
        </row>
        <row r="542">
          <cell r="A542">
            <v>113214</v>
          </cell>
          <cell r="B542" t="str">
            <v>DENIS SANTOS SOUSA</v>
          </cell>
          <cell r="C542" t="str">
            <v>AJUDANTE EQ SERVICOS DIVERSOS</v>
          </cell>
          <cell r="D542" t="str">
            <v>ECOSAMPA M'Boi Mirim</v>
          </cell>
        </row>
        <row r="543">
          <cell r="A543">
            <v>116001</v>
          </cell>
          <cell r="B543" t="str">
            <v>DENSON RIBEIRO DA SILVA</v>
          </cell>
          <cell r="C543" t="str">
            <v>VARREDOR</v>
          </cell>
          <cell r="D543" t="str">
            <v>ECOSAMPA Santo Amaro</v>
          </cell>
        </row>
        <row r="544">
          <cell r="A544">
            <v>113712</v>
          </cell>
          <cell r="B544" t="str">
            <v>DEVAIR MOREIRA ARAUJO</v>
          </cell>
          <cell r="C544" t="str">
            <v>AJUDANTE EQ SERVICOS DIVERSOS</v>
          </cell>
          <cell r="D544" t="str">
            <v>ECOSAMPA Campo Limpo</v>
          </cell>
        </row>
        <row r="545">
          <cell r="A545">
            <v>113306</v>
          </cell>
          <cell r="B545" t="str">
            <v>DHONES DE MATOS RIBEIRO</v>
          </cell>
          <cell r="C545" t="str">
            <v>AJUDANTE EQ SERVICOS DIVERSOS</v>
          </cell>
          <cell r="D545" t="str">
            <v>ECOSAMPA Campo Limpo</v>
          </cell>
        </row>
        <row r="546">
          <cell r="A546">
            <v>121486</v>
          </cell>
          <cell r="B546" t="str">
            <v>DIEGO AQUINO DOS SANTOS</v>
          </cell>
          <cell r="C546" t="str">
            <v>MOTORISTA CAMINHAO</v>
          </cell>
          <cell r="D546" t="str">
            <v>ECOSAMPA Operação Geral</v>
          </cell>
        </row>
        <row r="547">
          <cell r="A547">
            <v>113309</v>
          </cell>
          <cell r="B547" t="str">
            <v>DIEGO AUGUSTO DA PAIXAO</v>
          </cell>
          <cell r="C547" t="str">
            <v>VARREDOR</v>
          </cell>
          <cell r="D547" t="str">
            <v>ECOSAMPA Santo Amaro</v>
          </cell>
        </row>
        <row r="548">
          <cell r="A548">
            <v>115375</v>
          </cell>
          <cell r="B548" t="str">
            <v>DIEGO CESAR CUNHA PEREIRA</v>
          </cell>
          <cell r="C548" t="str">
            <v>AJUDANTE EQ SERVICOS DIVERSOS</v>
          </cell>
          <cell r="D548" t="str">
            <v>ECOSAMPA Campo Limpo</v>
          </cell>
        </row>
        <row r="549">
          <cell r="A549">
            <v>121425</v>
          </cell>
          <cell r="B549" t="str">
            <v>DIEGO DA SILVA PEREIRA</v>
          </cell>
          <cell r="C549" t="str">
            <v>AJUDANTE EQ SERVICOS DIVERSOS</v>
          </cell>
          <cell r="D549" t="str">
            <v>ECOSAMPA Operação Geral</v>
          </cell>
        </row>
        <row r="550">
          <cell r="A550">
            <v>113318</v>
          </cell>
          <cell r="B550" t="str">
            <v>DIEGO DOS SANTOS SOUZA</v>
          </cell>
          <cell r="C550" t="str">
            <v>VARREDOR</v>
          </cell>
          <cell r="D550" t="str">
            <v>ECOSAMPA M'Boi Mirim</v>
          </cell>
        </row>
        <row r="551">
          <cell r="A551">
            <v>113322</v>
          </cell>
          <cell r="B551" t="str">
            <v>DIEGO JOSE ARAUJO</v>
          </cell>
          <cell r="C551" t="str">
            <v>AJUDANTE EQ SERVICOS DIVERSOS</v>
          </cell>
          <cell r="D551" t="str">
            <v>ECOSAMPA Campo Limpo</v>
          </cell>
        </row>
        <row r="552">
          <cell r="A552">
            <v>122334</v>
          </cell>
          <cell r="B552" t="str">
            <v>DIEGO JOSE RIBEIRO ARAUJO</v>
          </cell>
          <cell r="C552" t="str">
            <v>MOTORISTA CAMINHAO</v>
          </cell>
          <cell r="D552" t="str">
            <v>ECOSAMPA Operação Geral</v>
          </cell>
        </row>
        <row r="553">
          <cell r="A553">
            <v>113326</v>
          </cell>
          <cell r="B553" t="str">
            <v>DIEGO RIBEIRO DIAS</v>
          </cell>
          <cell r="C553" t="str">
            <v>AJUDANTE EQ SERVICOS DIVERSOS</v>
          </cell>
          <cell r="D553" t="str">
            <v>ECOSAMPA Santo Amaro</v>
          </cell>
        </row>
        <row r="554">
          <cell r="A554">
            <v>116085</v>
          </cell>
          <cell r="B554" t="str">
            <v>DIEGO SANTOS MUNIZ ALMEIDA</v>
          </cell>
          <cell r="C554" t="str">
            <v>MOTORISTA CAMINHAO</v>
          </cell>
          <cell r="D554" t="str">
            <v>ECOSAMPA Operação Geral</v>
          </cell>
        </row>
        <row r="555">
          <cell r="A555">
            <v>116225</v>
          </cell>
          <cell r="B555" t="str">
            <v>DIEGO SANTOS NASCIMENTO</v>
          </cell>
          <cell r="C555" t="str">
            <v>AJUDANTE EQ SERVICOS DIVERSOS</v>
          </cell>
          <cell r="D555" t="str">
            <v>ECOSAMPA Santo Amaro</v>
          </cell>
        </row>
        <row r="556">
          <cell r="A556">
            <v>114731</v>
          </cell>
          <cell r="B556" t="str">
            <v>DIEGO SILVA DE MORAES</v>
          </cell>
          <cell r="C556" t="str">
            <v>AJUDANTE EQ SERVICOS DIVERSOS</v>
          </cell>
          <cell r="D556" t="str">
            <v>ECOSAMPA Santo Amaro</v>
          </cell>
        </row>
        <row r="557">
          <cell r="A557">
            <v>113331</v>
          </cell>
          <cell r="B557" t="str">
            <v>DIJALMA OLIVEIRA SOUZA</v>
          </cell>
          <cell r="C557" t="str">
            <v>AJUDANTE EQ SERVICOS DIVERSOS</v>
          </cell>
          <cell r="D557" t="str">
            <v>ECOSAMPA Operação Geral</v>
          </cell>
        </row>
        <row r="558">
          <cell r="A558">
            <v>113336</v>
          </cell>
          <cell r="B558" t="str">
            <v>DIMAS RITA CECILIO</v>
          </cell>
          <cell r="C558" t="str">
            <v>VARREDOR</v>
          </cell>
          <cell r="D558" t="str">
            <v>ECOSAMPA Santo Amaro</v>
          </cell>
        </row>
        <row r="559">
          <cell r="A559">
            <v>113341</v>
          </cell>
          <cell r="B559" t="str">
            <v>DIMAS XAVIER DE JESUS</v>
          </cell>
          <cell r="C559" t="str">
            <v>VARREDOR</v>
          </cell>
          <cell r="D559" t="str">
            <v>ECOSAMPA Capela do Socorro</v>
          </cell>
        </row>
        <row r="560">
          <cell r="A560">
            <v>113343</v>
          </cell>
          <cell r="B560" t="str">
            <v>DIOCLECIO DOS SANTOS SILVA</v>
          </cell>
          <cell r="C560" t="str">
            <v>AJUDANTE EQ SERVICOS DIVERSOS</v>
          </cell>
          <cell r="D560" t="str">
            <v>ECOSAMPA Operação Geral</v>
          </cell>
        </row>
        <row r="561">
          <cell r="A561">
            <v>113349</v>
          </cell>
          <cell r="B561" t="str">
            <v>DIOGENES CARDOSO BARBOSA</v>
          </cell>
          <cell r="C561" t="str">
            <v>MOTORISTA CAMINHAO</v>
          </cell>
          <cell r="D561" t="str">
            <v>ECOSAMPA Operação Geral</v>
          </cell>
        </row>
        <row r="562">
          <cell r="A562">
            <v>113354</v>
          </cell>
          <cell r="B562" t="str">
            <v>DIOGO DA CRUZ SILVEIRA</v>
          </cell>
          <cell r="C562" t="str">
            <v>AJUDANTE EQ SERVICOS DIVERSOS</v>
          </cell>
          <cell r="D562" t="str">
            <v>ECOSAMPA M'Boi Mirim</v>
          </cell>
        </row>
        <row r="563">
          <cell r="A563">
            <v>116974</v>
          </cell>
          <cell r="B563" t="str">
            <v>DIVA BRANDINO DE MORAES GONCALVES</v>
          </cell>
          <cell r="C563" t="str">
            <v>AJUDANTE EQ SERVICOS DIVERSOS</v>
          </cell>
          <cell r="D563" t="str">
            <v>ECOSAMPA Campo Limpo</v>
          </cell>
        </row>
        <row r="564">
          <cell r="A564">
            <v>113739</v>
          </cell>
          <cell r="B564" t="str">
            <v>DJAIR PATRICIO DA SILVA</v>
          </cell>
          <cell r="C564" t="str">
            <v>COORDENADOR DE DEPARTAMENTO PESSOAL</v>
          </cell>
          <cell r="D564" t="str">
            <v>ECOSAMPA Administração</v>
          </cell>
        </row>
        <row r="565">
          <cell r="A565">
            <v>113359</v>
          </cell>
          <cell r="B565" t="str">
            <v>DJAVAN LUIZ MARTINS ALEXANDRE</v>
          </cell>
          <cell r="C565" t="str">
            <v>AJUDANTE EQ SERVICOS DIVERSOS</v>
          </cell>
          <cell r="D565" t="str">
            <v>ECOSAMPA Operação Geral</v>
          </cell>
        </row>
        <row r="566">
          <cell r="A566">
            <v>119522</v>
          </cell>
          <cell r="B566" t="str">
            <v>DOMENICA APARECIDA DO NASCIMENTO</v>
          </cell>
          <cell r="C566" t="str">
            <v>PENSIONISTAS</v>
          </cell>
          <cell r="D566" t="str">
            <v>ECOSAMPA Pensionistas</v>
          </cell>
        </row>
        <row r="567">
          <cell r="A567">
            <v>113361</v>
          </cell>
          <cell r="B567" t="str">
            <v>DOMINGOS DA CRUZ DOS SANTOS</v>
          </cell>
          <cell r="C567" t="str">
            <v>MOTORISTA CAMINHAO</v>
          </cell>
          <cell r="D567" t="str">
            <v>ECOSAMPA Operação Geral</v>
          </cell>
        </row>
        <row r="568">
          <cell r="A568">
            <v>113364</v>
          </cell>
          <cell r="B568" t="str">
            <v>DOMINGOS MENEZES DANTAS</v>
          </cell>
          <cell r="C568" t="str">
            <v>VARREDOR</v>
          </cell>
          <cell r="D568" t="str">
            <v>ECOSAMPA M'Boi Mirim</v>
          </cell>
        </row>
        <row r="569">
          <cell r="A569">
            <v>113368</v>
          </cell>
          <cell r="B569" t="str">
            <v>DOMINGOS NORBERTO RODRIGUES</v>
          </cell>
          <cell r="C569" t="str">
            <v>VARREDOR</v>
          </cell>
          <cell r="D569" t="str">
            <v>ECOSAMPA M'Boi Mirim</v>
          </cell>
        </row>
        <row r="570">
          <cell r="A570">
            <v>113374</v>
          </cell>
          <cell r="B570" t="str">
            <v>DOMINGOS SOUZA DE OLIVEIRA</v>
          </cell>
          <cell r="C570" t="str">
            <v>VARREDOR</v>
          </cell>
          <cell r="D570" t="str">
            <v>ECOSAMPA Capela do Socorro</v>
          </cell>
        </row>
        <row r="571">
          <cell r="A571">
            <v>117358</v>
          </cell>
          <cell r="B571" t="str">
            <v>DONIAS DO NASCIMENTO</v>
          </cell>
          <cell r="C571" t="str">
            <v>MOTORISTA CAMINHAO</v>
          </cell>
          <cell r="D571" t="str">
            <v>ECOSAMPA Operação Geral</v>
          </cell>
        </row>
        <row r="572">
          <cell r="A572">
            <v>121675</v>
          </cell>
          <cell r="B572" t="str">
            <v>DONIZETE VENANCIO</v>
          </cell>
          <cell r="C572" t="str">
            <v>AJUDANTE EQ SERVICOS DIVERSOS</v>
          </cell>
          <cell r="D572" t="str">
            <v>ECOSAMPA Campo Limpo</v>
          </cell>
        </row>
        <row r="573">
          <cell r="A573">
            <v>119645</v>
          </cell>
          <cell r="B573" t="str">
            <v>DORVALINO BRUIANI</v>
          </cell>
          <cell r="C573" t="str">
            <v>AJUDANTE EQ SERVICOS DIVERSOS</v>
          </cell>
          <cell r="D573" t="str">
            <v>ECOSAMPA Santo Amaro</v>
          </cell>
        </row>
        <row r="574">
          <cell r="A574">
            <v>116226</v>
          </cell>
          <cell r="B574" t="str">
            <v>DOUGLAS BARRETO DE SOUSA</v>
          </cell>
          <cell r="C574" t="str">
            <v>AJUDANTE EQ SERVICOS DIVERSOS</v>
          </cell>
          <cell r="D574" t="str">
            <v>ECOSAMPA Santo Amaro</v>
          </cell>
        </row>
        <row r="575">
          <cell r="A575">
            <v>113380</v>
          </cell>
          <cell r="B575" t="str">
            <v>DOUGLAS JOSE DE SENA</v>
          </cell>
          <cell r="C575" t="str">
            <v>VARREDOR</v>
          </cell>
          <cell r="D575" t="str">
            <v>ECOSAMPA M'Boi Mirim</v>
          </cell>
        </row>
        <row r="576">
          <cell r="A576">
            <v>113383</v>
          </cell>
          <cell r="B576" t="str">
            <v>DOUGLAS LIMA SOUZA</v>
          </cell>
          <cell r="C576" t="str">
            <v>AJUDANTE EQ SERVICOS DIVERSOS</v>
          </cell>
          <cell r="D576" t="str">
            <v>ECOSAMPA Campo Limpo</v>
          </cell>
        </row>
        <row r="577">
          <cell r="A577">
            <v>113390</v>
          </cell>
          <cell r="B577" t="str">
            <v>DOUGLAS SABINO SILVA DOS SANTOS</v>
          </cell>
          <cell r="C577" t="str">
            <v>AUXILIAR ADMINISTRATIVO</v>
          </cell>
          <cell r="D577" t="str">
            <v>ECOSAMPA Campo Limpo</v>
          </cell>
        </row>
        <row r="578">
          <cell r="A578">
            <v>115376</v>
          </cell>
          <cell r="B578" t="str">
            <v>DOUGLAS VEDA COUTINHO</v>
          </cell>
          <cell r="C578" t="str">
            <v>AJUDANTE EQ SERVICOS DIVERSOS</v>
          </cell>
          <cell r="D578" t="str">
            <v>ECOSAMPA Santo Amaro</v>
          </cell>
        </row>
        <row r="579">
          <cell r="A579">
            <v>120850</v>
          </cell>
          <cell r="B579" t="str">
            <v>DUCILENE DIAS TRINDADE MENDES</v>
          </cell>
          <cell r="C579" t="str">
            <v>PENSIONISTAS</v>
          </cell>
          <cell r="D579" t="str">
            <v>ECOSAMPA Pensionistas</v>
          </cell>
        </row>
        <row r="580">
          <cell r="A580">
            <v>113392</v>
          </cell>
          <cell r="B580" t="str">
            <v>DURCINO SILVA DE BRITO</v>
          </cell>
          <cell r="C580" t="str">
            <v>VARREDOR</v>
          </cell>
          <cell r="D580" t="str">
            <v>ECOSAMPA Campo Limpo</v>
          </cell>
        </row>
        <row r="581">
          <cell r="A581">
            <v>113404</v>
          </cell>
          <cell r="B581" t="str">
            <v>DURVAL SABINO DOS SANTOS</v>
          </cell>
          <cell r="C581" t="str">
            <v>ENCARREGADO DE TURMA</v>
          </cell>
          <cell r="D581" t="str">
            <v>ECOSAMPA Capela do Socorro</v>
          </cell>
        </row>
        <row r="582">
          <cell r="A582">
            <v>113411</v>
          </cell>
          <cell r="B582" t="str">
            <v>DYONATA CLEYTON BARBOSA DE OLIVEIRA</v>
          </cell>
          <cell r="C582" t="str">
            <v>AJUDANTE EQ SERVICOS DIVERSOS</v>
          </cell>
          <cell r="D582" t="str">
            <v>ECOSAMPA Campo Limpo</v>
          </cell>
        </row>
        <row r="583">
          <cell r="A583">
            <v>112825</v>
          </cell>
          <cell r="B583" t="str">
            <v>ECLYTON MYCAEL FERREIRA LOPES</v>
          </cell>
          <cell r="C583" t="str">
            <v>MOTORISTA CAMINHAO</v>
          </cell>
          <cell r="D583" t="str">
            <v>ECOSAMPA Operação Geral</v>
          </cell>
        </row>
        <row r="584">
          <cell r="A584">
            <v>112830</v>
          </cell>
          <cell r="B584" t="str">
            <v>ED CARLOS BARBOSA ALVES</v>
          </cell>
          <cell r="C584" t="str">
            <v>AJUDANTE EQ SERVICOS DIVERSOS</v>
          </cell>
          <cell r="D584" t="str">
            <v>ECOSAMPA Campo Limpo</v>
          </cell>
        </row>
        <row r="585">
          <cell r="A585">
            <v>112831</v>
          </cell>
          <cell r="B585" t="str">
            <v>ED FERREIRA SEVERO</v>
          </cell>
          <cell r="C585" t="str">
            <v>BUEIRISTA</v>
          </cell>
          <cell r="D585" t="str">
            <v>ECOSAMPA Capela do Socorro</v>
          </cell>
        </row>
        <row r="586">
          <cell r="A586">
            <v>112836</v>
          </cell>
          <cell r="B586" t="str">
            <v>EDGAR FERREIRA DA SILVA</v>
          </cell>
          <cell r="C586" t="str">
            <v>VARREDOR</v>
          </cell>
          <cell r="D586" t="str">
            <v>ECOSAMPA Santo Amaro</v>
          </cell>
        </row>
        <row r="587">
          <cell r="A587">
            <v>112838</v>
          </cell>
          <cell r="B587" t="str">
            <v>EDIEL ARAUJO SANTANA</v>
          </cell>
          <cell r="C587" t="str">
            <v>MOTORISTA CAMINHAO</v>
          </cell>
          <cell r="D587" t="str">
            <v>ECOSAMPA Operação Geral</v>
          </cell>
        </row>
        <row r="588">
          <cell r="A588">
            <v>112842</v>
          </cell>
          <cell r="B588" t="str">
            <v>EDIGAR MENDES FERREIRA</v>
          </cell>
          <cell r="C588" t="str">
            <v>MOTORISTA CAMINHAO</v>
          </cell>
          <cell r="D588" t="str">
            <v>ECOSAMPA Operação Geral</v>
          </cell>
        </row>
        <row r="589">
          <cell r="A589">
            <v>113726</v>
          </cell>
          <cell r="B589" t="str">
            <v>EDILEUMA DE SOUZA CAETANO</v>
          </cell>
          <cell r="C589" t="str">
            <v>AJUDANTE EQ SERVICOS DIVERSOS</v>
          </cell>
          <cell r="D589" t="str">
            <v>ECOSAMPA Santo Amaro</v>
          </cell>
        </row>
        <row r="590">
          <cell r="A590">
            <v>112847</v>
          </cell>
          <cell r="B590" t="str">
            <v>EDILSON APARECIDO DE SOUZA</v>
          </cell>
          <cell r="C590" t="str">
            <v>BUEIRISTA</v>
          </cell>
          <cell r="D590" t="str">
            <v>ECOSAMPA Campo Limpo</v>
          </cell>
        </row>
        <row r="591">
          <cell r="A591">
            <v>114499</v>
          </cell>
          <cell r="B591" t="str">
            <v>EDILSON CASSIANO FERREIRA</v>
          </cell>
          <cell r="C591" t="str">
            <v>AJUDANTE EQ SERVICOS DIVERSOS</v>
          </cell>
          <cell r="D591" t="str">
            <v>ECOSAMPA Operação Geral</v>
          </cell>
        </row>
        <row r="592">
          <cell r="A592">
            <v>112850</v>
          </cell>
          <cell r="B592" t="str">
            <v>EDILSON GALDINO DA SILVA</v>
          </cell>
          <cell r="C592" t="str">
            <v>MOTORISTA CAMINHAO</v>
          </cell>
          <cell r="D592" t="str">
            <v>ECOSAMPA Operação Geral</v>
          </cell>
        </row>
        <row r="593">
          <cell r="A593">
            <v>112858</v>
          </cell>
          <cell r="B593" t="str">
            <v>EDILSON MOREIRA DA COSTA</v>
          </cell>
          <cell r="C593" t="str">
            <v>MOTORISTA CAMINHAO</v>
          </cell>
          <cell r="D593" t="str">
            <v>ECOSAMPA Operação Geral</v>
          </cell>
        </row>
        <row r="594">
          <cell r="A594">
            <v>112861</v>
          </cell>
          <cell r="B594" t="str">
            <v>EDILSON PEREIRA SILVA</v>
          </cell>
          <cell r="C594" t="str">
            <v>AJUDANTE EQ SERVICOS DIVERSOS</v>
          </cell>
          <cell r="D594" t="str">
            <v>ECOSAMPA Operação Geral</v>
          </cell>
        </row>
        <row r="595">
          <cell r="A595">
            <v>112866</v>
          </cell>
          <cell r="B595" t="str">
            <v>EDILSON SANTOS DE JESUS</v>
          </cell>
          <cell r="C595" t="str">
            <v>VARREDOR</v>
          </cell>
          <cell r="D595" t="str">
            <v>ECOSAMPA Capela do Socorro</v>
          </cell>
        </row>
        <row r="596">
          <cell r="A596">
            <v>119671</v>
          </cell>
          <cell r="B596" t="str">
            <v>EDIMILSON ALVES PEREIRA</v>
          </cell>
          <cell r="C596" t="str">
            <v>VARREDOR</v>
          </cell>
          <cell r="D596" t="str">
            <v>ECOSAMPA Santo Amaro</v>
          </cell>
        </row>
        <row r="597">
          <cell r="A597">
            <v>112867</v>
          </cell>
          <cell r="B597" t="str">
            <v>EDIMILSON COSTA LIMA ROMANOS</v>
          </cell>
          <cell r="C597" t="str">
            <v>VARREDOR</v>
          </cell>
          <cell r="D597" t="str">
            <v>ECOSAMPA Capela do Socorro</v>
          </cell>
        </row>
        <row r="598">
          <cell r="A598">
            <v>112874</v>
          </cell>
          <cell r="B598" t="str">
            <v>EDINALDO ALMEIDA DO NASCIMENTO</v>
          </cell>
          <cell r="C598" t="str">
            <v>MOTORISTA CAMINHAO</v>
          </cell>
          <cell r="D598" t="str">
            <v>ECOSAMPA Operação Geral</v>
          </cell>
        </row>
        <row r="599">
          <cell r="A599">
            <v>112881</v>
          </cell>
          <cell r="B599" t="str">
            <v>EDINALDO DA SILVA</v>
          </cell>
          <cell r="C599" t="str">
            <v>VARREDOR</v>
          </cell>
          <cell r="D599" t="str">
            <v>ECOSAMPA Santo Amaro</v>
          </cell>
        </row>
        <row r="600">
          <cell r="A600">
            <v>112878</v>
          </cell>
          <cell r="B600" t="str">
            <v>EDINALDO FRANCISCO DA FONSECA</v>
          </cell>
          <cell r="C600" t="str">
            <v>MOTORISTA CAMINHAO</v>
          </cell>
          <cell r="D600" t="str">
            <v>ECOSAMPA Operação Geral</v>
          </cell>
        </row>
        <row r="601">
          <cell r="A601">
            <v>119662</v>
          </cell>
          <cell r="B601" t="str">
            <v>EDINALDO PEREIRA DE SOUZA</v>
          </cell>
          <cell r="C601" t="str">
            <v>MOTORISTA CAMINHAO</v>
          </cell>
          <cell r="D601" t="str">
            <v>ECOSAMPA Operação Geral</v>
          </cell>
        </row>
        <row r="602">
          <cell r="A602">
            <v>115231</v>
          </cell>
          <cell r="B602" t="str">
            <v>EDINEI RAMOS DE LIMA</v>
          </cell>
          <cell r="C602" t="str">
            <v>AJUDANTE EQ SERVICOS DIVERSOS</v>
          </cell>
          <cell r="D602" t="str">
            <v>ECOSAMPA Operação Geral</v>
          </cell>
        </row>
        <row r="603">
          <cell r="A603">
            <v>113416</v>
          </cell>
          <cell r="B603" t="str">
            <v>EDINELIA PEREIRA DOS SANTOS</v>
          </cell>
          <cell r="C603" t="str">
            <v>VARREDOR</v>
          </cell>
          <cell r="D603" t="str">
            <v>ECOSAMPA Santo Amaro</v>
          </cell>
        </row>
        <row r="604">
          <cell r="A604">
            <v>113428</v>
          </cell>
          <cell r="B604" t="str">
            <v>EDIRLAN DA SILVA CARMO</v>
          </cell>
          <cell r="C604" t="str">
            <v>AJUDANTE EQ SERVICOS DIVERSOS</v>
          </cell>
          <cell r="D604" t="str">
            <v>ECOSAMPA M'Boi Mirim</v>
          </cell>
        </row>
        <row r="605">
          <cell r="A605">
            <v>114952</v>
          </cell>
          <cell r="B605" t="str">
            <v>EDIS RODRIGUES DOS SANTOS</v>
          </cell>
          <cell r="C605" t="str">
            <v>MOTORISTA CAMINHAO</v>
          </cell>
          <cell r="D605" t="str">
            <v>ECOSAMPA Operação Geral</v>
          </cell>
        </row>
        <row r="606">
          <cell r="A606">
            <v>113434</v>
          </cell>
          <cell r="B606" t="str">
            <v>EDISON ARRUDA JUNIOR</v>
          </cell>
          <cell r="C606" t="str">
            <v>COLETOR</v>
          </cell>
          <cell r="D606" t="str">
            <v>ECOSAMPA Operação Geral</v>
          </cell>
        </row>
        <row r="607">
          <cell r="A607">
            <v>114502</v>
          </cell>
          <cell r="B607" t="str">
            <v>EDISON GODINHO DOS SANTOS</v>
          </cell>
          <cell r="C607" t="str">
            <v>AJUDANTE EQ SERVICOS DIVERSOS</v>
          </cell>
          <cell r="D607" t="str">
            <v>ECOSAMPA Santo Amaro</v>
          </cell>
        </row>
        <row r="608">
          <cell r="A608">
            <v>117359</v>
          </cell>
          <cell r="B608" t="str">
            <v>EDIVALDO NEVES DA MATA</v>
          </cell>
          <cell r="C608" t="str">
            <v>MOTORISTA CAMINHAO</v>
          </cell>
          <cell r="D608" t="str">
            <v>ECOSAMPA Operação Geral</v>
          </cell>
        </row>
        <row r="609">
          <cell r="A609">
            <v>114977</v>
          </cell>
          <cell r="B609" t="str">
            <v>EDIVALDO SILVA DA COSTA</v>
          </cell>
          <cell r="C609" t="str">
            <v>AJUDANTE EQ SERVICOS DIVERSOS</v>
          </cell>
          <cell r="D609" t="str">
            <v>ECOSAMPA Operação Geral</v>
          </cell>
        </row>
        <row r="610">
          <cell r="A610">
            <v>113442</v>
          </cell>
          <cell r="B610" t="str">
            <v>EDIVALDO VALERIANO DA SILVA</v>
          </cell>
          <cell r="C610" t="str">
            <v>VARREDOR</v>
          </cell>
          <cell r="D610" t="str">
            <v>ECOSAMPA Santo Amaro</v>
          </cell>
        </row>
        <row r="611">
          <cell r="A611">
            <v>115216</v>
          </cell>
          <cell r="B611" t="str">
            <v>EDIVAN FERREIRA DA SILVA</v>
          </cell>
          <cell r="C611" t="str">
            <v>AJUDANTE EQ SERVICOS DIVERSOS</v>
          </cell>
          <cell r="D611" t="str">
            <v>ECOSAMPA Capela do Socorro</v>
          </cell>
        </row>
        <row r="612">
          <cell r="A612">
            <v>113447</v>
          </cell>
          <cell r="B612" t="str">
            <v>EDIVAN MOURA DOS SANTOS</v>
          </cell>
          <cell r="C612" t="str">
            <v>TECNICO EM SEGURANCA DO TRABALHO PLENO</v>
          </cell>
          <cell r="D612" t="str">
            <v>ECOSAMPA Operação Geral</v>
          </cell>
        </row>
        <row r="613">
          <cell r="A613">
            <v>119680</v>
          </cell>
          <cell r="B613" t="str">
            <v>EDIVILSON PEREIRA NUNES</v>
          </cell>
          <cell r="C613" t="str">
            <v>AJUDANTE EQ SERVICOS DIVERSOS</v>
          </cell>
          <cell r="D613" t="str">
            <v>ECOSAMPA Operação Geral</v>
          </cell>
        </row>
        <row r="614">
          <cell r="A614">
            <v>113727</v>
          </cell>
          <cell r="B614" t="str">
            <v>EDJANE ANJOS MENDES CAMISA NOVA</v>
          </cell>
          <cell r="C614" t="str">
            <v>AUXILIAR ADMINISTRATIVO</v>
          </cell>
          <cell r="D614" t="str">
            <v>ECOSAMPA Santo Amaro</v>
          </cell>
        </row>
        <row r="615">
          <cell r="A615">
            <v>113451</v>
          </cell>
          <cell r="B615" t="str">
            <v>EDJANE DA SILVA</v>
          </cell>
          <cell r="C615" t="str">
            <v>AJUDANTE EQ SERVICOS DIVERSOS</v>
          </cell>
          <cell r="D615" t="str">
            <v>ECOSAMPA Santo Amaro</v>
          </cell>
        </row>
        <row r="616">
          <cell r="A616">
            <v>113457</v>
          </cell>
          <cell r="B616" t="str">
            <v>EDJOVANE PALMA PALMITO</v>
          </cell>
          <cell r="C616" t="str">
            <v>VARREDOR</v>
          </cell>
          <cell r="D616" t="str">
            <v>ECOSAMPA Parelheiros</v>
          </cell>
        </row>
        <row r="617">
          <cell r="A617">
            <v>122574</v>
          </cell>
          <cell r="B617" t="str">
            <v>EDMAR CESAR DA SILVA</v>
          </cell>
          <cell r="C617" t="str">
            <v>MOTORISTA CAMINHAO</v>
          </cell>
          <cell r="D617" t="str">
            <v>ECOSAMPA Operação Geral</v>
          </cell>
        </row>
        <row r="618">
          <cell r="A618">
            <v>113460</v>
          </cell>
          <cell r="B618" t="str">
            <v>EDMAR DE FREITAS</v>
          </cell>
          <cell r="C618" t="str">
            <v>COLETOR</v>
          </cell>
          <cell r="D618" t="str">
            <v>ECOSAMPA Operação Geral</v>
          </cell>
        </row>
        <row r="619">
          <cell r="A619">
            <v>113468</v>
          </cell>
          <cell r="B619" t="str">
            <v>EDMAR FERREIRA</v>
          </cell>
          <cell r="C619" t="str">
            <v>AJUDANTE EQ SERVICOS DIVERSOS</v>
          </cell>
          <cell r="D619" t="str">
            <v>ECOSAMPA Operação Geral</v>
          </cell>
        </row>
        <row r="620">
          <cell r="A620">
            <v>113469</v>
          </cell>
          <cell r="B620" t="str">
            <v>EDMILSO ALVES DA SILVA</v>
          </cell>
          <cell r="C620" t="str">
            <v>AJUDANTE EQ SERVICOS DIVERSOS</v>
          </cell>
          <cell r="D620" t="str">
            <v>ECOSAMPA Santo Amaro</v>
          </cell>
        </row>
        <row r="621">
          <cell r="A621">
            <v>113491</v>
          </cell>
          <cell r="B621" t="str">
            <v>EDMILSON BATISTA DO NASCIMENTO</v>
          </cell>
          <cell r="C621" t="str">
            <v>AJUDANTE EQ SERVICOS DIVERSOS</v>
          </cell>
          <cell r="D621" t="str">
            <v>ECOSAMPA Parelheiros</v>
          </cell>
        </row>
        <row r="622">
          <cell r="A622">
            <v>113495</v>
          </cell>
          <cell r="B622" t="str">
            <v>EDMILSON DA SILVA</v>
          </cell>
          <cell r="C622" t="str">
            <v>AJUDANTE EQ SERVICOS DIVERSOS</v>
          </cell>
          <cell r="D622" t="str">
            <v>ECOSAMPA Parelheiros</v>
          </cell>
        </row>
        <row r="623">
          <cell r="A623">
            <v>113498</v>
          </cell>
          <cell r="B623" t="str">
            <v>EDMILSON LOPES SALES</v>
          </cell>
          <cell r="C623" t="str">
            <v>AJUDANTE EQ SERVICOS DIVERSOS</v>
          </cell>
          <cell r="D623" t="str">
            <v>ECOSAMPA M'Boi Mirim</v>
          </cell>
        </row>
        <row r="624">
          <cell r="A624">
            <v>113503</v>
          </cell>
          <cell r="B624" t="str">
            <v>EDMILSON NASCIMENTO SAO PEDRO</v>
          </cell>
          <cell r="C624" t="str">
            <v>AJUDANTE EQ SERVICOS DIVERSOS</v>
          </cell>
          <cell r="D624" t="str">
            <v>ECOSAMPA Capela do Socorro</v>
          </cell>
        </row>
        <row r="625">
          <cell r="A625">
            <v>113506</v>
          </cell>
          <cell r="B625" t="str">
            <v>EDMILSON PALMEIRA DA SILVA</v>
          </cell>
          <cell r="C625" t="str">
            <v>AJUDANTE EQ SERVICOS DIVERSOS</v>
          </cell>
          <cell r="D625" t="str">
            <v>ECOSAMPA Parelheiros</v>
          </cell>
        </row>
        <row r="626">
          <cell r="A626">
            <v>113507</v>
          </cell>
          <cell r="B626" t="str">
            <v>EDMILSON RODRIGUES PEREIRA</v>
          </cell>
          <cell r="C626" t="str">
            <v>AJUDANTE EQ SERVICOS DIVERSOS</v>
          </cell>
          <cell r="D626" t="str">
            <v>ECOSAMPA M'Boi Mirim</v>
          </cell>
        </row>
        <row r="627">
          <cell r="A627">
            <v>113510</v>
          </cell>
          <cell r="B627" t="str">
            <v>EDMILSON TAVARES RAMOS</v>
          </cell>
          <cell r="C627" t="str">
            <v>MOTORISTA CAMINHAO</v>
          </cell>
          <cell r="D627" t="str">
            <v>ECOSAMPA Operação Geral</v>
          </cell>
        </row>
        <row r="628">
          <cell r="A628">
            <v>113512</v>
          </cell>
          <cell r="B628" t="str">
            <v>EDMUNDO DE OLIVEIRA SOUZA</v>
          </cell>
          <cell r="C628" t="str">
            <v>AJUDANTE EQ SERVICOS DIVERSOS</v>
          </cell>
          <cell r="D628" t="str">
            <v>ECOSAMPA Capela do Socorro</v>
          </cell>
        </row>
        <row r="629">
          <cell r="A629">
            <v>113516</v>
          </cell>
          <cell r="B629" t="str">
            <v>EDNA MONTEIRO DE TOLEDO</v>
          </cell>
          <cell r="C629" t="str">
            <v>VARREDOR</v>
          </cell>
          <cell r="D629" t="str">
            <v>ECOSAMPA Campo Limpo</v>
          </cell>
        </row>
        <row r="630">
          <cell r="A630">
            <v>114108</v>
          </cell>
          <cell r="B630" t="str">
            <v>EDNALDO BARBOSA SILVA</v>
          </cell>
          <cell r="C630" t="str">
            <v>AJUDANTE EQ SERVICOS DIVERSOS</v>
          </cell>
          <cell r="D630" t="str">
            <v>ECOSAMPA Capela do Socorro</v>
          </cell>
        </row>
        <row r="631">
          <cell r="A631">
            <v>113521</v>
          </cell>
          <cell r="B631" t="str">
            <v>EDNALDO DE LIMA SILVA</v>
          </cell>
          <cell r="C631" t="str">
            <v>VARREDOR</v>
          </cell>
          <cell r="D631" t="str">
            <v>ECOSAMPA Santo Amaro</v>
          </cell>
        </row>
        <row r="632">
          <cell r="A632">
            <v>116327</v>
          </cell>
          <cell r="B632" t="str">
            <v>EDNILSON ALVES FERREIRA</v>
          </cell>
          <cell r="C632" t="str">
            <v>AJUDANTE EQ SERVICOS DIVERSOS</v>
          </cell>
          <cell r="D632" t="str">
            <v>ECOSAMPA Santo Amaro</v>
          </cell>
        </row>
        <row r="633">
          <cell r="A633">
            <v>113524</v>
          </cell>
          <cell r="B633" t="str">
            <v>EDNILSON CARLOS ARCANJO DE JESUS</v>
          </cell>
          <cell r="C633" t="str">
            <v>AJUDANTE EQ SERVICOS DIVERSOS</v>
          </cell>
          <cell r="D633" t="str">
            <v>ECOSAMPA M'Boi Mirim</v>
          </cell>
        </row>
        <row r="634">
          <cell r="A634">
            <v>113530</v>
          </cell>
          <cell r="B634" t="str">
            <v>EDSON ALBERTINO DA COSTA SILVA</v>
          </cell>
          <cell r="C634" t="str">
            <v>VARREDOR</v>
          </cell>
          <cell r="D634" t="str">
            <v>ECOSAMPA Santo Amaro</v>
          </cell>
        </row>
        <row r="635">
          <cell r="A635">
            <v>113532</v>
          </cell>
          <cell r="B635" t="str">
            <v>EDSON ALMEIDA BONFIM</v>
          </cell>
          <cell r="C635" t="str">
            <v>AJUDANTE EQ SERVICOS DIVERSOS</v>
          </cell>
          <cell r="D635" t="str">
            <v>ECOSAMPA Campo Limpo</v>
          </cell>
        </row>
        <row r="636">
          <cell r="A636">
            <v>113535</v>
          </cell>
          <cell r="B636" t="str">
            <v>EDSON ANTONIO DA SILVA</v>
          </cell>
          <cell r="C636" t="str">
            <v>AJUDANTE DE MECANICO</v>
          </cell>
          <cell r="D636" t="str">
            <v>ECOSAMPA Operação Geral</v>
          </cell>
        </row>
        <row r="637">
          <cell r="A637">
            <v>113537</v>
          </cell>
          <cell r="B637" t="str">
            <v>EDSON BERNARDO DA SILVA</v>
          </cell>
          <cell r="C637" t="str">
            <v>VARREDOR</v>
          </cell>
          <cell r="D637" t="str">
            <v>ECOSAMPA Santo Amaro</v>
          </cell>
        </row>
        <row r="638">
          <cell r="A638">
            <v>113541</v>
          </cell>
          <cell r="B638" t="str">
            <v>EDSON BEZERRA DO NASCIMENTO</v>
          </cell>
          <cell r="C638" t="str">
            <v>FISCAL DE TRAFEGO PLENO</v>
          </cell>
          <cell r="D638" t="str">
            <v>ECOSAMPA Operação Geral</v>
          </cell>
        </row>
        <row r="639">
          <cell r="A639">
            <v>113548</v>
          </cell>
          <cell r="B639" t="str">
            <v>EDSON BRAZ DA SILVA FILHO</v>
          </cell>
          <cell r="C639" t="str">
            <v>AJUDANTE EQ SERVICOS DIVERSOS</v>
          </cell>
          <cell r="D639" t="str">
            <v>ECOSAMPA Santo Amaro</v>
          </cell>
        </row>
        <row r="640">
          <cell r="A640">
            <v>113551</v>
          </cell>
          <cell r="B640" t="str">
            <v>EDSON CARLOS DA SILVA</v>
          </cell>
          <cell r="C640" t="str">
            <v>VARREDOR</v>
          </cell>
          <cell r="D640" t="str">
            <v>ECOSAMPA Santo Amaro</v>
          </cell>
        </row>
        <row r="641">
          <cell r="A641">
            <v>114697</v>
          </cell>
          <cell r="B641" t="str">
            <v>EDSON CARLOS DOS SANTOS</v>
          </cell>
          <cell r="C641" t="str">
            <v>BUEIRISTA</v>
          </cell>
          <cell r="D641" t="str">
            <v>ECOSAMPA Parelheiros</v>
          </cell>
        </row>
        <row r="642">
          <cell r="A642">
            <v>113594</v>
          </cell>
          <cell r="B642" t="str">
            <v>EDSON DE JESUS GUERRA</v>
          </cell>
          <cell r="C642" t="str">
            <v>AJUDANTE EQ SERVICOS DIVERSOS</v>
          </cell>
          <cell r="D642" t="str">
            <v>ECOSAMPA Santo Amaro</v>
          </cell>
        </row>
        <row r="643">
          <cell r="A643">
            <v>113566</v>
          </cell>
          <cell r="B643" t="str">
            <v>EDSON FERREIRA DA SILVA</v>
          </cell>
          <cell r="C643" t="str">
            <v>VARREDOR</v>
          </cell>
          <cell r="D643" t="str">
            <v>ECOSAMPA Santo Amaro</v>
          </cell>
        </row>
        <row r="644">
          <cell r="A644">
            <v>113570</v>
          </cell>
          <cell r="B644" t="str">
            <v>EDSON JOSE DOS SANTOS</v>
          </cell>
          <cell r="C644" t="str">
            <v>MOTORISTA CAMINHAO</v>
          </cell>
          <cell r="D644" t="str">
            <v>ECOSAMPA Operação Geral</v>
          </cell>
        </row>
        <row r="645">
          <cell r="A645">
            <v>113597</v>
          </cell>
          <cell r="B645" t="str">
            <v>EDSON LINO DE JESUS</v>
          </cell>
          <cell r="C645" t="str">
            <v>VARREDOR</v>
          </cell>
          <cell r="D645" t="str">
            <v>ECOSAMPA Capela do Socorro</v>
          </cell>
        </row>
        <row r="646">
          <cell r="A646">
            <v>121535</v>
          </cell>
          <cell r="B646" t="str">
            <v>EDSON LUIS DE FREITAS</v>
          </cell>
          <cell r="C646" t="str">
            <v>MOTORISTA CAMINHAO</v>
          </cell>
          <cell r="D646" t="str">
            <v>ECOSAMPA Operação Geral</v>
          </cell>
        </row>
        <row r="647">
          <cell r="A647">
            <v>121446</v>
          </cell>
          <cell r="B647" t="str">
            <v>EDSON MANOEL VIEIRA</v>
          </cell>
          <cell r="C647" t="str">
            <v>AJUDANTE EQ SERVICOS DIVERSOS</v>
          </cell>
          <cell r="D647" t="str">
            <v>ECOSAMPA Operação Geral</v>
          </cell>
        </row>
        <row r="648">
          <cell r="A648">
            <v>113579</v>
          </cell>
          <cell r="B648" t="str">
            <v>EDSON NASCIMENTO DA SILVA</v>
          </cell>
          <cell r="C648" t="str">
            <v>VARREDOR</v>
          </cell>
          <cell r="D648" t="str">
            <v>ECOSAMPA Capela do Socorro</v>
          </cell>
        </row>
        <row r="649">
          <cell r="A649">
            <v>114730</v>
          </cell>
          <cell r="B649" t="str">
            <v>EDSON OLIVEIRA SOUSA</v>
          </cell>
          <cell r="C649" t="str">
            <v>AJUDANTE EQ SERVICOS DIVERSOS</v>
          </cell>
          <cell r="D649" t="str">
            <v>ECOSAMPA Campo Limpo</v>
          </cell>
        </row>
        <row r="650">
          <cell r="A650">
            <v>114508</v>
          </cell>
          <cell r="B650" t="str">
            <v>EDSON SILVA DOS SANTOS</v>
          </cell>
          <cell r="C650" t="str">
            <v>AJUDANTE EQ SERVICOS DIVERSOS</v>
          </cell>
          <cell r="D650" t="str">
            <v>ECOSAMPA Operação Geral</v>
          </cell>
        </row>
        <row r="651">
          <cell r="A651">
            <v>114271</v>
          </cell>
          <cell r="B651" t="str">
            <v>EDSON SOARES</v>
          </cell>
          <cell r="C651" t="str">
            <v>FISCAL DE TRAFEGO PLENO</v>
          </cell>
          <cell r="D651" t="str">
            <v>ECOSAMPA Operação Geral</v>
          </cell>
        </row>
        <row r="652">
          <cell r="A652">
            <v>113584</v>
          </cell>
          <cell r="B652" t="str">
            <v>EDUARDO AMAURI ALVES DA SILVA</v>
          </cell>
          <cell r="C652" t="str">
            <v>BUEIRISTA</v>
          </cell>
          <cell r="D652" t="str">
            <v>ECOSAMPA Santo Amaro</v>
          </cell>
        </row>
        <row r="653">
          <cell r="A653">
            <v>113586</v>
          </cell>
          <cell r="B653" t="str">
            <v>EDUARDO ANDRADE DE SANTANA</v>
          </cell>
          <cell r="C653" t="str">
            <v>VARREDOR</v>
          </cell>
          <cell r="D653" t="str">
            <v>ECOSAMPA Campo Limpo</v>
          </cell>
        </row>
        <row r="654">
          <cell r="A654">
            <v>113589</v>
          </cell>
          <cell r="B654" t="str">
            <v>EDUARDO APARECIDO DE MORAES</v>
          </cell>
          <cell r="C654" t="str">
            <v>AJUDANTE EQ SERVICOS DIVERSOS</v>
          </cell>
          <cell r="D654" t="str">
            <v>ECOSAMPA Campo Limpo</v>
          </cell>
        </row>
        <row r="655">
          <cell r="A655">
            <v>116227</v>
          </cell>
          <cell r="B655" t="str">
            <v>EDUARDO ARAUJO DA ROCHA</v>
          </cell>
          <cell r="C655" t="str">
            <v>AJUDANTE EQ SERVICOS DIVERSOS</v>
          </cell>
          <cell r="D655" t="str">
            <v>ECOSAMPA Operação Geral</v>
          </cell>
        </row>
        <row r="656">
          <cell r="A656">
            <v>120190</v>
          </cell>
          <cell r="B656" t="str">
            <v>EDUARDO DA SILVA</v>
          </cell>
          <cell r="C656" t="str">
            <v>AJUDANTE EQ SERVICOS DIVERSOS</v>
          </cell>
          <cell r="D656" t="str">
            <v>ECOSAMPA Santo Amaro</v>
          </cell>
        </row>
        <row r="657">
          <cell r="A657">
            <v>114525</v>
          </cell>
          <cell r="B657" t="str">
            <v>EDUARDO EVANGELISTA DE CARVALHO</v>
          </cell>
          <cell r="C657" t="str">
            <v>MOTORISTA CAMINHAO</v>
          </cell>
          <cell r="D657" t="str">
            <v>ECOSAMPA Operação Geral</v>
          </cell>
        </row>
        <row r="658">
          <cell r="A658">
            <v>113590</v>
          </cell>
          <cell r="B658" t="str">
            <v>EDUARDO FELIPE LIRA PACHECO</v>
          </cell>
          <cell r="C658" t="str">
            <v>AJUDANTE EQ SERVICOS DIVERSOS</v>
          </cell>
          <cell r="D658" t="str">
            <v>ECOSAMPA Campo Limpo</v>
          </cell>
        </row>
        <row r="659">
          <cell r="A659">
            <v>122085</v>
          </cell>
          <cell r="B659" t="str">
            <v>EDUARDO FELIX DA SILVA</v>
          </cell>
          <cell r="C659" t="str">
            <v>AJUDANTE EQ SERVICOS DIVERSOS</v>
          </cell>
          <cell r="D659" t="str">
            <v>ECOSAMPA Capela do Socorro</v>
          </cell>
        </row>
        <row r="660">
          <cell r="A660">
            <v>113592</v>
          </cell>
          <cell r="B660" t="str">
            <v>EDUARDO LOPES DA COSTA</v>
          </cell>
          <cell r="C660" t="str">
            <v>MOTORISTA CAMINHAO</v>
          </cell>
          <cell r="D660" t="str">
            <v>ECOSAMPA Operação Geral</v>
          </cell>
        </row>
        <row r="661">
          <cell r="A661">
            <v>115236</v>
          </cell>
          <cell r="B661" t="str">
            <v>EDUARDO OLIVEIRA DA SILVA</v>
          </cell>
          <cell r="C661" t="str">
            <v>AJUDANTE EQ SERVICOS DIVERSOS</v>
          </cell>
          <cell r="D661" t="str">
            <v>ECOSAMPA Operação Geral</v>
          </cell>
        </row>
        <row r="662">
          <cell r="A662">
            <v>121428</v>
          </cell>
          <cell r="B662" t="str">
            <v>EDUARDO PINHEIRO DA SILVA</v>
          </cell>
          <cell r="C662" t="str">
            <v>AJUDANTE EQ SERVICOS DIVERSOS</v>
          </cell>
          <cell r="D662" t="str">
            <v>ECOSAMPA Operação Geral</v>
          </cell>
        </row>
        <row r="663">
          <cell r="A663">
            <v>113593</v>
          </cell>
          <cell r="B663" t="str">
            <v>EDUARDO RIBEIRO DOS SANTOS</v>
          </cell>
          <cell r="C663" t="str">
            <v>AJUDANTE EQ SERVICOS DIVERSOS</v>
          </cell>
          <cell r="D663" t="str">
            <v>ECOSAMPA Santo Amaro</v>
          </cell>
        </row>
        <row r="664">
          <cell r="A664">
            <v>119677</v>
          </cell>
          <cell r="B664" t="str">
            <v>EDUARDO RODRIGUES DE SOUSA</v>
          </cell>
          <cell r="C664" t="str">
            <v>AJUDANTE EQ SERVICOS DIVERSOS</v>
          </cell>
          <cell r="D664" t="str">
            <v>ECOSAMPA Campo Limpo</v>
          </cell>
        </row>
        <row r="665">
          <cell r="A665">
            <v>113595</v>
          </cell>
          <cell r="B665" t="str">
            <v>EDUARDO RODRIGUES DOS SANTOS</v>
          </cell>
          <cell r="C665" t="str">
            <v>VARREDOR</v>
          </cell>
          <cell r="D665" t="str">
            <v>ECOSAMPA Santo Amaro</v>
          </cell>
        </row>
        <row r="666">
          <cell r="A666">
            <v>113596</v>
          </cell>
          <cell r="B666" t="str">
            <v>EDUARDO SANTOS DA SILVA</v>
          </cell>
          <cell r="C666" t="str">
            <v>VARREDOR</v>
          </cell>
          <cell r="D666" t="str">
            <v>ECOSAMPA Santo Amaro</v>
          </cell>
        </row>
        <row r="667">
          <cell r="A667">
            <v>116324</v>
          </cell>
          <cell r="B667" t="str">
            <v>EDUARDO SANTOS SILVA</v>
          </cell>
          <cell r="C667" t="str">
            <v>AJUDANTE EQ SERVICOS DIVERSOS</v>
          </cell>
          <cell r="D667" t="str">
            <v>ECOSAMPA Parelheiros</v>
          </cell>
        </row>
        <row r="668">
          <cell r="A668">
            <v>113598</v>
          </cell>
          <cell r="B668" t="str">
            <v>EDUARDO SILVA DE ALMEIDA</v>
          </cell>
          <cell r="C668" t="str">
            <v>AJUDANTE EQ SERVICOS DIVERSOS</v>
          </cell>
          <cell r="D668" t="str">
            <v>ECOSAMPA Campo Limpo</v>
          </cell>
        </row>
        <row r="669">
          <cell r="A669">
            <v>113601</v>
          </cell>
          <cell r="B669" t="str">
            <v>EDVAL MANUEL DE MELO</v>
          </cell>
          <cell r="C669" t="str">
            <v>VARREDOR</v>
          </cell>
          <cell r="D669" t="str">
            <v>ECOSAMPA Santo Amaro</v>
          </cell>
        </row>
        <row r="670">
          <cell r="A670">
            <v>113603</v>
          </cell>
          <cell r="B670" t="str">
            <v>EDVALDO ALVES</v>
          </cell>
          <cell r="C670" t="str">
            <v>BUEIRISTA</v>
          </cell>
          <cell r="D670" t="str">
            <v>ECOSAMPA Capela do Socorro</v>
          </cell>
        </row>
        <row r="671">
          <cell r="A671">
            <v>113605</v>
          </cell>
          <cell r="B671" t="str">
            <v>EDVALDO ALVES DA PAIXAO</v>
          </cell>
          <cell r="C671" t="str">
            <v>MOTORISTA CAMINHAO</v>
          </cell>
          <cell r="D671" t="str">
            <v>ECOSAMPA Operação Geral</v>
          </cell>
        </row>
        <row r="672">
          <cell r="A672">
            <v>113607</v>
          </cell>
          <cell r="B672" t="str">
            <v>EDVALDO ARAUJO DO NASCIMENTO</v>
          </cell>
          <cell r="C672" t="str">
            <v>MOTORISTA CAMINHAO</v>
          </cell>
          <cell r="D672" t="str">
            <v>ECOSAMPA Operação Geral</v>
          </cell>
        </row>
        <row r="673">
          <cell r="A673">
            <v>113609</v>
          </cell>
          <cell r="B673" t="str">
            <v>EDVALDO DA SILVA FERREIRA</v>
          </cell>
          <cell r="C673" t="str">
            <v>AJUDANTE EQ SERVICOS DIVERSOS</v>
          </cell>
          <cell r="D673" t="str">
            <v>ECOSAMPA Campo Limpo</v>
          </cell>
        </row>
        <row r="674">
          <cell r="A674">
            <v>113672</v>
          </cell>
          <cell r="B674" t="str">
            <v>EDVALDO DE JESUS</v>
          </cell>
          <cell r="C674" t="str">
            <v>AJUDANTE EQ SERVICOS DIVERSOS</v>
          </cell>
          <cell r="D674" t="str">
            <v>ECOSAMPA Campo Limpo</v>
          </cell>
        </row>
        <row r="675">
          <cell r="A675">
            <v>113661</v>
          </cell>
          <cell r="B675" t="str">
            <v>EDVALDO FORTUNATO DA SILVA</v>
          </cell>
          <cell r="C675" t="str">
            <v>VARREDOR</v>
          </cell>
          <cell r="D675" t="str">
            <v>ECOSAMPA Capela do Socorro</v>
          </cell>
        </row>
        <row r="676">
          <cell r="A676">
            <v>113612</v>
          </cell>
          <cell r="B676" t="str">
            <v>EDVALDO NASCIMENTO SILVA</v>
          </cell>
          <cell r="C676" t="str">
            <v>VARREDOR</v>
          </cell>
          <cell r="D676" t="str">
            <v>ECOSAMPA Capela do Socorro</v>
          </cell>
        </row>
        <row r="677">
          <cell r="A677">
            <v>113616</v>
          </cell>
          <cell r="B677" t="str">
            <v>EDVALDO PINHEIRO DOS SANTOS</v>
          </cell>
          <cell r="C677" t="str">
            <v>VARREDOR</v>
          </cell>
          <cell r="D677" t="str">
            <v>ECOSAMPA Campo Limpo</v>
          </cell>
        </row>
        <row r="678">
          <cell r="A678">
            <v>113619</v>
          </cell>
          <cell r="B678" t="str">
            <v>EDVALDO ROCHA DE LIMA</v>
          </cell>
          <cell r="C678" t="str">
            <v>AJUDANTE EQ SERVICOS DIVERSOS</v>
          </cell>
          <cell r="D678" t="str">
            <v>ECOSAMPA Capela do Socorro</v>
          </cell>
        </row>
        <row r="679">
          <cell r="A679">
            <v>113623</v>
          </cell>
          <cell r="B679" t="str">
            <v>EDVALDO RUFINO PEREIRA</v>
          </cell>
          <cell r="C679" t="str">
            <v>VARREDOR</v>
          </cell>
          <cell r="D679" t="str">
            <v>ECOSAMPA M'Boi Mirim</v>
          </cell>
        </row>
        <row r="680">
          <cell r="A680">
            <v>113626</v>
          </cell>
          <cell r="B680" t="str">
            <v>EDVAN ALVES PINHEIRO</v>
          </cell>
          <cell r="C680" t="str">
            <v>BORRACHEIRO II</v>
          </cell>
          <cell r="D680" t="str">
            <v>ECOSAMPA Operação Geral</v>
          </cell>
        </row>
        <row r="681">
          <cell r="A681">
            <v>113636</v>
          </cell>
          <cell r="B681" t="str">
            <v>EDVAN RIBEIRO DOS SANTOS</v>
          </cell>
          <cell r="C681" t="str">
            <v>AJUDANTE EQ SERVICOS DIVERSOS</v>
          </cell>
          <cell r="D681" t="str">
            <v>ECOSAMPA M'Boi Mirim</v>
          </cell>
        </row>
        <row r="682">
          <cell r="A682">
            <v>114915</v>
          </cell>
          <cell r="B682" t="str">
            <v>EDVANDO DE ARAUJO MARTINS</v>
          </cell>
          <cell r="C682" t="str">
            <v>AJUDANTE EQ SERVICOS DIVERSOS</v>
          </cell>
          <cell r="D682" t="str">
            <v>ECOSAMPA Operação Geral</v>
          </cell>
        </row>
        <row r="683">
          <cell r="A683">
            <v>113674</v>
          </cell>
          <cell r="B683" t="str">
            <v>EGUINALDO ULISSES DO NASCIMENTO</v>
          </cell>
          <cell r="C683" t="str">
            <v>VARREDOR</v>
          </cell>
          <cell r="D683" t="str">
            <v>ECOSAMPA Capela do Socorro</v>
          </cell>
        </row>
        <row r="684">
          <cell r="A684">
            <v>122366</v>
          </cell>
          <cell r="B684" t="str">
            <v>ELAINE FERREIRA DA COSTA</v>
          </cell>
          <cell r="C684" t="str">
            <v>PENSIONISTAS</v>
          </cell>
          <cell r="D684" t="str">
            <v>ECOSAMPA Pensionistas</v>
          </cell>
        </row>
        <row r="685">
          <cell r="A685">
            <v>122081</v>
          </cell>
          <cell r="B685" t="str">
            <v>ELAINE SOUZA DAMACENO DE JESUS</v>
          </cell>
          <cell r="C685" t="str">
            <v>AJUDANTE EQ SERVICOS DIVERSOS</v>
          </cell>
          <cell r="D685" t="str">
            <v>ECOSAMPA Campo Limpo</v>
          </cell>
        </row>
        <row r="686">
          <cell r="A686">
            <v>113785</v>
          </cell>
          <cell r="B686" t="str">
            <v>ELEN CRISTINA GOMES</v>
          </cell>
          <cell r="C686" t="str">
            <v>MOTORISTA CAMINHAO</v>
          </cell>
          <cell r="D686" t="str">
            <v>ECOSAMPA Operação Geral</v>
          </cell>
        </row>
        <row r="687">
          <cell r="A687">
            <v>121404</v>
          </cell>
          <cell r="B687" t="str">
            <v>ELI PINHEIRO DE ALCANTARA</v>
          </cell>
          <cell r="C687" t="str">
            <v>AJUDANTE EQ SERVICOS DIVERSOS</v>
          </cell>
          <cell r="D687" t="str">
            <v>ECOSAMPA Operação Geral</v>
          </cell>
        </row>
        <row r="688">
          <cell r="A688">
            <v>113641</v>
          </cell>
          <cell r="B688" t="str">
            <v>ELIAN MORAES DA SILVA</v>
          </cell>
          <cell r="C688" t="str">
            <v>AJUDANTE EQ SERVICOS DIVERSOS</v>
          </cell>
          <cell r="D688" t="str">
            <v>ECOSAMPA Campo Limpo</v>
          </cell>
        </row>
        <row r="689">
          <cell r="A689">
            <v>114116</v>
          </cell>
          <cell r="B689" t="str">
            <v>ELIANA FERREIRA PIRES</v>
          </cell>
          <cell r="C689" t="str">
            <v>PENSIONISTAS</v>
          </cell>
          <cell r="D689" t="str">
            <v>ECOSAMPA Pensionistas</v>
          </cell>
        </row>
        <row r="690">
          <cell r="A690">
            <v>113728</v>
          </cell>
          <cell r="B690" t="str">
            <v>ELIANA GONCALVES DA SILVA</v>
          </cell>
          <cell r="C690" t="str">
            <v>AJUDANTE EQ SERVICOS DIVERSOS</v>
          </cell>
          <cell r="D690" t="str">
            <v>ECOSAMPA M'Boi Mirim</v>
          </cell>
        </row>
        <row r="691">
          <cell r="A691">
            <v>121465</v>
          </cell>
          <cell r="B691" t="str">
            <v>ELIANA RODRIGUES FIGUEIREDO</v>
          </cell>
          <cell r="C691" t="str">
            <v>AJUDANTE EQ SERVICOS DIVERSOS</v>
          </cell>
          <cell r="D691" t="str">
            <v>ECOSAMPA Operação Geral</v>
          </cell>
        </row>
        <row r="692">
          <cell r="A692">
            <v>113646</v>
          </cell>
          <cell r="B692" t="str">
            <v>ELIANE CICERA DUARTE CARDOZO</v>
          </cell>
          <cell r="C692" t="str">
            <v>VARREDOR</v>
          </cell>
          <cell r="D692" t="str">
            <v>ECOSAMPA Parelheiros</v>
          </cell>
        </row>
        <row r="693">
          <cell r="A693">
            <v>118048</v>
          </cell>
          <cell r="B693" t="str">
            <v>ELIAS ARAUJO PEDROSO</v>
          </cell>
          <cell r="C693" t="str">
            <v>AJUDANTE EQ SERVICOS DIVERSOS</v>
          </cell>
          <cell r="D693" t="str">
            <v>ECOSAMPA Santo Amaro</v>
          </cell>
        </row>
        <row r="694">
          <cell r="A694">
            <v>113656</v>
          </cell>
          <cell r="B694" t="str">
            <v>ELIAS FERREIRA DOS SANTOS</v>
          </cell>
          <cell r="C694" t="str">
            <v>VARREDOR</v>
          </cell>
          <cell r="D694" t="str">
            <v>ECOSAMPA Santo Amaro</v>
          </cell>
        </row>
        <row r="695">
          <cell r="A695">
            <v>113653</v>
          </cell>
          <cell r="B695" t="str">
            <v>ELIAS FERREIRA LEME</v>
          </cell>
          <cell r="C695" t="str">
            <v>AJUDANTE EQ SERVICOS DIVERSOS</v>
          </cell>
          <cell r="D695" t="str">
            <v>ECOSAMPA Santo Amaro</v>
          </cell>
        </row>
        <row r="696">
          <cell r="A696">
            <v>113657</v>
          </cell>
          <cell r="B696" t="str">
            <v>ELIAS SEVERINO GONCALVES</v>
          </cell>
          <cell r="C696" t="str">
            <v>BUEIRISTA</v>
          </cell>
          <cell r="D696" t="str">
            <v>ECOSAMPA Parelheiros</v>
          </cell>
        </row>
        <row r="697">
          <cell r="A697">
            <v>113928</v>
          </cell>
          <cell r="B697" t="str">
            <v>ELICIANE APARECIDA LINHARES</v>
          </cell>
          <cell r="C697" t="str">
            <v>AUXILIAR DE ENFERMAGEM DO TRABALHO</v>
          </cell>
          <cell r="D697" t="str">
            <v>ECOSAMPA Operação Geral</v>
          </cell>
        </row>
        <row r="698">
          <cell r="A698">
            <v>113664</v>
          </cell>
          <cell r="B698" t="str">
            <v>ELIEZER DESIDERIO DOS SANTOS</v>
          </cell>
          <cell r="C698" t="str">
            <v>AJUDANTE EQ SERVICOS DIVERSOS</v>
          </cell>
          <cell r="D698" t="str">
            <v>ECOSAMPA Santo Amaro</v>
          </cell>
        </row>
        <row r="699">
          <cell r="A699">
            <v>120895</v>
          </cell>
          <cell r="B699" t="str">
            <v>ELIO SILVA</v>
          </cell>
          <cell r="C699" t="str">
            <v>MOTORISTA CAMINHAO</v>
          </cell>
          <cell r="D699" t="str">
            <v>ECOSAMPA Operação Geral</v>
          </cell>
        </row>
        <row r="700">
          <cell r="A700">
            <v>114698</v>
          </cell>
          <cell r="B700" t="str">
            <v>ELISANGELA BARRETO OLIVEIRA</v>
          </cell>
          <cell r="C700" t="str">
            <v>AJUDANTE EQ SERVICOS DIVERSOS</v>
          </cell>
          <cell r="D700" t="str">
            <v>ECOSAMPA Santo Amaro</v>
          </cell>
        </row>
        <row r="701">
          <cell r="A701">
            <v>114813</v>
          </cell>
          <cell r="B701" t="str">
            <v>ELISANGELA DE OLIVEIRA BALTAZAR</v>
          </cell>
          <cell r="C701" t="str">
            <v>PENSIONISTAS</v>
          </cell>
          <cell r="D701" t="str">
            <v>ECOSAMPA Pensionistas</v>
          </cell>
        </row>
        <row r="702">
          <cell r="A702">
            <v>114385</v>
          </cell>
          <cell r="B702" t="str">
            <v>ELISANGELA VIEIRA DE SOUZA CORREIA</v>
          </cell>
          <cell r="C702" t="str">
            <v>AGENTE AMBIENTAL</v>
          </cell>
          <cell r="D702" t="str">
            <v>ECOSAMPA Operação Geral</v>
          </cell>
        </row>
        <row r="703">
          <cell r="A703">
            <v>113665</v>
          </cell>
          <cell r="B703" t="str">
            <v>ELISEU APARECIDO BRAZ</v>
          </cell>
          <cell r="C703" t="str">
            <v>AJUDANTE EQ SERVICOS DIVERSOS</v>
          </cell>
          <cell r="D703" t="str">
            <v>ECOSAMPA Capela do Socorro</v>
          </cell>
        </row>
        <row r="704">
          <cell r="A704">
            <v>112288</v>
          </cell>
          <cell r="B704" t="str">
            <v>ELISEU DE CARVALHO NETO</v>
          </cell>
          <cell r="C704" t="str">
            <v>VARREDOR</v>
          </cell>
          <cell r="D704" t="str">
            <v>ECOSAMPA M'Boi Mirim</v>
          </cell>
        </row>
        <row r="705">
          <cell r="A705">
            <v>118051</v>
          </cell>
          <cell r="B705" t="str">
            <v>ELISSANDRA FERREIRA LIMA DOS SANTOS</v>
          </cell>
          <cell r="C705" t="str">
            <v>AJUDANTE EQ SERVICOS DIVERSOS</v>
          </cell>
          <cell r="D705" t="str">
            <v>ECOSAMPA M'Boi Mirim</v>
          </cell>
        </row>
        <row r="706">
          <cell r="A706">
            <v>114947</v>
          </cell>
          <cell r="B706" t="str">
            <v>ELITON RIBEIRO DA COSTA</v>
          </cell>
          <cell r="C706" t="str">
            <v>AJUDANTE EQ SERVICOS DIVERSOS</v>
          </cell>
          <cell r="D706" t="str">
            <v>ECOSAMPA Operação Geral</v>
          </cell>
        </row>
        <row r="707">
          <cell r="A707">
            <v>112297</v>
          </cell>
          <cell r="B707" t="str">
            <v>ELIVANIO BARBOSA SANTOS</v>
          </cell>
          <cell r="C707" t="str">
            <v>MOTORISTA CAMINHAO</v>
          </cell>
          <cell r="D707" t="str">
            <v>ECOSAMPA Operação Geral</v>
          </cell>
        </row>
        <row r="708">
          <cell r="A708">
            <v>112305</v>
          </cell>
          <cell r="B708" t="str">
            <v>ELIZABETE ANTONIA DE PAULA</v>
          </cell>
          <cell r="C708" t="str">
            <v>AJUDANTE EQ SERVICOS DIVERSOS</v>
          </cell>
          <cell r="D708" t="str">
            <v>ECOSAMPA Parelheiros</v>
          </cell>
        </row>
        <row r="709">
          <cell r="A709">
            <v>112312</v>
          </cell>
          <cell r="B709" t="str">
            <v>ELIZABETE MARIA PINHEIRO</v>
          </cell>
          <cell r="C709" t="str">
            <v>AJUDANTE EQ SERVICOS DIVERSOS</v>
          </cell>
          <cell r="D709" t="str">
            <v>ECOSAMPA Parelheiros</v>
          </cell>
        </row>
        <row r="710">
          <cell r="A710">
            <v>112359</v>
          </cell>
          <cell r="B710" t="str">
            <v>ELIZEU DA SILVA PEREIRA</v>
          </cell>
          <cell r="C710" t="str">
            <v>VARREDOR</v>
          </cell>
          <cell r="D710" t="str">
            <v>ECOSAMPA Santo Amaro</v>
          </cell>
        </row>
        <row r="711">
          <cell r="A711">
            <v>112366</v>
          </cell>
          <cell r="B711" t="str">
            <v>ELOI ALENCAR MATIAS</v>
          </cell>
          <cell r="C711" t="str">
            <v>MOTORISTA CAMINHAO</v>
          </cell>
          <cell r="D711" t="str">
            <v>ECOSAMPA Operação Geral</v>
          </cell>
        </row>
        <row r="712">
          <cell r="A712">
            <v>112372</v>
          </cell>
          <cell r="B712" t="str">
            <v>ELOISA LOPES LARANJEIRA</v>
          </cell>
          <cell r="C712" t="str">
            <v>VARREDOR</v>
          </cell>
          <cell r="D712" t="str">
            <v>ECOSAMPA Santo Amaro</v>
          </cell>
        </row>
        <row r="713">
          <cell r="A713">
            <v>112378</v>
          </cell>
          <cell r="B713" t="str">
            <v>ELSON AMORIM DE SOUSA</v>
          </cell>
          <cell r="C713" t="str">
            <v>VARREDOR</v>
          </cell>
          <cell r="D713" t="str">
            <v>ECOSAMPA Santo Amaro</v>
          </cell>
        </row>
        <row r="714">
          <cell r="A714">
            <v>112382</v>
          </cell>
          <cell r="B714" t="str">
            <v>ELSON DOS SANTOS SILVA</v>
          </cell>
          <cell r="C714" t="str">
            <v>FISCAL DE TURMA PLENO</v>
          </cell>
          <cell r="D714" t="str">
            <v>ECOSAMPA M'Boi Mirim</v>
          </cell>
        </row>
        <row r="715">
          <cell r="A715">
            <v>112395</v>
          </cell>
          <cell r="B715" t="str">
            <v>ELSON PEREIRA</v>
          </cell>
          <cell r="C715" t="str">
            <v>AJUDANTE EQ SERVICOS DIVERSOS</v>
          </cell>
          <cell r="D715" t="str">
            <v>ECOSAMPA Santo Amaro</v>
          </cell>
        </row>
        <row r="716">
          <cell r="A716">
            <v>121519</v>
          </cell>
          <cell r="B716" t="str">
            <v>ELTON DOS SANTOS LIRA</v>
          </cell>
          <cell r="C716" t="str">
            <v>AJUDANTE EQ SERVICOS DIVERSOS</v>
          </cell>
          <cell r="D716" t="str">
            <v>ECOSAMPA Operação Geral</v>
          </cell>
        </row>
        <row r="717">
          <cell r="A717">
            <v>114916</v>
          </cell>
          <cell r="B717" t="str">
            <v>ELVIS DOS SANTOS BATISTA</v>
          </cell>
          <cell r="C717" t="str">
            <v>AUXILIAR DE TRAFEGO</v>
          </cell>
          <cell r="D717" t="str">
            <v>ECOSAMPA Operação Geral</v>
          </cell>
        </row>
        <row r="718">
          <cell r="A718">
            <v>119649</v>
          </cell>
          <cell r="B718" t="str">
            <v>ELVIS MATHEUS BORBA DA CRUZ</v>
          </cell>
          <cell r="C718" t="str">
            <v>AJUDANTE EQ SERVICOS DIVERSOS</v>
          </cell>
          <cell r="D718" t="str">
            <v>ECOSAMPA Santo Amaro</v>
          </cell>
        </row>
        <row r="719">
          <cell r="A719">
            <v>122833</v>
          </cell>
          <cell r="B719" t="str">
            <v>ELZA DE JESUS ALVES DE SOUZA OLIVEIRA</v>
          </cell>
          <cell r="C719" t="str">
            <v>AJUDANTE EQ SERVICOS DIVERSOS</v>
          </cell>
          <cell r="D719" t="str">
            <v>ECOSAMPA Operação Geral</v>
          </cell>
        </row>
        <row r="720">
          <cell r="A720">
            <v>114315</v>
          </cell>
          <cell r="B720" t="str">
            <v>EMANOEL GOMES DA SILVA</v>
          </cell>
          <cell r="C720" t="str">
            <v>AJUDANTE EQ SERVICOS DIVERSOS</v>
          </cell>
          <cell r="D720" t="str">
            <v>ECOSAMPA Santo Amaro</v>
          </cell>
        </row>
        <row r="721">
          <cell r="A721">
            <v>112400</v>
          </cell>
          <cell r="B721" t="str">
            <v>EMERSON ARAUJO PEDROSO</v>
          </cell>
          <cell r="C721" t="str">
            <v>AUXILIAR DE CONTROLE OPERACIONAL</v>
          </cell>
          <cell r="D721" t="str">
            <v>ECOSAMPA Operação Geral</v>
          </cell>
        </row>
        <row r="722">
          <cell r="A722">
            <v>112404</v>
          </cell>
          <cell r="B722" t="str">
            <v>EMERSON CASTRO SILVA</v>
          </cell>
          <cell r="C722" t="str">
            <v>AJUDANTE EQ SERVICOS DIVERSOS</v>
          </cell>
          <cell r="D722" t="str">
            <v>ECOSAMPA Capela do Socorro</v>
          </cell>
        </row>
        <row r="723">
          <cell r="A723">
            <v>122415</v>
          </cell>
          <cell r="B723" t="str">
            <v>EMERSON CLAYTON DA SILVA FILHO</v>
          </cell>
          <cell r="C723" t="str">
            <v>AJUDANTE EQ SERVICOS DIVERSOS</v>
          </cell>
          <cell r="D723" t="str">
            <v>ECOSAMPA Operação Geral</v>
          </cell>
        </row>
        <row r="724">
          <cell r="A724">
            <v>112410</v>
          </cell>
          <cell r="B724" t="str">
            <v>EMERSON GOMES DA SILVA</v>
          </cell>
          <cell r="C724" t="str">
            <v>MOTORISTA CAMINHAO</v>
          </cell>
          <cell r="D724" t="str">
            <v>ECOSAMPA Operação Geral</v>
          </cell>
        </row>
        <row r="725">
          <cell r="A725">
            <v>114548</v>
          </cell>
          <cell r="B725" t="str">
            <v>EMERSON JESUS DO CARMO</v>
          </cell>
          <cell r="C725" t="str">
            <v>VARREDOR</v>
          </cell>
          <cell r="D725" t="str">
            <v>ECOSAMPA M'Boi Mirim</v>
          </cell>
        </row>
        <row r="726">
          <cell r="A726">
            <v>115209</v>
          </cell>
          <cell r="B726" t="str">
            <v>EMERSON JOSE DE SOUZA</v>
          </cell>
          <cell r="C726" t="str">
            <v>AJUDANTE EQ SERVICOS DIVERSOS</v>
          </cell>
          <cell r="D726" t="str">
            <v>ECOSAMPA M'Boi Mirim</v>
          </cell>
        </row>
        <row r="727">
          <cell r="A727">
            <v>112413</v>
          </cell>
          <cell r="B727" t="str">
            <v>EMERSON NEVES COSTA</v>
          </cell>
          <cell r="C727" t="str">
            <v>MOTORISTA CAMINHAO</v>
          </cell>
          <cell r="D727" t="str">
            <v>ECOSAMPA Operação Geral</v>
          </cell>
        </row>
        <row r="728">
          <cell r="A728">
            <v>112417</v>
          </cell>
          <cell r="B728" t="str">
            <v>EMERSON PAULO DA SILVA LIMA</v>
          </cell>
          <cell r="C728" t="str">
            <v>VARREDOR</v>
          </cell>
          <cell r="D728" t="str">
            <v>ECOSAMPA Santo Amaro</v>
          </cell>
        </row>
        <row r="729">
          <cell r="A729">
            <v>112427</v>
          </cell>
          <cell r="B729" t="str">
            <v>EMMANUEL JOSEPH</v>
          </cell>
          <cell r="C729" t="str">
            <v>VARREDOR</v>
          </cell>
          <cell r="D729" t="str">
            <v>ECOSAMPA Campo Limpo</v>
          </cell>
        </row>
        <row r="730">
          <cell r="A730">
            <v>115010</v>
          </cell>
          <cell r="B730" t="str">
            <v>ENIO MARCOS DE OLIVEIRA</v>
          </cell>
          <cell r="C730" t="str">
            <v>AJUDANTE EQ SERVICOS DIVERSOS</v>
          </cell>
          <cell r="D730" t="str">
            <v>ECOSAMPA Operação Geral</v>
          </cell>
        </row>
        <row r="731">
          <cell r="A731">
            <v>112439</v>
          </cell>
          <cell r="B731" t="str">
            <v>ERALDO COSME DA SILVA</v>
          </cell>
          <cell r="C731" t="str">
            <v>COLETOR</v>
          </cell>
          <cell r="D731" t="str">
            <v>ECOSAMPA Operação Geral</v>
          </cell>
        </row>
        <row r="732">
          <cell r="A732">
            <v>112449</v>
          </cell>
          <cell r="B732" t="str">
            <v>ERALDO SILVA DE OLIVEIRA</v>
          </cell>
          <cell r="C732" t="str">
            <v>VARREDOR</v>
          </cell>
          <cell r="D732" t="str">
            <v>ECOSAMPA Santo Amaro</v>
          </cell>
        </row>
        <row r="733">
          <cell r="A733">
            <v>112471</v>
          </cell>
          <cell r="B733" t="str">
            <v>ERASMO MIRANDA DOS SANTOS</v>
          </cell>
          <cell r="C733" t="str">
            <v>AJUDANTE EQ SERVICOS DIVERSOS</v>
          </cell>
          <cell r="D733" t="str">
            <v>ECOSAMPA Capela do Socorro</v>
          </cell>
        </row>
        <row r="734">
          <cell r="A734">
            <v>114255</v>
          </cell>
          <cell r="B734" t="str">
            <v>ERDILENE RODRIGUES DE SOUSA</v>
          </cell>
          <cell r="C734" t="str">
            <v>AJUDANTE EQ SERVICOS DIVERSOS</v>
          </cell>
          <cell r="D734" t="str">
            <v>ECOSAMPA Operação Geral</v>
          </cell>
        </row>
        <row r="735">
          <cell r="A735">
            <v>115212</v>
          </cell>
          <cell r="B735" t="str">
            <v>ERIC DA SILVA SANTANA</v>
          </cell>
          <cell r="C735" t="str">
            <v>AJUDANTE EQ SERVICOS DIVERSOS</v>
          </cell>
          <cell r="D735" t="str">
            <v>ECOSAMPA Operação Geral</v>
          </cell>
        </row>
        <row r="736">
          <cell r="A736">
            <v>116726</v>
          </cell>
          <cell r="B736" t="str">
            <v>ERIC DOS SANTOS PINTO</v>
          </cell>
          <cell r="C736" t="str">
            <v>VARREDOR</v>
          </cell>
          <cell r="D736" t="str">
            <v>ECOSAMPA M'Boi Mirim</v>
          </cell>
        </row>
        <row r="737">
          <cell r="A737">
            <v>117130</v>
          </cell>
          <cell r="B737" t="str">
            <v>ERICA FERNANDA SANTOS DE LIMA</v>
          </cell>
          <cell r="C737" t="str">
            <v>PENSIONISTAS</v>
          </cell>
          <cell r="D737" t="str">
            <v>ECOSAMPA Pensionistas</v>
          </cell>
        </row>
        <row r="738">
          <cell r="A738">
            <v>112473</v>
          </cell>
          <cell r="B738" t="str">
            <v>ERICK WILLIAM BORGES ARAUJO</v>
          </cell>
          <cell r="C738" t="str">
            <v>AUXILIAR DE CONTROLE OPERACIONAL</v>
          </cell>
          <cell r="D738" t="str">
            <v>ECOSAMPA Operação Geral</v>
          </cell>
        </row>
        <row r="739">
          <cell r="A739">
            <v>114735</v>
          </cell>
          <cell r="B739" t="str">
            <v>ERICO DE JESUS SOUZA</v>
          </cell>
          <cell r="C739" t="str">
            <v>AJUDANTE EQ SERVICOS DIVERSOS</v>
          </cell>
          <cell r="D739" t="str">
            <v>ECOSAMPA Santo Amaro</v>
          </cell>
        </row>
        <row r="740">
          <cell r="A740">
            <v>114699</v>
          </cell>
          <cell r="B740" t="str">
            <v>ERIK RIBEIRO DA SILVA</v>
          </cell>
          <cell r="C740" t="str">
            <v>AJUDANTE EQ SERVICOS DIVERSOS</v>
          </cell>
          <cell r="D740" t="str">
            <v>ECOSAMPA Santo Amaro</v>
          </cell>
        </row>
        <row r="741">
          <cell r="A741">
            <v>119652</v>
          </cell>
          <cell r="B741" t="str">
            <v>ERIKA DOS SANTOS OLIVEIRA</v>
          </cell>
          <cell r="C741" t="str">
            <v>VARREDOR</v>
          </cell>
          <cell r="D741" t="str">
            <v>ECOSAMPA Santo Amaro</v>
          </cell>
        </row>
        <row r="742">
          <cell r="A742">
            <v>114874</v>
          </cell>
          <cell r="B742" t="str">
            <v>ERIKA TENDEIRO MOREIRA</v>
          </cell>
          <cell r="C742" t="str">
            <v>AGENTE AMBIENTAL</v>
          </cell>
          <cell r="D742" t="str">
            <v>ECOSAMPA M'Boi Mirim</v>
          </cell>
        </row>
        <row r="743">
          <cell r="A743">
            <v>112479</v>
          </cell>
          <cell r="B743" t="str">
            <v>ERINALDO DOS SANTOS SILVA</v>
          </cell>
          <cell r="C743" t="str">
            <v>AJUDANTE EQ SERVICOS DIVERSOS</v>
          </cell>
          <cell r="D743" t="str">
            <v>ECOSAMPA Santo Amaro</v>
          </cell>
        </row>
        <row r="744">
          <cell r="A744">
            <v>112484</v>
          </cell>
          <cell r="B744" t="str">
            <v>ERISSON DOS SANTOS BARBOSA</v>
          </cell>
          <cell r="C744" t="str">
            <v>AJUDANTE EQ SERVICOS DIVERSOS</v>
          </cell>
          <cell r="D744" t="str">
            <v>ECOSAMPA Campo Limpo</v>
          </cell>
        </row>
        <row r="745">
          <cell r="A745">
            <v>112487</v>
          </cell>
          <cell r="B745" t="str">
            <v>ERISVAN PEREIRA ALVES</v>
          </cell>
          <cell r="C745" t="str">
            <v>VARREDOR</v>
          </cell>
          <cell r="D745" t="str">
            <v>ECOSAMPA M'Boi Mirim</v>
          </cell>
        </row>
        <row r="746">
          <cell r="A746">
            <v>112494</v>
          </cell>
          <cell r="B746" t="str">
            <v>ERIVALDO PEREIRA DE GOUVEIA</v>
          </cell>
          <cell r="C746" t="str">
            <v>BUEIRISTA</v>
          </cell>
          <cell r="D746" t="str">
            <v>ECOSAMPA Santo Amaro</v>
          </cell>
        </row>
        <row r="747">
          <cell r="A747">
            <v>113776</v>
          </cell>
          <cell r="B747" t="str">
            <v>ERIVALDO TIBURCIO DE MELO</v>
          </cell>
          <cell r="C747" t="str">
            <v>MECANICO III</v>
          </cell>
          <cell r="D747" t="str">
            <v>ECOSAMPA Operação Geral</v>
          </cell>
        </row>
        <row r="748">
          <cell r="A748">
            <v>112500</v>
          </cell>
          <cell r="B748" t="str">
            <v>ERIVAN SILVA ALVES</v>
          </cell>
          <cell r="C748" t="str">
            <v>AJUDANTE EQ SERVICOS DIVERSOS</v>
          </cell>
          <cell r="D748" t="str">
            <v>ECOSAMPA M'Boi Mirim</v>
          </cell>
        </row>
        <row r="749">
          <cell r="A749">
            <v>112506</v>
          </cell>
          <cell r="B749" t="str">
            <v>ERIVANILDO BATISTA LOPES</v>
          </cell>
          <cell r="C749" t="str">
            <v>MOTORISTA CAMINHAO</v>
          </cell>
          <cell r="D749" t="str">
            <v>ECOSAMPA Operação Geral</v>
          </cell>
        </row>
        <row r="750">
          <cell r="A750">
            <v>112510</v>
          </cell>
          <cell r="B750" t="str">
            <v>ERNALDO SOUSA DE JESUS</v>
          </cell>
          <cell r="C750" t="str">
            <v>AJUDANTE EQ SERVICOS DIVERSOS</v>
          </cell>
          <cell r="D750" t="str">
            <v>ECOSAMPA Campo Limpo</v>
          </cell>
        </row>
        <row r="751">
          <cell r="A751">
            <v>112514</v>
          </cell>
          <cell r="B751" t="str">
            <v>ERNANDES FLORENTINO SOARES</v>
          </cell>
          <cell r="C751" t="str">
            <v>BUEIRISTA</v>
          </cell>
          <cell r="D751" t="str">
            <v>ECOSAMPA Capela do Socorro</v>
          </cell>
        </row>
        <row r="752">
          <cell r="A752">
            <v>112518</v>
          </cell>
          <cell r="B752" t="str">
            <v>ERONILDO BATISTA DO NASCIMENTO</v>
          </cell>
          <cell r="C752" t="str">
            <v>MOTORISTA CAMINHAO</v>
          </cell>
          <cell r="D752" t="str">
            <v>ECOSAMPA Operação Geral</v>
          </cell>
        </row>
        <row r="753">
          <cell r="A753">
            <v>112520</v>
          </cell>
          <cell r="B753" t="str">
            <v>ESPEDITO RODRIGUES DOS SANTOS</v>
          </cell>
          <cell r="C753" t="str">
            <v>VARREDOR</v>
          </cell>
          <cell r="D753" t="str">
            <v>ECOSAMPA Santo Amaro</v>
          </cell>
        </row>
        <row r="754">
          <cell r="A754">
            <v>112522</v>
          </cell>
          <cell r="B754" t="str">
            <v>ESPERIDIAO CORREIA DA SILVA</v>
          </cell>
          <cell r="C754" t="str">
            <v>VARREDOR</v>
          </cell>
          <cell r="D754" t="str">
            <v>ECOSAMPA Campo Limpo</v>
          </cell>
        </row>
        <row r="755">
          <cell r="A755">
            <v>112574</v>
          </cell>
          <cell r="B755" t="str">
            <v>EUGENIO ANDRE RODRIGUES</v>
          </cell>
          <cell r="C755" t="str">
            <v>FISCAL DE TURMA PLENO</v>
          </cell>
          <cell r="D755" t="str">
            <v>ECOSAMPA Operação Geral</v>
          </cell>
        </row>
        <row r="756">
          <cell r="A756">
            <v>112580</v>
          </cell>
          <cell r="B756" t="str">
            <v>EURIPEDES ONOFRE DA SILVA</v>
          </cell>
          <cell r="C756" t="str">
            <v>AJUDANTE EQ SERVICOS DIVERSOS</v>
          </cell>
          <cell r="D756" t="str">
            <v>ECOSAMPA M'Boi Mirim</v>
          </cell>
        </row>
        <row r="757">
          <cell r="A757">
            <v>112586</v>
          </cell>
          <cell r="B757" t="str">
            <v>EUZEMAR FRANCO DE LIMA</v>
          </cell>
          <cell r="C757" t="str">
            <v>VARREDOR</v>
          </cell>
          <cell r="D757" t="str">
            <v>ECOSAMPA Campo Limpo</v>
          </cell>
        </row>
        <row r="758">
          <cell r="A758">
            <v>112590</v>
          </cell>
          <cell r="B758" t="str">
            <v>EVACI FERREIRA DOS SANTOS</v>
          </cell>
          <cell r="C758" t="str">
            <v>COLETOR</v>
          </cell>
          <cell r="D758" t="str">
            <v>ECOSAMPA Operação Geral</v>
          </cell>
        </row>
        <row r="759">
          <cell r="A759">
            <v>112598</v>
          </cell>
          <cell r="B759" t="str">
            <v>EVALDO MOREIRA SANTOS</v>
          </cell>
          <cell r="C759" t="str">
            <v>MOTORISTA CAMINHAO</v>
          </cell>
          <cell r="D759" t="str">
            <v>ECOSAMPA Operação Geral</v>
          </cell>
        </row>
        <row r="760">
          <cell r="A760">
            <v>112602</v>
          </cell>
          <cell r="B760" t="str">
            <v>EVALDO SILVA</v>
          </cell>
          <cell r="C760" t="str">
            <v>FISCAL DE TURMA PLENO</v>
          </cell>
          <cell r="D760" t="str">
            <v>ECOSAMPA Capela do Socorro</v>
          </cell>
        </row>
        <row r="761">
          <cell r="A761">
            <v>112606</v>
          </cell>
          <cell r="B761" t="str">
            <v>EVANDRO ANTONIO DA CUNHA</v>
          </cell>
          <cell r="C761" t="str">
            <v>COLETOR</v>
          </cell>
          <cell r="D761" t="str">
            <v>ECOSAMPA Operação Geral</v>
          </cell>
        </row>
        <row r="762">
          <cell r="A762">
            <v>112609</v>
          </cell>
          <cell r="B762" t="str">
            <v>EVANDRO RAMOS DA SILVA</v>
          </cell>
          <cell r="C762" t="str">
            <v>VARREDOR</v>
          </cell>
          <cell r="D762" t="str">
            <v>ECOSAMPA Capela do Socorro</v>
          </cell>
        </row>
        <row r="763">
          <cell r="A763">
            <v>112616</v>
          </cell>
          <cell r="B763" t="str">
            <v>EVERALDO DA SILVA MARQUES</v>
          </cell>
          <cell r="C763" t="str">
            <v>COLETOR</v>
          </cell>
          <cell r="D763" t="str">
            <v>ECOSAMPA Operação Geral</v>
          </cell>
        </row>
        <row r="764">
          <cell r="A764">
            <v>112619</v>
          </cell>
          <cell r="B764" t="str">
            <v>EVERSSON HENRIQUE CIPRIANO</v>
          </cell>
          <cell r="C764" t="str">
            <v>AJUDANTE EQ SERVICOS DIVERSOS</v>
          </cell>
          <cell r="D764" t="str">
            <v>ECOSAMPA Capela do Socorro</v>
          </cell>
        </row>
        <row r="765">
          <cell r="A765">
            <v>112623</v>
          </cell>
          <cell r="B765" t="str">
            <v>EVERTON DE JESUS SOUZA</v>
          </cell>
          <cell r="C765" t="str">
            <v>AJUDANTE EQ SERVICOS DIVERSOS</v>
          </cell>
          <cell r="D765" t="str">
            <v>ECOSAMPA Parelheiros</v>
          </cell>
        </row>
        <row r="766">
          <cell r="A766">
            <v>116027</v>
          </cell>
          <cell r="B766" t="str">
            <v>EVERTON FREITAS DA SILVA</v>
          </cell>
          <cell r="C766" t="str">
            <v>AJUDANTE EQ SERVICOS DIVERSOS</v>
          </cell>
          <cell r="D766" t="str">
            <v>ECOSAMPA Campo Limpo</v>
          </cell>
        </row>
        <row r="767">
          <cell r="A767">
            <v>114967</v>
          </cell>
          <cell r="B767" t="str">
            <v>EVERTON HENRIQUE DA SILVA</v>
          </cell>
          <cell r="C767" t="str">
            <v>AJUDANTE EQ SERVICOS DIVERSOS</v>
          </cell>
          <cell r="D767" t="str">
            <v>ECOSAMPA Operação Geral</v>
          </cell>
        </row>
        <row r="768">
          <cell r="A768">
            <v>112624</v>
          </cell>
          <cell r="B768" t="str">
            <v>EVERTON SOARES DA SILVA</v>
          </cell>
          <cell r="C768" t="str">
            <v>AJUDANTE EQ SERVICOS DIVERSOS</v>
          </cell>
          <cell r="D768" t="str">
            <v>ECOSAMPA Parelheiros</v>
          </cell>
        </row>
        <row r="769">
          <cell r="A769">
            <v>121525</v>
          </cell>
          <cell r="B769" t="str">
            <v>EVERTON SOUZA DA SILVA</v>
          </cell>
          <cell r="C769" t="str">
            <v>AJUDANTE EQ SERVICOS DIVERSOS</v>
          </cell>
          <cell r="D769" t="str">
            <v>ECOSAMPA M'Boi Mirim</v>
          </cell>
        </row>
        <row r="770">
          <cell r="A770">
            <v>112629</v>
          </cell>
          <cell r="B770" t="str">
            <v>EXPEDITO FERREIRA DA SILVA</v>
          </cell>
          <cell r="C770" t="str">
            <v>VARREDOR</v>
          </cell>
          <cell r="D770" t="str">
            <v>ECOSAMPA Santo Amaro</v>
          </cell>
        </row>
        <row r="771">
          <cell r="A771">
            <v>113713</v>
          </cell>
          <cell r="B771" t="str">
            <v>FABIAN DA SILVA ALVAREZ</v>
          </cell>
          <cell r="C771" t="str">
            <v>ELETRICISTA ADM</v>
          </cell>
          <cell r="D771" t="str">
            <v>ECOSAMPA Operação Geral</v>
          </cell>
        </row>
        <row r="772">
          <cell r="A772">
            <v>115134</v>
          </cell>
          <cell r="B772" t="str">
            <v>FABIANA APARECIDA MENDES MELO</v>
          </cell>
          <cell r="C772" t="str">
            <v>TECNICA DE ENFERMAGEM DO TRABALHO</v>
          </cell>
          <cell r="D772" t="str">
            <v>ECOSAMPA Operação Geral</v>
          </cell>
        </row>
        <row r="773">
          <cell r="A773">
            <v>117398</v>
          </cell>
          <cell r="B773" t="str">
            <v>FABIANA ARIANE TEIXEIRA DOS REIS</v>
          </cell>
          <cell r="C773" t="str">
            <v>ANALISTA DE PLANEJAMENTO OPERACIONAL</v>
          </cell>
          <cell r="D773" t="str">
            <v>ECOSAMPA Operação Geral</v>
          </cell>
        </row>
        <row r="774">
          <cell r="A774">
            <v>114538</v>
          </cell>
          <cell r="B774" t="str">
            <v>FABIANO ANSALDI DOMINGOS</v>
          </cell>
          <cell r="C774" t="str">
            <v>ENCARREGADO DE TURMA</v>
          </cell>
          <cell r="D774" t="str">
            <v>ECOSAMPA Santo Amaro</v>
          </cell>
        </row>
        <row r="775">
          <cell r="A775">
            <v>112633</v>
          </cell>
          <cell r="B775" t="str">
            <v>FABIANO ARAUJO DE MOURA</v>
          </cell>
          <cell r="C775" t="str">
            <v>AJUDANTE EQ SERVICOS DIVERSOS</v>
          </cell>
          <cell r="D775" t="str">
            <v>ECOSAMPA M'Boi Mirim</v>
          </cell>
        </row>
        <row r="776">
          <cell r="A776">
            <v>112638</v>
          </cell>
          <cell r="B776" t="str">
            <v>FABIANO CHAGAS MACIEL</v>
          </cell>
          <cell r="C776" t="str">
            <v>AJUDANTE EQ SERVICOS DIVERSOS</v>
          </cell>
          <cell r="D776" t="str">
            <v>ECOSAMPA Capela do Socorro</v>
          </cell>
        </row>
        <row r="777">
          <cell r="A777">
            <v>119642</v>
          </cell>
          <cell r="B777" t="str">
            <v>FABIANO FRANCISCO LOPES</v>
          </cell>
          <cell r="C777" t="str">
            <v>AJUDANTE EQ SERVICOS DIVERSOS</v>
          </cell>
          <cell r="D777" t="str">
            <v>ECOSAMPA M'Boi Mirim</v>
          </cell>
        </row>
        <row r="778">
          <cell r="A778">
            <v>114708</v>
          </cell>
          <cell r="B778" t="str">
            <v>FABIANO JOSE DA SILVA</v>
          </cell>
          <cell r="C778" t="str">
            <v>VARREDOR</v>
          </cell>
          <cell r="D778" t="str">
            <v>ECOSAMPA M'Boi Mirim</v>
          </cell>
        </row>
        <row r="779">
          <cell r="A779">
            <v>112643</v>
          </cell>
          <cell r="B779" t="str">
            <v>FABIANO LANDIM DA ROCHA</v>
          </cell>
          <cell r="C779" t="str">
            <v>FISCAL DE TURMA PLENO</v>
          </cell>
          <cell r="D779" t="str">
            <v>ECOSAMPA Parelheiros</v>
          </cell>
        </row>
        <row r="780">
          <cell r="A780">
            <v>112647</v>
          </cell>
          <cell r="B780" t="str">
            <v>FABIANO LIMA DE SOUSA</v>
          </cell>
          <cell r="C780" t="str">
            <v>AJUDANTE EQ SERVICOS DIVERSOS</v>
          </cell>
          <cell r="D780" t="str">
            <v>ECOSAMPA Campo Limpo</v>
          </cell>
        </row>
        <row r="781">
          <cell r="A781">
            <v>112650</v>
          </cell>
          <cell r="B781" t="str">
            <v>FABIANO PEREIRA DE OLIVEIRA SANTOS</v>
          </cell>
          <cell r="C781" t="str">
            <v>VARREDOR</v>
          </cell>
          <cell r="D781" t="str">
            <v>ECOSAMPA Capela do Socorro</v>
          </cell>
        </row>
        <row r="782">
          <cell r="A782">
            <v>115377</v>
          </cell>
          <cell r="B782" t="str">
            <v>FABIANO RODRIGUES JOAQUIM</v>
          </cell>
          <cell r="C782" t="str">
            <v>AJUDANTE EQ SERVICOS DIVERSOS</v>
          </cell>
          <cell r="D782" t="str">
            <v>ECOSAMPA Campo Limpo</v>
          </cell>
        </row>
        <row r="783">
          <cell r="A783">
            <v>114702</v>
          </cell>
          <cell r="B783" t="str">
            <v>FABIANO SILVA LEITAO</v>
          </cell>
          <cell r="C783" t="str">
            <v>VARREDOR</v>
          </cell>
          <cell r="D783" t="str">
            <v>ECOSAMPA Campo Limpo</v>
          </cell>
        </row>
        <row r="784">
          <cell r="A784">
            <v>114260</v>
          </cell>
          <cell r="B784" t="str">
            <v>FABIO ALVES DE LIMA</v>
          </cell>
          <cell r="C784" t="str">
            <v>AJUDANTE EQ SERVICOS DIVERSOS</v>
          </cell>
          <cell r="D784" t="str">
            <v>ECOSAMPA Santo Amaro</v>
          </cell>
        </row>
        <row r="785">
          <cell r="A785">
            <v>114875</v>
          </cell>
          <cell r="B785" t="str">
            <v>FABIO ALVES GONCALVES</v>
          </cell>
          <cell r="C785" t="str">
            <v>AGENTE AMBIENTAL</v>
          </cell>
          <cell r="D785" t="str">
            <v>ECOSAMPA Capela do Socorro</v>
          </cell>
        </row>
        <row r="786">
          <cell r="A786">
            <v>112654</v>
          </cell>
          <cell r="B786" t="str">
            <v>FABIO CESAR DE OLIVEIRA SOUZA</v>
          </cell>
          <cell r="C786" t="str">
            <v>MOTORISTA CAMINHAO</v>
          </cell>
          <cell r="D786" t="str">
            <v>ECOSAMPA Operação Geral</v>
          </cell>
        </row>
        <row r="787">
          <cell r="A787">
            <v>113735</v>
          </cell>
          <cell r="B787" t="str">
            <v>FABIO DA COSTA FERNANDES</v>
          </cell>
          <cell r="C787" t="str">
            <v>ENCARREGADO DE PLANEJAMENTO</v>
          </cell>
          <cell r="D787" t="str">
            <v>ECOSAMPA Operação Geral</v>
          </cell>
        </row>
        <row r="788">
          <cell r="A788">
            <v>112657</v>
          </cell>
          <cell r="B788" t="str">
            <v>FABIO DA COSTA FERREIRA</v>
          </cell>
          <cell r="C788" t="str">
            <v>VARREDOR</v>
          </cell>
          <cell r="D788" t="str">
            <v>ECOSAMPA M'Boi Mirim</v>
          </cell>
        </row>
        <row r="789">
          <cell r="A789">
            <v>112661</v>
          </cell>
          <cell r="B789" t="str">
            <v>FABIO DA SILVA ALVES ROLIM</v>
          </cell>
          <cell r="C789" t="str">
            <v>MOTORISTA DE CAMINHAO</v>
          </cell>
          <cell r="D789" t="str">
            <v>ECOSAMPA Operação Geral</v>
          </cell>
        </row>
        <row r="790">
          <cell r="A790">
            <v>112665</v>
          </cell>
          <cell r="B790" t="str">
            <v>FABIO DA SILVA BEZERRA</v>
          </cell>
          <cell r="C790" t="str">
            <v>VARREDOR</v>
          </cell>
          <cell r="D790" t="str">
            <v>ECOSAMPA Capela do Socorro</v>
          </cell>
        </row>
        <row r="791">
          <cell r="A791">
            <v>112668</v>
          </cell>
          <cell r="B791" t="str">
            <v>FABIO DA SILVA DUARTE</v>
          </cell>
          <cell r="C791" t="str">
            <v>VARREDOR</v>
          </cell>
          <cell r="D791" t="str">
            <v>ECOSAMPA M'Boi Mirim</v>
          </cell>
        </row>
        <row r="792">
          <cell r="A792">
            <v>112673</v>
          </cell>
          <cell r="B792" t="str">
            <v>FABIO DE FREITAS FONSECA</v>
          </cell>
          <cell r="C792" t="str">
            <v>AJUDANTE EQ SERVICOS DIVERSOS</v>
          </cell>
          <cell r="D792" t="str">
            <v>ECOSAMPA Capela do Socorro</v>
          </cell>
        </row>
        <row r="793">
          <cell r="A793">
            <v>116233</v>
          </cell>
          <cell r="B793" t="str">
            <v>FABIO DE SOUZA</v>
          </cell>
          <cell r="C793" t="str">
            <v>AJUDANTE EQ SERVICOS DIVERSOS</v>
          </cell>
          <cell r="D793" t="str">
            <v>ECOSAMPA Santo Amaro</v>
          </cell>
        </row>
        <row r="794">
          <cell r="A794">
            <v>114700</v>
          </cell>
          <cell r="B794" t="str">
            <v>FABIO DOS SANTOS SOUZA</v>
          </cell>
          <cell r="C794" t="str">
            <v>VARREDOR</v>
          </cell>
          <cell r="D794" t="str">
            <v>ECOSAMPA Santo Amaro</v>
          </cell>
        </row>
        <row r="795">
          <cell r="A795">
            <v>112680</v>
          </cell>
          <cell r="B795" t="str">
            <v>FABIO FERREIRA DO NASCIMENTO</v>
          </cell>
          <cell r="C795" t="str">
            <v>FISCAL DE TURMA PLENO</v>
          </cell>
          <cell r="D795" t="str">
            <v>ECOSAMPA Santo Amaro</v>
          </cell>
        </row>
        <row r="796">
          <cell r="A796">
            <v>112695</v>
          </cell>
          <cell r="B796" t="str">
            <v>FABIO HENRIQUE VIGNOLI</v>
          </cell>
          <cell r="C796" t="str">
            <v>AJUDANTE EQ SERVICOS DIVERSOS</v>
          </cell>
          <cell r="D796" t="str">
            <v>ECOSAMPA Santo Amaro</v>
          </cell>
        </row>
        <row r="797">
          <cell r="A797">
            <v>114506</v>
          </cell>
          <cell r="B797" t="str">
            <v>FABIO JOSE DOS SANTOS</v>
          </cell>
          <cell r="C797" t="str">
            <v>PEDREIRO</v>
          </cell>
          <cell r="D797" t="str">
            <v>ECOSAMPA Operação Geral</v>
          </cell>
        </row>
        <row r="798">
          <cell r="A798">
            <v>112709</v>
          </cell>
          <cell r="B798" t="str">
            <v>FABIO JULIO FRANCISCO LUZ DA SILVA</v>
          </cell>
          <cell r="C798" t="str">
            <v>MOTORISTA CAMINHAO</v>
          </cell>
          <cell r="D798" t="str">
            <v>ECOSAMPA Operação Geral</v>
          </cell>
        </row>
        <row r="799">
          <cell r="A799">
            <v>122821</v>
          </cell>
          <cell r="B799" t="str">
            <v>FABIO JUNIO MUNIZ DE ARRUDA</v>
          </cell>
          <cell r="C799" t="str">
            <v>AJUDANTE EQ SERVICOS DIVERSOS</v>
          </cell>
          <cell r="D799" t="str">
            <v>ECOSAMPA Parelheiros</v>
          </cell>
        </row>
        <row r="800">
          <cell r="A800">
            <v>112713</v>
          </cell>
          <cell r="B800" t="str">
            <v>FABIO JUNIOR DOS SANTOS COSTA</v>
          </cell>
          <cell r="C800" t="str">
            <v>MOTORISTA DE CAMINHAO</v>
          </cell>
          <cell r="D800" t="str">
            <v>ECOSAMPA Operação Geral</v>
          </cell>
        </row>
        <row r="801">
          <cell r="A801">
            <v>114989</v>
          </cell>
          <cell r="B801" t="str">
            <v>FABIO LIMA RODRIGUES DE LUCENA</v>
          </cell>
          <cell r="C801" t="str">
            <v>AJUDANTE EQ SERVICOS DIVERSOS</v>
          </cell>
          <cell r="D801" t="str">
            <v>ECOSAMPA Santo Amaro</v>
          </cell>
        </row>
        <row r="802">
          <cell r="A802">
            <v>112716</v>
          </cell>
          <cell r="B802" t="str">
            <v>FABIO MIRANDA SILVA</v>
          </cell>
          <cell r="C802" t="str">
            <v>VARREDOR</v>
          </cell>
          <cell r="D802" t="str">
            <v>ECOSAMPA Campo Limpo</v>
          </cell>
        </row>
        <row r="803">
          <cell r="A803">
            <v>112720</v>
          </cell>
          <cell r="B803" t="str">
            <v>FABIO OLIVEIRA DOS ANJOS</v>
          </cell>
          <cell r="C803" t="str">
            <v>VARREDOR</v>
          </cell>
          <cell r="D803" t="str">
            <v>ECOSAMPA Santo Amaro</v>
          </cell>
        </row>
        <row r="804">
          <cell r="A804">
            <v>112724</v>
          </cell>
          <cell r="B804" t="str">
            <v>FABIO PEREIRA BARROS</v>
          </cell>
          <cell r="C804" t="str">
            <v>AJUDANTE EQ SERVICOS DIVERSOS</v>
          </cell>
          <cell r="D804" t="str">
            <v>ECOSAMPA Parelheiros</v>
          </cell>
        </row>
        <row r="805">
          <cell r="A805">
            <v>112734</v>
          </cell>
          <cell r="B805" t="str">
            <v>FABIO ROBERTO DE LIMA MEDEIROS</v>
          </cell>
          <cell r="C805" t="str">
            <v>MOTORISTA CAMINHAO</v>
          </cell>
          <cell r="D805" t="str">
            <v>ECOSAMPA Operação Geral</v>
          </cell>
        </row>
        <row r="806">
          <cell r="A806">
            <v>114120</v>
          </cell>
          <cell r="B806" t="str">
            <v>FABIO ROBERTO DOS SANTOS</v>
          </cell>
          <cell r="C806" t="str">
            <v>OPERADOR DE MAQUINA SENIOR</v>
          </cell>
          <cell r="D806" t="str">
            <v>ECOSAMPA Operação Geral</v>
          </cell>
        </row>
        <row r="807">
          <cell r="A807">
            <v>112737</v>
          </cell>
          <cell r="B807" t="str">
            <v>FABIO ROBERTO SILVA</v>
          </cell>
          <cell r="C807" t="str">
            <v>VARREDOR</v>
          </cell>
          <cell r="D807" t="str">
            <v>ECOSAMPA Santo Amaro</v>
          </cell>
        </row>
        <row r="808">
          <cell r="A808">
            <v>112742</v>
          </cell>
          <cell r="B808" t="str">
            <v>FABIO SANTOS SALES</v>
          </cell>
          <cell r="C808" t="str">
            <v>FISCAL DE TURMA PLENO</v>
          </cell>
          <cell r="D808" t="str">
            <v>ECOSAMPA Operação Geral</v>
          </cell>
        </row>
        <row r="809">
          <cell r="A809">
            <v>114542</v>
          </cell>
          <cell r="B809" t="str">
            <v>FABIO SANTOS SILVA</v>
          </cell>
          <cell r="C809" t="str">
            <v>AJUDANTE EQ SERVICOS DIVERSOS</v>
          </cell>
          <cell r="D809" t="str">
            <v>ECOSAMPA Capela do Socorro</v>
          </cell>
        </row>
        <row r="810">
          <cell r="A810">
            <v>114701</v>
          </cell>
          <cell r="B810" t="str">
            <v>FABIO SOARES DE ASSIS</v>
          </cell>
          <cell r="C810" t="str">
            <v>VARREDOR</v>
          </cell>
          <cell r="D810" t="str">
            <v>ECOSAMPA M'Boi Mirim</v>
          </cell>
        </row>
        <row r="811">
          <cell r="A811">
            <v>121956</v>
          </cell>
          <cell r="B811" t="str">
            <v>FABRIANO SOUSA LIMA</v>
          </cell>
          <cell r="C811" t="str">
            <v>AJUDANTE EQ SERVICOS DIVERSOS</v>
          </cell>
          <cell r="D811" t="str">
            <v>ECOSAMPA Capela do Socorro</v>
          </cell>
        </row>
        <row r="812">
          <cell r="A812">
            <v>121407</v>
          </cell>
          <cell r="B812" t="str">
            <v>FABRICIO APARECIDO DE BORBA TRINDADE</v>
          </cell>
          <cell r="C812" t="str">
            <v>AJUDANTE EQ SERVICOS DIVERSOS</v>
          </cell>
          <cell r="D812" t="str">
            <v>ECOSAMPA Operação Geral</v>
          </cell>
        </row>
        <row r="813">
          <cell r="A813">
            <v>112745</v>
          </cell>
          <cell r="B813" t="str">
            <v>FABRICIO DA COSTA GOMES</v>
          </cell>
          <cell r="C813" t="str">
            <v>LAVADOR</v>
          </cell>
          <cell r="D813" t="str">
            <v>ECOSAMPA Operação Geral</v>
          </cell>
        </row>
        <row r="814">
          <cell r="A814">
            <v>120622</v>
          </cell>
          <cell r="B814" t="str">
            <v>FABRICIO DA CRUZ SANTOS</v>
          </cell>
          <cell r="C814" t="str">
            <v>AJUDANTE EQ SERVICOS DIVERSOS</v>
          </cell>
          <cell r="D814" t="str">
            <v>ECOSAMPA Santo Amaro</v>
          </cell>
        </row>
        <row r="815">
          <cell r="A815">
            <v>114606</v>
          </cell>
          <cell r="B815" t="str">
            <v>FABRICIO REGIS DO REGO</v>
          </cell>
          <cell r="C815" t="str">
            <v>VARREDOR</v>
          </cell>
          <cell r="D815" t="str">
            <v>ECOSAMPA Santo Amaro</v>
          </cell>
        </row>
        <row r="816">
          <cell r="A816">
            <v>112749</v>
          </cell>
          <cell r="B816" t="str">
            <v>FAUSTINIANO MONTEIRO MAGALHAES</v>
          </cell>
          <cell r="C816" t="str">
            <v>VARREDOR</v>
          </cell>
          <cell r="D816" t="str">
            <v>ECOSAMPA Santo Amaro</v>
          </cell>
        </row>
        <row r="817">
          <cell r="A817">
            <v>112753</v>
          </cell>
          <cell r="B817" t="str">
            <v>FAUSTINO ARNALDO DE LANA</v>
          </cell>
          <cell r="C817" t="str">
            <v>MECANICO II</v>
          </cell>
          <cell r="D817" t="str">
            <v>ECOSAMPA Operação Geral</v>
          </cell>
        </row>
        <row r="818">
          <cell r="A818">
            <v>112757</v>
          </cell>
          <cell r="B818" t="str">
            <v>FAUSTO ALVES DE ALMEIDA</v>
          </cell>
          <cell r="C818" t="str">
            <v>MOTORISTA CAMINHAO</v>
          </cell>
          <cell r="D818" t="str">
            <v>ECOSAMPA Operação Geral</v>
          </cell>
        </row>
        <row r="819">
          <cell r="A819">
            <v>114917</v>
          </cell>
          <cell r="B819" t="str">
            <v>FELIPE CANDIDO DE OLIVEIRA</v>
          </cell>
          <cell r="C819" t="str">
            <v>AJUDANTE EQ SERVICOS DIVERSOS</v>
          </cell>
          <cell r="D819" t="str">
            <v>ECOSAMPA Santo Amaro</v>
          </cell>
        </row>
        <row r="820">
          <cell r="A820">
            <v>114918</v>
          </cell>
          <cell r="B820" t="str">
            <v>FELIPE CESAR SATO AZEVEDO</v>
          </cell>
          <cell r="C820" t="str">
            <v>AJUDANTE EQ SERVICOS DIVERSOS</v>
          </cell>
          <cell r="D820" t="str">
            <v>ECOSAMPA Operação Geral</v>
          </cell>
        </row>
        <row r="821">
          <cell r="A821">
            <v>115214</v>
          </cell>
          <cell r="B821" t="str">
            <v>FELIPE CUSTODIO DA SILVA</v>
          </cell>
          <cell r="C821" t="str">
            <v>AJUDANTE EQ SERVICOS DIVERSOS</v>
          </cell>
          <cell r="D821" t="str">
            <v>ECOSAMPA Capela do Socorro</v>
          </cell>
        </row>
        <row r="822">
          <cell r="A822">
            <v>116724</v>
          </cell>
          <cell r="B822" t="str">
            <v>FELIPE DA SILVA VILAR LIMA</v>
          </cell>
          <cell r="C822" t="str">
            <v>VARREDOR</v>
          </cell>
          <cell r="D822" t="str">
            <v>ECOSAMPA Capela do Socorro</v>
          </cell>
        </row>
        <row r="823">
          <cell r="A823">
            <v>115397</v>
          </cell>
          <cell r="B823" t="str">
            <v>FELIPE DE JESUS</v>
          </cell>
          <cell r="C823" t="str">
            <v>AJUDANTE EQ SERVICOS DIVERSOS</v>
          </cell>
          <cell r="D823" t="str">
            <v>ECOSAMPA Operação Geral</v>
          </cell>
        </row>
        <row r="824">
          <cell r="A824">
            <v>114919</v>
          </cell>
          <cell r="B824" t="str">
            <v>FELIPE DE LIMA CARVALHO</v>
          </cell>
          <cell r="C824" t="str">
            <v>AJUDANTE EQ SERVICOS DIVERSOS</v>
          </cell>
          <cell r="D824" t="str">
            <v>ECOSAMPA Operação Geral</v>
          </cell>
        </row>
        <row r="825">
          <cell r="A825">
            <v>116715</v>
          </cell>
          <cell r="B825" t="str">
            <v>FELIPE DE SOUZA</v>
          </cell>
          <cell r="C825" t="str">
            <v>AJUDANTE EQ SERVICOS DIVERSOS</v>
          </cell>
          <cell r="D825" t="str">
            <v>ECOSAMPA Capela do Socorro</v>
          </cell>
        </row>
        <row r="826">
          <cell r="A826">
            <v>115378</v>
          </cell>
          <cell r="B826" t="str">
            <v>FELIPE DE SOUZA TELES</v>
          </cell>
          <cell r="C826" t="str">
            <v>AJUDANTE EQ SERVICOS DIVERSOS</v>
          </cell>
          <cell r="D826" t="str">
            <v>ECOSAMPA Santo Amaro</v>
          </cell>
        </row>
        <row r="827">
          <cell r="A827">
            <v>121859</v>
          </cell>
          <cell r="B827" t="str">
            <v>FELIPE DENIS LUZ SERAFIM</v>
          </cell>
          <cell r="C827" t="str">
            <v>AJUDANTE EQ SERVICOS DIVERSOS</v>
          </cell>
          <cell r="D827" t="str">
            <v>ECOSAMPA Operação Geral</v>
          </cell>
        </row>
        <row r="828">
          <cell r="A828">
            <v>114729</v>
          </cell>
          <cell r="B828" t="str">
            <v>FELIPE DOS SANTOS</v>
          </cell>
          <cell r="C828" t="str">
            <v>VARREDOR</v>
          </cell>
          <cell r="D828" t="str">
            <v>ECOSAMPA Capela do Socorro</v>
          </cell>
        </row>
        <row r="829">
          <cell r="A829">
            <v>114876</v>
          </cell>
          <cell r="B829" t="str">
            <v>FELIPE DOS SANTOS LIMA</v>
          </cell>
          <cell r="C829" t="str">
            <v>ASSISTENTE DE DEPARTAMENTO PESSOAL</v>
          </cell>
          <cell r="D829" t="str">
            <v>ECOSAMPA Operação Geral</v>
          </cell>
        </row>
        <row r="830">
          <cell r="A830">
            <v>119665</v>
          </cell>
          <cell r="B830" t="str">
            <v>FELIPE FERREIRA PINTO</v>
          </cell>
          <cell r="C830" t="str">
            <v>VARREDOR</v>
          </cell>
          <cell r="D830" t="str">
            <v>ECOSAMPA Campo Limpo</v>
          </cell>
        </row>
        <row r="831">
          <cell r="A831">
            <v>112764</v>
          </cell>
          <cell r="B831" t="str">
            <v>FELIPE FIGUEIREDO DA SILVA</v>
          </cell>
          <cell r="C831" t="str">
            <v>FISCAL DE TURMA PLENO</v>
          </cell>
          <cell r="D831" t="str">
            <v>ECOSAMPA M'Boi Mirim</v>
          </cell>
        </row>
        <row r="832">
          <cell r="A832">
            <v>114316</v>
          </cell>
          <cell r="B832" t="str">
            <v>FELIPE GOMES DA SILVA</v>
          </cell>
          <cell r="C832" t="str">
            <v>AJUDANTE EQ SERVICOS DIVERSOS</v>
          </cell>
          <cell r="D832" t="str">
            <v>ECOSAMPA Santo Amaro</v>
          </cell>
        </row>
        <row r="833">
          <cell r="A833">
            <v>115818</v>
          </cell>
          <cell r="B833" t="str">
            <v>FELIPE MENDES DO AMARANTE SOUSA</v>
          </cell>
          <cell r="C833" t="str">
            <v>AJUDANTE EQ SERVICOS DIVERSOS</v>
          </cell>
          <cell r="D833" t="str">
            <v>ECOSAMPA Santo Amaro</v>
          </cell>
        </row>
        <row r="834">
          <cell r="A834">
            <v>121467</v>
          </cell>
          <cell r="B834" t="str">
            <v>FELIPE SILVA SANTOS</v>
          </cell>
          <cell r="C834" t="str">
            <v>AJUDANTE EQ SERVICOS DIVERSOS</v>
          </cell>
          <cell r="D834" t="str">
            <v>ECOSAMPA Operação Geral</v>
          </cell>
        </row>
        <row r="835">
          <cell r="A835">
            <v>114563</v>
          </cell>
          <cell r="B835" t="str">
            <v>FERNANDA CAMPOS DA SILVA</v>
          </cell>
          <cell r="C835" t="str">
            <v>PENSIONISTAS</v>
          </cell>
          <cell r="D835" t="str">
            <v>ECOSAMPA Pensionistas</v>
          </cell>
        </row>
        <row r="836">
          <cell r="A836">
            <v>112766</v>
          </cell>
          <cell r="B836" t="str">
            <v>FERNANDO ALVES DE SOUSA</v>
          </cell>
          <cell r="C836" t="str">
            <v>AJUDANTE EQ SERVICOS DIVERSOS</v>
          </cell>
          <cell r="D836" t="str">
            <v>ECOSAMPA Capela do Socorro</v>
          </cell>
        </row>
        <row r="837">
          <cell r="A837">
            <v>112768</v>
          </cell>
          <cell r="B837" t="str">
            <v>FERNANDO ANTONIO DA SILVA</v>
          </cell>
          <cell r="C837" t="str">
            <v>COLETOR</v>
          </cell>
          <cell r="D837" t="str">
            <v>ECOSAMPA Operação Geral</v>
          </cell>
        </row>
        <row r="838">
          <cell r="A838">
            <v>112773</v>
          </cell>
          <cell r="B838" t="str">
            <v>FERNANDO BASTOS DA SILVA</v>
          </cell>
          <cell r="C838" t="str">
            <v>AJUDANTE EQ SERVICOS DIVERSOS</v>
          </cell>
          <cell r="D838" t="str">
            <v>ECOSAMPA Capela do Socorro</v>
          </cell>
        </row>
        <row r="839">
          <cell r="A839">
            <v>112794</v>
          </cell>
          <cell r="B839" t="str">
            <v>FERNANDO GOMES DA SILVA</v>
          </cell>
          <cell r="C839" t="str">
            <v>VARREDOR</v>
          </cell>
          <cell r="D839" t="str">
            <v>ECOSAMPA Santo Amaro</v>
          </cell>
        </row>
        <row r="840">
          <cell r="A840">
            <v>112799</v>
          </cell>
          <cell r="B840" t="str">
            <v>FERNANDO JESUS DO CARMO</v>
          </cell>
          <cell r="C840" t="str">
            <v>AJUDANTE EQ SERVICOS DIVERSOS</v>
          </cell>
          <cell r="D840" t="str">
            <v>ECOSAMPA Parelheiros</v>
          </cell>
        </row>
        <row r="841">
          <cell r="A841">
            <v>114704</v>
          </cell>
          <cell r="B841" t="str">
            <v>FERNANDO SANTOS DE OLIVEIRA</v>
          </cell>
          <cell r="C841" t="str">
            <v>AJUDANTE EQ SERVICOS DIVERSOS</v>
          </cell>
          <cell r="D841" t="str">
            <v>ECOSAMPA Santo Amaro</v>
          </cell>
        </row>
        <row r="842">
          <cell r="A842">
            <v>116738</v>
          </cell>
          <cell r="B842" t="str">
            <v>FERNANDO SARDINHA MIGUEL DE LIMA</v>
          </cell>
          <cell r="C842" t="str">
            <v>AUXILIAR DE PLANEJAMENTO OPERACIONAL</v>
          </cell>
          <cell r="D842" t="str">
            <v>ECOSAMPA Operação Geral</v>
          </cell>
        </row>
        <row r="843">
          <cell r="A843">
            <v>113714</v>
          </cell>
          <cell r="B843" t="str">
            <v>FILIPE NASCIMENTO DE PAULA</v>
          </cell>
          <cell r="C843" t="str">
            <v>ASSISTENTE ADMINISTRATIVO</v>
          </cell>
          <cell r="D843" t="str">
            <v>ECOSAMPA Operação Geral</v>
          </cell>
        </row>
        <row r="844">
          <cell r="A844">
            <v>114765</v>
          </cell>
          <cell r="B844" t="str">
            <v>FLAVIO DOS SANTOS MALAQUIAS</v>
          </cell>
          <cell r="C844" t="str">
            <v>MOTORISTA DE CAMINHAO</v>
          </cell>
          <cell r="D844" t="str">
            <v>ECOSAMPA Operação Geral</v>
          </cell>
        </row>
        <row r="845">
          <cell r="A845">
            <v>112807</v>
          </cell>
          <cell r="B845" t="str">
            <v>FLAVIO EMERSON XAVIER</v>
          </cell>
          <cell r="C845" t="str">
            <v>MOTORISTA CAMINHAO</v>
          </cell>
          <cell r="D845" t="str">
            <v>ECOSAMPA Operação Geral</v>
          </cell>
        </row>
        <row r="846">
          <cell r="A846">
            <v>122822</v>
          </cell>
          <cell r="B846" t="str">
            <v>FLAVIO FELIX DOS SANTOS</v>
          </cell>
          <cell r="C846" t="str">
            <v>AJUDANTE EQ SERVICOS DIVERSOS</v>
          </cell>
          <cell r="D846" t="str">
            <v>ECOSAMPA Capela do Socorro</v>
          </cell>
        </row>
        <row r="847">
          <cell r="A847">
            <v>112818</v>
          </cell>
          <cell r="B847" t="str">
            <v>FLAVIO FIGUEREDO DOS SANTOS</v>
          </cell>
          <cell r="C847" t="str">
            <v>FISCAL DE TURMA PLENO</v>
          </cell>
          <cell r="D847" t="str">
            <v>ECOSAMPA Campo Limpo</v>
          </cell>
        </row>
        <row r="848">
          <cell r="A848">
            <v>115409</v>
          </cell>
          <cell r="B848" t="str">
            <v>FLAVIO MANOEL DUARTE</v>
          </cell>
          <cell r="C848" t="str">
            <v>AJUDANTE EQ SERVICOS DIVERSOS</v>
          </cell>
          <cell r="D848" t="str">
            <v>ECOSAMPA M'Boi Mirim</v>
          </cell>
        </row>
        <row r="849">
          <cell r="A849">
            <v>112822</v>
          </cell>
          <cell r="B849" t="str">
            <v>FLAVIO PEREIRA DA SILVA</v>
          </cell>
          <cell r="C849" t="str">
            <v>VARREDOR</v>
          </cell>
          <cell r="D849" t="str">
            <v>ECOSAMPA Santo Amaro</v>
          </cell>
        </row>
        <row r="850">
          <cell r="A850">
            <v>122089</v>
          </cell>
          <cell r="B850" t="str">
            <v>FLAVIO RABELO DE MORAIS</v>
          </cell>
          <cell r="C850" t="str">
            <v>AJUDANTE EQ SERVICOS DIVERSOS</v>
          </cell>
          <cell r="D850" t="str">
            <v>ECOSAMPA Santo Amaro</v>
          </cell>
        </row>
        <row r="851">
          <cell r="A851">
            <v>112829</v>
          </cell>
          <cell r="B851" t="str">
            <v>FLAVIO RODRIGUES JOAQUIM</v>
          </cell>
          <cell r="C851" t="str">
            <v>MOTORISTA DE CAMINHAO</v>
          </cell>
          <cell r="D851" t="str">
            <v>ECOSAMPA Operação Geral</v>
          </cell>
        </row>
        <row r="852">
          <cell r="A852">
            <v>112832</v>
          </cell>
          <cell r="B852" t="str">
            <v>FRANCIMARIO FERREIRA ANTUNES</v>
          </cell>
          <cell r="C852" t="str">
            <v>COLETOR</v>
          </cell>
          <cell r="D852" t="str">
            <v>ECOSAMPA Operação Geral</v>
          </cell>
        </row>
        <row r="853">
          <cell r="A853">
            <v>112840</v>
          </cell>
          <cell r="B853" t="str">
            <v>FRANCISCO ALVES MARTINS</v>
          </cell>
          <cell r="C853" t="str">
            <v>VARREDOR</v>
          </cell>
          <cell r="D853" t="str">
            <v>ECOSAMPA Capela do Socorro</v>
          </cell>
        </row>
        <row r="854">
          <cell r="A854">
            <v>112849</v>
          </cell>
          <cell r="B854" t="str">
            <v>FRANCISCO ASSIS DE OLIVEIRA</v>
          </cell>
          <cell r="C854" t="str">
            <v>VARREDOR</v>
          </cell>
          <cell r="D854" t="str">
            <v>ECOSAMPA Capela do Socorro</v>
          </cell>
        </row>
        <row r="855">
          <cell r="A855">
            <v>112856</v>
          </cell>
          <cell r="B855" t="str">
            <v>FRANCISCO ASSIS RAMOS</v>
          </cell>
          <cell r="C855" t="str">
            <v>VARREDOR</v>
          </cell>
          <cell r="D855" t="str">
            <v>ECOSAMPA Santo Amaro</v>
          </cell>
        </row>
        <row r="856">
          <cell r="A856">
            <v>121410</v>
          </cell>
          <cell r="B856" t="str">
            <v>FRANCISCO CARLOS ARAUJO DOS SANTOS</v>
          </cell>
          <cell r="C856" t="str">
            <v>AJUDANTE EQ SERVICOS DIVERSOS</v>
          </cell>
          <cell r="D856" t="str">
            <v>ECOSAMPA Operação Geral</v>
          </cell>
        </row>
        <row r="857">
          <cell r="A857">
            <v>112864</v>
          </cell>
          <cell r="B857" t="str">
            <v>FRANCISCO CARLOS LIMEIRA DA SILVA</v>
          </cell>
          <cell r="C857" t="str">
            <v>VARREDOR</v>
          </cell>
          <cell r="D857" t="str">
            <v>ECOSAMPA Santo Amaro</v>
          </cell>
        </row>
        <row r="858">
          <cell r="A858">
            <v>112870</v>
          </cell>
          <cell r="B858" t="str">
            <v>FRANCISCO DAS CHAGAS GOMES PINTO</v>
          </cell>
          <cell r="C858" t="str">
            <v>VARREDOR</v>
          </cell>
          <cell r="D858" t="str">
            <v>ECOSAMPA Campo Limpo</v>
          </cell>
        </row>
        <row r="859">
          <cell r="A859">
            <v>112886</v>
          </cell>
          <cell r="B859" t="str">
            <v>FRANCISCO DE ASSIS ALEXANDRE NUNES</v>
          </cell>
          <cell r="C859" t="str">
            <v>VARREDOR</v>
          </cell>
          <cell r="D859" t="str">
            <v>ECOSAMPA Capela do Socorro</v>
          </cell>
        </row>
        <row r="860">
          <cell r="A860">
            <v>112890</v>
          </cell>
          <cell r="B860" t="str">
            <v>FRANCISCO DE ASSIS NUNES DA SILVA</v>
          </cell>
          <cell r="C860" t="str">
            <v>VARREDOR</v>
          </cell>
          <cell r="D860" t="str">
            <v>ECOSAMPA Capela do Socorro</v>
          </cell>
        </row>
        <row r="861">
          <cell r="A861">
            <v>114954</v>
          </cell>
          <cell r="B861" t="str">
            <v>FRANCISCO DE ASSIS SOUZA</v>
          </cell>
          <cell r="C861" t="str">
            <v>MOTORISTA CAMINHAO</v>
          </cell>
          <cell r="D861" t="str">
            <v>ECOSAMPA Operação Geral</v>
          </cell>
        </row>
        <row r="862">
          <cell r="A862">
            <v>114252</v>
          </cell>
          <cell r="B862" t="str">
            <v>FRANCISCO DIAS DE MIRANDA NETO</v>
          </cell>
          <cell r="C862" t="str">
            <v>AJUDANTE EQ SERVICOS DIVERSOS</v>
          </cell>
          <cell r="D862" t="str">
            <v>ECOSAMPA M'Boi Mirim</v>
          </cell>
        </row>
        <row r="863">
          <cell r="A863">
            <v>112904</v>
          </cell>
          <cell r="B863" t="str">
            <v>FRANCISCO DUTRA DA PAIXAO</v>
          </cell>
          <cell r="C863" t="str">
            <v>MOTORISTA CAMINHAO</v>
          </cell>
          <cell r="D863" t="str">
            <v>ECOSAMPA Operação Geral</v>
          </cell>
        </row>
        <row r="864">
          <cell r="A864">
            <v>112912</v>
          </cell>
          <cell r="B864" t="str">
            <v>FRANCISCO EDIVALDO GALDINO FREITAS</v>
          </cell>
          <cell r="C864" t="str">
            <v>VARREDOR</v>
          </cell>
          <cell r="D864" t="str">
            <v>ECOSAMPA Santo Amaro</v>
          </cell>
        </row>
        <row r="865">
          <cell r="A865">
            <v>112974</v>
          </cell>
          <cell r="B865" t="str">
            <v>FRANCISCO ELSON COSTA PEREIRA</v>
          </cell>
          <cell r="C865" t="str">
            <v>VARREDOR</v>
          </cell>
          <cell r="D865" t="str">
            <v>ECOSAMPA Santo Amaro</v>
          </cell>
        </row>
        <row r="866">
          <cell r="A866">
            <v>112978</v>
          </cell>
          <cell r="B866" t="str">
            <v>FRANCISCO ERIVAN DA SILVA FELIX</v>
          </cell>
          <cell r="C866" t="str">
            <v>VARREDOR</v>
          </cell>
          <cell r="D866" t="str">
            <v>ECOSAMPA Santo Amaro</v>
          </cell>
        </row>
        <row r="867">
          <cell r="A867">
            <v>112981</v>
          </cell>
          <cell r="B867" t="str">
            <v>FRANCISCO FERREIRA DA SILVA</v>
          </cell>
          <cell r="C867" t="str">
            <v>VARREDOR</v>
          </cell>
          <cell r="D867" t="str">
            <v>ECOSAMPA Campo Limpo</v>
          </cell>
        </row>
        <row r="868">
          <cell r="A868">
            <v>119632</v>
          </cell>
          <cell r="B868" t="str">
            <v>FRANCISCO FIRMINO ALVES JUNIOR</v>
          </cell>
          <cell r="C868" t="str">
            <v>MOTORISTA CAMINHAO</v>
          </cell>
          <cell r="D868" t="str">
            <v>ECOSAMPA Operação Geral</v>
          </cell>
        </row>
        <row r="869">
          <cell r="A869">
            <v>114770</v>
          </cell>
          <cell r="B869" t="str">
            <v>FRANCISCO GEAN PEREIRA DE ARAUJO</v>
          </cell>
          <cell r="C869" t="str">
            <v>MOTORISTA DE CAMINHAO</v>
          </cell>
          <cell r="D869" t="str">
            <v>ECOSAMPA Operação Geral</v>
          </cell>
        </row>
        <row r="870">
          <cell r="A870">
            <v>112985</v>
          </cell>
          <cell r="B870" t="str">
            <v>FRANCISCO GOMES DA PAIXAO</v>
          </cell>
          <cell r="C870" t="str">
            <v>AJUDANTE EQ SERVICOS DIVERSOS</v>
          </cell>
          <cell r="D870" t="str">
            <v>ECOSAMPA Capela do Socorro</v>
          </cell>
        </row>
        <row r="871">
          <cell r="A871">
            <v>112997</v>
          </cell>
          <cell r="B871" t="str">
            <v>FRANCISCO HENRIQUE DA SILVA</v>
          </cell>
          <cell r="C871" t="str">
            <v>AJUDANTE EQ SERVICOS DIVERSOS</v>
          </cell>
          <cell r="D871" t="str">
            <v>ECOSAMPA Campo Limpo</v>
          </cell>
        </row>
        <row r="872">
          <cell r="A872">
            <v>113005</v>
          </cell>
          <cell r="B872" t="str">
            <v>FRANCISCO KAIQUE ALVES DA FRANCA</v>
          </cell>
          <cell r="C872" t="str">
            <v>VARREDOR</v>
          </cell>
          <cell r="D872" t="str">
            <v>ECOSAMPA Parelheiros</v>
          </cell>
        </row>
        <row r="873">
          <cell r="A873">
            <v>113015</v>
          </cell>
          <cell r="B873" t="str">
            <v>FRANCISCO LEONOR DOS SANTOS NETO</v>
          </cell>
          <cell r="C873" t="str">
            <v>VARREDOR</v>
          </cell>
          <cell r="D873" t="str">
            <v>ECOSAMPA Campo Limpo</v>
          </cell>
        </row>
        <row r="874">
          <cell r="A874">
            <v>113022</v>
          </cell>
          <cell r="B874" t="str">
            <v>FRANCISCO MANOEL DA SILVA</v>
          </cell>
          <cell r="C874" t="str">
            <v>COLETOR</v>
          </cell>
          <cell r="D874" t="str">
            <v>ECOSAMPA Operação Geral</v>
          </cell>
        </row>
        <row r="875">
          <cell r="A875">
            <v>113029</v>
          </cell>
          <cell r="B875" t="str">
            <v>FRANCISCO NACELIO DE SOUSA</v>
          </cell>
          <cell r="C875" t="str">
            <v>MOTORISTA CAMINHAO</v>
          </cell>
          <cell r="D875" t="str">
            <v>ECOSAMPA Operação Geral</v>
          </cell>
        </row>
        <row r="876">
          <cell r="A876">
            <v>113035</v>
          </cell>
          <cell r="B876" t="str">
            <v>FRANCISCO NILBERTO BEZERRA DO NASCIMENTO</v>
          </cell>
          <cell r="C876" t="str">
            <v>COLETOR</v>
          </cell>
          <cell r="D876" t="str">
            <v>ECOSAMPA Operação Geral</v>
          </cell>
        </row>
        <row r="877">
          <cell r="A877">
            <v>113040</v>
          </cell>
          <cell r="B877" t="str">
            <v>FRANCISCO OLIVEIRA RODRIGUES</v>
          </cell>
          <cell r="C877" t="str">
            <v>AJUDANTE EQ SERVICOS DIVERSOS</v>
          </cell>
          <cell r="D877" t="str">
            <v>ECOSAMPA Santo Amaro</v>
          </cell>
        </row>
        <row r="878">
          <cell r="A878">
            <v>113045</v>
          </cell>
          <cell r="B878" t="str">
            <v>FRANCISCO QUIRINO NUNES</v>
          </cell>
          <cell r="C878" t="str">
            <v>VARREDOR</v>
          </cell>
          <cell r="D878" t="str">
            <v>ECOSAMPA Capela do Socorro</v>
          </cell>
        </row>
        <row r="879">
          <cell r="A879">
            <v>113057</v>
          </cell>
          <cell r="B879" t="str">
            <v>FRANCISCO ROBERTO DA SILVA</v>
          </cell>
          <cell r="C879" t="str">
            <v>VARREDOR</v>
          </cell>
          <cell r="D879" t="str">
            <v>ECOSAMPA Campo Limpo</v>
          </cell>
        </row>
        <row r="880">
          <cell r="A880">
            <v>120172</v>
          </cell>
          <cell r="B880" t="str">
            <v>FRANCISCO SANTOS FERNANDES DE LIMA</v>
          </cell>
          <cell r="C880" t="str">
            <v>AJUDANTE EQ SERVICOS DIVERSOS</v>
          </cell>
          <cell r="D880" t="str">
            <v>ECOSAMPA M'Boi Mirim</v>
          </cell>
        </row>
        <row r="881">
          <cell r="A881">
            <v>113060</v>
          </cell>
          <cell r="B881" t="str">
            <v>FRANCISCO VALMIR EUCLIDES DA SILVA</v>
          </cell>
          <cell r="C881" t="str">
            <v>VARREDOR</v>
          </cell>
          <cell r="D881" t="str">
            <v>ECOSAMPA Campo Limpo</v>
          </cell>
        </row>
        <row r="882">
          <cell r="A882">
            <v>113064</v>
          </cell>
          <cell r="B882" t="str">
            <v>FRANCISNALDO DA SILVA NEPOMUCENO</v>
          </cell>
          <cell r="C882" t="str">
            <v>AJUDANTE EQ SERVICOS DIVERSOS</v>
          </cell>
          <cell r="D882" t="str">
            <v>ECOSAMPA Operação Geral</v>
          </cell>
        </row>
        <row r="883">
          <cell r="A883">
            <v>113071</v>
          </cell>
          <cell r="B883" t="str">
            <v>FRANQUILANIO DA SILVA</v>
          </cell>
          <cell r="C883" t="str">
            <v>FISCAL DE TURMA PLENO</v>
          </cell>
          <cell r="D883" t="str">
            <v>ECOSAMPA Santo Amaro</v>
          </cell>
        </row>
        <row r="884">
          <cell r="A884">
            <v>113075</v>
          </cell>
          <cell r="B884" t="str">
            <v>FREDSON VIEIRA BRAGA</v>
          </cell>
          <cell r="C884" t="str">
            <v>VARREDOR</v>
          </cell>
          <cell r="D884" t="str">
            <v>ECOSAMPA Santo Amaro</v>
          </cell>
        </row>
        <row r="885">
          <cell r="A885">
            <v>115372</v>
          </cell>
          <cell r="B885" t="str">
            <v>GABRIEL ALBINO DE OLIVEIRA</v>
          </cell>
          <cell r="C885" t="str">
            <v>AJUDANTE EQ SERVICOS DIVERSOS</v>
          </cell>
          <cell r="D885" t="str">
            <v>ECOSAMPA Capela do Socorro</v>
          </cell>
        </row>
        <row r="886">
          <cell r="A886">
            <v>117407</v>
          </cell>
          <cell r="B886" t="str">
            <v>GABRIEL ANTONIO COSTA DA SILVA</v>
          </cell>
          <cell r="C886" t="str">
            <v>VARREDOR</v>
          </cell>
          <cell r="D886" t="str">
            <v>ECOSAMPA Capela do Socorro</v>
          </cell>
        </row>
        <row r="887">
          <cell r="A887">
            <v>113079</v>
          </cell>
          <cell r="B887" t="str">
            <v>GABRIEL AUGUSTO DE ANDRADE</v>
          </cell>
          <cell r="C887" t="str">
            <v>AJUDANTE EQ SERVICOS DIVERSOS</v>
          </cell>
          <cell r="D887" t="str">
            <v>ECOSAMPA Capela do Socorro</v>
          </cell>
        </row>
        <row r="888">
          <cell r="A888">
            <v>116323</v>
          </cell>
          <cell r="B888" t="str">
            <v>GABRIEL BARBOSA SOUZA</v>
          </cell>
          <cell r="C888" t="str">
            <v>AJUDANTE EQ SERVICOS DIVERSOS</v>
          </cell>
          <cell r="D888" t="str">
            <v>ECOSAMPA Santo Amaro</v>
          </cell>
        </row>
        <row r="889">
          <cell r="A889">
            <v>115210</v>
          </cell>
          <cell r="B889" t="str">
            <v>GABRIEL BARRETO DOS SANTOS</v>
          </cell>
          <cell r="C889" t="str">
            <v>AJUDANTE EQ SERVICOS DIVERSOS</v>
          </cell>
          <cell r="D889" t="str">
            <v>ECOSAMPA Operação Geral</v>
          </cell>
        </row>
        <row r="890">
          <cell r="A890">
            <v>113085</v>
          </cell>
          <cell r="B890" t="str">
            <v>GABRIEL BELO FRANCO</v>
          </cell>
          <cell r="C890" t="str">
            <v>FISCAL DE TURMA PLENO</v>
          </cell>
          <cell r="D890" t="str">
            <v>ECOSAMPA Campo Limpo</v>
          </cell>
        </row>
        <row r="891">
          <cell r="A891">
            <v>113091</v>
          </cell>
          <cell r="B891" t="str">
            <v>GABRIEL DA SILVA NASCIMENTO</v>
          </cell>
          <cell r="C891" t="str">
            <v>AJUDANTE EQ SERVICOS DIVERSOS</v>
          </cell>
          <cell r="D891" t="str">
            <v>ECOSAMPA Parelheiros</v>
          </cell>
        </row>
        <row r="892">
          <cell r="A892">
            <v>116003</v>
          </cell>
          <cell r="B892" t="str">
            <v>GABRIEL DA SILVA PRADO</v>
          </cell>
          <cell r="C892" t="str">
            <v>AJUDANTE EQ SERVICOS DIVERSOS</v>
          </cell>
          <cell r="D892" t="str">
            <v>ECOSAMPA Santo Amaro</v>
          </cell>
        </row>
        <row r="893">
          <cell r="A893">
            <v>113097</v>
          </cell>
          <cell r="B893" t="str">
            <v>GABRIEL DA SILVA SENA</v>
          </cell>
          <cell r="C893" t="str">
            <v>AJUDANTE EQ SERVICOS DIVERSOS</v>
          </cell>
          <cell r="D893" t="str">
            <v>ECOSAMPA Capela do Socorro</v>
          </cell>
        </row>
        <row r="894">
          <cell r="A894">
            <v>121026</v>
          </cell>
          <cell r="B894" t="str">
            <v>GABRIEL HENRIQUE SOUZA DA SILVA</v>
          </cell>
          <cell r="C894" t="str">
            <v>VARREDOR</v>
          </cell>
          <cell r="D894" t="str">
            <v>ECOSAMPA Campo Limpo</v>
          </cell>
        </row>
        <row r="895">
          <cell r="A895">
            <v>119679</v>
          </cell>
          <cell r="B895" t="str">
            <v>GABRIEL JOSE DA SILVA</v>
          </cell>
          <cell r="C895" t="str">
            <v>AJUDANTE EQ SERVICOS DIVERSOS</v>
          </cell>
          <cell r="D895" t="str">
            <v>ECOSAMPA Santo Amaro</v>
          </cell>
        </row>
        <row r="896">
          <cell r="A896">
            <v>113111</v>
          </cell>
          <cell r="B896" t="str">
            <v>GABRIEL SANTOS QUARESMA</v>
          </cell>
          <cell r="C896" t="str">
            <v>AJUDANTE EQ SERVICOS DIVERSOS</v>
          </cell>
          <cell r="D896" t="str">
            <v>ECOSAMPA Santo Amaro</v>
          </cell>
        </row>
        <row r="897">
          <cell r="A897">
            <v>117412</v>
          </cell>
          <cell r="B897" t="str">
            <v>GABRIEL SILVA MARQUES TRAJANO</v>
          </cell>
          <cell r="C897" t="str">
            <v>VARREDOR</v>
          </cell>
          <cell r="D897" t="str">
            <v>ECOSAMPA M'Boi Mirim</v>
          </cell>
        </row>
        <row r="898">
          <cell r="A898">
            <v>114269</v>
          </cell>
          <cell r="B898" t="str">
            <v>GABRIELA FERREIRA DE JESUS</v>
          </cell>
          <cell r="C898" t="str">
            <v>AJUDANTE EQ SERVICOS DIVERSOS</v>
          </cell>
          <cell r="D898" t="str">
            <v>ECOSAMPA Santo Amaro</v>
          </cell>
        </row>
        <row r="899">
          <cell r="A899">
            <v>114530</v>
          </cell>
          <cell r="B899" t="str">
            <v>GASPAR MENDES DE JESUS</v>
          </cell>
          <cell r="C899" t="str">
            <v>AJUDANTE EQ SERVICOS DIVERSOS</v>
          </cell>
          <cell r="D899" t="str">
            <v>ECOSAMPA Santo Amaro</v>
          </cell>
        </row>
        <row r="900">
          <cell r="A900">
            <v>113121</v>
          </cell>
          <cell r="B900" t="str">
            <v>GENEILSON RODRIGUES DA SILVA</v>
          </cell>
          <cell r="C900" t="str">
            <v>MOTORISTA CAMINHAO</v>
          </cell>
          <cell r="D900" t="str">
            <v>ECOSAMPA Operação Geral</v>
          </cell>
        </row>
        <row r="901">
          <cell r="A901">
            <v>113126</v>
          </cell>
          <cell r="B901" t="str">
            <v>GENETON ALVES DE OLIVEIRA</v>
          </cell>
          <cell r="C901" t="str">
            <v>AJUDANTE EQ SERVICOS DIVERSOS</v>
          </cell>
          <cell r="D901" t="str">
            <v>ECOSAMPA Campo Limpo</v>
          </cell>
        </row>
        <row r="902">
          <cell r="A902">
            <v>113131</v>
          </cell>
          <cell r="B902" t="str">
            <v>GENEVAL JOSE DA SILVA</v>
          </cell>
          <cell r="C902" t="str">
            <v>VARREDOR</v>
          </cell>
          <cell r="D902" t="str">
            <v>ECOSAMPA M'Boi Mirim</v>
          </cell>
        </row>
        <row r="903">
          <cell r="A903">
            <v>113136</v>
          </cell>
          <cell r="B903" t="str">
            <v>GENILSON BATISTA CALADO</v>
          </cell>
          <cell r="C903" t="str">
            <v>COLETOR</v>
          </cell>
          <cell r="D903" t="str">
            <v>ECOSAMPA Operação Geral</v>
          </cell>
        </row>
        <row r="904">
          <cell r="A904">
            <v>113144</v>
          </cell>
          <cell r="B904" t="str">
            <v>GENILTON JOSE DA SILVA</v>
          </cell>
          <cell r="C904" t="str">
            <v>MOTORISTA CAMINHAO</v>
          </cell>
          <cell r="D904" t="str">
            <v>ECOSAMPA Operação Geral</v>
          </cell>
        </row>
        <row r="905">
          <cell r="A905">
            <v>113147</v>
          </cell>
          <cell r="B905" t="str">
            <v>GENIVALDO CONCEICAO DOS SANTOS</v>
          </cell>
          <cell r="C905" t="str">
            <v>AJUDANTE EQ SERVICOS DIVERSOS</v>
          </cell>
          <cell r="D905" t="str">
            <v>ECOSAMPA Santo Amaro</v>
          </cell>
        </row>
        <row r="906">
          <cell r="A906">
            <v>113150</v>
          </cell>
          <cell r="B906" t="str">
            <v>GENIVALDO DA SILVA</v>
          </cell>
          <cell r="C906" t="str">
            <v>COLETOR</v>
          </cell>
          <cell r="D906" t="str">
            <v>ECOSAMPA Operação Geral</v>
          </cell>
        </row>
        <row r="907">
          <cell r="A907">
            <v>113153</v>
          </cell>
          <cell r="B907" t="str">
            <v>GENIVALDO DOS SANTOS ARAUJO</v>
          </cell>
          <cell r="C907" t="str">
            <v>AJUDANTE EQ SERVICOS DIVERSOS</v>
          </cell>
          <cell r="D907" t="str">
            <v>ECOSAMPA Campo Limpo</v>
          </cell>
        </row>
        <row r="908">
          <cell r="A908">
            <v>113154</v>
          </cell>
          <cell r="B908" t="str">
            <v>GENIVALDO MOREIRA SANTANA</v>
          </cell>
          <cell r="C908" t="str">
            <v>AJUDANTE EQ SERVICOS DIVERSOS</v>
          </cell>
          <cell r="D908" t="str">
            <v>ECOSAMPA M'Boi Mirim</v>
          </cell>
        </row>
        <row r="909">
          <cell r="A909">
            <v>113179</v>
          </cell>
          <cell r="B909" t="str">
            <v>GENIVALDO SANTOS DE JESUS</v>
          </cell>
          <cell r="C909" t="str">
            <v>AJUDANTE EQ SERVICOS DIVERSOS</v>
          </cell>
          <cell r="D909" t="str">
            <v>ECOSAMPA Santo Amaro</v>
          </cell>
        </row>
        <row r="910">
          <cell r="A910">
            <v>113181</v>
          </cell>
          <cell r="B910" t="str">
            <v>GEORGE DOS SANTOS BARBOSA</v>
          </cell>
          <cell r="C910" t="str">
            <v>AJUDANTE EQ SERVICOS DIVERSOS</v>
          </cell>
          <cell r="D910" t="str">
            <v>ECOSAMPA Santo Amaro</v>
          </cell>
        </row>
        <row r="911">
          <cell r="A911">
            <v>113187</v>
          </cell>
          <cell r="B911" t="str">
            <v>GERALDO ALBERTO DE MELO</v>
          </cell>
          <cell r="C911" t="str">
            <v>VARREDOR</v>
          </cell>
          <cell r="D911" t="str">
            <v>ECOSAMPA Campo Limpo</v>
          </cell>
        </row>
        <row r="912">
          <cell r="A912">
            <v>116235</v>
          </cell>
          <cell r="B912" t="str">
            <v>GERALDO CORREA</v>
          </cell>
          <cell r="C912" t="str">
            <v>VARREDOR</v>
          </cell>
          <cell r="D912" t="str">
            <v>ECOSAMPA Capela do Socorro</v>
          </cell>
        </row>
        <row r="913">
          <cell r="A913">
            <v>113191</v>
          </cell>
          <cell r="B913" t="str">
            <v>GERALDO DA PAIXAO REIS</v>
          </cell>
          <cell r="C913" t="str">
            <v>COLETOR</v>
          </cell>
          <cell r="D913" t="str">
            <v>ECOSAMPA Operação Geral</v>
          </cell>
        </row>
        <row r="914">
          <cell r="A914">
            <v>113194</v>
          </cell>
          <cell r="B914" t="str">
            <v>GERALDO EVANGELISTA DE CARVALHO</v>
          </cell>
          <cell r="C914" t="str">
            <v>VARREDOR</v>
          </cell>
          <cell r="D914" t="str">
            <v>ECOSAMPA Capela do Socorro</v>
          </cell>
        </row>
        <row r="915">
          <cell r="A915">
            <v>113199</v>
          </cell>
          <cell r="B915" t="str">
            <v>GERALDO GUEDES DA SILVA</v>
          </cell>
          <cell r="C915" t="str">
            <v>VARREDOR</v>
          </cell>
          <cell r="D915" t="str">
            <v>ECOSAMPA Capela do Socorro</v>
          </cell>
        </row>
        <row r="916">
          <cell r="A916">
            <v>113202</v>
          </cell>
          <cell r="B916" t="str">
            <v>GERALDO LEONILDO DA SILVA</v>
          </cell>
          <cell r="C916" t="str">
            <v>AJUDANTE EQ SERVICOS DIVERSOS</v>
          </cell>
          <cell r="D916" t="str">
            <v>ECOSAMPA Parelheiros</v>
          </cell>
        </row>
        <row r="917">
          <cell r="A917">
            <v>113206</v>
          </cell>
          <cell r="B917" t="str">
            <v>GERALDO MANGELA DAMASIO</v>
          </cell>
          <cell r="C917" t="str">
            <v>VARREDOR</v>
          </cell>
          <cell r="D917" t="str">
            <v>ECOSAMPA Campo Limpo</v>
          </cell>
        </row>
        <row r="918">
          <cell r="A918">
            <v>113209</v>
          </cell>
          <cell r="B918" t="str">
            <v>GERALDO MANOEL DO NASCIMENTO</v>
          </cell>
          <cell r="C918" t="str">
            <v>VARREDOR</v>
          </cell>
          <cell r="D918" t="str">
            <v>ECOSAMPA Santo Amaro</v>
          </cell>
        </row>
        <row r="919">
          <cell r="A919">
            <v>113216</v>
          </cell>
          <cell r="B919" t="str">
            <v>GERALDO RIBEIRO DOS SANTOS</v>
          </cell>
          <cell r="C919" t="str">
            <v>VARREDOR</v>
          </cell>
          <cell r="D919" t="str">
            <v>ECOSAMPA Santo Amaro</v>
          </cell>
        </row>
        <row r="920">
          <cell r="A920">
            <v>116804</v>
          </cell>
          <cell r="B920" t="str">
            <v>GERRI ALVES DOS SANTOS</v>
          </cell>
          <cell r="C920" t="str">
            <v>AGENTE AMBIENTAL</v>
          </cell>
          <cell r="D920" t="str">
            <v>ECOSAMPA Operação Geral</v>
          </cell>
        </row>
        <row r="921">
          <cell r="A921">
            <v>113221</v>
          </cell>
          <cell r="B921" t="str">
            <v>GERSON AMAURI DE PAULA TAVARES</v>
          </cell>
          <cell r="C921" t="str">
            <v>MOTORISTA CAMINHAO</v>
          </cell>
          <cell r="D921" t="str">
            <v>ECOSAMPA Operação Geral</v>
          </cell>
        </row>
        <row r="922">
          <cell r="A922">
            <v>113225</v>
          </cell>
          <cell r="B922" t="str">
            <v>GERSON CAETANO DO NASCIMENTO</v>
          </cell>
          <cell r="C922" t="str">
            <v>VARREDOR</v>
          </cell>
          <cell r="D922" t="str">
            <v>ECOSAMPA Santo Amaro</v>
          </cell>
        </row>
        <row r="923">
          <cell r="A923">
            <v>113228</v>
          </cell>
          <cell r="B923" t="str">
            <v>GERSON DE JESUS SOARES</v>
          </cell>
          <cell r="C923" t="str">
            <v>COLETOR</v>
          </cell>
          <cell r="D923" t="str">
            <v>ECOSAMPA Operação Geral</v>
          </cell>
        </row>
        <row r="924">
          <cell r="A924">
            <v>113233</v>
          </cell>
          <cell r="B924" t="str">
            <v>GERSON FERNANDO LIMA SOUSA</v>
          </cell>
          <cell r="C924" t="str">
            <v>AJUDANTE EQ SERVICOS DIVERSOS</v>
          </cell>
          <cell r="D924" t="str">
            <v>ECOSAMPA Santo Amaro</v>
          </cell>
        </row>
        <row r="925">
          <cell r="A925">
            <v>113236</v>
          </cell>
          <cell r="B925" t="str">
            <v>GERSON PEREIRA DA SILVA</v>
          </cell>
          <cell r="C925" t="str">
            <v>VARREDOR</v>
          </cell>
          <cell r="D925" t="str">
            <v>ECOSAMPA Santo Amaro</v>
          </cell>
        </row>
        <row r="926">
          <cell r="A926">
            <v>113246</v>
          </cell>
          <cell r="B926" t="str">
            <v>GERSON RODRIGUES CAVALCANTE</v>
          </cell>
          <cell r="C926" t="str">
            <v>MOTORISTA CAMINHAO</v>
          </cell>
          <cell r="D926" t="str">
            <v>ECOSAMPA Operação Geral</v>
          </cell>
        </row>
        <row r="927">
          <cell r="A927">
            <v>113249</v>
          </cell>
          <cell r="B927" t="str">
            <v>GIDALTO SOUSA DE CASTRO</v>
          </cell>
          <cell r="C927" t="str">
            <v>VARREDOR</v>
          </cell>
          <cell r="D927" t="str">
            <v>ECOSAMPA M'Boi Mirim</v>
          </cell>
        </row>
        <row r="928">
          <cell r="A928">
            <v>118057</v>
          </cell>
          <cell r="B928" t="str">
            <v>GILBERTO BENTO RODRIGUES</v>
          </cell>
          <cell r="C928" t="str">
            <v>AJUDANTE EQ SERVICOS DIVERSOS</v>
          </cell>
          <cell r="D928" t="str">
            <v>ECOSAMPA Santo Amaro</v>
          </cell>
        </row>
        <row r="929">
          <cell r="A929">
            <v>113260</v>
          </cell>
          <cell r="B929" t="str">
            <v>GILBERTO DA COSTA</v>
          </cell>
          <cell r="C929" t="str">
            <v>AJUDANTE EQ SERVICOS DIVERSOS</v>
          </cell>
          <cell r="D929" t="str">
            <v>ECOSAMPA M'Boi Mirim</v>
          </cell>
        </row>
        <row r="930">
          <cell r="A930">
            <v>113264</v>
          </cell>
          <cell r="B930" t="str">
            <v>GILBERTO DE JESUS OLIVEIRA</v>
          </cell>
          <cell r="C930" t="str">
            <v>VARREDOR</v>
          </cell>
          <cell r="D930" t="str">
            <v>ECOSAMPA M'Boi Mirim</v>
          </cell>
        </row>
        <row r="931">
          <cell r="A931">
            <v>113268</v>
          </cell>
          <cell r="B931" t="str">
            <v>GILBERTO GOMES TEIXEIRA</v>
          </cell>
          <cell r="C931" t="str">
            <v>AJUDANTE EQ SERVICOS DIVERSOS</v>
          </cell>
          <cell r="D931" t="str">
            <v>ECOSAMPA Capela do Socorro</v>
          </cell>
        </row>
        <row r="932">
          <cell r="A932">
            <v>113272</v>
          </cell>
          <cell r="B932" t="str">
            <v>GILBERTO SILVA SANTOS</v>
          </cell>
          <cell r="C932" t="str">
            <v>VARREDOR</v>
          </cell>
          <cell r="D932" t="str">
            <v>ECOSAMPA Santo Amaro</v>
          </cell>
        </row>
        <row r="933">
          <cell r="A933">
            <v>113274</v>
          </cell>
          <cell r="B933" t="str">
            <v>GILCELIO SOARES</v>
          </cell>
          <cell r="C933" t="str">
            <v>VARREDOR</v>
          </cell>
          <cell r="D933" t="str">
            <v>ECOSAMPA Capela do Socorro</v>
          </cell>
        </row>
        <row r="934">
          <cell r="A934">
            <v>113275</v>
          </cell>
          <cell r="B934" t="str">
            <v>GILDASIO ACACIO BORGES</v>
          </cell>
          <cell r="C934" t="str">
            <v>VARREDOR</v>
          </cell>
          <cell r="D934" t="str">
            <v>ECOSAMPA M'Boi Mirim</v>
          </cell>
        </row>
        <row r="935">
          <cell r="A935">
            <v>113278</v>
          </cell>
          <cell r="B935" t="str">
            <v>GILDENE DA SILVA</v>
          </cell>
          <cell r="C935" t="str">
            <v>AJUDANTE EQ SERVICOS DIVERSOS</v>
          </cell>
          <cell r="D935" t="str">
            <v>ECOSAMPA Campo Limpo</v>
          </cell>
        </row>
        <row r="936">
          <cell r="A936">
            <v>113280</v>
          </cell>
          <cell r="B936" t="str">
            <v>GILMAR RIBEIRO</v>
          </cell>
          <cell r="C936" t="str">
            <v>AJUDANTE EQ SERVICOS DIVERSOS</v>
          </cell>
          <cell r="D936" t="str">
            <v>ECOSAMPA M'Boi Mirim</v>
          </cell>
        </row>
        <row r="937">
          <cell r="A937">
            <v>113287</v>
          </cell>
          <cell r="B937" t="str">
            <v>GILSON ALVES DA SILVA</v>
          </cell>
          <cell r="C937" t="str">
            <v>VARREDOR</v>
          </cell>
          <cell r="D937" t="str">
            <v>ECOSAMPA Capela do Socorro</v>
          </cell>
        </row>
        <row r="938">
          <cell r="A938">
            <v>122570</v>
          </cell>
          <cell r="B938" t="str">
            <v>GILSON ARAUJO DE LIMA</v>
          </cell>
          <cell r="C938" t="str">
            <v>MOTORISTA CAMINHAO</v>
          </cell>
          <cell r="D938" t="str">
            <v>ECOSAMPA Operação Geral</v>
          </cell>
        </row>
        <row r="939">
          <cell r="A939">
            <v>113289</v>
          </cell>
          <cell r="B939" t="str">
            <v>GILSON DE OLIVEIRA</v>
          </cell>
          <cell r="C939" t="str">
            <v>VARREDOR</v>
          </cell>
          <cell r="D939" t="str">
            <v>ECOSAMPA Campo Limpo</v>
          </cell>
        </row>
        <row r="940">
          <cell r="A940">
            <v>116389</v>
          </cell>
          <cell r="B940" t="str">
            <v>GILSON MUNIZ SILVA</v>
          </cell>
          <cell r="C940" t="str">
            <v>VARREDOR</v>
          </cell>
          <cell r="D940" t="str">
            <v>ECOSAMPA Santo Amaro</v>
          </cell>
        </row>
        <row r="941">
          <cell r="A941">
            <v>122079</v>
          </cell>
          <cell r="B941" t="str">
            <v>GILSON SILVA DIAS</v>
          </cell>
          <cell r="C941" t="str">
            <v>AJUDANTE EQ SERVICOS DIVERSOS</v>
          </cell>
          <cell r="D941" t="str">
            <v>ECOSAMPA Capela do Socorro</v>
          </cell>
        </row>
        <row r="942">
          <cell r="A942">
            <v>116387</v>
          </cell>
          <cell r="B942" t="str">
            <v>GILSON VICENTE DE ARAUJO</v>
          </cell>
          <cell r="C942" t="str">
            <v>AJUDANTE EQ SERVICOS DIVERSOS</v>
          </cell>
          <cell r="D942" t="str">
            <v>ECOSAMPA Parelheiros</v>
          </cell>
        </row>
        <row r="943">
          <cell r="A943">
            <v>113293</v>
          </cell>
          <cell r="B943" t="str">
            <v>GILVAN CALIXTO DE GOUVEIA</v>
          </cell>
          <cell r="C943" t="str">
            <v>COLETOR</v>
          </cell>
          <cell r="D943" t="str">
            <v>ECOSAMPA Operação Geral</v>
          </cell>
        </row>
        <row r="944">
          <cell r="A944">
            <v>113295</v>
          </cell>
          <cell r="B944" t="str">
            <v>GILVAN DAMASCENO SILVA</v>
          </cell>
          <cell r="C944" t="str">
            <v>VARREDOR</v>
          </cell>
          <cell r="D944" t="str">
            <v>ECOSAMPA Santo Amaro</v>
          </cell>
        </row>
        <row r="945">
          <cell r="A945">
            <v>113298</v>
          </cell>
          <cell r="B945" t="str">
            <v>GILVAN DE JESUS ROSA</v>
          </cell>
          <cell r="C945" t="str">
            <v>COLETOR</v>
          </cell>
          <cell r="D945" t="str">
            <v>ECOSAMPA Operação Geral</v>
          </cell>
        </row>
        <row r="946">
          <cell r="A946">
            <v>113300</v>
          </cell>
          <cell r="B946" t="str">
            <v>GILVAN FERNANDES DOS SANTOS</v>
          </cell>
          <cell r="C946" t="str">
            <v>AJUDANTE EQ SERVICOS DIVERSOS</v>
          </cell>
          <cell r="D946" t="str">
            <v>ECOSAMPA Campo Limpo</v>
          </cell>
        </row>
        <row r="947">
          <cell r="A947">
            <v>113301</v>
          </cell>
          <cell r="B947" t="str">
            <v>GILVAN FREITAS DOS SANTOS</v>
          </cell>
          <cell r="C947" t="str">
            <v>VARREDOR</v>
          </cell>
          <cell r="D947" t="str">
            <v>ECOSAMPA M'Boi Mirim</v>
          </cell>
        </row>
        <row r="948">
          <cell r="A948">
            <v>113308</v>
          </cell>
          <cell r="B948" t="str">
            <v>GILVANIA VIEIRA DOS SANTOS</v>
          </cell>
          <cell r="C948" t="str">
            <v>FAXINEIRO(A)</v>
          </cell>
          <cell r="D948" t="str">
            <v>ECOSAMPA Operação Geral</v>
          </cell>
        </row>
        <row r="949">
          <cell r="A949">
            <v>113311</v>
          </cell>
          <cell r="B949" t="str">
            <v>GINALDO APARECIDO DE SOUZA</v>
          </cell>
          <cell r="C949" t="str">
            <v>AJUDANTE EQ SERVICOS DIVERSOS</v>
          </cell>
          <cell r="D949" t="str">
            <v>ECOSAMPA Santo Amaro</v>
          </cell>
        </row>
        <row r="950">
          <cell r="A950">
            <v>113314</v>
          </cell>
          <cell r="B950" t="str">
            <v>GIOVANI BATISTA</v>
          </cell>
          <cell r="C950" t="str">
            <v>VARREDOR</v>
          </cell>
          <cell r="D950" t="str">
            <v>ECOSAMPA Campo Limpo</v>
          </cell>
        </row>
        <row r="951">
          <cell r="A951">
            <v>113317</v>
          </cell>
          <cell r="B951" t="str">
            <v>GIRLANIO CAVALCANTE DE ALMEIDA</v>
          </cell>
          <cell r="C951" t="str">
            <v>VARREDOR</v>
          </cell>
          <cell r="D951" t="str">
            <v>ECOSAMPA Santo Amaro</v>
          </cell>
        </row>
        <row r="952">
          <cell r="A952">
            <v>113323</v>
          </cell>
          <cell r="B952" t="str">
            <v>GISLAINE ALMEIDA DE JESUS</v>
          </cell>
          <cell r="C952" t="str">
            <v>AJUDANTE EQ SERVICOS DIVERSOS</v>
          </cell>
          <cell r="D952" t="str">
            <v>ECOSAMPA Campo Limpo</v>
          </cell>
        </row>
        <row r="953">
          <cell r="A953">
            <v>114631</v>
          </cell>
          <cell r="B953" t="str">
            <v>GISLAINE SOARES LEMES</v>
          </cell>
          <cell r="C953" t="str">
            <v>PENSIONISTAS</v>
          </cell>
          <cell r="D953" t="str">
            <v>ECOSAMPA Pensionistas</v>
          </cell>
        </row>
        <row r="954">
          <cell r="A954">
            <v>113328</v>
          </cell>
          <cell r="B954" t="str">
            <v>GIULIANO HENRIQUE DA SILVA</v>
          </cell>
          <cell r="C954" t="str">
            <v>VARREDOR</v>
          </cell>
          <cell r="D954" t="str">
            <v>ECOSAMPA Capela do Socorro</v>
          </cell>
        </row>
        <row r="955">
          <cell r="A955">
            <v>113348</v>
          </cell>
          <cell r="B955" t="str">
            <v>GIVANILDO DA PAIXAO SILVA</v>
          </cell>
          <cell r="C955" t="str">
            <v>AJUDANTE EQ SERVICOS DIVERSOS</v>
          </cell>
          <cell r="D955" t="str">
            <v>ECOSAMPA Operação Geral</v>
          </cell>
        </row>
        <row r="956">
          <cell r="A956">
            <v>113353</v>
          </cell>
          <cell r="B956" t="str">
            <v>GIVANILDO FREIRE DE NOVAES</v>
          </cell>
          <cell r="C956" t="str">
            <v>MOTORISTA DE CAMINHAO</v>
          </cell>
          <cell r="D956" t="str">
            <v>ECOSAMPA Operação Geral</v>
          </cell>
        </row>
        <row r="957">
          <cell r="A957">
            <v>117235</v>
          </cell>
          <cell r="B957" t="str">
            <v>GLEICE FERNANDES DA SILVA</v>
          </cell>
          <cell r="C957" t="str">
            <v>AJUDANTE EQ SERVICOS DIVERSOS</v>
          </cell>
          <cell r="D957" t="str">
            <v>ECOSAMPA Santo Amaro</v>
          </cell>
        </row>
        <row r="958">
          <cell r="A958">
            <v>113357</v>
          </cell>
          <cell r="B958" t="str">
            <v>GLEIDSTON BANDEIRA DA SILVA</v>
          </cell>
          <cell r="C958" t="str">
            <v>VARREDOR</v>
          </cell>
          <cell r="D958" t="str">
            <v>ECOSAMPA Parelheiros</v>
          </cell>
        </row>
        <row r="959">
          <cell r="A959">
            <v>113367</v>
          </cell>
          <cell r="B959" t="str">
            <v>GLEISON ALAN DOS SANTOS</v>
          </cell>
          <cell r="C959" t="str">
            <v>COLETOR</v>
          </cell>
          <cell r="D959" t="str">
            <v>ECOSAMPA Operação Geral</v>
          </cell>
        </row>
        <row r="960">
          <cell r="A960">
            <v>113371</v>
          </cell>
          <cell r="B960" t="str">
            <v>GLEITON ALBERTO CALIXTO SILVA</v>
          </cell>
          <cell r="C960" t="str">
            <v>VARREDOR</v>
          </cell>
          <cell r="D960" t="str">
            <v>ECOSAMPA Santo Amaro</v>
          </cell>
        </row>
        <row r="961">
          <cell r="A961">
            <v>114547</v>
          </cell>
          <cell r="B961" t="str">
            <v>GLEYSSON NASCIMENTO DOS SANTOS</v>
          </cell>
          <cell r="C961" t="str">
            <v>VARREDOR</v>
          </cell>
          <cell r="D961" t="str">
            <v>ECOSAMPA Capela do Socorro</v>
          </cell>
        </row>
        <row r="962">
          <cell r="A962">
            <v>113376</v>
          </cell>
          <cell r="B962" t="str">
            <v>GRACIMAR MARIA PASSOS</v>
          </cell>
          <cell r="C962" t="str">
            <v>VARREDOR</v>
          </cell>
          <cell r="D962" t="str">
            <v>ECOSAMPA M'Boi Mirim</v>
          </cell>
        </row>
        <row r="963">
          <cell r="A963">
            <v>114107</v>
          </cell>
          <cell r="B963" t="str">
            <v>GUILHERME DA SILVA FIM</v>
          </cell>
          <cell r="C963" t="str">
            <v>VARREDOR</v>
          </cell>
          <cell r="D963" t="str">
            <v>ECOSAMPA M'Boi Mirim</v>
          </cell>
        </row>
        <row r="964">
          <cell r="A964">
            <v>114706</v>
          </cell>
          <cell r="B964" t="str">
            <v>GUILHERME DE ANDRADE LIMA</v>
          </cell>
          <cell r="C964" t="str">
            <v>AJUDANTE EQ SERVICOS DIVERSOS</v>
          </cell>
          <cell r="D964" t="str">
            <v>ECOSAMPA Santo Amaro</v>
          </cell>
        </row>
        <row r="965">
          <cell r="A965">
            <v>119115</v>
          </cell>
          <cell r="B965" t="str">
            <v>GUILHERME FERREIRA SANTOS SEBASTIAO</v>
          </cell>
          <cell r="C965" t="str">
            <v>AUXILIAR DE CONTROLE OPERACIONAL</v>
          </cell>
          <cell r="D965" t="str">
            <v>ECOSAMPA Operação Geral</v>
          </cell>
        </row>
        <row r="966">
          <cell r="A966">
            <v>116316</v>
          </cell>
          <cell r="B966" t="str">
            <v>GUILHERME MARINHO DOS SANTOS</v>
          </cell>
          <cell r="C966" t="str">
            <v>AJUDANTE EQ SERVICOS DIVERSOS</v>
          </cell>
          <cell r="D966" t="str">
            <v>ECOSAMPA Campo Limpo</v>
          </cell>
        </row>
        <row r="967">
          <cell r="A967">
            <v>120357</v>
          </cell>
          <cell r="B967" t="str">
            <v>GUILHERME PEREIRA MENDES</v>
          </cell>
          <cell r="C967" t="str">
            <v>AJUDANTE EQ SERVICOS DIVERSOS</v>
          </cell>
          <cell r="D967" t="str">
            <v>ECOSAMPA Campo Limpo</v>
          </cell>
        </row>
        <row r="968">
          <cell r="A968">
            <v>116728</v>
          </cell>
          <cell r="B968" t="str">
            <v>GUILHERME PIOVESAN CUSTODIO</v>
          </cell>
          <cell r="C968" t="str">
            <v>AJUDANTE EQ SERVICOS DIVERSOS</v>
          </cell>
          <cell r="D968" t="str">
            <v>ECOSAMPA Santo Amaro</v>
          </cell>
        </row>
        <row r="969">
          <cell r="A969">
            <v>113386</v>
          </cell>
          <cell r="B969" t="str">
            <v>GUILHERME TADEU PLACIDO LISBOA</v>
          </cell>
          <cell r="C969" t="str">
            <v>ENCARREGADO DE TURMA</v>
          </cell>
          <cell r="D969" t="str">
            <v>ECOSAMPA Santo Amaro</v>
          </cell>
        </row>
        <row r="970">
          <cell r="A970">
            <v>113391</v>
          </cell>
          <cell r="B970" t="str">
            <v>GUSTAVO DIAS TOMAZ</v>
          </cell>
          <cell r="C970" t="str">
            <v>VARREDOR</v>
          </cell>
          <cell r="D970" t="str">
            <v>ECOSAMPA M'Boi Mirim</v>
          </cell>
        </row>
        <row r="971">
          <cell r="A971">
            <v>114703</v>
          </cell>
          <cell r="B971" t="str">
            <v>GUSTAVO DO NASCIMENTO BATISTA</v>
          </cell>
          <cell r="C971" t="str">
            <v>AJUDANTE EQ SERVICOS DIVERSOS</v>
          </cell>
          <cell r="D971" t="str">
            <v>ECOSAMPA M'Boi Mirim</v>
          </cell>
        </row>
        <row r="972">
          <cell r="A972">
            <v>117245</v>
          </cell>
          <cell r="B972" t="str">
            <v>GUSTAVO DO NASCIMENTO BATISTA</v>
          </cell>
          <cell r="C972" t="str">
            <v>AJUDANTE EQ SERVICOS DIVERSOS</v>
          </cell>
          <cell r="D972" t="str">
            <v>ECOSAMPA Operação Geral</v>
          </cell>
        </row>
        <row r="973">
          <cell r="A973">
            <v>113394</v>
          </cell>
          <cell r="B973" t="str">
            <v>GUSTAVO OLIVEIRA SOUZA</v>
          </cell>
          <cell r="C973" t="str">
            <v>BUEIRISTA</v>
          </cell>
          <cell r="D973" t="str">
            <v>ECOSAMPA Capela do Socorro</v>
          </cell>
        </row>
        <row r="974">
          <cell r="A974">
            <v>121024</v>
          </cell>
          <cell r="B974" t="str">
            <v>GUSTAVO RODRIGUES DOS SANTOS</v>
          </cell>
          <cell r="C974" t="str">
            <v>VARREDOR</v>
          </cell>
          <cell r="D974" t="str">
            <v>ECOSAMPA M'Boi Mirim</v>
          </cell>
        </row>
        <row r="975">
          <cell r="A975">
            <v>113736</v>
          </cell>
          <cell r="B975" t="str">
            <v>GUSTAVO VALZACHI BENATTI</v>
          </cell>
          <cell r="C975" t="str">
            <v>GERENTE OPERACIONAL</v>
          </cell>
          <cell r="D975" t="str">
            <v>ECOSAMPA Operação Geral</v>
          </cell>
        </row>
        <row r="976">
          <cell r="A976">
            <v>116652</v>
          </cell>
          <cell r="B976" t="str">
            <v>GUSTAVO VALZACHI BENATTI</v>
          </cell>
          <cell r="C976" t="str">
            <v>GERENTE OPERACIONAL</v>
          </cell>
          <cell r="D976" t="str">
            <v>ECOSAMPA PJ</v>
          </cell>
        </row>
        <row r="977">
          <cell r="A977">
            <v>113398</v>
          </cell>
          <cell r="B977" t="str">
            <v>HAMILTON CEZARIO DE SOUZA</v>
          </cell>
          <cell r="C977" t="str">
            <v>VARREDOR</v>
          </cell>
          <cell r="D977" t="str">
            <v>ECOSAMPA Santo Amaro</v>
          </cell>
        </row>
        <row r="978">
          <cell r="A978">
            <v>113405</v>
          </cell>
          <cell r="B978" t="str">
            <v>HELCIO SOARES SARAIVA</v>
          </cell>
          <cell r="C978" t="str">
            <v>VARREDOR</v>
          </cell>
          <cell r="D978" t="str">
            <v>ECOSAMPA Capela do Socorro</v>
          </cell>
        </row>
        <row r="979">
          <cell r="A979">
            <v>113409</v>
          </cell>
          <cell r="B979" t="str">
            <v>HELENILDO RODRIGUES DE LIMA</v>
          </cell>
          <cell r="C979" t="str">
            <v>ENCARREGADO DE TURMA</v>
          </cell>
          <cell r="D979" t="str">
            <v>ECOSAMPA Campo Limpo</v>
          </cell>
        </row>
        <row r="980">
          <cell r="A980">
            <v>113413</v>
          </cell>
          <cell r="B980" t="str">
            <v>HELIO ALVES DE OLIVEIRA</v>
          </cell>
          <cell r="C980" t="str">
            <v>VARREDOR</v>
          </cell>
          <cell r="D980" t="str">
            <v>ECOSAMPA Santo Amaro</v>
          </cell>
        </row>
        <row r="981">
          <cell r="A981">
            <v>114766</v>
          </cell>
          <cell r="B981" t="str">
            <v>HELIO CORDEIRO LUCIO</v>
          </cell>
          <cell r="C981" t="str">
            <v>MOTORISTA DE CAMINHAO</v>
          </cell>
          <cell r="D981" t="str">
            <v>ECOSAMPA Operação Geral</v>
          </cell>
        </row>
        <row r="982">
          <cell r="A982">
            <v>114948</v>
          </cell>
          <cell r="B982" t="str">
            <v>HELIO CORDEIRO LUCIO</v>
          </cell>
          <cell r="C982" t="str">
            <v>MOTORISTA CAMINHAO</v>
          </cell>
          <cell r="D982" t="str">
            <v>ECOSAMPA Operação Geral</v>
          </cell>
        </row>
        <row r="983">
          <cell r="A983">
            <v>113418</v>
          </cell>
          <cell r="B983" t="str">
            <v>HELIO DE OLIVEIRA</v>
          </cell>
          <cell r="C983" t="str">
            <v>VARREDOR</v>
          </cell>
          <cell r="D983" t="str">
            <v>ECOSAMPA Capela do Socorro</v>
          </cell>
        </row>
        <row r="984">
          <cell r="A984">
            <v>113421</v>
          </cell>
          <cell r="B984" t="str">
            <v>HELIO FRANCISCO DE OLIVEIRA</v>
          </cell>
          <cell r="C984" t="str">
            <v>MOTORISTA CAMINHAO</v>
          </cell>
          <cell r="D984" t="str">
            <v>ECOSAMPA Operação Geral</v>
          </cell>
        </row>
        <row r="985">
          <cell r="A985">
            <v>113425</v>
          </cell>
          <cell r="B985" t="str">
            <v>HELKNES PEDRO RODRIGUES</v>
          </cell>
          <cell r="C985" t="str">
            <v>FISCAL DE TURMA PLENO</v>
          </cell>
          <cell r="D985" t="str">
            <v>ECOSAMPA Campo Limpo</v>
          </cell>
        </row>
        <row r="986">
          <cell r="A986">
            <v>115369</v>
          </cell>
          <cell r="B986" t="str">
            <v>HELOISA DE ALBUQUERQUE RAMOS</v>
          </cell>
          <cell r="C986" t="str">
            <v>PENSIONISTAS</v>
          </cell>
          <cell r="D986" t="str">
            <v>ECOSAMPA Pensionistas</v>
          </cell>
        </row>
        <row r="987">
          <cell r="A987">
            <v>113433</v>
          </cell>
          <cell r="B987" t="str">
            <v>HENRIQUE BARBOSA DE SOUSA CORDEIRO</v>
          </cell>
          <cell r="C987" t="str">
            <v>FISCAL DE TRAFEGO PLENO</v>
          </cell>
          <cell r="D987" t="str">
            <v>ECOSAMPA Operação Geral</v>
          </cell>
        </row>
        <row r="988">
          <cell r="A988">
            <v>113441</v>
          </cell>
          <cell r="B988" t="str">
            <v>HENRIQUE DOS SANTOS LANA</v>
          </cell>
          <cell r="C988" t="str">
            <v>MOTORISTA CAMINHAO</v>
          </cell>
          <cell r="D988" t="str">
            <v>ECOSAMPA Operação Geral</v>
          </cell>
        </row>
        <row r="989">
          <cell r="A989">
            <v>121471</v>
          </cell>
          <cell r="B989" t="str">
            <v>HENRIQUE FILIPE EUFRASIO LOPES</v>
          </cell>
          <cell r="C989" t="str">
            <v>AJUDANTE EQ SERVICOS DIVERSOS</v>
          </cell>
          <cell r="D989" t="str">
            <v>ECOSAMPA Operação Geral</v>
          </cell>
        </row>
        <row r="990">
          <cell r="A990">
            <v>113446</v>
          </cell>
          <cell r="B990" t="str">
            <v>HENRIQUE GOES GARCIA</v>
          </cell>
          <cell r="C990" t="str">
            <v>AJUDANTE EQ SERVICOS DIVERSOS</v>
          </cell>
          <cell r="D990" t="str">
            <v>ECOSAMPA Operação Geral</v>
          </cell>
        </row>
        <row r="991">
          <cell r="A991">
            <v>116238</v>
          </cell>
          <cell r="B991" t="str">
            <v>HENRIQUE LISBOA DA SILVA</v>
          </cell>
          <cell r="C991" t="str">
            <v>VARREDOR</v>
          </cell>
          <cell r="D991" t="str">
            <v>ECOSAMPA Capela do Socorro</v>
          </cell>
        </row>
        <row r="992">
          <cell r="A992">
            <v>113450</v>
          </cell>
          <cell r="B992" t="str">
            <v>HERBERTH QUEIROZ BORRALHO</v>
          </cell>
          <cell r="C992" t="str">
            <v>COLETOR</v>
          </cell>
          <cell r="D992" t="str">
            <v>ECOSAMPA Operação Geral</v>
          </cell>
        </row>
        <row r="993">
          <cell r="A993">
            <v>113455</v>
          </cell>
          <cell r="B993" t="str">
            <v>HERCULANO CONCEICAO DE ARAUJO</v>
          </cell>
          <cell r="C993" t="str">
            <v>AJUDANTE EQ SERVICOS DIVERSOS</v>
          </cell>
          <cell r="D993" t="str">
            <v>ECOSAMPA Capela do Socorro</v>
          </cell>
        </row>
        <row r="994">
          <cell r="A994">
            <v>119108</v>
          </cell>
          <cell r="B994" t="str">
            <v>HIGOR DINIZ DO PRADO</v>
          </cell>
          <cell r="C994" t="str">
            <v>AJUDANTE EQ SERVICOS DIVERSOS</v>
          </cell>
          <cell r="D994" t="str">
            <v>ECOSAMPA Campo Limpo</v>
          </cell>
        </row>
        <row r="995">
          <cell r="A995">
            <v>113459</v>
          </cell>
          <cell r="B995" t="str">
            <v>HIGOR SABINO</v>
          </cell>
          <cell r="C995" t="str">
            <v>AJUDANTE EQ SERVICOS DIVERSOS</v>
          </cell>
          <cell r="D995" t="str">
            <v>ECOSAMPA Parelheiros</v>
          </cell>
        </row>
        <row r="996">
          <cell r="A996">
            <v>114945</v>
          </cell>
          <cell r="B996" t="str">
            <v>HOSANO FERREIRA DOS SANTOS</v>
          </cell>
          <cell r="C996" t="str">
            <v>AJUDANTE EQ SERVICOS DIVERSOS</v>
          </cell>
          <cell r="D996" t="str">
            <v>ECOSAMPA Operação Geral</v>
          </cell>
        </row>
        <row r="997">
          <cell r="A997">
            <v>113464</v>
          </cell>
          <cell r="B997" t="str">
            <v>HUGO CESAR CANUTO</v>
          </cell>
          <cell r="C997" t="str">
            <v>BUEIRISTA</v>
          </cell>
          <cell r="D997" t="str">
            <v>ECOSAMPA Campo Limpo</v>
          </cell>
        </row>
        <row r="998">
          <cell r="A998">
            <v>113466</v>
          </cell>
          <cell r="B998" t="str">
            <v>HUGO PEREIRA DE SOUSA</v>
          </cell>
          <cell r="C998" t="str">
            <v>AJUDANTE EQ SERVICOS DIVERSOS</v>
          </cell>
          <cell r="D998" t="str">
            <v>ECOSAMPA Santo Amaro</v>
          </cell>
        </row>
        <row r="999">
          <cell r="A999">
            <v>122425</v>
          </cell>
          <cell r="B999" t="str">
            <v>HUGO VINICIUS DOS SANTOS</v>
          </cell>
          <cell r="C999" t="str">
            <v>AJUDANTE EQ SERVICOS DIVERSOS</v>
          </cell>
          <cell r="D999" t="str">
            <v>ECOSAMPA Operação Geral</v>
          </cell>
        </row>
        <row r="1000">
          <cell r="A1000">
            <v>114990</v>
          </cell>
          <cell r="B1000" t="str">
            <v>HUMBERTO CARLOS DA SILVA</v>
          </cell>
          <cell r="C1000" t="str">
            <v>MOTORISTA DE CAMINHAO</v>
          </cell>
          <cell r="D1000" t="str">
            <v>ECOSAMPA Operação Geral</v>
          </cell>
        </row>
        <row r="1001">
          <cell r="A1001">
            <v>113471</v>
          </cell>
          <cell r="B1001" t="str">
            <v>HUMBERTO JOSE DA SILVA</v>
          </cell>
          <cell r="C1001" t="str">
            <v>AJUDANTE EQ SERVICOS DIVERSOS</v>
          </cell>
          <cell r="D1001" t="str">
            <v>ECOSAMPA Campo Limpo</v>
          </cell>
        </row>
        <row r="1002">
          <cell r="A1002">
            <v>120191</v>
          </cell>
          <cell r="B1002" t="str">
            <v>HUMBERTO RAIMUNDO DE JESUS</v>
          </cell>
          <cell r="C1002" t="str">
            <v>MOTORISTA CAMINHAO</v>
          </cell>
          <cell r="D1002" t="str">
            <v>ECOSAMPA Operação Geral</v>
          </cell>
        </row>
        <row r="1003">
          <cell r="A1003">
            <v>121950</v>
          </cell>
          <cell r="B1003" t="str">
            <v>IAGO ALVES DA SILVA</v>
          </cell>
          <cell r="C1003" t="str">
            <v>MENOR/JOVEM APRENDIZ</v>
          </cell>
          <cell r="D1003" t="str">
            <v>ECOSAMPA Administração</v>
          </cell>
        </row>
        <row r="1004">
          <cell r="A1004">
            <v>121322</v>
          </cell>
          <cell r="B1004" t="str">
            <v>IAGO HENRIQUE PEREIRA OLIVEIRA</v>
          </cell>
          <cell r="C1004" t="str">
            <v>AJUDANTE EQ SERVICOS DIVERSOS</v>
          </cell>
          <cell r="D1004" t="str">
            <v>ECOSAMPA Operação Geral</v>
          </cell>
        </row>
        <row r="1005">
          <cell r="A1005">
            <v>119113</v>
          </cell>
          <cell r="B1005" t="str">
            <v>IDAEL LOPES RODRIGUES</v>
          </cell>
          <cell r="C1005" t="str">
            <v>AJUDANTE EQ SERVICOS DIVERSOS</v>
          </cell>
          <cell r="D1005" t="str">
            <v>ECOSAMPA Operação Geral</v>
          </cell>
        </row>
        <row r="1006">
          <cell r="A1006">
            <v>113473</v>
          </cell>
          <cell r="B1006" t="str">
            <v>IDAILTON LOPES RODRIGUES</v>
          </cell>
          <cell r="C1006" t="str">
            <v>AJUDANTE EQ SERVICOS DIVERSOS</v>
          </cell>
          <cell r="D1006" t="str">
            <v>ECOSAMPA Capela do Socorro</v>
          </cell>
        </row>
        <row r="1007">
          <cell r="A1007">
            <v>113474</v>
          </cell>
          <cell r="B1007" t="str">
            <v>IDENILSON PAURA RIBEIRO</v>
          </cell>
          <cell r="C1007" t="str">
            <v>AJUDANTE EQ SERVICOS DIVERSOS</v>
          </cell>
          <cell r="D1007" t="str">
            <v>ECOSAMPA Capela do Socorro</v>
          </cell>
        </row>
        <row r="1008">
          <cell r="A1008">
            <v>115412</v>
          </cell>
          <cell r="B1008" t="str">
            <v>IGOR GOMES DA CONCEICAO</v>
          </cell>
          <cell r="C1008" t="str">
            <v>AJUDANTE EQ SERVICOS DIVERSOS</v>
          </cell>
          <cell r="D1008" t="str">
            <v>ECOSAMPA Santo Amaro</v>
          </cell>
        </row>
        <row r="1009">
          <cell r="A1009">
            <v>114496</v>
          </cell>
          <cell r="B1009" t="str">
            <v>IGOR JANSON DO NASCIMENTO</v>
          </cell>
          <cell r="C1009" t="str">
            <v>AJUDANTE EQ SERVICOS DIVERSOS</v>
          </cell>
          <cell r="D1009" t="str">
            <v>ECOSAMPA Santo Amaro</v>
          </cell>
        </row>
        <row r="1010">
          <cell r="A1010">
            <v>113476</v>
          </cell>
          <cell r="B1010" t="str">
            <v>IGOR OLIVEIRA LIMA</v>
          </cell>
          <cell r="C1010" t="str">
            <v>BUEIRISTA</v>
          </cell>
          <cell r="D1010" t="str">
            <v>ECOSAMPA M'Boi Mirim</v>
          </cell>
        </row>
        <row r="1011">
          <cell r="A1011">
            <v>121323</v>
          </cell>
          <cell r="B1011" t="str">
            <v>IGOR RENATO SOARES MARTINS</v>
          </cell>
          <cell r="C1011" t="str">
            <v>AJUDANTE EQ SERVICOS DIVERSOS</v>
          </cell>
          <cell r="D1011" t="str">
            <v>ECOSAMPA Operação Geral</v>
          </cell>
        </row>
        <row r="1012">
          <cell r="A1012">
            <v>113478</v>
          </cell>
          <cell r="B1012" t="str">
            <v>IGOR SANTOS PALMEIRA</v>
          </cell>
          <cell r="C1012" t="str">
            <v>OPERADOR DE PA CARREGADEIRA</v>
          </cell>
          <cell r="D1012" t="str">
            <v>ECOSAMPA Operação Geral</v>
          </cell>
        </row>
        <row r="1013">
          <cell r="A1013">
            <v>114942</v>
          </cell>
          <cell r="B1013" t="str">
            <v>IGOR SANTOS SILVA</v>
          </cell>
          <cell r="C1013" t="str">
            <v>COLETOR</v>
          </cell>
          <cell r="D1013" t="str">
            <v>ECOSAMPA Operação Geral</v>
          </cell>
        </row>
        <row r="1014">
          <cell r="A1014">
            <v>114707</v>
          </cell>
          <cell r="B1014" t="str">
            <v>IGOR SOUZA SILVA</v>
          </cell>
          <cell r="C1014" t="str">
            <v>AJUDANTE EQ SERVICOS DIVERSOS</v>
          </cell>
          <cell r="D1014" t="str">
            <v>ECOSAMPA Capela do Socorro</v>
          </cell>
        </row>
        <row r="1015">
          <cell r="A1015">
            <v>113480</v>
          </cell>
          <cell r="B1015" t="str">
            <v>ILDETE ARAUJO COELHO</v>
          </cell>
          <cell r="C1015" t="str">
            <v>VARREDOR</v>
          </cell>
          <cell r="D1015" t="str">
            <v>ECOSAMPA Campo Limpo</v>
          </cell>
        </row>
        <row r="1016">
          <cell r="A1016">
            <v>114944</v>
          </cell>
          <cell r="B1016" t="str">
            <v>ILSON ROBERTO FONSECA</v>
          </cell>
          <cell r="C1016" t="str">
            <v>AJUDANTE EQ SERVICOS DIVERSOS</v>
          </cell>
          <cell r="D1016" t="str">
            <v>ECOSAMPA Operação Geral</v>
          </cell>
        </row>
        <row r="1017">
          <cell r="A1017">
            <v>113483</v>
          </cell>
          <cell r="B1017" t="str">
            <v>INALDO BENEDITO DA SILVA</v>
          </cell>
          <cell r="C1017" t="str">
            <v>VARREDOR</v>
          </cell>
          <cell r="D1017" t="str">
            <v>ECOSAMPA Parelheiros</v>
          </cell>
        </row>
        <row r="1018">
          <cell r="A1018">
            <v>117234</v>
          </cell>
          <cell r="B1018" t="str">
            <v>IOLANDA MARIA DA SILVA</v>
          </cell>
          <cell r="C1018" t="str">
            <v>AJUDANTE EQ SERVICOS DIVERSOS</v>
          </cell>
          <cell r="D1018" t="str">
            <v>ECOSAMPA Capela do Socorro</v>
          </cell>
        </row>
        <row r="1019">
          <cell r="A1019">
            <v>114720</v>
          </cell>
          <cell r="B1019" t="str">
            <v>IRAILDO PEREIRA NOGUEIRA</v>
          </cell>
          <cell r="C1019" t="str">
            <v>AJUDANTE EQ SERVICOS DIVERSOS</v>
          </cell>
          <cell r="D1019" t="str">
            <v>ECOSAMPA Capela do Socorro</v>
          </cell>
        </row>
        <row r="1020">
          <cell r="A1020">
            <v>113486</v>
          </cell>
          <cell r="B1020" t="str">
            <v>IRAM MOREIRA DOS SANTOS</v>
          </cell>
          <cell r="C1020" t="str">
            <v>MOTORISTA CAMINHAO</v>
          </cell>
          <cell r="D1020" t="str">
            <v>ECOSAMPA Operação Geral</v>
          </cell>
        </row>
        <row r="1021">
          <cell r="A1021">
            <v>121677</v>
          </cell>
          <cell r="B1021" t="str">
            <v>IRANILDO DOS SANTOS</v>
          </cell>
          <cell r="C1021" t="str">
            <v>AJUDANTE EQ SERVICOS DIVERSOS</v>
          </cell>
          <cell r="D1021" t="str">
            <v>ECOSAMPA Santo Amaro</v>
          </cell>
        </row>
        <row r="1022">
          <cell r="A1022">
            <v>113487</v>
          </cell>
          <cell r="B1022" t="str">
            <v>IRENO DE JESUS SOUZA</v>
          </cell>
          <cell r="C1022" t="str">
            <v>COLETOR</v>
          </cell>
          <cell r="D1022" t="str">
            <v>ECOSAMPA Operação Geral</v>
          </cell>
        </row>
        <row r="1023">
          <cell r="A1023">
            <v>113489</v>
          </cell>
          <cell r="B1023" t="str">
            <v>IRINEU DE LIMA ASSUMPCAO</v>
          </cell>
          <cell r="C1023" t="str">
            <v>VARREDOR</v>
          </cell>
          <cell r="D1023" t="str">
            <v>ECOSAMPA M'Boi Mirim</v>
          </cell>
        </row>
        <row r="1024">
          <cell r="A1024">
            <v>113492</v>
          </cell>
          <cell r="B1024" t="str">
            <v>IRINEU MACHADO DIAS</v>
          </cell>
          <cell r="C1024" t="str">
            <v>VARREDOR</v>
          </cell>
          <cell r="D1024" t="str">
            <v>ECOSAMPA M'Boi Mirim</v>
          </cell>
        </row>
        <row r="1025">
          <cell r="A1025">
            <v>113499</v>
          </cell>
          <cell r="B1025" t="str">
            <v>IRISMAR BARBOSA SILVA</v>
          </cell>
          <cell r="C1025" t="str">
            <v>VARREDOR</v>
          </cell>
          <cell r="D1025" t="str">
            <v>ECOSAMPA Santo Amaro</v>
          </cell>
        </row>
        <row r="1026">
          <cell r="A1026">
            <v>114978</v>
          </cell>
          <cell r="B1026" t="str">
            <v>IRISMAR DE JESUS SANTOS</v>
          </cell>
          <cell r="C1026" t="str">
            <v>AJUDANTE EQ SERVICOS DIVERSOS</v>
          </cell>
          <cell r="D1026" t="str">
            <v>ECOSAMPA Operação Geral</v>
          </cell>
        </row>
        <row r="1027">
          <cell r="A1027">
            <v>113501</v>
          </cell>
          <cell r="B1027" t="str">
            <v>ISAAC ANTONIO DA SILVA</v>
          </cell>
          <cell r="C1027" t="str">
            <v>COLETOR</v>
          </cell>
          <cell r="D1027" t="str">
            <v>ECOSAMPA Operação Geral</v>
          </cell>
        </row>
        <row r="1028">
          <cell r="A1028">
            <v>114715</v>
          </cell>
          <cell r="B1028" t="str">
            <v>ISAAC MATIAS DE OLIVEIRA</v>
          </cell>
          <cell r="C1028" t="str">
            <v>AJUDANTE EQ SERVICOS DIVERSOS</v>
          </cell>
          <cell r="D1028" t="str">
            <v>ECOSAMPA Capela do Socorro</v>
          </cell>
        </row>
        <row r="1029">
          <cell r="A1029">
            <v>114975</v>
          </cell>
          <cell r="B1029" t="str">
            <v>ISAAC SILVA DOS SANTOS</v>
          </cell>
          <cell r="C1029" t="str">
            <v>AJUDANTE EQ SERVICOS DIVERSOS</v>
          </cell>
          <cell r="D1029" t="str">
            <v>ECOSAMPA Operação Geral</v>
          </cell>
        </row>
        <row r="1030">
          <cell r="A1030">
            <v>115812</v>
          </cell>
          <cell r="B1030" t="str">
            <v>ISABEL DA SILVA MELO</v>
          </cell>
          <cell r="C1030" t="str">
            <v>AGENTE AMBIENTAL</v>
          </cell>
          <cell r="D1030" t="str">
            <v>ECOSAMPA Operação Geral</v>
          </cell>
        </row>
        <row r="1031">
          <cell r="A1031">
            <v>115606</v>
          </cell>
          <cell r="B1031" t="str">
            <v>ISABELA NUNES DO CARMO</v>
          </cell>
          <cell r="C1031" t="str">
            <v>PENSIONISTAS</v>
          </cell>
          <cell r="D1031" t="str">
            <v>ECOSAMPA Pensionistas</v>
          </cell>
        </row>
        <row r="1032">
          <cell r="A1032">
            <v>113505</v>
          </cell>
          <cell r="B1032" t="str">
            <v>ISAIA DE ANDRADE CRUZ DUARTE</v>
          </cell>
          <cell r="C1032" t="str">
            <v>VARREDOR</v>
          </cell>
          <cell r="D1032" t="str">
            <v>ECOSAMPA Santo Amaro</v>
          </cell>
        </row>
        <row r="1033">
          <cell r="A1033">
            <v>113513</v>
          </cell>
          <cell r="B1033" t="str">
            <v>ISAIAS HENRIQUE DE SOUZA</v>
          </cell>
          <cell r="C1033" t="str">
            <v>AJUDANTE EQ SERVICOS DIVERSOS</v>
          </cell>
          <cell r="D1033" t="str">
            <v>ECOSAMPA Santo Amaro</v>
          </cell>
        </row>
        <row r="1034">
          <cell r="A1034">
            <v>116229</v>
          </cell>
          <cell r="B1034" t="str">
            <v>ISAQUE DE LIMA</v>
          </cell>
          <cell r="C1034" t="str">
            <v>AJUDANTE EQ SERVICOS DIVERSOS</v>
          </cell>
          <cell r="D1034" t="str">
            <v>ECOSAMPA Capela do Socorro</v>
          </cell>
        </row>
        <row r="1035">
          <cell r="A1035">
            <v>114112</v>
          </cell>
          <cell r="B1035" t="str">
            <v>ISAQUIEL HORLEI CORDEIRO</v>
          </cell>
          <cell r="C1035" t="str">
            <v>AJUDANTE EQ SERVICOS DIVERSOS</v>
          </cell>
          <cell r="D1035" t="str">
            <v>ECOSAMPA Capela do Socorro</v>
          </cell>
        </row>
        <row r="1036">
          <cell r="A1036">
            <v>113519</v>
          </cell>
          <cell r="B1036" t="str">
            <v>ISAQUIEL OLIMPIO BERNARDO</v>
          </cell>
          <cell r="C1036" t="str">
            <v>BUEIRISTA</v>
          </cell>
          <cell r="D1036" t="str">
            <v>ECOSAMPA Santo Amaro</v>
          </cell>
        </row>
        <row r="1037">
          <cell r="A1037">
            <v>115450</v>
          </cell>
          <cell r="B1037" t="str">
            <v>ISLEI OLIVEIRA ARAUJO</v>
          </cell>
          <cell r="C1037" t="str">
            <v>ELETRICISTA</v>
          </cell>
          <cell r="D1037" t="str">
            <v>ECOSAMPA Operação Geral</v>
          </cell>
        </row>
        <row r="1038">
          <cell r="A1038">
            <v>112529</v>
          </cell>
          <cell r="B1038" t="str">
            <v>ISRAEL DANTAS DOS SANTOS</v>
          </cell>
          <cell r="C1038" t="str">
            <v>VARREDOR</v>
          </cell>
          <cell r="D1038" t="str">
            <v>ECOSAMPA Capela do Socorro</v>
          </cell>
        </row>
        <row r="1039">
          <cell r="A1039">
            <v>114963</v>
          </cell>
          <cell r="B1039" t="str">
            <v>ISRAEL DO NASCIMENTO SILVA</v>
          </cell>
          <cell r="C1039" t="str">
            <v>AJUDANTE EQ SERVICOS DIVERSOS</v>
          </cell>
          <cell r="D1039" t="str">
            <v>ECOSAMPA Operação Geral</v>
          </cell>
        </row>
        <row r="1040">
          <cell r="A1040">
            <v>122559</v>
          </cell>
          <cell r="B1040" t="str">
            <v>ISRAEL MARTINS DA SILVA</v>
          </cell>
          <cell r="C1040" t="str">
            <v>AJUDANTE EQ SERVICOS DIVERSOS</v>
          </cell>
          <cell r="D1040" t="str">
            <v>ECOSAMPA Parelheiros</v>
          </cell>
        </row>
        <row r="1041">
          <cell r="A1041">
            <v>121689</v>
          </cell>
          <cell r="B1041" t="str">
            <v>ITALO FERNANDO SILVA COSTA</v>
          </cell>
          <cell r="C1041" t="str">
            <v>AJUDANTE EQ SERVICOS DIVERSOS</v>
          </cell>
          <cell r="D1041" t="str">
            <v>ECOSAMPA Parelheiros</v>
          </cell>
        </row>
        <row r="1042">
          <cell r="A1042">
            <v>121330</v>
          </cell>
          <cell r="B1042" t="str">
            <v>ITAMAR DOS SANTOS COSTA</v>
          </cell>
          <cell r="C1042" t="str">
            <v>VARREDOR</v>
          </cell>
          <cell r="D1042" t="str">
            <v>ECOSAMPA Capela do Socorro</v>
          </cell>
        </row>
        <row r="1043">
          <cell r="A1043">
            <v>112531</v>
          </cell>
          <cell r="B1043" t="str">
            <v>ITAMAR INACIO DA SILVA</v>
          </cell>
          <cell r="C1043" t="str">
            <v>VARREDOR</v>
          </cell>
          <cell r="D1043" t="str">
            <v>ECOSAMPA Parelheiros</v>
          </cell>
        </row>
        <row r="1044">
          <cell r="A1044">
            <v>113426</v>
          </cell>
          <cell r="B1044" t="str">
            <v>ITAMAR NOVAIS SANTOS</v>
          </cell>
          <cell r="C1044" t="str">
            <v>VARREDOR</v>
          </cell>
          <cell r="D1044" t="str">
            <v>ECOSAMPA Santo Amaro</v>
          </cell>
        </row>
        <row r="1045">
          <cell r="A1045">
            <v>114121</v>
          </cell>
          <cell r="B1045" t="str">
            <v>IVAN DA PAZ SANTANA</v>
          </cell>
          <cell r="C1045" t="str">
            <v>MOTORISTA CAMINHAO</v>
          </cell>
          <cell r="D1045" t="str">
            <v>ECOSAMPA Operação Geral</v>
          </cell>
        </row>
        <row r="1046">
          <cell r="A1046">
            <v>114773</v>
          </cell>
          <cell r="B1046" t="str">
            <v>IVAN GOMES DA SILVA</v>
          </cell>
          <cell r="C1046" t="str">
            <v>AJUDANTE EQ SERVICOS DIVERSOS</v>
          </cell>
          <cell r="D1046" t="str">
            <v>ECOSAMPA Santo Amaro</v>
          </cell>
        </row>
        <row r="1047">
          <cell r="A1047">
            <v>113050</v>
          </cell>
          <cell r="B1047" t="str">
            <v>IVAN SANTOS BALBINO DA SILVA</v>
          </cell>
          <cell r="C1047" t="str">
            <v>VARREDOR</v>
          </cell>
          <cell r="D1047" t="str">
            <v>ECOSAMPA M'Boi Mirim</v>
          </cell>
        </row>
        <row r="1048">
          <cell r="A1048">
            <v>113347</v>
          </cell>
          <cell r="B1048" t="str">
            <v>IVAN SOUTO DE ARAUJO</v>
          </cell>
          <cell r="C1048" t="str">
            <v>OPERADOR DE MAQUINA SENIOR</v>
          </cell>
          <cell r="D1048" t="str">
            <v>ECOSAMPA Operação Geral</v>
          </cell>
        </row>
        <row r="1049">
          <cell r="A1049">
            <v>113093</v>
          </cell>
          <cell r="B1049" t="str">
            <v>IVANILDO ALEXANDRE DOS SANTOS</v>
          </cell>
          <cell r="C1049" t="str">
            <v>AJUDANTE EQ SERVICOS DIVERSOS</v>
          </cell>
          <cell r="D1049" t="str">
            <v>ECOSAMPA Santo Amaro</v>
          </cell>
        </row>
        <row r="1050">
          <cell r="A1050">
            <v>113094</v>
          </cell>
          <cell r="B1050" t="str">
            <v>IVANILDO DA SILVA LEITE</v>
          </cell>
          <cell r="C1050" t="str">
            <v>AJUDANTE EQ SERVICOS DIVERSOS</v>
          </cell>
          <cell r="D1050" t="str">
            <v>ECOSAMPA Operação Geral</v>
          </cell>
        </row>
        <row r="1051">
          <cell r="A1051">
            <v>112178</v>
          </cell>
          <cell r="B1051" t="str">
            <v>IVANILDO JOSE DE FREITAS</v>
          </cell>
          <cell r="C1051" t="str">
            <v>AJUDANTE EQ SERVICOS DIVERSOS</v>
          </cell>
          <cell r="D1051" t="str">
            <v>ECOSAMPA Campo Limpo</v>
          </cell>
        </row>
        <row r="1052">
          <cell r="A1052">
            <v>113098</v>
          </cell>
          <cell r="B1052" t="str">
            <v>IVANILDO PASSOS DOS SANTOS</v>
          </cell>
          <cell r="C1052" t="str">
            <v>COLETOR</v>
          </cell>
          <cell r="D1052" t="str">
            <v>ECOSAMPA Operação Geral</v>
          </cell>
        </row>
        <row r="1053">
          <cell r="A1053">
            <v>116236</v>
          </cell>
          <cell r="B1053" t="str">
            <v>IVANILDO SANTOS NOVAIS</v>
          </cell>
          <cell r="C1053" t="str">
            <v>VARREDOR</v>
          </cell>
          <cell r="D1053" t="str">
            <v>ECOSAMPA Capela do Socorro</v>
          </cell>
        </row>
        <row r="1054">
          <cell r="A1054">
            <v>113072</v>
          </cell>
          <cell r="B1054" t="str">
            <v>IVO FERREIRA DE AZEVEDO</v>
          </cell>
          <cell r="C1054" t="str">
            <v>AJUDANTE EQ SERVICOS DIVERSOS</v>
          </cell>
          <cell r="D1054" t="str">
            <v>ECOSAMPA Santo Amaro</v>
          </cell>
        </row>
        <row r="1055">
          <cell r="A1055">
            <v>112966</v>
          </cell>
          <cell r="B1055" t="str">
            <v>IVONEI OLIVEIRA CAVALCANTE</v>
          </cell>
          <cell r="C1055" t="str">
            <v>AJUDANTE EQ SERVICOS DIVERSOS</v>
          </cell>
          <cell r="D1055" t="str">
            <v>ECOSAMPA M'Boi Mirim</v>
          </cell>
        </row>
        <row r="1056">
          <cell r="A1056">
            <v>115373</v>
          </cell>
          <cell r="B1056" t="str">
            <v>IWAN YURI SILVA BARBOSA NASCIMENTO</v>
          </cell>
          <cell r="C1056" t="str">
            <v>AJUDANTE EQ SERVICOS DIVERSOS</v>
          </cell>
          <cell r="D1056" t="str">
            <v>ECOSAMPA Capela do Socorro</v>
          </cell>
        </row>
        <row r="1057">
          <cell r="A1057">
            <v>112774</v>
          </cell>
          <cell r="B1057" t="str">
            <v>IZAIAS MOREIRA DA COSTA</v>
          </cell>
          <cell r="C1057" t="str">
            <v>VARREDOR</v>
          </cell>
          <cell r="D1057" t="str">
            <v>ECOSAMPA Capela do Socorro</v>
          </cell>
        </row>
        <row r="1058">
          <cell r="A1058">
            <v>113164</v>
          </cell>
          <cell r="B1058" t="str">
            <v>IZAIAS RODRIGUES MIRANDA</v>
          </cell>
          <cell r="C1058" t="str">
            <v>COLETOR</v>
          </cell>
          <cell r="D1058" t="str">
            <v>ECOSAMPA Operação Geral</v>
          </cell>
        </row>
        <row r="1059">
          <cell r="A1059">
            <v>112967</v>
          </cell>
          <cell r="B1059" t="str">
            <v>IZAIAS VIEIRA COSTA</v>
          </cell>
          <cell r="C1059" t="str">
            <v>AJUDANTE EQ SERVICOS DIVERSOS</v>
          </cell>
          <cell r="D1059" t="str">
            <v>ECOSAMPA Parelheiros</v>
          </cell>
        </row>
        <row r="1060">
          <cell r="A1060">
            <v>121953</v>
          </cell>
          <cell r="B1060" t="str">
            <v>IZAQUE JUSTINO CANDIDO</v>
          </cell>
          <cell r="C1060" t="str">
            <v>AJUDANTE EQ SERVICOS DIVERSOS</v>
          </cell>
          <cell r="D1060" t="str">
            <v>ECOSAMPA Santo Amaro</v>
          </cell>
        </row>
        <row r="1061">
          <cell r="A1061">
            <v>116010</v>
          </cell>
          <cell r="B1061" t="str">
            <v>JACIRA DA SILVA ALBANO</v>
          </cell>
          <cell r="C1061" t="str">
            <v>AJUDANTE EQ SERVICOS DIVERSOS</v>
          </cell>
          <cell r="D1061" t="str">
            <v>ECOSAMPA Santo Amaro</v>
          </cell>
        </row>
        <row r="1062">
          <cell r="A1062">
            <v>121414</v>
          </cell>
          <cell r="B1062" t="str">
            <v>JACKSON GAMA DIAS</v>
          </cell>
          <cell r="C1062" t="str">
            <v>AJUDANTE EQ SERVICOS DIVERSOS</v>
          </cell>
          <cell r="D1062" t="str">
            <v>ECOSAMPA M'Boi Mirim</v>
          </cell>
        </row>
        <row r="1063">
          <cell r="A1063">
            <v>113406</v>
          </cell>
          <cell r="B1063" t="str">
            <v>JACKSON PIRES NASCIMENTO</v>
          </cell>
          <cell r="C1063" t="str">
            <v>VARREDOR</v>
          </cell>
          <cell r="D1063" t="str">
            <v>ECOSAMPA Santo Amaro</v>
          </cell>
        </row>
        <row r="1064">
          <cell r="A1064">
            <v>118059</v>
          </cell>
          <cell r="B1064" t="str">
            <v>JACKSON WENDELL FIRMINO DE ARAUJO</v>
          </cell>
          <cell r="C1064" t="str">
            <v>AJUDANTE EQ SERVICOS DIVERSOS</v>
          </cell>
          <cell r="D1064" t="str">
            <v>ECOSAMPA Santo Amaro</v>
          </cell>
        </row>
        <row r="1065">
          <cell r="A1065">
            <v>113165</v>
          </cell>
          <cell r="B1065" t="str">
            <v>JACNER ARRUDA DE OLIVEIRA</v>
          </cell>
          <cell r="C1065" t="str">
            <v>COLETOR</v>
          </cell>
          <cell r="D1065" t="str">
            <v>ECOSAMPA Operação Geral</v>
          </cell>
        </row>
        <row r="1066">
          <cell r="A1066">
            <v>113599</v>
          </cell>
          <cell r="B1066" t="str">
            <v>JACO LAURIANO DA SILVA</v>
          </cell>
          <cell r="C1066" t="str">
            <v>MOTORISTA CAMINHAO</v>
          </cell>
          <cell r="D1066" t="str">
            <v>ECOSAMPA Operação Geral</v>
          </cell>
        </row>
        <row r="1067">
          <cell r="A1067">
            <v>117409</v>
          </cell>
          <cell r="B1067" t="str">
            <v>JACSON VALENTIM</v>
          </cell>
          <cell r="C1067" t="str">
            <v>VARREDOR</v>
          </cell>
          <cell r="D1067" t="str">
            <v>ECOSAMPA Santo Amaro</v>
          </cell>
        </row>
        <row r="1068">
          <cell r="A1068">
            <v>114762</v>
          </cell>
          <cell r="B1068" t="str">
            <v>JADER BARBOSA DE ARAUJO</v>
          </cell>
          <cell r="C1068" t="str">
            <v>MOTORISTA DE CAMINHAO</v>
          </cell>
          <cell r="D1068" t="str">
            <v>ECOSAMPA Operação Geral</v>
          </cell>
        </row>
        <row r="1069">
          <cell r="A1069">
            <v>113099</v>
          </cell>
          <cell r="B1069" t="str">
            <v>JADERSON CANDIDO DA SILVA</v>
          </cell>
          <cell r="C1069" t="str">
            <v>AJUDANTE EQ SERVICOS DIVERSOS</v>
          </cell>
          <cell r="D1069" t="str">
            <v>ECOSAMPA Santo Amaro</v>
          </cell>
        </row>
        <row r="1070">
          <cell r="A1070">
            <v>115396</v>
          </cell>
          <cell r="B1070" t="str">
            <v>JAIDER DIONISIO SANTOS</v>
          </cell>
          <cell r="C1070" t="str">
            <v>AJUDANTE EQ SERVICOS DIVERSOS</v>
          </cell>
          <cell r="D1070" t="str">
            <v>ECOSAMPA M'Boi Mirim</v>
          </cell>
        </row>
        <row r="1071">
          <cell r="A1071">
            <v>121975</v>
          </cell>
          <cell r="B1071" t="str">
            <v>JAILMA FURTUNATO</v>
          </cell>
          <cell r="C1071" t="str">
            <v>PENSIONISTAS</v>
          </cell>
          <cell r="D1071" t="str">
            <v>ECOSAMPA Pensionistas</v>
          </cell>
        </row>
        <row r="1072">
          <cell r="A1072">
            <v>122835</v>
          </cell>
          <cell r="B1072" t="str">
            <v>JAILSON AMANCIO DA SILVA</v>
          </cell>
          <cell r="C1072" t="str">
            <v>AJUDANTE EQ SERVICOS DIVERSOS</v>
          </cell>
          <cell r="D1072" t="str">
            <v>ECOSAMPA Parelheiros</v>
          </cell>
        </row>
        <row r="1073">
          <cell r="A1073">
            <v>113132</v>
          </cell>
          <cell r="B1073" t="str">
            <v>JAILSON CONCEICAO DOS SANTOS</v>
          </cell>
          <cell r="C1073" t="str">
            <v>COLETOR</v>
          </cell>
          <cell r="D1073" t="str">
            <v>ECOSAMPA Operação Geral</v>
          </cell>
        </row>
        <row r="1074">
          <cell r="A1074">
            <v>117360</v>
          </cell>
          <cell r="B1074" t="str">
            <v>JAILSON CORREIA DE LIMA</v>
          </cell>
          <cell r="C1074" t="str">
            <v>MOTORISTA CAMINHAO</v>
          </cell>
          <cell r="D1074" t="str">
            <v>ECOSAMPA Operação Geral</v>
          </cell>
        </row>
        <row r="1075">
          <cell r="A1075">
            <v>114257</v>
          </cell>
          <cell r="B1075" t="str">
            <v>JAILSON JOSE DA COSTA GONCALVES</v>
          </cell>
          <cell r="C1075" t="str">
            <v>AJUDANTE EQ SERVICOS DIVERSOS</v>
          </cell>
          <cell r="D1075" t="str">
            <v>ECOSAMPA Santo Amaro</v>
          </cell>
        </row>
        <row r="1076">
          <cell r="A1076">
            <v>113430</v>
          </cell>
          <cell r="B1076" t="str">
            <v>JAILSON MENDES RODRIGUES</v>
          </cell>
          <cell r="C1076" t="str">
            <v>VARREDOR</v>
          </cell>
          <cell r="D1076" t="str">
            <v>ECOSAMPA Santo Amaro</v>
          </cell>
        </row>
        <row r="1077">
          <cell r="A1077">
            <v>112957</v>
          </cell>
          <cell r="B1077" t="str">
            <v>JAILTON DA SILVA AMARAL NASCIMENTO</v>
          </cell>
          <cell r="C1077" t="str">
            <v>MOTORISTA CAMINHAO</v>
          </cell>
          <cell r="D1077" t="str">
            <v>ECOSAMPA Operação Geral</v>
          </cell>
        </row>
        <row r="1078">
          <cell r="A1078">
            <v>112226</v>
          </cell>
          <cell r="B1078" t="str">
            <v>JAILTON DE AZEVEDO SILVA</v>
          </cell>
          <cell r="C1078" t="str">
            <v>VARREDOR</v>
          </cell>
          <cell r="D1078" t="str">
            <v>ECOSAMPA Campo Limpo</v>
          </cell>
        </row>
        <row r="1079">
          <cell r="A1079">
            <v>113166</v>
          </cell>
          <cell r="B1079" t="str">
            <v>JAIME MENDES DOS SANTOS</v>
          </cell>
          <cell r="C1079" t="str">
            <v>COLETOR</v>
          </cell>
          <cell r="D1079" t="str">
            <v>ECOSAMPA Operação Geral</v>
          </cell>
        </row>
        <row r="1080">
          <cell r="A1080">
            <v>112789</v>
          </cell>
          <cell r="B1080" t="str">
            <v>JAIR LUIZ DOS SANTOS</v>
          </cell>
          <cell r="C1080" t="str">
            <v>VARREDOR</v>
          </cell>
          <cell r="D1080" t="str">
            <v>ECOSAMPA Capela do Socorro</v>
          </cell>
        </row>
        <row r="1081">
          <cell r="A1081">
            <v>113410</v>
          </cell>
          <cell r="B1081" t="str">
            <v>JAIR SOARES DE OLIVEIRA</v>
          </cell>
          <cell r="C1081" t="str">
            <v>VARREDOR</v>
          </cell>
          <cell r="D1081" t="str">
            <v>ECOSAMPA Santo Amaro</v>
          </cell>
        </row>
        <row r="1082">
          <cell r="A1082">
            <v>114800</v>
          </cell>
          <cell r="B1082" t="str">
            <v>JAIR VIEIRA DA COSTA</v>
          </cell>
          <cell r="C1082" t="str">
            <v>MOTORISTA CAMINHAO</v>
          </cell>
          <cell r="D1082" t="str">
            <v>ECOSAMPA Operação Geral</v>
          </cell>
        </row>
        <row r="1083">
          <cell r="A1083">
            <v>114724</v>
          </cell>
          <cell r="B1083" t="str">
            <v>JAIRO DE AZEVEDO SILVA</v>
          </cell>
          <cell r="C1083" t="str">
            <v>AJUDANTE EQ SERVICOS DIVERSOS</v>
          </cell>
          <cell r="D1083" t="str">
            <v>ECOSAMPA Santo Amaro</v>
          </cell>
        </row>
        <row r="1084">
          <cell r="A1084">
            <v>115008</v>
          </cell>
          <cell r="B1084" t="str">
            <v>JAMES RODRIGUES DA SILVA</v>
          </cell>
          <cell r="C1084" t="str">
            <v>AJUDANTE EQ SERVICOS DIVERSOS</v>
          </cell>
          <cell r="D1084" t="str">
            <v>ECOSAMPA Santo Amaro</v>
          </cell>
        </row>
        <row r="1085">
          <cell r="A1085">
            <v>114551</v>
          </cell>
          <cell r="B1085" t="str">
            <v>JAMESON PASCOAL APARECIDO DE SOUZA</v>
          </cell>
          <cell r="C1085" t="str">
            <v>AJUDANTE EQ SERVICOS DIVERSOS</v>
          </cell>
          <cell r="D1085" t="str">
            <v>ECOSAMPA Capela do Socorro</v>
          </cell>
        </row>
        <row r="1086">
          <cell r="A1086">
            <v>114263</v>
          </cell>
          <cell r="B1086" t="str">
            <v>JANAUCI LUIZ DOS SANTOS</v>
          </cell>
          <cell r="C1086" t="str">
            <v>VARREDOR</v>
          </cell>
          <cell r="D1086" t="str">
            <v>ECOSAMPA M'Boi Mirim</v>
          </cell>
        </row>
        <row r="1087">
          <cell r="A1087">
            <v>114723</v>
          </cell>
          <cell r="B1087" t="str">
            <v>JANIO FERREIRA PEREIRA</v>
          </cell>
          <cell r="C1087" t="str">
            <v>AJUDANTE EQ SERVICOS DIVERSOS</v>
          </cell>
          <cell r="D1087" t="str">
            <v>ECOSAMPA Capela do Socorro</v>
          </cell>
        </row>
        <row r="1088">
          <cell r="A1088">
            <v>116002</v>
          </cell>
          <cell r="B1088" t="str">
            <v>JAQUELINE DE ANDRADE GARCIA</v>
          </cell>
          <cell r="C1088" t="str">
            <v>AJUDANTE EQ SERVICOS DIVERSOS</v>
          </cell>
          <cell r="D1088" t="str">
            <v>ECOSAMPA Santo Amaro</v>
          </cell>
        </row>
        <row r="1089">
          <cell r="A1089">
            <v>113330</v>
          </cell>
          <cell r="B1089" t="str">
            <v>JARDEL RODRIGUES DA SILVA</v>
          </cell>
          <cell r="C1089" t="str">
            <v>ELETRICISTA</v>
          </cell>
          <cell r="D1089" t="str">
            <v>ECOSAMPA Operação Geral</v>
          </cell>
        </row>
        <row r="1090">
          <cell r="A1090">
            <v>113927</v>
          </cell>
          <cell r="B1090" t="str">
            <v>JARILSON EUCLIDES PEREIRA</v>
          </cell>
          <cell r="C1090" t="str">
            <v>TECNICO DE GEOPROCESSAMENTO</v>
          </cell>
          <cell r="D1090" t="str">
            <v>ECOSAMPA Operação Geral</v>
          </cell>
        </row>
        <row r="1091">
          <cell r="A1091">
            <v>121685</v>
          </cell>
          <cell r="B1091" t="str">
            <v>JARSON BENTES LUCENA DOS SANTOS</v>
          </cell>
          <cell r="C1091" t="str">
            <v>AJUDANTE EQ SERVICOS DIVERSOS</v>
          </cell>
          <cell r="D1091" t="str">
            <v>ECOSAMPA Santo Amaro</v>
          </cell>
        </row>
        <row r="1092">
          <cell r="A1092">
            <v>113077</v>
          </cell>
          <cell r="B1092" t="str">
            <v>JEAN DE LIMA GOMES</v>
          </cell>
          <cell r="C1092" t="str">
            <v>AJUDANTE EQ SERVICOS DIVERSOS</v>
          </cell>
          <cell r="D1092" t="str">
            <v>ECOSAMPA Santo Amaro</v>
          </cell>
        </row>
        <row r="1093">
          <cell r="A1093">
            <v>114964</v>
          </cell>
          <cell r="B1093" t="str">
            <v>JECE JOZA D ARC DA SILVA</v>
          </cell>
          <cell r="C1093" t="str">
            <v>AJUDANTE EQ SERVICOS DIVERSOS</v>
          </cell>
          <cell r="D1093" t="str">
            <v>ECOSAMPA Operação Geral</v>
          </cell>
        </row>
        <row r="1094">
          <cell r="A1094">
            <v>113123</v>
          </cell>
          <cell r="B1094" t="str">
            <v>JEDSON DA SILVA SANTOS</v>
          </cell>
          <cell r="C1094" t="str">
            <v>MOTORISTA DE CAMINHAO</v>
          </cell>
          <cell r="D1094" t="str">
            <v>ECOSAMPA Operação Geral</v>
          </cell>
        </row>
        <row r="1095">
          <cell r="A1095">
            <v>121326</v>
          </cell>
          <cell r="B1095" t="str">
            <v>JEFERSON DE JESUS DA SILVA</v>
          </cell>
          <cell r="C1095" t="str">
            <v>AJUDANTE EQ SERVICOS DIVERSOS</v>
          </cell>
          <cell r="D1095" t="str">
            <v>ECOSAMPA Parelheiros</v>
          </cell>
        </row>
        <row r="1096">
          <cell r="A1096">
            <v>113600</v>
          </cell>
          <cell r="B1096" t="str">
            <v>JEFERSON DOS SANTOS SOUZA</v>
          </cell>
          <cell r="C1096" t="str">
            <v>MOTORISTA CAMINHAO</v>
          </cell>
          <cell r="D1096" t="str">
            <v>ECOSAMPA Operação Geral</v>
          </cell>
        </row>
        <row r="1097">
          <cell r="A1097">
            <v>112513</v>
          </cell>
          <cell r="B1097" t="str">
            <v>JEFERSON JOSE ANDRADE DE SOUZA</v>
          </cell>
          <cell r="C1097" t="str">
            <v>FISCAL DE TURMA PLENO</v>
          </cell>
          <cell r="D1097" t="str">
            <v>ECOSAMPA Capela do Socorro</v>
          </cell>
        </row>
        <row r="1098">
          <cell r="A1098">
            <v>114987</v>
          </cell>
          <cell r="B1098" t="str">
            <v>JEFERSON KERCHES GOMES</v>
          </cell>
          <cell r="C1098" t="str">
            <v>MOTORISTA DE CAMINHAO</v>
          </cell>
          <cell r="D1098" t="str">
            <v>ECOSAMPA Operação Geral</v>
          </cell>
        </row>
        <row r="1099">
          <cell r="A1099">
            <v>116975</v>
          </cell>
          <cell r="B1099" t="str">
            <v>JEFERSON OLIVEIRA GONZAGA</v>
          </cell>
          <cell r="C1099" t="str">
            <v>AJUDANTE EQ SERVICOS DIVERSOS</v>
          </cell>
          <cell r="D1099" t="str">
            <v>ECOSAMPA Campo Limpo</v>
          </cell>
        </row>
        <row r="1100">
          <cell r="A1100">
            <v>114097</v>
          </cell>
          <cell r="B1100" t="str">
            <v>JEFERSON SANTOS LEONCIO NOGUEIRA</v>
          </cell>
          <cell r="C1100" t="str">
            <v>AJUDANTE EQ SERVICOS DIVERSOS</v>
          </cell>
          <cell r="D1100" t="str">
            <v>ECOSAMPA Parelheiros</v>
          </cell>
        </row>
        <row r="1101">
          <cell r="A1101">
            <v>121517</v>
          </cell>
          <cell r="B1101" t="str">
            <v>JEFERSON XAVIER</v>
          </cell>
          <cell r="C1101" t="str">
            <v>AJUDANTE EQ SERVICOS DIVERSOS</v>
          </cell>
          <cell r="D1101" t="str">
            <v>ECOSAMPA Operação Geral</v>
          </cell>
        </row>
        <row r="1102">
          <cell r="A1102">
            <v>122439</v>
          </cell>
          <cell r="B1102" t="str">
            <v>JEFERSON XAVIER</v>
          </cell>
          <cell r="C1102" t="str">
            <v>AJUDANTE EQ SERVICOS DIVERSOS</v>
          </cell>
          <cell r="D1102" t="str">
            <v>ECOSAMPA Operação Geral</v>
          </cell>
        </row>
        <row r="1103">
          <cell r="A1103">
            <v>112970</v>
          </cell>
          <cell r="B1103" t="str">
            <v>JEFFERSON ARAUJO RIBEIRO</v>
          </cell>
          <cell r="C1103" t="str">
            <v>AJUDANTE EQ SERVICOS DIVERSOS</v>
          </cell>
          <cell r="D1103" t="str">
            <v>ECOSAMPA M'Boi Mirim</v>
          </cell>
        </row>
        <row r="1104">
          <cell r="A1104">
            <v>118647</v>
          </cell>
          <cell r="B1104" t="str">
            <v>JEFFERSON AUGUSTO DE SOUSA</v>
          </cell>
          <cell r="C1104" t="str">
            <v>AJUDANTE EQ SERVICOS DIVERSOS</v>
          </cell>
          <cell r="D1104" t="str">
            <v>ECOSAMPA Operação Geral</v>
          </cell>
        </row>
        <row r="1105">
          <cell r="A1105">
            <v>121321</v>
          </cell>
          <cell r="B1105" t="str">
            <v>JEFFERSON DA SILVA</v>
          </cell>
          <cell r="C1105" t="str">
            <v>VARREDOR</v>
          </cell>
          <cell r="D1105" t="str">
            <v>ECOSAMPA M'Boi Mirim</v>
          </cell>
        </row>
        <row r="1106">
          <cell r="A1106">
            <v>112218</v>
          </cell>
          <cell r="B1106" t="str">
            <v>JEFFERSON DE LIMA SILVA</v>
          </cell>
          <cell r="C1106" t="str">
            <v>AJUDANTE EQ SERVICOS DIVERSOS</v>
          </cell>
          <cell r="D1106" t="str">
            <v>ECOSAMPA Santo Amaro</v>
          </cell>
        </row>
        <row r="1107">
          <cell r="A1107">
            <v>112972</v>
          </cell>
          <cell r="B1107" t="str">
            <v>JEFFERSON EDUARDO DA SILVA</v>
          </cell>
          <cell r="C1107" t="str">
            <v>AJUDANTE EQ SERVICOS DIVERSOS</v>
          </cell>
          <cell r="D1107" t="str">
            <v>ECOSAMPA M'Boi Mirim</v>
          </cell>
        </row>
        <row r="1108">
          <cell r="A1108">
            <v>112806</v>
          </cell>
          <cell r="B1108" t="str">
            <v>JEFFERSON JOSE DO NASCIMENTO</v>
          </cell>
          <cell r="C1108" t="str">
            <v>VARREDOR</v>
          </cell>
          <cell r="D1108" t="str">
            <v>ECOSAMPA M'Boi Mirim</v>
          </cell>
        </row>
        <row r="1109">
          <cell r="A1109">
            <v>121419</v>
          </cell>
          <cell r="B1109" t="str">
            <v>JEFFERSON LOPES DA SILVA</v>
          </cell>
          <cell r="C1109" t="str">
            <v>AJUDANTE EQ SERVICOS DIVERSOS</v>
          </cell>
          <cell r="D1109" t="str">
            <v>ECOSAMPA Operação Geral</v>
          </cell>
        </row>
        <row r="1110">
          <cell r="A1110">
            <v>112447</v>
          </cell>
          <cell r="B1110" t="str">
            <v>JEFFERSON PEREIRA DA SILVA</v>
          </cell>
          <cell r="C1110" t="str">
            <v>AJUDANTE EQ SERVICOS DIVERSOS</v>
          </cell>
          <cell r="D1110" t="str">
            <v>ECOSAMPA Parelheiros</v>
          </cell>
        </row>
        <row r="1111">
          <cell r="A1111">
            <v>112451</v>
          </cell>
          <cell r="B1111" t="str">
            <v>JEFFERSON SANTOS FERRAZ</v>
          </cell>
          <cell r="C1111" t="str">
            <v>AJUDANTE EQ SERVICOS DIVERSOS</v>
          </cell>
          <cell r="D1111" t="str">
            <v>ECOSAMPA Capela do Socorro</v>
          </cell>
        </row>
        <row r="1112">
          <cell r="A1112">
            <v>113303</v>
          </cell>
          <cell r="B1112" t="str">
            <v>JEFFERSON SILVA ROSA</v>
          </cell>
          <cell r="C1112" t="str">
            <v>COLETOR</v>
          </cell>
          <cell r="D1112" t="str">
            <v>ECOSAMPA Operação Geral</v>
          </cell>
        </row>
        <row r="1113">
          <cell r="A1113">
            <v>113080</v>
          </cell>
          <cell r="B1113" t="str">
            <v>JEFISON COSTA DE OLIVEIRA</v>
          </cell>
          <cell r="C1113" t="str">
            <v>COLETOR</v>
          </cell>
          <cell r="D1113" t="str">
            <v>ECOSAMPA Operação Geral</v>
          </cell>
        </row>
        <row r="1114">
          <cell r="A1114">
            <v>122575</v>
          </cell>
          <cell r="B1114" t="str">
            <v>JEMIMA JOSEPH LOUIS</v>
          </cell>
          <cell r="C1114" t="str">
            <v>AJUDANTE EQ SERVICOS DIVERSOS</v>
          </cell>
          <cell r="D1114" t="str">
            <v>ECOSAMPA Capela do Socorro</v>
          </cell>
        </row>
        <row r="1115">
          <cell r="A1115">
            <v>116129</v>
          </cell>
          <cell r="B1115" t="str">
            <v>JENNIFER VIVIANE FERREIRA DE OLIVEIRA</v>
          </cell>
          <cell r="C1115" t="str">
            <v>AUXILIAR DE SAC</v>
          </cell>
          <cell r="D1115" t="str">
            <v>ECOSAMPA Operação Geral</v>
          </cell>
        </row>
        <row r="1116">
          <cell r="A1116">
            <v>113602</v>
          </cell>
          <cell r="B1116" t="str">
            <v>JEOVA SULPINO COSTA</v>
          </cell>
          <cell r="C1116" t="str">
            <v>MOTORISTA CAMINHAO</v>
          </cell>
          <cell r="D1116" t="str">
            <v>ECOSAMPA Operação Geral</v>
          </cell>
        </row>
        <row r="1117">
          <cell r="A1117">
            <v>113432</v>
          </cell>
          <cell r="B1117" t="str">
            <v>JERONIMO LEITE DOS SANTOS</v>
          </cell>
          <cell r="C1117" t="str">
            <v>VARREDOR</v>
          </cell>
          <cell r="D1117" t="str">
            <v>ECOSAMPA Santo Amaro</v>
          </cell>
        </row>
        <row r="1118">
          <cell r="A1118">
            <v>118047</v>
          </cell>
          <cell r="B1118" t="str">
            <v>JESSICA CRISTINA DIAS</v>
          </cell>
          <cell r="C1118" t="str">
            <v>AJUDANTE EQ SERVICOS DIVERSOS</v>
          </cell>
          <cell r="D1118" t="str">
            <v>ECOSAMPA M'Boi Mirim</v>
          </cell>
        </row>
        <row r="1119">
          <cell r="A1119">
            <v>113751</v>
          </cell>
          <cell r="B1119" t="str">
            <v>JESSICA MOREIRA BISPO</v>
          </cell>
          <cell r="C1119" t="str">
            <v>AUXILIAR DE SAC</v>
          </cell>
          <cell r="D1119" t="str">
            <v>ECOSAMPA Operação Geral</v>
          </cell>
        </row>
        <row r="1120">
          <cell r="A1120">
            <v>112303</v>
          </cell>
          <cell r="B1120" t="str">
            <v>JESUS FERREIRA DE CARVALHO</v>
          </cell>
          <cell r="C1120" t="str">
            <v>VARREDOR</v>
          </cell>
          <cell r="D1120" t="str">
            <v>ECOSAMPA Campo Limpo</v>
          </cell>
        </row>
        <row r="1121">
          <cell r="A1121">
            <v>112180</v>
          </cell>
          <cell r="B1121" t="str">
            <v>JHONATAN CALDEIRA DE OLIVEIRA</v>
          </cell>
          <cell r="C1121" t="str">
            <v>AJUDANTE EQ SERVICOS DIVERSOS</v>
          </cell>
          <cell r="D1121" t="str">
            <v>ECOSAMPA Santo Amaro</v>
          </cell>
        </row>
        <row r="1122">
          <cell r="A1122">
            <v>113081</v>
          </cell>
          <cell r="B1122" t="str">
            <v>JHONATAN DE LIMA GOMES</v>
          </cell>
          <cell r="C1122" t="str">
            <v>AJUDANTE EQ SERVICOS DIVERSOS</v>
          </cell>
          <cell r="D1122" t="str">
            <v>ECOSAMPA Santo Amaro</v>
          </cell>
        </row>
        <row r="1123">
          <cell r="A1123">
            <v>114925</v>
          </cell>
          <cell r="B1123" t="str">
            <v>JHONATAN SILVIO RODRIGUES</v>
          </cell>
          <cell r="C1123" t="str">
            <v>AUXILIAR DE CHECK LIST</v>
          </cell>
          <cell r="D1123" t="str">
            <v>ECOSAMPA Operação Geral</v>
          </cell>
        </row>
        <row r="1124">
          <cell r="A1124">
            <v>119653</v>
          </cell>
          <cell r="B1124" t="str">
            <v>JHONN CHAGAS MACIEL</v>
          </cell>
          <cell r="C1124" t="str">
            <v>AJUDANTE EQ SERVICOS DIVERSOS</v>
          </cell>
          <cell r="D1124" t="str">
            <v>ECOSAMPA M'Boi Mirim</v>
          </cell>
        </row>
        <row r="1125">
          <cell r="A1125">
            <v>112338</v>
          </cell>
          <cell r="B1125" t="str">
            <v>JHONY ROCHA DE LIMA</v>
          </cell>
          <cell r="C1125" t="str">
            <v>AJUDANTE EQ SERVICOS DIVERSOS</v>
          </cell>
          <cell r="D1125" t="str">
            <v>ECOSAMPA Capela do Socorro</v>
          </cell>
        </row>
        <row r="1126">
          <cell r="A1126">
            <v>113370</v>
          </cell>
          <cell r="B1126" t="str">
            <v>JO ROSA RODRIGUES</v>
          </cell>
          <cell r="C1126" t="str">
            <v>VARREDOR</v>
          </cell>
          <cell r="D1126" t="str">
            <v>ECOSAMPA Santo Amaro</v>
          </cell>
        </row>
        <row r="1127">
          <cell r="A1127">
            <v>113120</v>
          </cell>
          <cell r="B1127" t="str">
            <v>JOALDO ALVES DOS ANJOS</v>
          </cell>
          <cell r="C1127" t="str">
            <v>BUEIRISTA</v>
          </cell>
          <cell r="D1127" t="str">
            <v>ECOSAMPA Campo Limpo</v>
          </cell>
        </row>
        <row r="1128">
          <cell r="A1128">
            <v>112909</v>
          </cell>
          <cell r="B1128" t="str">
            <v>JOAN NUNES GOMES</v>
          </cell>
          <cell r="C1128" t="str">
            <v>VARREDOR</v>
          </cell>
          <cell r="D1128" t="str">
            <v>ECOSAMPA Capela do Socorro</v>
          </cell>
        </row>
        <row r="1129">
          <cell r="A1129">
            <v>112204</v>
          </cell>
          <cell r="B1129" t="str">
            <v>JOANA MORAIS OLIVEIRA</v>
          </cell>
          <cell r="C1129" t="str">
            <v>AJUDANTE EQ SERVICOS DIVERSOS</v>
          </cell>
          <cell r="D1129" t="str">
            <v>ECOSAMPA Campo Limpo</v>
          </cell>
        </row>
        <row r="1130">
          <cell r="A1130">
            <v>112914</v>
          </cell>
          <cell r="B1130" t="str">
            <v>JOAO ALVES DE OLIVEIRA</v>
          </cell>
          <cell r="C1130" t="str">
            <v>VARREDOR</v>
          </cell>
          <cell r="D1130" t="str">
            <v>ECOSAMPA Capela do Socorro</v>
          </cell>
        </row>
        <row r="1131">
          <cell r="A1131">
            <v>113715</v>
          </cell>
          <cell r="B1131" t="str">
            <v>JOAO ANDRE GALVAO</v>
          </cell>
          <cell r="C1131" t="str">
            <v>PEDREIRO PLENO</v>
          </cell>
          <cell r="D1131" t="str">
            <v>ECOSAMPA Operação Geral</v>
          </cell>
        </row>
        <row r="1132">
          <cell r="A1132">
            <v>112232</v>
          </cell>
          <cell r="B1132" t="str">
            <v>JOAO BATISTA DA SILVA</v>
          </cell>
          <cell r="C1132" t="str">
            <v>VARREDOR</v>
          </cell>
          <cell r="D1132" t="str">
            <v>ECOSAMPA Campo Limpo</v>
          </cell>
        </row>
        <row r="1133">
          <cell r="A1133">
            <v>113021</v>
          </cell>
          <cell r="B1133" t="str">
            <v>JOAO BATISTA DA SILVA</v>
          </cell>
          <cell r="C1133" t="str">
            <v>VARREDOR</v>
          </cell>
          <cell r="D1133" t="str">
            <v>ECOSAMPA M'Boi Mirim</v>
          </cell>
        </row>
        <row r="1134">
          <cell r="A1134">
            <v>113373</v>
          </cell>
          <cell r="B1134" t="str">
            <v>JOAO BATISTA DA SILVA</v>
          </cell>
          <cell r="C1134" t="str">
            <v>VARREDOR</v>
          </cell>
          <cell r="D1134" t="str">
            <v>ECOSAMPA Santo Amaro</v>
          </cell>
        </row>
        <row r="1135">
          <cell r="A1135">
            <v>113420</v>
          </cell>
          <cell r="B1135" t="str">
            <v>JOAO BATISTA DA SILVA</v>
          </cell>
          <cell r="C1135" t="str">
            <v>VARREDOR</v>
          </cell>
          <cell r="D1135" t="str">
            <v>ECOSAMPA Santo Amaro</v>
          </cell>
        </row>
        <row r="1136">
          <cell r="A1136">
            <v>112917</v>
          </cell>
          <cell r="B1136" t="str">
            <v>JOAO BATISTA DE SOUZA</v>
          </cell>
          <cell r="C1136" t="str">
            <v>VARREDOR</v>
          </cell>
          <cell r="D1136" t="str">
            <v>ECOSAMPA Capela do Socorro</v>
          </cell>
        </row>
        <row r="1137">
          <cell r="A1137">
            <v>112341</v>
          </cell>
          <cell r="B1137" t="str">
            <v>JOAO BATISTA DOS SANTOS</v>
          </cell>
          <cell r="C1137" t="str">
            <v>AJUDANTE EQ SERVICOS DIVERSOS</v>
          </cell>
          <cell r="D1137" t="str">
            <v>ECOSAMPA Capela do Socorro</v>
          </cell>
        </row>
        <row r="1138">
          <cell r="A1138">
            <v>114510</v>
          </cell>
          <cell r="B1138" t="str">
            <v>JOAO BATISTA GOMES DA SILVA</v>
          </cell>
          <cell r="C1138" t="str">
            <v>VARREDOR</v>
          </cell>
          <cell r="D1138" t="str">
            <v>ECOSAMPA Santo Amaro</v>
          </cell>
        </row>
        <row r="1139">
          <cell r="A1139">
            <v>112456</v>
          </cell>
          <cell r="B1139" t="str">
            <v>JOAO BATISTA LOPES LISBOA</v>
          </cell>
          <cell r="C1139" t="str">
            <v>AJUDANTE EQ SERVICOS DIVERSOS</v>
          </cell>
          <cell r="D1139" t="str">
            <v>ECOSAMPA Capela do Socorro</v>
          </cell>
        </row>
        <row r="1140">
          <cell r="A1140">
            <v>114129</v>
          </cell>
          <cell r="B1140" t="str">
            <v>JOAO BATISTA RAMOS SOBRINHO</v>
          </cell>
          <cell r="C1140" t="str">
            <v>MOTORISTA CAMINHAO</v>
          </cell>
          <cell r="D1140" t="str">
            <v>ECOSAMPA Operação Geral</v>
          </cell>
        </row>
        <row r="1141">
          <cell r="A1141">
            <v>114759</v>
          </cell>
          <cell r="B1141" t="str">
            <v>JOAO BATISTA RODRIGUES CRUZ</v>
          </cell>
          <cell r="C1141" t="str">
            <v>MOTORISTA DE CAMINHAO</v>
          </cell>
          <cell r="D1141" t="str">
            <v>ECOSAMPA Operação Geral</v>
          </cell>
        </row>
        <row r="1142">
          <cell r="A1142">
            <v>112344</v>
          </cell>
          <cell r="B1142" t="str">
            <v>JOAO BATISTA SALES COSTA</v>
          </cell>
          <cell r="C1142" t="str">
            <v>AJUDANTE EQ SERVICOS DIVERSOS</v>
          </cell>
          <cell r="D1142" t="str">
            <v>ECOSAMPA Capela do Socorro</v>
          </cell>
        </row>
        <row r="1143">
          <cell r="A1143">
            <v>112236</v>
          </cell>
          <cell r="B1143" t="str">
            <v>JOAO CARLOS ARAUJO DA SILVA</v>
          </cell>
          <cell r="C1143" t="str">
            <v>VARREDOR</v>
          </cell>
          <cell r="D1143" t="str">
            <v>ECOSAMPA M'Boi Mirim</v>
          </cell>
        </row>
        <row r="1144">
          <cell r="A1144">
            <v>112991</v>
          </cell>
          <cell r="B1144" t="str">
            <v>JOAO CARLOS MARCONDES DE BRITO</v>
          </cell>
          <cell r="C1144" t="str">
            <v>FISCAL DE TURMA PLENO</v>
          </cell>
          <cell r="D1144" t="str">
            <v>ECOSAMPA M'Boi Mirim</v>
          </cell>
        </row>
        <row r="1145">
          <cell r="A1145">
            <v>113422</v>
          </cell>
          <cell r="B1145" t="str">
            <v>JOAO DA COSTA MOREIRA</v>
          </cell>
          <cell r="C1145" t="str">
            <v>VARREDOR</v>
          </cell>
          <cell r="D1145" t="str">
            <v>ECOSAMPA Santo Amaro</v>
          </cell>
        </row>
        <row r="1146">
          <cell r="A1146">
            <v>113375</v>
          </cell>
          <cell r="B1146" t="str">
            <v>JOAO DA COSTA NUNES</v>
          </cell>
          <cell r="C1146" t="str">
            <v>VARREDOR</v>
          </cell>
          <cell r="D1146" t="str">
            <v>ECOSAMPA Santo Amaro</v>
          </cell>
        </row>
        <row r="1147">
          <cell r="A1147">
            <v>112921</v>
          </cell>
          <cell r="B1147" t="str">
            <v>JOAO DA SILVA GONSALVES</v>
          </cell>
          <cell r="C1147" t="str">
            <v>VARREDOR</v>
          </cell>
          <cell r="D1147" t="str">
            <v>ECOSAMPA Capela do Socorro</v>
          </cell>
        </row>
        <row r="1148">
          <cell r="A1148">
            <v>114709</v>
          </cell>
          <cell r="B1148" t="str">
            <v>JOAO DANIEL APARECIDO BOLPETI</v>
          </cell>
          <cell r="C1148" t="str">
            <v>AJUDANTE EQ SERVICOS DIVERSOS</v>
          </cell>
          <cell r="D1148" t="str">
            <v>ECOSAMPA Santo Amaro</v>
          </cell>
        </row>
        <row r="1149">
          <cell r="A1149">
            <v>112346</v>
          </cell>
          <cell r="B1149" t="str">
            <v>JOAO DOMINGOS DA SILVA FILHO</v>
          </cell>
          <cell r="C1149" t="str">
            <v>AJUDANTE EQ SERVICOS DIVERSOS</v>
          </cell>
          <cell r="D1149" t="str">
            <v>ECOSAMPA Capela do Socorro</v>
          </cell>
        </row>
        <row r="1150">
          <cell r="A1150">
            <v>113304</v>
          </cell>
          <cell r="B1150" t="str">
            <v>JOAO EDNILTON DE OLIVEIRA</v>
          </cell>
          <cell r="C1150" t="str">
            <v>COLETOR</v>
          </cell>
          <cell r="D1150" t="str">
            <v>ECOSAMPA Operação Geral</v>
          </cell>
        </row>
        <row r="1151">
          <cell r="A1151">
            <v>112208</v>
          </cell>
          <cell r="B1151" t="str">
            <v>JOAO EVANGELISTA VIERA DO NASCIMENTO</v>
          </cell>
          <cell r="C1151" t="str">
            <v>AJUDANTE EQ SERVICOS DIVERSOS</v>
          </cell>
          <cell r="D1151" t="str">
            <v>ECOSAMPA Campo Limpo</v>
          </cell>
        </row>
        <row r="1152">
          <cell r="A1152">
            <v>115207</v>
          </cell>
          <cell r="B1152" t="str">
            <v>JOAO GABRIEL ANJOS</v>
          </cell>
          <cell r="C1152" t="str">
            <v>AUXILIAR DE CONTROLE OPERACIONAL</v>
          </cell>
          <cell r="D1152" t="str">
            <v>ECOSAMPA Operação Geral</v>
          </cell>
        </row>
        <row r="1153">
          <cell r="A1153">
            <v>112923</v>
          </cell>
          <cell r="B1153" t="str">
            <v>JOAO GOMES RIBEIRO</v>
          </cell>
          <cell r="C1153" t="str">
            <v>VARREDOR</v>
          </cell>
          <cell r="D1153" t="str">
            <v>ECOSAMPA Parelheiros</v>
          </cell>
        </row>
        <row r="1154">
          <cell r="A1154">
            <v>114713</v>
          </cell>
          <cell r="B1154" t="str">
            <v>JOAO HENRIQUE DOS REIS ARAUJO</v>
          </cell>
          <cell r="C1154" t="str">
            <v>VARREDOR</v>
          </cell>
          <cell r="D1154" t="str">
            <v>ECOSAMPA Capela do Socorro</v>
          </cell>
        </row>
        <row r="1155">
          <cell r="A1155">
            <v>114541</v>
          </cell>
          <cell r="B1155" t="str">
            <v>JOAO JOAQUIM DOS SANTOS FILHO</v>
          </cell>
          <cell r="C1155" t="str">
            <v>AJUDANTE EQ SERVICOS DIVERSOS</v>
          </cell>
          <cell r="D1155" t="str">
            <v>ECOSAMPA Campo Limpo</v>
          </cell>
        </row>
        <row r="1156">
          <cell r="A1156">
            <v>112238</v>
          </cell>
          <cell r="B1156" t="str">
            <v>JOAO JOSE DA SILVA</v>
          </cell>
          <cell r="C1156" t="str">
            <v>VARREDOR</v>
          </cell>
          <cell r="D1156" t="str">
            <v>ECOSAMPA Campo Limpo</v>
          </cell>
        </row>
        <row r="1157">
          <cell r="A1157">
            <v>112924</v>
          </cell>
          <cell r="B1157" t="str">
            <v>JOAO JUASSELE CUNHA ANDRADE</v>
          </cell>
          <cell r="C1157" t="str">
            <v>VARREDOR</v>
          </cell>
          <cell r="D1157" t="str">
            <v>ECOSAMPA Capela do Socorro</v>
          </cell>
        </row>
        <row r="1158">
          <cell r="A1158">
            <v>112925</v>
          </cell>
          <cell r="B1158" t="str">
            <v>JOAO JULIO AVELINO</v>
          </cell>
          <cell r="C1158" t="str">
            <v>VARREDOR</v>
          </cell>
          <cell r="D1158" t="str">
            <v>ECOSAMPA Capela do Socorro</v>
          </cell>
        </row>
        <row r="1159">
          <cell r="A1159">
            <v>112243</v>
          </cell>
          <cell r="B1159" t="str">
            <v>JOAO LOPES DE MELO</v>
          </cell>
          <cell r="C1159" t="str">
            <v>VARREDOR</v>
          </cell>
          <cell r="D1159" t="str">
            <v>ECOSAMPA Campo Limpo</v>
          </cell>
        </row>
        <row r="1160">
          <cell r="A1160">
            <v>122251</v>
          </cell>
          <cell r="B1160" t="str">
            <v>JOAO LUIS STACHUK</v>
          </cell>
          <cell r="C1160" t="str">
            <v>AJUDANTE EQ SERVICOS DIVERSOS</v>
          </cell>
          <cell r="D1160" t="str">
            <v>ECOSAMPA Capela do Socorro</v>
          </cell>
        </row>
        <row r="1161">
          <cell r="A1161">
            <v>113363</v>
          </cell>
          <cell r="B1161" t="str">
            <v>JOAO MANOEL DA SILVA</v>
          </cell>
          <cell r="C1161" t="str">
            <v>VARREDOR</v>
          </cell>
          <cell r="D1161" t="str">
            <v>ECOSAMPA Santo Amaro</v>
          </cell>
        </row>
        <row r="1162">
          <cell r="A1162">
            <v>112245</v>
          </cell>
          <cell r="B1162" t="str">
            <v>JOAO MARTINS DE SOBRAL</v>
          </cell>
          <cell r="C1162" t="str">
            <v>VARREDOR</v>
          </cell>
          <cell r="D1162" t="str">
            <v>ECOSAMPA Campo Limpo</v>
          </cell>
        </row>
        <row r="1163">
          <cell r="A1163">
            <v>113738</v>
          </cell>
          <cell r="B1163" t="str">
            <v>JOAO PAULO SALES DE PAULA</v>
          </cell>
          <cell r="C1163" t="str">
            <v>GERENTE DE PLANEJAMENTO</v>
          </cell>
          <cell r="D1163" t="str">
            <v>ECOSAMPA Operação Geral</v>
          </cell>
        </row>
        <row r="1164">
          <cell r="A1164">
            <v>116654</v>
          </cell>
          <cell r="B1164" t="str">
            <v>JOAO PAULO SALES DE PAULA</v>
          </cell>
          <cell r="C1164" t="str">
            <v>GERENTE DE PLANEJAMENTO</v>
          </cell>
          <cell r="D1164" t="str">
            <v>ECOSAMPA PJ</v>
          </cell>
        </row>
        <row r="1165">
          <cell r="A1165">
            <v>112349</v>
          </cell>
          <cell r="B1165" t="str">
            <v>JOAO PAULO VIEIRA</v>
          </cell>
          <cell r="C1165" t="str">
            <v>AJUDANTE EQ SERVICOS DIVERSOS</v>
          </cell>
          <cell r="D1165" t="str">
            <v>ECOSAMPA Capela do Socorro</v>
          </cell>
        </row>
        <row r="1166">
          <cell r="A1166">
            <v>121468</v>
          </cell>
          <cell r="B1166" t="str">
            <v>JOAO PEDRO PEREIRA SARDEIRO</v>
          </cell>
          <cell r="C1166" t="str">
            <v>AJUDANTE EQ SERVICOS DIVERSOS</v>
          </cell>
          <cell r="D1166" t="str">
            <v>ECOSAMPA Operação Geral</v>
          </cell>
        </row>
        <row r="1167">
          <cell r="A1167">
            <v>114920</v>
          </cell>
          <cell r="B1167" t="str">
            <v>JOAO PEDRO PIRES DOS SANTOS</v>
          </cell>
          <cell r="C1167" t="str">
            <v>AJUDANTE EQ SERVICOS DIVERSOS</v>
          </cell>
          <cell r="D1167" t="str">
            <v>ECOSAMPA Operação Geral</v>
          </cell>
        </row>
        <row r="1168">
          <cell r="A1168">
            <v>112926</v>
          </cell>
          <cell r="B1168" t="str">
            <v>JOAO PEREIRA DE OLIVEIRA</v>
          </cell>
          <cell r="C1168" t="str">
            <v>VARREDOR</v>
          </cell>
          <cell r="D1168" t="str">
            <v>ECOSAMPA Capela do Socorro</v>
          </cell>
        </row>
        <row r="1169">
          <cell r="A1169">
            <v>122252</v>
          </cell>
          <cell r="B1169" t="str">
            <v>JOAO QUEIROZ DOS SANTOS</v>
          </cell>
          <cell r="C1169" t="str">
            <v>AJUDANTE EQ SERVICOS DIVERSOS</v>
          </cell>
          <cell r="D1169" t="str">
            <v>ECOSAMPA Operação Geral</v>
          </cell>
        </row>
        <row r="1170">
          <cell r="A1170">
            <v>112248</v>
          </cell>
          <cell r="B1170" t="str">
            <v>JOAO SEBASTIAO DA SILVA</v>
          </cell>
          <cell r="C1170" t="str">
            <v>VARREDOR</v>
          </cell>
          <cell r="D1170" t="str">
            <v>ECOSAMPA Campo Limpo</v>
          </cell>
        </row>
        <row r="1171">
          <cell r="A1171">
            <v>113056</v>
          </cell>
          <cell r="B1171" t="str">
            <v>JOAO VICENTE NETO</v>
          </cell>
          <cell r="C1171" t="str">
            <v>VARREDOR</v>
          </cell>
          <cell r="D1171" t="str">
            <v>ECOSAMPA M'Boi Mirim</v>
          </cell>
        </row>
        <row r="1172">
          <cell r="A1172">
            <v>114921</v>
          </cell>
          <cell r="B1172" t="str">
            <v>JOAO VICTOR ARAUJO ALBUQUERQUE</v>
          </cell>
          <cell r="C1172" t="str">
            <v>AJUDANTE EQ SERVICOS DIVERSOS</v>
          </cell>
          <cell r="D1172" t="str">
            <v>ECOSAMPA Santo Amaro</v>
          </cell>
        </row>
        <row r="1173">
          <cell r="A1173">
            <v>112973</v>
          </cell>
          <cell r="B1173" t="str">
            <v>JOAO VICTOR DOS SANTOS SILVA</v>
          </cell>
          <cell r="C1173" t="str">
            <v>AJUDANTE EQ SERVICOS DIVERSOS</v>
          </cell>
          <cell r="D1173" t="str">
            <v>ECOSAMPA M'Boi Mirim</v>
          </cell>
        </row>
        <row r="1174">
          <cell r="A1174">
            <v>114956</v>
          </cell>
          <cell r="B1174" t="str">
            <v>JOAO VITOR DE OLIVEIRA</v>
          </cell>
          <cell r="C1174" t="str">
            <v>AJUDANTE EQ SERVICOS DIVERSOS</v>
          </cell>
          <cell r="D1174" t="str">
            <v>ECOSAMPA Operação Geral</v>
          </cell>
        </row>
        <row r="1175">
          <cell r="A1175">
            <v>117239</v>
          </cell>
          <cell r="B1175" t="str">
            <v>JOAO VITOR GOMES RIBEIRO</v>
          </cell>
          <cell r="C1175" t="str">
            <v>AJUDANTE EQ SERVICOS DIVERSOS</v>
          </cell>
          <cell r="D1175" t="str">
            <v>ECOSAMPA Capela do Socorro</v>
          </cell>
        </row>
        <row r="1176">
          <cell r="A1176">
            <v>121437</v>
          </cell>
          <cell r="B1176" t="str">
            <v>JOAO VITOR MARTINS DE OLIVEIRA</v>
          </cell>
          <cell r="C1176" t="str">
            <v>AJUDANTE EQ SERVICOS DIVERSOS</v>
          </cell>
          <cell r="D1176" t="str">
            <v>ECOSAMPA Operação Geral</v>
          </cell>
        </row>
        <row r="1177">
          <cell r="A1177">
            <v>112211</v>
          </cell>
          <cell r="B1177" t="str">
            <v>JOAO VITORIANO DA SILVA NETO</v>
          </cell>
          <cell r="C1177" t="str">
            <v>AJUDANTE EQ SERVICOS DIVERSOS</v>
          </cell>
          <cell r="D1177" t="str">
            <v>ECOSAMPA Campo Limpo</v>
          </cell>
        </row>
        <row r="1178">
          <cell r="A1178">
            <v>113027</v>
          </cell>
          <cell r="B1178" t="str">
            <v>JOAQUIM BARBOSA DE QUEIROZ</v>
          </cell>
          <cell r="C1178" t="str">
            <v>VARREDOR</v>
          </cell>
          <cell r="D1178" t="str">
            <v>ECOSAMPA M'Boi Mirim</v>
          </cell>
        </row>
        <row r="1179">
          <cell r="A1179">
            <v>112459</v>
          </cell>
          <cell r="B1179" t="str">
            <v>JOAQUIM BARBOSA FILHO</v>
          </cell>
          <cell r="C1179" t="str">
            <v>AUXILIAR DE SEGURANCA DO TRABALHO</v>
          </cell>
          <cell r="D1179" t="str">
            <v>ECOSAMPA Operação Geral</v>
          </cell>
        </row>
        <row r="1180">
          <cell r="A1180">
            <v>113377</v>
          </cell>
          <cell r="B1180" t="str">
            <v>JOAQUIM BATISTA DE OLIVEIRA</v>
          </cell>
          <cell r="C1180" t="str">
            <v>VARREDOR</v>
          </cell>
          <cell r="D1180" t="str">
            <v>ECOSAMPA Santo Amaro</v>
          </cell>
        </row>
        <row r="1181">
          <cell r="A1181">
            <v>112307</v>
          </cell>
          <cell r="B1181" t="str">
            <v>JOAQUIM INACIO DE BRITO FILHO</v>
          </cell>
          <cell r="C1181" t="str">
            <v>VARREDOR</v>
          </cell>
          <cell r="D1181" t="str">
            <v>ECOSAMPA M'Boi Mirim</v>
          </cell>
        </row>
        <row r="1182">
          <cell r="A1182">
            <v>112927</v>
          </cell>
          <cell r="B1182" t="str">
            <v>JOAQUIM SATIRO DE PAULO</v>
          </cell>
          <cell r="C1182" t="str">
            <v>VARREDOR</v>
          </cell>
          <cell r="D1182" t="str">
            <v>ECOSAMPA Capela do Socorro</v>
          </cell>
        </row>
        <row r="1183">
          <cell r="A1183">
            <v>115015</v>
          </cell>
          <cell r="B1183" t="str">
            <v>JOCYMEIRY MENDES PEREIRA MOTA</v>
          </cell>
          <cell r="C1183" t="str">
            <v>PENSIONISTAS</v>
          </cell>
          <cell r="D1183" t="str">
            <v>ECOSAMPA Pensionistas</v>
          </cell>
        </row>
        <row r="1184">
          <cell r="A1184">
            <v>114717</v>
          </cell>
          <cell r="B1184" t="str">
            <v>JODIVAN ELICIO DOS SANTOS</v>
          </cell>
          <cell r="C1184" t="str">
            <v>AJUDANTE EQ SERVICOS DIVERSOS</v>
          </cell>
          <cell r="D1184" t="str">
            <v>ECOSAMPA Capela do Socorro</v>
          </cell>
        </row>
        <row r="1185">
          <cell r="A1185">
            <v>112463</v>
          </cell>
          <cell r="B1185" t="str">
            <v>JOEL DA COSTA</v>
          </cell>
          <cell r="C1185" t="str">
            <v>AJUDANTE EQ SERVICOS DIVERSOS</v>
          </cell>
          <cell r="D1185" t="str">
            <v>ECOSAMPA Capela do Socorro</v>
          </cell>
        </row>
        <row r="1186">
          <cell r="A1186">
            <v>114771</v>
          </cell>
          <cell r="B1186" t="str">
            <v>JOEL DA SILVA BORBA</v>
          </cell>
          <cell r="C1186" t="str">
            <v>MOTORISTA CAMINHAO</v>
          </cell>
          <cell r="D1186" t="str">
            <v>ECOSAMPA Operação Geral</v>
          </cell>
        </row>
        <row r="1187">
          <cell r="A1187">
            <v>112959</v>
          </cell>
          <cell r="B1187" t="str">
            <v>JOEL PEREIRA CRUZ FILHO</v>
          </cell>
          <cell r="C1187" t="str">
            <v>AJUDANTE EQ SERVICOS DIVERSOS</v>
          </cell>
          <cell r="D1187" t="str">
            <v>ECOSAMPA M'Boi Mirim</v>
          </cell>
        </row>
        <row r="1188">
          <cell r="A1188">
            <v>112928</v>
          </cell>
          <cell r="B1188" t="str">
            <v>JOEL PEREIRA DO NASCIMENTO</v>
          </cell>
          <cell r="C1188" t="str">
            <v>VARREDOR</v>
          </cell>
          <cell r="D1188" t="str">
            <v>ECOSAMPA Capela do Socorro</v>
          </cell>
        </row>
        <row r="1189">
          <cell r="A1189">
            <v>114922</v>
          </cell>
          <cell r="B1189" t="str">
            <v>JOELIO DE OLIVEIRA NASCIMENTO</v>
          </cell>
          <cell r="C1189" t="str">
            <v>COLETOR</v>
          </cell>
          <cell r="D1189" t="str">
            <v>ECOSAMPA Operação Geral</v>
          </cell>
        </row>
        <row r="1190">
          <cell r="A1190">
            <v>112212</v>
          </cell>
          <cell r="B1190" t="str">
            <v>JOELMA MARIA DE SOUSA</v>
          </cell>
          <cell r="C1190" t="str">
            <v>AJUDANTE EQ SERVICOS DIVERSOS</v>
          </cell>
          <cell r="D1190" t="str">
            <v>ECOSAMPA Campo Limpo</v>
          </cell>
        </row>
        <row r="1191">
          <cell r="A1191">
            <v>118058</v>
          </cell>
          <cell r="B1191" t="str">
            <v>JOELSON CAROLINO DOS SANTOS</v>
          </cell>
          <cell r="C1191" t="str">
            <v>AJUDANTE EQ SERVICOS DIVERSOS</v>
          </cell>
          <cell r="D1191" t="str">
            <v>ECOSAMPA Santo Amaro</v>
          </cell>
        </row>
        <row r="1192">
          <cell r="A1192">
            <v>121515</v>
          </cell>
          <cell r="B1192" t="str">
            <v>JOHN RIBEIRO COSTA</v>
          </cell>
          <cell r="C1192" t="str">
            <v>AJUDANTE EQ SERVICOS DIVERSOS</v>
          </cell>
          <cell r="D1192" t="str">
            <v>ECOSAMPA Operação Geral</v>
          </cell>
        </row>
        <row r="1193">
          <cell r="A1193">
            <v>113082</v>
          </cell>
          <cell r="B1193" t="str">
            <v>JOHNATA MONTEIRO DOS SANTOS SOUZA</v>
          </cell>
          <cell r="C1193" t="str">
            <v>VARREDOR</v>
          </cell>
          <cell r="D1193" t="str">
            <v>ECOSAMPA Santo Amaro</v>
          </cell>
        </row>
        <row r="1194">
          <cell r="A1194">
            <v>112465</v>
          </cell>
          <cell r="B1194" t="str">
            <v>JOHNATAN FELIPE MARQUES MOTA</v>
          </cell>
          <cell r="C1194" t="str">
            <v>VARREDOR</v>
          </cell>
          <cell r="D1194" t="str">
            <v>ECOSAMPA Capela do Socorro</v>
          </cell>
        </row>
        <row r="1195">
          <cell r="A1195">
            <v>117291</v>
          </cell>
          <cell r="B1195" t="str">
            <v>JOICE DE LIMA DOS SANTOS</v>
          </cell>
          <cell r="C1195" t="str">
            <v>PENSIONISTAS</v>
          </cell>
          <cell r="D1195" t="str">
            <v>ECOSAMPA Pensionistas</v>
          </cell>
        </row>
        <row r="1196">
          <cell r="A1196">
            <v>113729</v>
          </cell>
          <cell r="B1196" t="str">
            <v>JOICE MARIA DO NASCIMENTO</v>
          </cell>
          <cell r="C1196" t="str">
            <v>FAXINEIRO(A)</v>
          </cell>
          <cell r="D1196" t="str">
            <v>ECOSAMPA Operação Geral</v>
          </cell>
        </row>
        <row r="1197">
          <cell r="A1197">
            <v>113108</v>
          </cell>
          <cell r="B1197" t="str">
            <v>JOILSON SOARES DA SILVA</v>
          </cell>
          <cell r="C1197" t="str">
            <v>AJUDANTE EQ SERVICOS DIVERSOS</v>
          </cell>
          <cell r="D1197" t="str">
            <v>ECOSAMPA Santo Amaro</v>
          </cell>
        </row>
        <row r="1198">
          <cell r="A1198">
            <v>112311</v>
          </cell>
          <cell r="B1198" t="str">
            <v>JONAS FERREIRA ALECRIM</v>
          </cell>
          <cell r="C1198" t="str">
            <v>VARREDOR</v>
          </cell>
          <cell r="D1198" t="str">
            <v>ECOSAMPA Campo Limpo</v>
          </cell>
        </row>
        <row r="1199">
          <cell r="A1199">
            <v>113645</v>
          </cell>
          <cell r="B1199" t="str">
            <v>JONAS FERREIRA DA SILVA</v>
          </cell>
          <cell r="C1199" t="str">
            <v>MOTORISTA CAMINHAO</v>
          </cell>
          <cell r="D1199" t="str">
            <v>ECOSAMPA Operação Geral</v>
          </cell>
        </row>
        <row r="1200">
          <cell r="A1200">
            <v>113640</v>
          </cell>
          <cell r="B1200" t="str">
            <v>JONAS JOSUE PEREIRA DE JESUS</v>
          </cell>
          <cell r="C1200" t="str">
            <v>MOTORISTA CAMINHAO</v>
          </cell>
          <cell r="D1200" t="str">
            <v>ECOSAMPA Operação Geral</v>
          </cell>
        </row>
        <row r="1201">
          <cell r="A1201">
            <v>122826</v>
          </cell>
          <cell r="B1201" t="str">
            <v>JONAS PEREIRA RIBEIRO</v>
          </cell>
          <cell r="C1201" t="str">
            <v>AJUDANTE EQ SERVICOS DIVERSOS</v>
          </cell>
          <cell r="D1201" t="str">
            <v>ECOSAMPA Parelheiros</v>
          </cell>
        </row>
        <row r="1202">
          <cell r="A1202">
            <v>113649</v>
          </cell>
          <cell r="B1202" t="str">
            <v>JONATAS BARBOSA DE OLIVEIRA</v>
          </cell>
          <cell r="C1202" t="str">
            <v>OPERADOR DE MAQUINA SENIOR</v>
          </cell>
          <cell r="D1202" t="str">
            <v>ECOSAMPA Operação Geral</v>
          </cell>
        </row>
        <row r="1203">
          <cell r="A1203">
            <v>119920</v>
          </cell>
          <cell r="B1203" t="str">
            <v>JONATAS MOREIRA LOPES DO AMARAL</v>
          </cell>
          <cell r="C1203" t="str">
            <v>MOTORISTA CAMINHAO</v>
          </cell>
          <cell r="D1203" t="str">
            <v>ECOSAMPA Operação Geral</v>
          </cell>
        </row>
        <row r="1204">
          <cell r="A1204">
            <v>114270</v>
          </cell>
          <cell r="B1204" t="str">
            <v>JONATAS SANTANA BARROS DE LIMA CONCEICAO DA SILVA CIPRIANO</v>
          </cell>
          <cell r="C1204" t="str">
            <v>AJUDANTE EQ SERVICOS DIVERSOS</v>
          </cell>
          <cell r="D1204" t="str">
            <v>ECOSAMPA Santo Amaro</v>
          </cell>
        </row>
        <row r="1205">
          <cell r="A1205">
            <v>113066</v>
          </cell>
          <cell r="B1205" t="str">
            <v>JONIAS FRANCISCO DO NASCIMENTO</v>
          </cell>
          <cell r="C1205" t="str">
            <v>VARREDOR</v>
          </cell>
          <cell r="D1205" t="str">
            <v>ECOSAMPA M'Boi Mirim</v>
          </cell>
        </row>
        <row r="1206">
          <cell r="A1206">
            <v>113125</v>
          </cell>
          <cell r="B1206" t="str">
            <v>JORCIRLEI ROCHA DOS SANTOS</v>
          </cell>
          <cell r="C1206" t="str">
            <v>COLETOR</v>
          </cell>
          <cell r="D1206" t="str">
            <v>ECOSAMPA Operação Geral</v>
          </cell>
        </row>
        <row r="1207">
          <cell r="A1207">
            <v>113352</v>
          </cell>
          <cell r="B1207" t="str">
            <v>JORGE ANTONIO DA SILVA</v>
          </cell>
          <cell r="C1207" t="str">
            <v>TECNICO EM SEGURANCA DO TRABALHO PLENO</v>
          </cell>
          <cell r="D1207" t="str">
            <v>ECOSAMPA Operação Geral</v>
          </cell>
        </row>
        <row r="1208">
          <cell r="A1208">
            <v>113339</v>
          </cell>
          <cell r="B1208" t="str">
            <v>JORGE ANTONIO PEREIRA DOS REIS</v>
          </cell>
          <cell r="C1208" t="str">
            <v>MECANICO II</v>
          </cell>
          <cell r="D1208" t="str">
            <v>ECOSAMPA Operação Geral</v>
          </cell>
        </row>
        <row r="1209">
          <cell r="A1209">
            <v>112515</v>
          </cell>
          <cell r="B1209" t="str">
            <v>JORGE LUIZ LEITE OLIVEIRA</v>
          </cell>
          <cell r="C1209" t="str">
            <v>FISCAL DE TURMA PLENO</v>
          </cell>
          <cell r="D1209" t="str">
            <v>ECOSAMPA Capela do Socorro</v>
          </cell>
        </row>
        <row r="1210">
          <cell r="A1210">
            <v>121423</v>
          </cell>
          <cell r="B1210" t="str">
            <v>JORGE LUIZ LIMA DA COSTA</v>
          </cell>
          <cell r="C1210" t="str">
            <v>AJUDANTE EQ SERVICOS DIVERSOS</v>
          </cell>
          <cell r="D1210" t="str">
            <v>ECOSAMPA Operação Geral</v>
          </cell>
        </row>
        <row r="1211">
          <cell r="A1211">
            <v>122561</v>
          </cell>
          <cell r="B1211" t="str">
            <v>JORGE LUIZ LIMA DA COSTA</v>
          </cell>
          <cell r="C1211" t="str">
            <v>AJUDANTE EQ SERVICOS DIVERSOS</v>
          </cell>
          <cell r="D1211" t="str">
            <v>ECOSAMPA Parelheiros</v>
          </cell>
        </row>
        <row r="1212">
          <cell r="A1212">
            <v>113604</v>
          </cell>
          <cell r="B1212" t="str">
            <v>JORGE MATEUS MARTINS DOS SANTOS</v>
          </cell>
          <cell r="C1212" t="str">
            <v>MOTORISTA CAMINHAO</v>
          </cell>
          <cell r="D1212" t="str">
            <v>ECOSAMPA Operação Geral</v>
          </cell>
        </row>
        <row r="1213">
          <cell r="A1213">
            <v>112215</v>
          </cell>
          <cell r="B1213" t="str">
            <v>JORGE RODRIGUES DOS SANTOS</v>
          </cell>
          <cell r="C1213" t="str">
            <v>VARREDOR</v>
          </cell>
          <cell r="D1213" t="str">
            <v>ECOSAMPA Campo Limpo</v>
          </cell>
        </row>
        <row r="1214">
          <cell r="A1214">
            <v>113435</v>
          </cell>
          <cell r="B1214" t="str">
            <v>JORGE RUBENS MORENO SOARES</v>
          </cell>
          <cell r="C1214" t="str">
            <v>VARREDOR</v>
          </cell>
          <cell r="D1214" t="str">
            <v>ECOSAMPA Santo Amaro</v>
          </cell>
        </row>
        <row r="1215">
          <cell r="A1215">
            <v>114528</v>
          </cell>
          <cell r="B1215" t="str">
            <v>JORGE SANTIAGO DA CRUZ</v>
          </cell>
          <cell r="C1215" t="str">
            <v>AJUDANTE EQ SERVICOS DIVERSOS</v>
          </cell>
          <cell r="D1215" t="str">
            <v>ECOSAMPA Santo Amaro</v>
          </cell>
        </row>
        <row r="1216">
          <cell r="A1216">
            <v>115408</v>
          </cell>
          <cell r="B1216" t="str">
            <v>JORNANDES JOSE BATISTA</v>
          </cell>
          <cell r="C1216" t="str">
            <v>AJUDANTE EQ SERVICOS DIVERSOS</v>
          </cell>
          <cell r="D1216" t="str">
            <v>ECOSAMPA Capela do Socorro</v>
          </cell>
        </row>
        <row r="1217">
          <cell r="A1217">
            <v>114744</v>
          </cell>
          <cell r="B1217" t="str">
            <v>JOSE ADALBERTO CORREIA</v>
          </cell>
          <cell r="C1217" t="str">
            <v>AJUDANTE EQ SERVICOS DIVERSOS</v>
          </cell>
          <cell r="D1217" t="str">
            <v>ECOSAMPA Santo Amaro</v>
          </cell>
        </row>
        <row r="1218">
          <cell r="A1218">
            <v>112315</v>
          </cell>
          <cell r="B1218" t="str">
            <v>JOSE ADAO RODRIGUES</v>
          </cell>
          <cell r="C1218" t="str">
            <v>VARREDOR</v>
          </cell>
          <cell r="D1218" t="str">
            <v>ECOSAMPA M'Boi Mirim</v>
          </cell>
        </row>
        <row r="1219">
          <cell r="A1219">
            <v>114552</v>
          </cell>
          <cell r="B1219" t="str">
            <v>JOSE ADEMIR DA SILVA</v>
          </cell>
          <cell r="C1219" t="str">
            <v>AJUDANTE EQ SERVICOS DIVERSOS</v>
          </cell>
          <cell r="D1219" t="str">
            <v>ECOSAMPA Capela do Socorro</v>
          </cell>
        </row>
        <row r="1220">
          <cell r="A1220">
            <v>114493</v>
          </cell>
          <cell r="B1220" t="str">
            <v>JOSE ALBERTO DE CASTRO BESERRA</v>
          </cell>
          <cell r="C1220" t="str">
            <v>VARREDOR</v>
          </cell>
          <cell r="D1220" t="str">
            <v>ECOSAMPA Santo Amaro</v>
          </cell>
        </row>
        <row r="1221">
          <cell r="A1221">
            <v>114126</v>
          </cell>
          <cell r="B1221" t="str">
            <v>JOSE ALBERTO PINHEIRO DA SILVA</v>
          </cell>
          <cell r="C1221" t="str">
            <v>MOTORISTA CAMINHAO</v>
          </cell>
          <cell r="D1221" t="str">
            <v>ECOSAMPA Operação Geral</v>
          </cell>
        </row>
        <row r="1222">
          <cell r="A1222">
            <v>122080</v>
          </cell>
          <cell r="B1222" t="str">
            <v>JOSE ALBINO DE JESUS</v>
          </cell>
          <cell r="C1222" t="str">
            <v>AJUDANTE EQ SERVICOS DIVERSOS</v>
          </cell>
          <cell r="D1222" t="str">
            <v>ECOSAMPA Capela do Socorro</v>
          </cell>
        </row>
        <row r="1223">
          <cell r="A1223">
            <v>113381</v>
          </cell>
          <cell r="B1223" t="str">
            <v>JOSE ALUISIO DA SILVA</v>
          </cell>
          <cell r="C1223" t="str">
            <v>VARREDOR</v>
          </cell>
          <cell r="D1223" t="str">
            <v>ECOSAMPA Santo Amaro</v>
          </cell>
        </row>
        <row r="1224">
          <cell r="A1224">
            <v>112252</v>
          </cell>
          <cell r="B1224" t="str">
            <v>JOSE ALVES DA SILVA</v>
          </cell>
          <cell r="C1224" t="str">
            <v>VARREDOR</v>
          </cell>
          <cell r="D1224" t="str">
            <v>ECOSAMPA Campo Limpo</v>
          </cell>
        </row>
        <row r="1225">
          <cell r="A1225">
            <v>112933</v>
          </cell>
          <cell r="B1225" t="str">
            <v>JOSE ALVES DE ASSUNCAO</v>
          </cell>
          <cell r="C1225" t="str">
            <v>VARREDOR</v>
          </cell>
          <cell r="D1225" t="str">
            <v>ECOSAMPA Capela do Socorro</v>
          </cell>
        </row>
        <row r="1226">
          <cell r="A1226">
            <v>113036</v>
          </cell>
          <cell r="B1226" t="str">
            <v>JOSE ALVES DINIZ</v>
          </cell>
          <cell r="C1226" t="str">
            <v>VARREDOR</v>
          </cell>
          <cell r="D1226" t="str">
            <v>ECOSAMPA M'Boi Mirim</v>
          </cell>
        </row>
        <row r="1227">
          <cell r="A1227">
            <v>113113</v>
          </cell>
          <cell r="B1227" t="str">
            <v>JOSE AMBROZIO DE SOUSA MARTINS</v>
          </cell>
          <cell r="C1227" t="str">
            <v>AJUDANTE EQ SERVICOS DIVERSOS</v>
          </cell>
          <cell r="D1227" t="str">
            <v>ECOSAMPA Operação Geral</v>
          </cell>
        </row>
        <row r="1228">
          <cell r="A1228">
            <v>112934</v>
          </cell>
          <cell r="B1228" t="str">
            <v>JOSE ANTONIO BRITO DA SILVA</v>
          </cell>
          <cell r="C1228" t="str">
            <v>VARREDOR</v>
          </cell>
          <cell r="D1228" t="str">
            <v>ECOSAMPA Parelheiros</v>
          </cell>
        </row>
        <row r="1229">
          <cell r="A1229">
            <v>113358</v>
          </cell>
          <cell r="B1229" t="str">
            <v>JOSE ANTONIO COSTA</v>
          </cell>
          <cell r="C1229" t="str">
            <v>VARREDOR</v>
          </cell>
          <cell r="D1229" t="str">
            <v>ECOSAMPA Santo Amaro</v>
          </cell>
        </row>
        <row r="1230">
          <cell r="A1230">
            <v>113437</v>
          </cell>
          <cell r="B1230" t="str">
            <v>JOSE ANTONIO DA SILVA</v>
          </cell>
          <cell r="C1230" t="str">
            <v>VARREDOR</v>
          </cell>
          <cell r="D1230" t="str">
            <v>ECOSAMPA Santo Amaro</v>
          </cell>
        </row>
        <row r="1231">
          <cell r="A1231">
            <v>113614</v>
          </cell>
          <cell r="B1231" t="str">
            <v>JOSE ANTONIO DA SILVA</v>
          </cell>
          <cell r="C1231" t="str">
            <v>MOTORISTA CAMINHAO</v>
          </cell>
          <cell r="D1231" t="str">
            <v>ECOSAMPA Operação Geral</v>
          </cell>
        </row>
        <row r="1232">
          <cell r="A1232">
            <v>113651</v>
          </cell>
          <cell r="B1232" t="str">
            <v>JOSE ANTONIO DA SILVA</v>
          </cell>
          <cell r="C1232" t="str">
            <v>MOTORISTA CAMINHAO</v>
          </cell>
          <cell r="D1232" t="str">
            <v>ECOSAMPA Operação Geral</v>
          </cell>
        </row>
        <row r="1233">
          <cell r="A1233">
            <v>113617</v>
          </cell>
          <cell r="B1233" t="str">
            <v>JOSE ANTONIO DA SILVA FILHO</v>
          </cell>
          <cell r="C1233" t="str">
            <v>MOTORISTA CAMINHAO</v>
          </cell>
          <cell r="D1233" t="str">
            <v>ECOSAMPA Operação Geral</v>
          </cell>
        </row>
        <row r="1234">
          <cell r="A1234">
            <v>113134</v>
          </cell>
          <cell r="B1234" t="str">
            <v>JOSE ANTONIO DOS SANTOS</v>
          </cell>
          <cell r="C1234" t="str">
            <v>COLETOR</v>
          </cell>
          <cell r="D1234" t="str">
            <v>ECOSAMPA Operação Geral</v>
          </cell>
        </row>
        <row r="1235">
          <cell r="A1235">
            <v>112508</v>
          </cell>
          <cell r="B1235" t="str">
            <v>JOSE ANTONIO TAVARES DA SILVA</v>
          </cell>
          <cell r="C1235" t="str">
            <v>BUEIRISTA</v>
          </cell>
          <cell r="D1235" t="str">
            <v>ECOSAMPA Capela do Socorro</v>
          </cell>
        </row>
        <row r="1236">
          <cell r="A1236">
            <v>113335</v>
          </cell>
          <cell r="B1236" t="str">
            <v>JOSE APARECIDO ALVES DA SILVA</v>
          </cell>
          <cell r="C1236" t="str">
            <v>FISCAL DE TURMA PLENO</v>
          </cell>
          <cell r="D1236" t="str">
            <v>ECOSAMPA Operação Geral</v>
          </cell>
        </row>
        <row r="1237">
          <cell r="A1237">
            <v>113618</v>
          </cell>
          <cell r="B1237" t="str">
            <v>JOSE APARECIDO BARBOSA DE SOUZA</v>
          </cell>
          <cell r="C1237" t="str">
            <v>OPERADOR DE PA CARREGADEIRA</v>
          </cell>
          <cell r="D1237" t="str">
            <v>ECOSAMPA Operação Geral</v>
          </cell>
        </row>
        <row r="1238">
          <cell r="A1238">
            <v>112935</v>
          </cell>
          <cell r="B1238" t="str">
            <v>JOSE APARECIDO CHICUTA</v>
          </cell>
          <cell r="C1238" t="str">
            <v>VARREDOR</v>
          </cell>
          <cell r="D1238" t="str">
            <v>ECOSAMPA Capela do Socorro</v>
          </cell>
        </row>
        <row r="1239">
          <cell r="A1239">
            <v>112979</v>
          </cell>
          <cell r="B1239" t="str">
            <v>JOSE APARECIDO DE GOUVEIA</v>
          </cell>
          <cell r="C1239" t="str">
            <v>AJUDANTE EQ SERVICOS DIVERSOS</v>
          </cell>
          <cell r="D1239" t="str">
            <v>ECOSAMPA M'Boi Mirim</v>
          </cell>
        </row>
        <row r="1240">
          <cell r="A1240">
            <v>112255</v>
          </cell>
          <cell r="B1240" t="str">
            <v>JOSE ARNALDO DOS SANTOS</v>
          </cell>
          <cell r="C1240" t="str">
            <v>VARREDOR</v>
          </cell>
          <cell r="D1240" t="str">
            <v>ECOSAMPA Campo Limpo</v>
          </cell>
        </row>
        <row r="1241">
          <cell r="A1241">
            <v>119111</v>
          </cell>
          <cell r="B1241" t="str">
            <v>JOSE AUGUSTO DOS SANTOS</v>
          </cell>
          <cell r="C1241" t="str">
            <v>FISCAL DE TURMA PLENO</v>
          </cell>
          <cell r="D1241" t="str">
            <v>ECOSAMPA Operação Geral</v>
          </cell>
        </row>
        <row r="1242">
          <cell r="A1242">
            <v>112259</v>
          </cell>
          <cell r="B1242" t="str">
            <v>JOSE AUGUSTO SANTOS DO CARMO</v>
          </cell>
          <cell r="C1242" t="str">
            <v>VARREDOR</v>
          </cell>
          <cell r="D1242" t="str">
            <v>ECOSAMPA Capela do Socorro</v>
          </cell>
        </row>
        <row r="1243">
          <cell r="A1243">
            <v>112989</v>
          </cell>
          <cell r="B1243" t="str">
            <v>JOSE AVELINO DE SOUSA FILHO</v>
          </cell>
          <cell r="C1243" t="str">
            <v>BUEIRISTA</v>
          </cell>
          <cell r="D1243" t="str">
            <v>ECOSAMPA M'Boi Mirim</v>
          </cell>
        </row>
        <row r="1244">
          <cell r="A1244">
            <v>112937</v>
          </cell>
          <cell r="B1244" t="str">
            <v>JOSE BARBOSA DE FARIAS</v>
          </cell>
          <cell r="C1244" t="str">
            <v>VARREDOR</v>
          </cell>
          <cell r="D1244" t="str">
            <v>ECOSAMPA Capela do Socorro</v>
          </cell>
        </row>
        <row r="1245">
          <cell r="A1245">
            <v>119112</v>
          </cell>
          <cell r="B1245" t="str">
            <v>JOSE BARBOSA FILHO</v>
          </cell>
          <cell r="C1245" t="str">
            <v>AJUDANTE EQ SERVICOS DIVERSOS</v>
          </cell>
          <cell r="D1245" t="str">
            <v>ECOSAMPA Capela do Socorro</v>
          </cell>
        </row>
        <row r="1246">
          <cell r="A1246">
            <v>113384</v>
          </cell>
          <cell r="B1246" t="str">
            <v>JOSE BATISTA DOS SANTOS</v>
          </cell>
          <cell r="C1246" t="str">
            <v>VARREDOR</v>
          </cell>
          <cell r="D1246" t="str">
            <v>ECOSAMPA Santo Amaro</v>
          </cell>
        </row>
        <row r="1247">
          <cell r="A1247">
            <v>112938</v>
          </cell>
          <cell r="B1247" t="str">
            <v>JOSE BERNARDO DE JESUS SANTOS</v>
          </cell>
          <cell r="C1247" t="str">
            <v>VARREDOR</v>
          </cell>
          <cell r="D1247" t="str">
            <v>ECOSAMPA Capela do Socorro</v>
          </cell>
        </row>
        <row r="1248">
          <cell r="A1248">
            <v>113444</v>
          </cell>
          <cell r="B1248" t="str">
            <v>JOSE BERNARDO DOS SANTOS</v>
          </cell>
          <cell r="C1248" t="str">
            <v>VARREDOR</v>
          </cell>
          <cell r="D1248" t="str">
            <v>ECOSAMPA Santo Amaro</v>
          </cell>
        </row>
        <row r="1249">
          <cell r="A1249">
            <v>112491</v>
          </cell>
          <cell r="B1249" t="str">
            <v>JOSE BISPO DE SENA</v>
          </cell>
          <cell r="C1249" t="str">
            <v>AJUDANTE EQ SERVICOS DIVERSOS</v>
          </cell>
          <cell r="D1249" t="str">
            <v>ECOSAMPA Parelheiros</v>
          </cell>
        </row>
        <row r="1250">
          <cell r="A1250">
            <v>112983</v>
          </cell>
          <cell r="B1250" t="str">
            <v>JOSE CALIXTO DA SILVA FILHO</v>
          </cell>
          <cell r="C1250" t="str">
            <v>AJUDANTE EQ SERVICOS DIVERSOS</v>
          </cell>
          <cell r="D1250" t="str">
            <v>ECOSAMPA M'Boi Mirim</v>
          </cell>
        </row>
        <row r="1251">
          <cell r="A1251">
            <v>112320</v>
          </cell>
          <cell r="B1251" t="str">
            <v>JOSE CAMILO SILVEIRA</v>
          </cell>
          <cell r="C1251" t="str">
            <v>VARREDOR</v>
          </cell>
          <cell r="D1251" t="str">
            <v>ECOSAMPA Campo Limpo</v>
          </cell>
        </row>
        <row r="1252">
          <cell r="A1252">
            <v>112499</v>
          </cell>
          <cell r="B1252" t="str">
            <v>JOSE CANDIDO</v>
          </cell>
          <cell r="C1252" t="str">
            <v>BUEIRISTA</v>
          </cell>
          <cell r="D1252" t="str">
            <v>ECOSAMPA Parelheiros</v>
          </cell>
        </row>
        <row r="1253">
          <cell r="A1253">
            <v>113620</v>
          </cell>
          <cell r="B1253" t="str">
            <v>JOSE CARLITO DA SILVA</v>
          </cell>
          <cell r="C1253" t="str">
            <v>MOTORISTA CAMINHAO</v>
          </cell>
          <cell r="D1253" t="str">
            <v>ECOSAMPA Operação Geral</v>
          </cell>
        </row>
        <row r="1254">
          <cell r="A1254">
            <v>122834</v>
          </cell>
          <cell r="B1254" t="str">
            <v>JOSE CARLOS ALVES DOS SANTOS</v>
          </cell>
          <cell r="C1254" t="str">
            <v>AJUDANTE EQ SERVICOS DIVERSOS</v>
          </cell>
          <cell r="D1254" t="str">
            <v>ECOSAMPA Santo Amaro</v>
          </cell>
        </row>
        <row r="1255">
          <cell r="A1255">
            <v>113089</v>
          </cell>
          <cell r="B1255" t="str">
            <v>JOSE CARLOS DA ROCHA</v>
          </cell>
          <cell r="C1255" t="str">
            <v>AJUDANTE EQ SERVICOS DIVERSOS</v>
          </cell>
          <cell r="D1255" t="str">
            <v>ECOSAMPA Santo Amaro</v>
          </cell>
        </row>
        <row r="1256">
          <cell r="A1256">
            <v>112325</v>
          </cell>
          <cell r="B1256" t="str">
            <v>JOSE CARLOS DA SILVA</v>
          </cell>
          <cell r="C1256" t="str">
            <v>VARREDOR</v>
          </cell>
          <cell r="D1256" t="str">
            <v>ECOSAMPA Campo Limpo</v>
          </cell>
        </row>
        <row r="1257">
          <cell r="A1257">
            <v>113039</v>
          </cell>
          <cell r="B1257" t="str">
            <v>JOSE CARLOS DA SILVA</v>
          </cell>
          <cell r="C1257" t="str">
            <v>VARREDOR</v>
          </cell>
          <cell r="D1257" t="str">
            <v>ECOSAMPA M'Boi Mirim</v>
          </cell>
        </row>
        <row r="1258">
          <cell r="A1258">
            <v>113622</v>
          </cell>
          <cell r="B1258" t="str">
            <v>JOSE CARLOS DA SILVA SANTANA</v>
          </cell>
          <cell r="C1258" t="str">
            <v>MOTORISTA CAMINHAO</v>
          </cell>
          <cell r="D1258" t="str">
            <v>ECOSAMPA Operação Geral</v>
          </cell>
        </row>
        <row r="1259">
          <cell r="A1259">
            <v>114524</v>
          </cell>
          <cell r="B1259" t="str">
            <v>JOSE CARLOS FELICIANO DA SILVA</v>
          </cell>
          <cell r="C1259" t="str">
            <v>MOTORISTA CAMINHAO</v>
          </cell>
          <cell r="D1259" t="str">
            <v>ECOSAMPA Operação Geral</v>
          </cell>
        </row>
        <row r="1260">
          <cell r="A1260">
            <v>113628</v>
          </cell>
          <cell r="B1260" t="str">
            <v>JOSE CARLOS HENRIQUE DA SILVA</v>
          </cell>
          <cell r="C1260" t="str">
            <v>MOTORISTA CAMINHAO</v>
          </cell>
          <cell r="D1260" t="str">
            <v>ECOSAMPA Operação Geral</v>
          </cell>
        </row>
        <row r="1261">
          <cell r="A1261">
            <v>112960</v>
          </cell>
          <cell r="B1261" t="str">
            <v>JOSE CARLOS MARTINS</v>
          </cell>
          <cell r="C1261" t="str">
            <v>AJUDANTE EQ SERVICOS DIVERSOS</v>
          </cell>
          <cell r="D1261" t="str">
            <v>ECOSAMPA M'Boi Mirim</v>
          </cell>
        </row>
        <row r="1262">
          <cell r="A1262">
            <v>114923</v>
          </cell>
          <cell r="B1262" t="str">
            <v>JOSE CARLOS PEREIRA DOS SANTOS</v>
          </cell>
          <cell r="C1262" t="str">
            <v>AJUDANTE EQ SERVICOS DIVERSOS</v>
          </cell>
          <cell r="D1262" t="str">
            <v>ECOSAMPA Operação Geral</v>
          </cell>
        </row>
        <row r="1263">
          <cell r="A1263">
            <v>112352</v>
          </cell>
          <cell r="B1263" t="str">
            <v>JOSE CARLOS ROQUE DA SILVA</v>
          </cell>
          <cell r="C1263" t="str">
            <v>AJUDANTE EQ SERVICOS DIVERSOS</v>
          </cell>
          <cell r="D1263" t="str">
            <v>ECOSAMPA Capela do Socorro</v>
          </cell>
        </row>
        <row r="1264">
          <cell r="A1264">
            <v>112505</v>
          </cell>
          <cell r="B1264" t="str">
            <v>JOSE CARLOS SILVA DOS SANTOS</v>
          </cell>
          <cell r="C1264" t="str">
            <v>BUEIRISTA</v>
          </cell>
          <cell r="D1264" t="str">
            <v>ECOSAMPA Parelheiros</v>
          </cell>
        </row>
        <row r="1265">
          <cell r="A1265">
            <v>112328</v>
          </cell>
          <cell r="B1265" t="str">
            <v>JOSE CARLOS ZACARIAS</v>
          </cell>
          <cell r="C1265" t="str">
            <v>VARREDOR</v>
          </cell>
          <cell r="D1265" t="str">
            <v>ECOSAMPA Campo Limpo</v>
          </cell>
        </row>
        <row r="1266">
          <cell r="A1266">
            <v>113090</v>
          </cell>
          <cell r="B1266" t="str">
            <v>JOSE CICERO DOS SANTOS</v>
          </cell>
          <cell r="C1266" t="str">
            <v>AJUDANTE EQ SERVICOS DIVERSOS</v>
          </cell>
          <cell r="D1266" t="str">
            <v>ECOSAMPA Santo Amaro</v>
          </cell>
        </row>
        <row r="1267">
          <cell r="A1267">
            <v>121472</v>
          </cell>
          <cell r="B1267" t="str">
            <v>JOSE CLAUDEMILSON DA SILVA SANTOS</v>
          </cell>
          <cell r="C1267" t="str">
            <v>AJUDANTE EQ SERVICOS DIVERSOS</v>
          </cell>
          <cell r="D1267" t="str">
            <v>ECOSAMPA Operação Geral</v>
          </cell>
        </row>
        <row r="1268">
          <cell r="A1268">
            <v>113412</v>
          </cell>
          <cell r="B1268" t="str">
            <v>JOSE CLAUDIO BARBOSA</v>
          </cell>
          <cell r="C1268" t="str">
            <v>VARREDOR</v>
          </cell>
          <cell r="D1268" t="str">
            <v>ECOSAMPA Santo Amaro</v>
          </cell>
        </row>
        <row r="1269">
          <cell r="A1269">
            <v>113161</v>
          </cell>
          <cell r="B1269" t="str">
            <v>JOSE DAMIAO DOS SANTOS</v>
          </cell>
          <cell r="C1269" t="str">
            <v>MOTORISTA CAMINHAO</v>
          </cell>
          <cell r="D1269" t="str">
            <v>ECOSAMPA Operação Geral</v>
          </cell>
        </row>
        <row r="1270">
          <cell r="A1270">
            <v>112940</v>
          </cell>
          <cell r="B1270" t="str">
            <v>JOSE DARIO DE MEDEIROS</v>
          </cell>
          <cell r="C1270" t="str">
            <v>VARREDOR</v>
          </cell>
          <cell r="D1270" t="str">
            <v>ECOSAMPA Capela do Socorro</v>
          </cell>
        </row>
        <row r="1271">
          <cell r="A1271">
            <v>112221</v>
          </cell>
          <cell r="B1271" t="str">
            <v>JOSE DAS GRACAS DOS SANTOS</v>
          </cell>
          <cell r="C1271" t="str">
            <v>AJUDANTE EQ SERVICOS DIVERSOS</v>
          </cell>
          <cell r="D1271" t="str">
            <v>ECOSAMPA Santo Amaro</v>
          </cell>
        </row>
        <row r="1272">
          <cell r="A1272">
            <v>121464</v>
          </cell>
          <cell r="B1272" t="str">
            <v>JOSE DAVID PEREIRA VENCESLAU</v>
          </cell>
          <cell r="C1272" t="str">
            <v>AJUDANTE EQ SERVICOS DIVERSOS</v>
          </cell>
          <cell r="D1272" t="str">
            <v>ECOSAMPA Operação Geral</v>
          </cell>
        </row>
        <row r="1273">
          <cell r="A1273">
            <v>117244</v>
          </cell>
          <cell r="B1273" t="str">
            <v>JOSE DE ASSIS DA SILVA</v>
          </cell>
          <cell r="C1273" t="str">
            <v>AJUDANTE EQ SERVICOS DIVERSOS</v>
          </cell>
          <cell r="D1273" t="str">
            <v>ECOSAMPA Capela do Socorro</v>
          </cell>
        </row>
        <row r="1274">
          <cell r="A1274">
            <v>112517</v>
          </cell>
          <cell r="B1274" t="str">
            <v>JOSE DE CASTRO OLIVEIRA</v>
          </cell>
          <cell r="C1274" t="str">
            <v>VARREDOR</v>
          </cell>
          <cell r="D1274" t="str">
            <v>ECOSAMPA Capela do Socorro</v>
          </cell>
        </row>
        <row r="1275">
          <cell r="A1275">
            <v>112941</v>
          </cell>
          <cell r="B1275" t="str">
            <v>JOSE DE FATIMA CAMPOS</v>
          </cell>
          <cell r="C1275" t="str">
            <v>VARREDOR</v>
          </cell>
          <cell r="D1275" t="str">
            <v>ECOSAMPA Capela do Socorro</v>
          </cell>
        </row>
        <row r="1276">
          <cell r="A1276">
            <v>112943</v>
          </cell>
          <cell r="B1276" t="str">
            <v>JOSE DE JESUS CAETANO</v>
          </cell>
          <cell r="C1276" t="str">
            <v>VARREDOR</v>
          </cell>
          <cell r="D1276" t="str">
            <v>ECOSAMPA Capela do Socorro</v>
          </cell>
        </row>
        <row r="1277">
          <cell r="A1277">
            <v>113114</v>
          </cell>
          <cell r="B1277" t="str">
            <v>JOSE DE JESUS SANTOS</v>
          </cell>
          <cell r="C1277" t="str">
            <v>VARREDOR</v>
          </cell>
          <cell r="D1277" t="str">
            <v>ECOSAMPA Santo Amaro</v>
          </cell>
        </row>
        <row r="1278">
          <cell r="A1278">
            <v>114924</v>
          </cell>
          <cell r="B1278" t="str">
            <v>JOSE DE JESUS SANTOS</v>
          </cell>
          <cell r="C1278" t="str">
            <v>AJUDANTE EQ SERVICOS DIVERSOS</v>
          </cell>
          <cell r="D1278" t="str">
            <v>ECOSAMPA Operação Geral</v>
          </cell>
        </row>
        <row r="1279">
          <cell r="A1279">
            <v>122409</v>
          </cell>
          <cell r="B1279" t="str">
            <v>JOSE DE OLIVEIRA COELHO</v>
          </cell>
          <cell r="C1279" t="str">
            <v>MOTORISTA CAMINHAO</v>
          </cell>
          <cell r="D1279" t="str">
            <v>ECOSAMPA Operação Geral</v>
          </cell>
        </row>
        <row r="1280">
          <cell r="A1280">
            <v>113414</v>
          </cell>
          <cell r="B1280" t="str">
            <v>JOSE DE SANTANA DIAS</v>
          </cell>
          <cell r="C1280" t="str">
            <v>VARREDOR</v>
          </cell>
          <cell r="D1280" t="str">
            <v>ECOSAMPA Santo Amaro</v>
          </cell>
        </row>
        <row r="1281">
          <cell r="A1281">
            <v>113424</v>
          </cell>
          <cell r="B1281" t="str">
            <v>JOSE DEOCLECIO BORLOT</v>
          </cell>
          <cell r="C1281" t="str">
            <v>VARREDOR</v>
          </cell>
          <cell r="D1281" t="str">
            <v>ECOSAMPA Santo Amaro</v>
          </cell>
        </row>
        <row r="1282">
          <cell r="A1282">
            <v>121316</v>
          </cell>
          <cell r="B1282" t="str">
            <v>JOSE DILMA JUSTINO DE OLIVEIRA</v>
          </cell>
          <cell r="C1282" t="str">
            <v>AJUDANTE EQ SERVICOS DIVERSOS</v>
          </cell>
          <cell r="D1282" t="str">
            <v>ECOSAMPA Capela do Socorro</v>
          </cell>
        </row>
        <row r="1283">
          <cell r="A1283">
            <v>113344</v>
          </cell>
          <cell r="B1283" t="str">
            <v>JOSE DILSON SILVA</v>
          </cell>
          <cell r="C1283" t="str">
            <v>OPERADOR DE MAQUINA SENIOR</v>
          </cell>
          <cell r="D1283" t="str">
            <v>ECOSAMPA Operação Geral</v>
          </cell>
        </row>
        <row r="1284">
          <cell r="A1284">
            <v>112264</v>
          </cell>
          <cell r="B1284" t="str">
            <v>JOSE DOMINGOS ALVES DE OLIVEIRA</v>
          </cell>
          <cell r="C1284" t="str">
            <v>VARREDOR</v>
          </cell>
          <cell r="D1284" t="str">
            <v>ECOSAMPA Campo Limpo</v>
          </cell>
        </row>
        <row r="1285">
          <cell r="A1285">
            <v>112944</v>
          </cell>
          <cell r="B1285" t="str">
            <v>JOSE DOS REIS OLIVEIRA SANTOS</v>
          </cell>
          <cell r="C1285" t="str">
            <v>VARREDOR</v>
          </cell>
          <cell r="D1285" t="str">
            <v>ECOSAMPA Capela do Socorro</v>
          </cell>
        </row>
        <row r="1286">
          <cell r="A1286">
            <v>113637</v>
          </cell>
          <cell r="B1286" t="str">
            <v>JOSE EDELSON REIS</v>
          </cell>
          <cell r="C1286" t="str">
            <v>MOTORISTA CAMINHAO</v>
          </cell>
          <cell r="D1286" t="str">
            <v>ECOSAMPA Operação Geral</v>
          </cell>
        </row>
        <row r="1287">
          <cell r="A1287">
            <v>113647</v>
          </cell>
          <cell r="B1287" t="str">
            <v>JOSE EDILSON DE CARVALHO</v>
          </cell>
          <cell r="C1287" t="str">
            <v>MOTORISTA CAMINHAO</v>
          </cell>
          <cell r="D1287" t="str">
            <v>ECOSAMPA Operação Geral</v>
          </cell>
        </row>
        <row r="1288">
          <cell r="A1288">
            <v>114961</v>
          </cell>
          <cell r="B1288" t="str">
            <v>JOSE EDSON DOS SANTO FARIAS CABRAL</v>
          </cell>
          <cell r="C1288" t="str">
            <v>AJUDANTE EQ SERVICOS DIVERSOS</v>
          </cell>
          <cell r="D1288" t="str">
            <v>ECOSAMPA Operação Geral</v>
          </cell>
        </row>
        <row r="1289">
          <cell r="A1289">
            <v>113448</v>
          </cell>
          <cell r="B1289" t="str">
            <v>JOSE ERMESSON LOPES DA SILVA</v>
          </cell>
          <cell r="C1289" t="str">
            <v>VARREDOR</v>
          </cell>
          <cell r="D1289" t="str">
            <v>ECOSAMPA Santo Amaro</v>
          </cell>
        </row>
        <row r="1290">
          <cell r="A1290">
            <v>113333</v>
          </cell>
          <cell r="B1290" t="str">
            <v>JOSE FERNANDO APARECIDO DOS PASSOS</v>
          </cell>
          <cell r="C1290" t="str">
            <v>FISCAL DE TURMA PLENO</v>
          </cell>
          <cell r="D1290" t="str">
            <v>ECOSAMPA M'Boi Mirim</v>
          </cell>
        </row>
        <row r="1291">
          <cell r="A1291">
            <v>113320</v>
          </cell>
          <cell r="B1291" t="str">
            <v>JOSE FERNANDO DA SILVA</v>
          </cell>
          <cell r="C1291" t="str">
            <v>COLETOR</v>
          </cell>
          <cell r="D1291" t="str">
            <v>ECOSAMPA Operação Geral</v>
          </cell>
        </row>
        <row r="1292">
          <cell r="A1292">
            <v>112946</v>
          </cell>
          <cell r="B1292" t="str">
            <v>JOSE FERREIRA DA SILVA</v>
          </cell>
          <cell r="C1292" t="str">
            <v>VARREDOR</v>
          </cell>
          <cell r="D1292" t="str">
            <v>ECOSAMPA Capela do Socorro</v>
          </cell>
        </row>
        <row r="1293">
          <cell r="A1293">
            <v>116086</v>
          </cell>
          <cell r="B1293" t="str">
            <v>JOSE FLAVIO DA ROCHA</v>
          </cell>
          <cell r="C1293" t="str">
            <v>MOTORISTA CAMINHAO</v>
          </cell>
          <cell r="D1293" t="str">
            <v>ECOSAMPA Operação Geral</v>
          </cell>
        </row>
        <row r="1294">
          <cell r="A1294">
            <v>113362</v>
          </cell>
          <cell r="B1294" t="str">
            <v>JOSE FONSECA DE SOUZA</v>
          </cell>
          <cell r="C1294" t="str">
            <v>VARREDOR</v>
          </cell>
          <cell r="D1294" t="str">
            <v>ECOSAMPA Santo Amaro</v>
          </cell>
        </row>
        <row r="1295">
          <cell r="A1295">
            <v>113385</v>
          </cell>
          <cell r="B1295" t="str">
            <v>JOSE FRANCISCO VARELA</v>
          </cell>
          <cell r="C1295" t="str">
            <v>VARREDOR</v>
          </cell>
          <cell r="D1295" t="str">
            <v>ECOSAMPA Santo Amaro</v>
          </cell>
        </row>
        <row r="1296">
          <cell r="A1296">
            <v>112353</v>
          </cell>
          <cell r="B1296" t="str">
            <v>JOSE GASPARINO DE BRITO</v>
          </cell>
          <cell r="C1296" t="str">
            <v>VARREDOR</v>
          </cell>
          <cell r="D1296" t="str">
            <v>ECOSAMPA Parelheiros</v>
          </cell>
        </row>
        <row r="1297">
          <cell r="A1297">
            <v>113387</v>
          </cell>
          <cell r="B1297" t="str">
            <v>JOSE GEAN FERNANDES DA SILVA ARAUJO</v>
          </cell>
          <cell r="C1297" t="str">
            <v>VARREDOR</v>
          </cell>
          <cell r="D1297" t="str">
            <v>ECOSAMPA Santo Amaro</v>
          </cell>
        </row>
        <row r="1298">
          <cell r="A1298">
            <v>113158</v>
          </cell>
          <cell r="B1298" t="str">
            <v>JOSE GERALDO DA SILVA</v>
          </cell>
          <cell r="C1298" t="str">
            <v>COLETOR</v>
          </cell>
          <cell r="D1298" t="str">
            <v>ECOSAMPA Operação Geral</v>
          </cell>
        </row>
        <row r="1299">
          <cell r="A1299">
            <v>113452</v>
          </cell>
          <cell r="B1299" t="str">
            <v>JOSE GERALDO DE ASSIS</v>
          </cell>
          <cell r="C1299" t="str">
            <v>VARREDOR</v>
          </cell>
          <cell r="D1299" t="str">
            <v>ECOSAMPA Santo Amaro</v>
          </cell>
        </row>
        <row r="1300">
          <cell r="A1300">
            <v>113629</v>
          </cell>
          <cell r="B1300" t="str">
            <v>JOSE GERALDO DE FARIA</v>
          </cell>
          <cell r="C1300" t="str">
            <v>MOTORISTA CAMINHAO</v>
          </cell>
          <cell r="D1300" t="str">
            <v>ECOSAMPA Operação Geral</v>
          </cell>
        </row>
        <row r="1301">
          <cell r="A1301">
            <v>112408</v>
          </cell>
          <cell r="B1301" t="str">
            <v>JOSE GERALDO DE OLIVEIRA</v>
          </cell>
          <cell r="C1301" t="str">
            <v>AJUDANTE EQ SERVICOS DIVERSOS</v>
          </cell>
          <cell r="D1301" t="str">
            <v>ECOSAMPA Capela do Socorro</v>
          </cell>
        </row>
        <row r="1302">
          <cell r="A1302">
            <v>113417</v>
          </cell>
          <cell r="B1302" t="str">
            <v>JOSE GERALDO SILVA</v>
          </cell>
          <cell r="C1302" t="str">
            <v>VARREDOR</v>
          </cell>
          <cell r="D1302" t="str">
            <v>ECOSAMPA Santo Amaro</v>
          </cell>
        </row>
        <row r="1303">
          <cell r="A1303">
            <v>122405</v>
          </cell>
          <cell r="B1303" t="str">
            <v>JOSE GERALDO XAVIER DE ARAUJO</v>
          </cell>
          <cell r="C1303" t="str">
            <v>MOTORISTA CAMINHAO</v>
          </cell>
          <cell r="D1303" t="str">
            <v>ECOSAMPA Operação Geral</v>
          </cell>
        </row>
        <row r="1304">
          <cell r="A1304">
            <v>113366</v>
          </cell>
          <cell r="B1304" t="str">
            <v>JOSE GILBERTO DA SILVA</v>
          </cell>
          <cell r="C1304" t="str">
            <v>VARREDOR</v>
          </cell>
          <cell r="D1304" t="str">
            <v>ECOSAMPA Santo Amaro</v>
          </cell>
        </row>
        <row r="1305">
          <cell r="A1305">
            <v>119641</v>
          </cell>
          <cell r="B1305" t="str">
            <v>JOSE GILBERTO PEREIRA</v>
          </cell>
          <cell r="C1305" t="str">
            <v>AJUDANTE EQ SERVICOS DIVERSOS</v>
          </cell>
          <cell r="D1305" t="str">
            <v>ECOSAMPA Capela do Socorro</v>
          </cell>
        </row>
        <row r="1306">
          <cell r="A1306">
            <v>112948</v>
          </cell>
          <cell r="B1306" t="str">
            <v>JOSE GOMES DA SILVA</v>
          </cell>
          <cell r="C1306" t="str">
            <v>VARREDOR</v>
          </cell>
          <cell r="D1306" t="str">
            <v>ECOSAMPA Capela do Socorro</v>
          </cell>
        </row>
        <row r="1307">
          <cell r="A1307">
            <v>113162</v>
          </cell>
          <cell r="B1307" t="str">
            <v>JOSE GOMES DA SILVA</v>
          </cell>
          <cell r="C1307" t="str">
            <v>COLETOR</v>
          </cell>
          <cell r="D1307" t="str">
            <v>ECOSAMPA Operação Geral</v>
          </cell>
        </row>
        <row r="1308">
          <cell r="A1308">
            <v>112949</v>
          </cell>
          <cell r="B1308" t="str">
            <v>JOSE GOMES DE ANDRADE</v>
          </cell>
          <cell r="C1308" t="str">
            <v>VARREDOR</v>
          </cell>
          <cell r="D1308" t="str">
            <v>ECOSAMPA Capela do Socorro</v>
          </cell>
        </row>
        <row r="1309">
          <cell r="A1309">
            <v>113321</v>
          </cell>
          <cell r="B1309" t="str">
            <v>JOSE GONCALVES DA SILVA</v>
          </cell>
          <cell r="C1309" t="str">
            <v>COLETOR</v>
          </cell>
          <cell r="D1309" t="str">
            <v>ECOSAMPA Operação Geral</v>
          </cell>
        </row>
        <row r="1310">
          <cell r="A1310">
            <v>114957</v>
          </cell>
          <cell r="B1310" t="str">
            <v>JOSE HELIO KOLCHRAIBER</v>
          </cell>
          <cell r="C1310" t="str">
            <v>MOTORISTA CAMINHAO</v>
          </cell>
          <cell r="D1310" t="str">
            <v>ECOSAMPA Operação Geral</v>
          </cell>
        </row>
        <row r="1311">
          <cell r="A1311">
            <v>112495</v>
          </cell>
          <cell r="B1311" t="str">
            <v>JOSE HILDO DE MELO</v>
          </cell>
          <cell r="C1311" t="str">
            <v>AJUDANTE EQ SERVICOS DIVERSOS</v>
          </cell>
          <cell r="D1311" t="str">
            <v>ECOSAMPA Parelheiros</v>
          </cell>
        </row>
        <row r="1312">
          <cell r="A1312">
            <v>113453</v>
          </cell>
          <cell r="B1312" t="str">
            <v>JOSE HILTON NERES</v>
          </cell>
          <cell r="C1312" t="str">
            <v>VARREDOR</v>
          </cell>
          <cell r="D1312" t="str">
            <v>ECOSAMPA Santo Amaro</v>
          </cell>
        </row>
        <row r="1313">
          <cell r="A1313">
            <v>113118</v>
          </cell>
          <cell r="B1313" t="str">
            <v>JOSE ILARIO DOS SANTOS</v>
          </cell>
          <cell r="C1313" t="str">
            <v>BORRACHEIRO II</v>
          </cell>
          <cell r="D1313" t="str">
            <v>ECOSAMPA Operação Geral</v>
          </cell>
        </row>
        <row r="1314">
          <cell r="A1314">
            <v>112409</v>
          </cell>
          <cell r="B1314" t="str">
            <v>JOSE INALDO DOS SANTOS SANTANA</v>
          </cell>
          <cell r="C1314" t="str">
            <v>VARREDOR</v>
          </cell>
          <cell r="D1314" t="str">
            <v>ECOSAMPA Capela do Socorro</v>
          </cell>
        </row>
        <row r="1315">
          <cell r="A1315">
            <v>113159</v>
          </cell>
          <cell r="B1315" t="str">
            <v>JOSE IRANDIR SANTOS DE JESUS</v>
          </cell>
          <cell r="C1315" t="str">
            <v>COLETOR</v>
          </cell>
          <cell r="D1315" t="str">
            <v>ECOSAMPA Operação Geral</v>
          </cell>
        </row>
        <row r="1316">
          <cell r="A1316">
            <v>119114</v>
          </cell>
          <cell r="B1316" t="str">
            <v>JOSE ITAMAR DE LIMA</v>
          </cell>
          <cell r="C1316" t="str">
            <v>VARREDOR</v>
          </cell>
          <cell r="D1316" t="str">
            <v>ECOSAMPA Santo Amaro</v>
          </cell>
        </row>
        <row r="1317">
          <cell r="A1317">
            <v>116388</v>
          </cell>
          <cell r="B1317" t="str">
            <v>JOSE IVANALDO DA SILVA</v>
          </cell>
          <cell r="C1317" t="str">
            <v>MOTORISTA DE CAMINHAO</v>
          </cell>
          <cell r="D1317" t="str">
            <v>ECOSAMPA Operação Geral</v>
          </cell>
        </row>
        <row r="1318">
          <cell r="A1318">
            <v>112511</v>
          </cell>
          <cell r="B1318" t="str">
            <v>JOSE IVONEUDO DOS SANTOS</v>
          </cell>
          <cell r="C1318" t="str">
            <v>TECNICO EM SEGURANCA DO TRABALHO JUNIOR</v>
          </cell>
          <cell r="D1318" t="str">
            <v>ECOSAMPA Operação Geral</v>
          </cell>
        </row>
        <row r="1319">
          <cell r="A1319">
            <v>113655</v>
          </cell>
          <cell r="B1319" t="str">
            <v>JOSE JEDSON NICACIO DOS SANTOS</v>
          </cell>
          <cell r="C1319" t="str">
            <v>MOTORISTA CAMINHAO</v>
          </cell>
          <cell r="D1319" t="str">
            <v>ECOSAMPA Operação Geral</v>
          </cell>
        </row>
        <row r="1320">
          <cell r="A1320">
            <v>114490</v>
          </cell>
          <cell r="B1320" t="str">
            <v>JOSE JOELTON DOS SANTOS</v>
          </cell>
          <cell r="C1320" t="str">
            <v>AJUDANTE EQ SERVICOS DIVERSOS</v>
          </cell>
          <cell r="D1320" t="str">
            <v>ECOSAMPA Santo Amaro</v>
          </cell>
        </row>
        <row r="1321">
          <cell r="A1321">
            <v>113395</v>
          </cell>
          <cell r="B1321" t="str">
            <v>JOSE JORGE DOS SANTOS</v>
          </cell>
          <cell r="C1321" t="str">
            <v>VARREDOR</v>
          </cell>
          <cell r="D1321" t="str">
            <v>ECOSAMPA Santo Amaro</v>
          </cell>
        </row>
        <row r="1322">
          <cell r="A1322">
            <v>119124</v>
          </cell>
          <cell r="B1322" t="str">
            <v>JOSE JOSIAS DA SILVA</v>
          </cell>
          <cell r="C1322" t="str">
            <v>MOTORISTA CAMINHAO</v>
          </cell>
          <cell r="D1322" t="str">
            <v>ECOSAMPA Operação Geral</v>
          </cell>
        </row>
        <row r="1323">
          <cell r="A1323">
            <v>113642</v>
          </cell>
          <cell r="B1323" t="str">
            <v>JOSE JULIO DA SILVA</v>
          </cell>
          <cell r="C1323" t="str">
            <v>OPERADOR DE PA CARREGADEIRA</v>
          </cell>
          <cell r="D1323" t="str">
            <v>ECOSAMPA Operação Geral</v>
          </cell>
        </row>
        <row r="1324">
          <cell r="A1324">
            <v>112441</v>
          </cell>
          <cell r="B1324" t="str">
            <v>JOSE LEANDRO DIAS CORREA</v>
          </cell>
          <cell r="C1324" t="str">
            <v>AJUDANTE EQ SERVICOS DIVERSOS</v>
          </cell>
          <cell r="D1324" t="str">
            <v>ECOSAMPA Parelheiros</v>
          </cell>
        </row>
        <row r="1325">
          <cell r="A1325">
            <v>112962</v>
          </cell>
          <cell r="B1325" t="str">
            <v>JOSE LEITE DA SILVA</v>
          </cell>
          <cell r="C1325" t="str">
            <v>AJUDANTE EQ SERVICOS DIVERSOS</v>
          </cell>
          <cell r="D1325" t="str">
            <v>ECOSAMPA M'Boi Mirim</v>
          </cell>
        </row>
        <row r="1326">
          <cell r="A1326">
            <v>113458</v>
          </cell>
          <cell r="B1326" t="str">
            <v>JOSE LINALDO PIMENTEL SANTANA</v>
          </cell>
          <cell r="C1326" t="str">
            <v>VARREDOR</v>
          </cell>
          <cell r="D1326" t="str">
            <v>ECOSAMPA Santo Amaro</v>
          </cell>
        </row>
        <row r="1327">
          <cell r="A1327">
            <v>113461</v>
          </cell>
          <cell r="B1327" t="str">
            <v>JOSE LINS DA SILVA FILHO</v>
          </cell>
          <cell r="C1327" t="str">
            <v>VARREDOR</v>
          </cell>
          <cell r="D1327" t="str">
            <v>ECOSAMPA Santo Amaro</v>
          </cell>
        </row>
        <row r="1328">
          <cell r="A1328">
            <v>114991</v>
          </cell>
          <cell r="B1328" t="str">
            <v>JOSE LOURENCO DE SOUSA</v>
          </cell>
          <cell r="C1328" t="str">
            <v>AJUDANTE EQ SERVICOS DIVERSOS</v>
          </cell>
          <cell r="D1328" t="str">
            <v>ECOSAMPA Operação Geral</v>
          </cell>
        </row>
        <row r="1329">
          <cell r="A1329">
            <v>120180</v>
          </cell>
          <cell r="B1329" t="str">
            <v>JOSE LUCAS ALVES DE OLIVEIRA</v>
          </cell>
          <cell r="C1329" t="str">
            <v>ELETRICISTA</v>
          </cell>
          <cell r="D1329" t="str">
            <v>ECOSAMPA Operação Geral</v>
          </cell>
        </row>
        <row r="1330">
          <cell r="A1330">
            <v>113325</v>
          </cell>
          <cell r="B1330" t="str">
            <v>JOSE LUCINALDO DA SILVA</v>
          </cell>
          <cell r="C1330" t="str">
            <v>COLETOR</v>
          </cell>
          <cell r="D1330" t="str">
            <v>ECOSAMPA Operação Geral</v>
          </cell>
        </row>
        <row r="1331">
          <cell r="A1331">
            <v>113403</v>
          </cell>
          <cell r="B1331" t="str">
            <v>JOSE LUIS ALVES DA SILVA</v>
          </cell>
          <cell r="C1331" t="str">
            <v>VARREDOR</v>
          </cell>
          <cell r="D1331" t="str">
            <v>ECOSAMPA Santo Amaro</v>
          </cell>
        </row>
        <row r="1332">
          <cell r="A1332">
            <v>113462</v>
          </cell>
          <cell r="B1332" t="str">
            <v>JOSE LUIZ DA SILVA</v>
          </cell>
          <cell r="C1332" t="str">
            <v>VARREDOR</v>
          </cell>
          <cell r="D1332" t="str">
            <v>ECOSAMPA Santo Amaro</v>
          </cell>
        </row>
        <row r="1333">
          <cell r="A1333">
            <v>113160</v>
          </cell>
          <cell r="B1333" t="str">
            <v>JOSE LUIZ GOMES DA SILVA</v>
          </cell>
          <cell r="C1333" t="str">
            <v>COLETOR</v>
          </cell>
          <cell r="D1333" t="str">
            <v>ECOSAMPA Operação Geral</v>
          </cell>
        </row>
        <row r="1334">
          <cell r="A1334">
            <v>112442</v>
          </cell>
          <cell r="B1334" t="str">
            <v>JOSE MANOEL DA CRUZ</v>
          </cell>
          <cell r="C1334" t="str">
            <v>AJUDANTE EQ SERVICOS DIVERSOS</v>
          </cell>
          <cell r="D1334" t="str">
            <v>ECOSAMPA Capela do Socorro</v>
          </cell>
        </row>
        <row r="1335">
          <cell r="A1335">
            <v>112951</v>
          </cell>
          <cell r="B1335" t="str">
            <v>JOSE MANOEL DE ANDRADE</v>
          </cell>
          <cell r="C1335" t="str">
            <v>VARREDOR</v>
          </cell>
          <cell r="D1335" t="str">
            <v>ECOSAMPA Capela do Socorro</v>
          </cell>
        </row>
        <row r="1336">
          <cell r="A1336">
            <v>112269</v>
          </cell>
          <cell r="B1336" t="str">
            <v>JOSE MANOEL PEREIRA</v>
          </cell>
          <cell r="C1336" t="str">
            <v>VARREDOR</v>
          </cell>
          <cell r="D1336" t="str">
            <v>ECOSAMPA Campo Limpo</v>
          </cell>
        </row>
        <row r="1337">
          <cell r="A1337">
            <v>112337</v>
          </cell>
          <cell r="B1337" t="str">
            <v>JOSE MARCOS DA SILVA QUINTINO</v>
          </cell>
          <cell r="C1337" t="str">
            <v>VARREDOR</v>
          </cell>
          <cell r="D1337" t="str">
            <v>ECOSAMPA Campo Limpo</v>
          </cell>
        </row>
        <row r="1338">
          <cell r="A1338">
            <v>113716</v>
          </cell>
          <cell r="B1338" t="str">
            <v>JOSE MARIA DA SILVA</v>
          </cell>
          <cell r="C1338" t="str">
            <v>SOLDADOR</v>
          </cell>
          <cell r="D1338" t="str">
            <v>ECOSAMPA Operação Geral</v>
          </cell>
        </row>
        <row r="1339">
          <cell r="A1339">
            <v>112986</v>
          </cell>
          <cell r="B1339" t="str">
            <v>JOSE MARIA DE GOUVEIA</v>
          </cell>
          <cell r="C1339" t="str">
            <v>AJUDANTE EQ SERVICOS DIVERSOS</v>
          </cell>
          <cell r="D1339" t="str">
            <v>ECOSAMPA M'Boi Mirim</v>
          </cell>
        </row>
        <row r="1340">
          <cell r="A1340">
            <v>113327</v>
          </cell>
          <cell r="B1340" t="str">
            <v>JOSE MARIA DE MOURA</v>
          </cell>
          <cell r="C1340" t="str">
            <v>COLETOR</v>
          </cell>
          <cell r="D1340" t="str">
            <v>ECOSAMPA Operação Geral</v>
          </cell>
        </row>
        <row r="1341">
          <cell r="A1341">
            <v>115374</v>
          </cell>
          <cell r="B1341" t="str">
            <v>JOSE MARIA DE OLIVEIRA</v>
          </cell>
          <cell r="C1341" t="str">
            <v>AJUDANTE EQ SERVICOS DIVERSOS</v>
          </cell>
          <cell r="D1341" t="str">
            <v>ECOSAMPA Capela do Socorro</v>
          </cell>
        </row>
        <row r="1342">
          <cell r="A1342">
            <v>112283</v>
          </cell>
          <cell r="B1342" t="str">
            <v>JOSE MARIA DE SOUSA</v>
          </cell>
          <cell r="C1342" t="str">
            <v>VARREDOR</v>
          </cell>
          <cell r="D1342" t="str">
            <v>ECOSAMPA Campo Limpo</v>
          </cell>
        </row>
        <row r="1343">
          <cell r="A1343">
            <v>112223</v>
          </cell>
          <cell r="B1343" t="str">
            <v>JOSE MARIA FERREIRA DE SOUSA</v>
          </cell>
          <cell r="C1343" t="str">
            <v>VARREDOR</v>
          </cell>
          <cell r="D1343" t="str">
            <v>ECOSAMPA Santo Amaro</v>
          </cell>
        </row>
        <row r="1344">
          <cell r="A1344">
            <v>113467</v>
          </cell>
          <cell r="B1344" t="str">
            <v>JOSE MARIA PEREIRA DOS SANTOS</v>
          </cell>
          <cell r="C1344" t="str">
            <v>VARREDOR</v>
          </cell>
          <cell r="D1344" t="str">
            <v>ECOSAMPA Santo Amaro</v>
          </cell>
        </row>
        <row r="1345">
          <cell r="A1345">
            <v>114543</v>
          </cell>
          <cell r="B1345" t="str">
            <v>JOSE MAURICIO FERREIRA LIMA</v>
          </cell>
          <cell r="C1345" t="str">
            <v>AJUDANTE EQ SERVICOS DIVERSOS</v>
          </cell>
          <cell r="D1345" t="str">
            <v>ECOSAMPA Santo Amaro</v>
          </cell>
        </row>
        <row r="1346">
          <cell r="A1346">
            <v>112964</v>
          </cell>
          <cell r="B1346" t="str">
            <v>JOSE MAURO DOS SANTOS SILVA</v>
          </cell>
          <cell r="C1346" t="str">
            <v>AJUDANTE EQ SERVICOS DIVERSOS</v>
          </cell>
          <cell r="D1346" t="str">
            <v>ECOSAMPA M'Boi Mirim</v>
          </cell>
        </row>
        <row r="1347">
          <cell r="A1347">
            <v>112952</v>
          </cell>
          <cell r="B1347" t="str">
            <v>JOSE MESSIAS SANTOS ANUNCIACAO</v>
          </cell>
          <cell r="C1347" t="str">
            <v>VARREDOR</v>
          </cell>
          <cell r="D1347" t="str">
            <v>ECOSAMPA Capela do Socorro</v>
          </cell>
        </row>
        <row r="1348">
          <cell r="A1348">
            <v>120176</v>
          </cell>
          <cell r="B1348" t="str">
            <v>JOSE MILTON DOS SANTOS</v>
          </cell>
          <cell r="C1348" t="str">
            <v>AJUDANTE EQ SERVICOS DIVERSOS</v>
          </cell>
          <cell r="D1348" t="str">
            <v>ECOSAMPA Parelheiros</v>
          </cell>
        </row>
        <row r="1349">
          <cell r="A1349">
            <v>112280</v>
          </cell>
          <cell r="B1349" t="str">
            <v>JOSE NERIS DA SILVA</v>
          </cell>
          <cell r="C1349" t="str">
            <v>VARREDOR</v>
          </cell>
          <cell r="D1349" t="str">
            <v>ECOSAMPA Campo Limpo</v>
          </cell>
        </row>
        <row r="1350">
          <cell r="A1350">
            <v>113633</v>
          </cell>
          <cell r="B1350" t="str">
            <v>JOSE NILTON BASTOS DE OLIVEIRA</v>
          </cell>
          <cell r="C1350" t="str">
            <v>MOTORISTA CAMINHAO</v>
          </cell>
          <cell r="D1350" t="str">
            <v>ECOSAMPA Operação Geral</v>
          </cell>
        </row>
        <row r="1351">
          <cell r="A1351">
            <v>113717</v>
          </cell>
          <cell r="B1351" t="str">
            <v>JOSE PAULO DANTAS DA SILVA</v>
          </cell>
          <cell r="C1351" t="str">
            <v>ASSISTENTE DE DEPARTAMENTO PESSOAL</v>
          </cell>
          <cell r="D1351" t="str">
            <v>ECOSAMPA Operação Geral</v>
          </cell>
        </row>
        <row r="1352">
          <cell r="A1352">
            <v>114721</v>
          </cell>
          <cell r="B1352" t="str">
            <v>JOSE PRADO DE PAIVA</v>
          </cell>
          <cell r="C1352" t="str">
            <v>AJUDANTE EQ SERVICOS DIVERSOS</v>
          </cell>
          <cell r="D1352" t="str">
            <v>ECOSAMPA Santo Amaro</v>
          </cell>
        </row>
        <row r="1353">
          <cell r="A1353">
            <v>113163</v>
          </cell>
          <cell r="B1353" t="str">
            <v>JOSE PROVINO OSORIO</v>
          </cell>
          <cell r="C1353" t="str">
            <v>COLETOR</v>
          </cell>
          <cell r="D1353" t="str">
            <v>ECOSAMPA Operação Geral</v>
          </cell>
        </row>
        <row r="1354">
          <cell r="A1354">
            <v>114130</v>
          </cell>
          <cell r="B1354" t="str">
            <v>JOSE QUERINO DE SOUZA FILHO</v>
          </cell>
          <cell r="C1354" t="str">
            <v>MOTORISTA CAMINHAO</v>
          </cell>
          <cell r="D1354" t="str">
            <v>ECOSAMPA Operação Geral</v>
          </cell>
        </row>
        <row r="1355">
          <cell r="A1355">
            <v>114926</v>
          </cell>
          <cell r="B1355" t="str">
            <v>JOSE RAIMUNDO DA SILVA</v>
          </cell>
          <cell r="C1355" t="str">
            <v>AJUDANTE EQ SERVICOS DIVERSOS</v>
          </cell>
          <cell r="D1355" t="str">
            <v>ECOSAMPA Operação Geral</v>
          </cell>
        </row>
        <row r="1356">
          <cell r="A1356">
            <v>112330</v>
          </cell>
          <cell r="B1356" t="str">
            <v>JOSE RAIMUNDO DA SILVA MATOS</v>
          </cell>
          <cell r="C1356" t="str">
            <v>VARREDOR</v>
          </cell>
          <cell r="D1356" t="str">
            <v>ECOSAMPA Campo Limpo</v>
          </cell>
        </row>
        <row r="1357">
          <cell r="A1357">
            <v>113635</v>
          </cell>
          <cell r="B1357" t="str">
            <v>JOSE RAIMUNDO DAS CHAGAS</v>
          </cell>
          <cell r="C1357" t="str">
            <v>MOTORISTA CAMINHAO</v>
          </cell>
          <cell r="D1357" t="str">
            <v>ECOSAMPA Operação Geral</v>
          </cell>
        </row>
        <row r="1358">
          <cell r="A1358">
            <v>112526</v>
          </cell>
          <cell r="B1358" t="str">
            <v>JOSE RAIMUNDO SILVA</v>
          </cell>
          <cell r="C1358" t="str">
            <v>VARREDOR</v>
          </cell>
          <cell r="D1358" t="str">
            <v>ECOSAMPA Capela do Socorro</v>
          </cell>
        </row>
        <row r="1359">
          <cell r="A1359">
            <v>114712</v>
          </cell>
          <cell r="B1359" t="str">
            <v>JOSE REGINALDO DA SILVA</v>
          </cell>
          <cell r="C1359" t="str">
            <v>VARREDOR</v>
          </cell>
          <cell r="D1359" t="str">
            <v>ECOSAMPA Campo Limpo</v>
          </cell>
        </row>
        <row r="1360">
          <cell r="A1360">
            <v>114110</v>
          </cell>
          <cell r="B1360" t="str">
            <v>JOSE RIBEIRO DE MOURA</v>
          </cell>
          <cell r="C1360" t="str">
            <v>AJUDANTE EQ SERVICOS DIVERSOS</v>
          </cell>
          <cell r="D1360" t="str">
            <v>ECOSAMPA Capela do Socorro</v>
          </cell>
        </row>
        <row r="1361">
          <cell r="A1361">
            <v>114111</v>
          </cell>
          <cell r="B1361" t="str">
            <v>JOSE RICARDO BATISTA SALGADO</v>
          </cell>
          <cell r="C1361" t="str">
            <v>AJUDANTE EQ SERVICOS DIVERSOS</v>
          </cell>
          <cell r="D1361" t="str">
            <v>ECOSAMPA M'Boi Mirim</v>
          </cell>
        </row>
        <row r="1362">
          <cell r="A1362">
            <v>112188</v>
          </cell>
          <cell r="B1362" t="str">
            <v>JOSE RICARDO DA SILVA</v>
          </cell>
          <cell r="C1362" t="str">
            <v>BUEIRISTA</v>
          </cell>
          <cell r="D1362" t="str">
            <v>ECOSAMPA M'Boi Mirim</v>
          </cell>
        </row>
        <row r="1363">
          <cell r="A1363">
            <v>112189</v>
          </cell>
          <cell r="B1363" t="str">
            <v>JOSE ROBERTO AVANZI</v>
          </cell>
          <cell r="C1363" t="str">
            <v>VARREDOR</v>
          </cell>
          <cell r="D1363" t="str">
            <v>ECOSAMPA Parelheiros</v>
          </cell>
        </row>
        <row r="1364">
          <cell r="A1364">
            <v>112190</v>
          </cell>
          <cell r="B1364" t="str">
            <v>JOSE ROBERTO BARBOSA SAMPAIO</v>
          </cell>
          <cell r="C1364" t="str">
            <v>AJUDANTE EQ SERVICOS DIVERSOS</v>
          </cell>
          <cell r="D1364" t="str">
            <v>ECOSAMPA Campo Limpo</v>
          </cell>
        </row>
        <row r="1365">
          <cell r="A1365">
            <v>112192</v>
          </cell>
          <cell r="B1365" t="str">
            <v>JOSE ROBERTO BATISTA</v>
          </cell>
          <cell r="C1365" t="str">
            <v>MOTORISTA CAMINHAO</v>
          </cell>
          <cell r="D1365" t="str">
            <v>ECOSAMPA Operação Geral</v>
          </cell>
        </row>
        <row r="1366">
          <cell r="A1366">
            <v>121513</v>
          </cell>
          <cell r="B1366" t="str">
            <v>JOSE ROBERTO DE ALMEIDA CASSIMIRO</v>
          </cell>
          <cell r="C1366" t="str">
            <v>AJUDANTE EQ SERVICOS DIVERSOS</v>
          </cell>
          <cell r="D1366" t="str">
            <v>ECOSAMPA Operação Geral</v>
          </cell>
        </row>
        <row r="1367">
          <cell r="A1367">
            <v>114131</v>
          </cell>
          <cell r="B1367" t="str">
            <v>JOSE ROBERTO DE ARAUJO</v>
          </cell>
          <cell r="C1367" t="str">
            <v>MOTORISTA CAMINHAO</v>
          </cell>
          <cell r="D1367" t="str">
            <v>ECOSAMPA Operação Geral</v>
          </cell>
        </row>
        <row r="1368">
          <cell r="A1368">
            <v>116976</v>
          </cell>
          <cell r="B1368" t="str">
            <v>JOSE ROBERTO DE LIMA FERREIRA</v>
          </cell>
          <cell r="C1368" t="str">
            <v>AJUDANTE EQ SERVICOS DIVERSOS</v>
          </cell>
          <cell r="D1368" t="str">
            <v>ECOSAMPA Santo Amaro</v>
          </cell>
        </row>
        <row r="1369">
          <cell r="A1369">
            <v>113921</v>
          </cell>
          <cell r="B1369" t="str">
            <v>JOSE ROBERTO MARQUES DE LIMA</v>
          </cell>
          <cell r="C1369" t="str">
            <v>FISCAL DE TURMA PLENO</v>
          </cell>
          <cell r="D1369" t="str">
            <v>ECOSAMPA Parelheiros</v>
          </cell>
        </row>
        <row r="1370">
          <cell r="A1370">
            <v>112200</v>
          </cell>
          <cell r="B1370" t="str">
            <v>JOSE ROBERTO SALES</v>
          </cell>
          <cell r="C1370" t="str">
            <v>MOTORISTA CAMINHAO</v>
          </cell>
          <cell r="D1370" t="str">
            <v>ECOSAMPA Operação Geral</v>
          </cell>
        </row>
        <row r="1371">
          <cell r="A1371">
            <v>112203</v>
          </cell>
          <cell r="B1371" t="str">
            <v>JOSE ROBERTO SILVA DE SOUSA</v>
          </cell>
          <cell r="C1371" t="str">
            <v>AJUDANTE EQ SERVICOS DIVERSOS</v>
          </cell>
          <cell r="D1371" t="str">
            <v>ECOSAMPA Parelheiros</v>
          </cell>
        </row>
        <row r="1372">
          <cell r="A1372">
            <v>112205</v>
          </cell>
          <cell r="B1372" t="str">
            <v>JOSE ROBERTO SOARES DA SILVA</v>
          </cell>
          <cell r="C1372" t="str">
            <v>VARREDOR</v>
          </cell>
          <cell r="D1372" t="str">
            <v>ECOSAMPA Santo Amaro</v>
          </cell>
        </row>
        <row r="1373">
          <cell r="A1373">
            <v>112209</v>
          </cell>
          <cell r="B1373" t="str">
            <v>JOSE ROBERTO SOARES DE ANDRADE</v>
          </cell>
          <cell r="C1373" t="str">
            <v>VARREDOR</v>
          </cell>
          <cell r="D1373" t="str">
            <v>ECOSAMPA Capela do Socorro</v>
          </cell>
        </row>
        <row r="1374">
          <cell r="A1374">
            <v>116004</v>
          </cell>
          <cell r="B1374" t="str">
            <v>JOSE ROBSON DA SILVA</v>
          </cell>
          <cell r="C1374" t="str">
            <v>AJUDANTE EQ SERVICOS DIVERSOS</v>
          </cell>
          <cell r="D1374" t="str">
            <v>ECOSAMPA Santo Amaro</v>
          </cell>
        </row>
        <row r="1375">
          <cell r="A1375">
            <v>112213</v>
          </cell>
          <cell r="B1375" t="str">
            <v>JOSE ROMILDO ARAUJO DOS SANTOS</v>
          </cell>
          <cell r="C1375" t="str">
            <v>VARREDOR</v>
          </cell>
          <cell r="D1375" t="str">
            <v>ECOSAMPA M'Boi Mirim</v>
          </cell>
        </row>
        <row r="1376">
          <cell r="A1376">
            <v>112219</v>
          </cell>
          <cell r="B1376" t="str">
            <v>JOSE ROMILTO DE OLIVEIRA</v>
          </cell>
          <cell r="C1376" t="str">
            <v>MOTORISTA CAMINHAO</v>
          </cell>
          <cell r="D1376" t="str">
            <v>ECOSAMPA Operação Geral</v>
          </cell>
        </row>
        <row r="1377">
          <cell r="A1377">
            <v>116084</v>
          </cell>
          <cell r="B1377" t="str">
            <v>JOSE ROMILTO DE OLIVEIRA</v>
          </cell>
          <cell r="C1377" t="str">
            <v>MOTORISTA CAMINHAO</v>
          </cell>
          <cell r="D1377" t="str">
            <v>ECOSAMPA Operação Geral</v>
          </cell>
        </row>
        <row r="1378">
          <cell r="A1378">
            <v>112222</v>
          </cell>
          <cell r="B1378" t="str">
            <v>JOSE ROMIRAN DA SILVA</v>
          </cell>
          <cell r="C1378" t="str">
            <v>VARREDOR</v>
          </cell>
          <cell r="D1378" t="str">
            <v>ECOSAMPA Capela do Socorro</v>
          </cell>
        </row>
        <row r="1379">
          <cell r="A1379">
            <v>112227</v>
          </cell>
          <cell r="B1379" t="str">
            <v>JOSE RONILTON DOS SANTOS</v>
          </cell>
          <cell r="C1379" t="str">
            <v>AJUDANTE EQ SERVICOS DIVERSOS</v>
          </cell>
          <cell r="D1379" t="str">
            <v>ECOSAMPA Santo Amaro</v>
          </cell>
        </row>
        <row r="1380">
          <cell r="A1380">
            <v>114953</v>
          </cell>
          <cell r="B1380" t="str">
            <v>JOSE ROSA DE LIMA</v>
          </cell>
          <cell r="C1380" t="str">
            <v>MOTORISTA DE CAMINHAO</v>
          </cell>
          <cell r="D1380" t="str">
            <v>ECOSAMPA Operação Geral</v>
          </cell>
        </row>
        <row r="1381">
          <cell r="A1381">
            <v>112234</v>
          </cell>
          <cell r="B1381" t="str">
            <v>JOSE ROSEVALDO DE ARAUJO SILVA</v>
          </cell>
          <cell r="C1381" t="str">
            <v>AJUDANTE EQ SERVICOS DIVERSOS</v>
          </cell>
          <cell r="D1381" t="str">
            <v>ECOSAMPA Santo Amaro</v>
          </cell>
        </row>
        <row r="1382">
          <cell r="A1382">
            <v>112239</v>
          </cell>
          <cell r="B1382" t="str">
            <v>JOSE SATURNINO DE OLIVEIRA</v>
          </cell>
          <cell r="C1382" t="str">
            <v>VARREDOR</v>
          </cell>
          <cell r="D1382" t="str">
            <v>ECOSAMPA Campo Limpo</v>
          </cell>
        </row>
        <row r="1383">
          <cell r="A1383">
            <v>112253</v>
          </cell>
          <cell r="B1383" t="str">
            <v>JOSE SERGIO OLIVEIRA DA SILVA</v>
          </cell>
          <cell r="C1383" t="str">
            <v>MOTORISTA CAMINHAO</v>
          </cell>
          <cell r="D1383" t="str">
            <v>ECOSAMPA Operação Geral</v>
          </cell>
        </row>
        <row r="1384">
          <cell r="A1384">
            <v>114753</v>
          </cell>
          <cell r="B1384" t="str">
            <v>JOSE SEVERINO ALVES DE SANTANA</v>
          </cell>
          <cell r="C1384" t="str">
            <v>MOTORISTA DE CAMINHAO</v>
          </cell>
          <cell r="D1384" t="str">
            <v>ECOSAMPA Operação Geral</v>
          </cell>
        </row>
        <row r="1385">
          <cell r="A1385">
            <v>114940</v>
          </cell>
          <cell r="B1385" t="str">
            <v>JOSE SILVA DE CARVALHO</v>
          </cell>
          <cell r="C1385" t="str">
            <v>AJUDANTE EQ SERVICOS DIVERSOS</v>
          </cell>
          <cell r="D1385" t="str">
            <v>ECOSAMPA Operação Geral</v>
          </cell>
        </row>
        <row r="1386">
          <cell r="A1386">
            <v>112256</v>
          </cell>
          <cell r="B1386" t="str">
            <v>JOSE SOARES</v>
          </cell>
          <cell r="C1386" t="str">
            <v>AJUDANTE EQ SERVICOS DIVERSOS</v>
          </cell>
          <cell r="D1386" t="str">
            <v>ECOSAMPA Operação Geral</v>
          </cell>
        </row>
        <row r="1387">
          <cell r="A1387">
            <v>112260</v>
          </cell>
          <cell r="B1387" t="str">
            <v>JOSE SOUSA DE ALMEIDA</v>
          </cell>
          <cell r="C1387" t="str">
            <v>VARREDOR</v>
          </cell>
          <cell r="D1387" t="str">
            <v>ECOSAMPA Campo Limpo</v>
          </cell>
        </row>
        <row r="1388">
          <cell r="A1388">
            <v>112266</v>
          </cell>
          <cell r="B1388" t="str">
            <v>JOSE TEOFILO PERNAMBUCO</v>
          </cell>
          <cell r="C1388" t="str">
            <v>MOTORISTA CAMINHAO</v>
          </cell>
          <cell r="D1388" t="str">
            <v>ECOSAMPA Operação Geral</v>
          </cell>
        </row>
        <row r="1389">
          <cell r="A1389">
            <v>112268</v>
          </cell>
          <cell r="B1389" t="str">
            <v>JOSE VANDERLEI MARTINS</v>
          </cell>
          <cell r="C1389" t="str">
            <v>VARREDOR</v>
          </cell>
          <cell r="D1389" t="str">
            <v>ECOSAMPA Campo Limpo</v>
          </cell>
        </row>
        <row r="1390">
          <cell r="A1390">
            <v>112273</v>
          </cell>
          <cell r="B1390" t="str">
            <v>JOSE VANDICO ARAUJO DOS SANTOS</v>
          </cell>
          <cell r="C1390" t="str">
            <v>AJUDANTE EQ SERVICOS DIVERSOS</v>
          </cell>
          <cell r="D1390" t="str">
            <v>ECOSAMPA Parelheiros</v>
          </cell>
        </row>
        <row r="1391">
          <cell r="A1391">
            <v>112276</v>
          </cell>
          <cell r="B1391" t="str">
            <v>JOSE VENILSON DE PAULA</v>
          </cell>
          <cell r="C1391" t="str">
            <v>AJUDANTE EQ SERVICOS DIVERSOS</v>
          </cell>
          <cell r="D1391" t="str">
            <v>ECOSAMPA Santo Amaro</v>
          </cell>
        </row>
        <row r="1392">
          <cell r="A1392">
            <v>114758</v>
          </cell>
          <cell r="B1392" t="str">
            <v>JOSE VIEIRA DOS SANTOS</v>
          </cell>
          <cell r="C1392" t="str">
            <v>MOTORISTA DE CAMINHAO</v>
          </cell>
          <cell r="D1392" t="str">
            <v>ECOSAMPA Operação Geral</v>
          </cell>
        </row>
        <row r="1393">
          <cell r="A1393">
            <v>114950</v>
          </cell>
          <cell r="B1393" t="str">
            <v>JOSE VIEIRA DOS SANTOS</v>
          </cell>
          <cell r="C1393" t="str">
            <v>MOTORISTA CAMINHAO</v>
          </cell>
          <cell r="D1393" t="str">
            <v>ECOSAMPA Operação Geral</v>
          </cell>
        </row>
        <row r="1394">
          <cell r="A1394">
            <v>112281</v>
          </cell>
          <cell r="B1394" t="str">
            <v>JOSE WELLITON MATEUS GOMES</v>
          </cell>
          <cell r="C1394" t="str">
            <v>COLETOR</v>
          </cell>
          <cell r="D1394" t="str">
            <v>ECOSAMPA Operação Geral</v>
          </cell>
        </row>
        <row r="1395">
          <cell r="A1395">
            <v>119921</v>
          </cell>
          <cell r="B1395" t="str">
            <v>JOSELINE ALVES DOS SANTOS</v>
          </cell>
          <cell r="C1395" t="str">
            <v>AJUDANTE EQ SERVICOS DIVERSOS</v>
          </cell>
          <cell r="D1395" t="str">
            <v>ECOSAMPA Santo Amaro</v>
          </cell>
        </row>
        <row r="1396">
          <cell r="A1396">
            <v>112292</v>
          </cell>
          <cell r="B1396" t="str">
            <v>JOSEMAR CELESTINO DOS SANTOS</v>
          </cell>
          <cell r="C1396" t="str">
            <v>MOTORISTA CAMINHAO</v>
          </cell>
          <cell r="D1396" t="str">
            <v>ECOSAMPA Operação Geral</v>
          </cell>
        </row>
        <row r="1397">
          <cell r="A1397">
            <v>121957</v>
          </cell>
          <cell r="B1397" t="str">
            <v>JOSEMAR DE PAULA MACEDO</v>
          </cell>
          <cell r="C1397" t="str">
            <v>AJUDANTE EQ SERVICOS DIVERSOS</v>
          </cell>
          <cell r="D1397" t="str">
            <v>ECOSAMPA Santo Amaro</v>
          </cell>
        </row>
        <row r="1398">
          <cell r="A1398">
            <v>119116</v>
          </cell>
          <cell r="B1398" t="str">
            <v>JOSEMAR SEBASTIAO DA SILVA</v>
          </cell>
          <cell r="C1398" t="str">
            <v>AJUDANTE EQ SERVICOS DIVERSOS</v>
          </cell>
          <cell r="D1398" t="str">
            <v>ECOSAMPA Operação Geral</v>
          </cell>
        </row>
        <row r="1399">
          <cell r="A1399">
            <v>112296</v>
          </cell>
          <cell r="B1399" t="str">
            <v>JOSENILSON FELICIO DOS SANTOS</v>
          </cell>
          <cell r="C1399" t="str">
            <v>AJUDANTE EQ SERVICOS DIVERSOS</v>
          </cell>
          <cell r="D1399" t="str">
            <v>ECOSAMPA Santo Amaro</v>
          </cell>
        </row>
        <row r="1400">
          <cell r="A1400">
            <v>112309</v>
          </cell>
          <cell r="B1400" t="str">
            <v>JOSEVAL FERREIRA MIRANDA</v>
          </cell>
          <cell r="C1400" t="str">
            <v>AJUDANTE EQ SERVICOS DIVERSOS</v>
          </cell>
          <cell r="D1400" t="str">
            <v>ECOSAMPA M'Boi Mirim</v>
          </cell>
        </row>
        <row r="1401">
          <cell r="A1401">
            <v>112317</v>
          </cell>
          <cell r="B1401" t="str">
            <v>JOSIAS DA SILVA</v>
          </cell>
          <cell r="C1401" t="str">
            <v>AJUDANTE EQ SERVICOS DIVERSOS</v>
          </cell>
          <cell r="D1401" t="str">
            <v>ECOSAMPA M'Boi Mirim</v>
          </cell>
        </row>
        <row r="1402">
          <cell r="A1402">
            <v>112321</v>
          </cell>
          <cell r="B1402" t="str">
            <v>JOSIEL DE JESUS SANTOS</v>
          </cell>
          <cell r="C1402" t="str">
            <v>BUEIRISTA</v>
          </cell>
          <cell r="D1402" t="str">
            <v>ECOSAMPA Campo Limpo</v>
          </cell>
        </row>
        <row r="1403">
          <cell r="A1403">
            <v>112360</v>
          </cell>
          <cell r="B1403" t="str">
            <v>JOSIVALDO DA SILVA FERREIRA</v>
          </cell>
          <cell r="C1403" t="str">
            <v>AJUDANTE EQ SERVICOS DIVERSOS</v>
          </cell>
          <cell r="D1403" t="str">
            <v>ECOSAMPA Santo Amaro</v>
          </cell>
        </row>
        <row r="1404">
          <cell r="A1404">
            <v>112364</v>
          </cell>
          <cell r="B1404" t="str">
            <v>JOSIVALDO SILVA DE MELO</v>
          </cell>
          <cell r="C1404" t="str">
            <v>AJUDANTE EQ SERVICOS DIVERSOS</v>
          </cell>
          <cell r="D1404" t="str">
            <v>ECOSAMPA Santo Amaro</v>
          </cell>
        </row>
        <row r="1405">
          <cell r="A1405">
            <v>112370</v>
          </cell>
          <cell r="B1405" t="str">
            <v>JOVELINA MARIA DA SILVA</v>
          </cell>
          <cell r="C1405" t="str">
            <v>AJUDANTE EQ SERVICOS DIVERSOS</v>
          </cell>
          <cell r="D1405" t="str">
            <v>ECOSAMPA Capela do Socorro</v>
          </cell>
        </row>
        <row r="1406">
          <cell r="A1406">
            <v>114128</v>
          </cell>
          <cell r="B1406" t="str">
            <v>JOVELINO MANOEL DA SILVA</v>
          </cell>
          <cell r="C1406" t="str">
            <v>MOTORISTA CAMINHAO</v>
          </cell>
          <cell r="D1406" t="str">
            <v>ECOSAMPA Operação Geral</v>
          </cell>
        </row>
        <row r="1407">
          <cell r="A1407">
            <v>113903</v>
          </cell>
          <cell r="B1407" t="str">
            <v>JOYCE FREIRE PEDROSO</v>
          </cell>
          <cell r="C1407" t="str">
            <v>PENSIONISTAS</v>
          </cell>
          <cell r="D1407" t="str">
            <v>ECOSAMPA Pensionistas</v>
          </cell>
        </row>
        <row r="1408">
          <cell r="A1408">
            <v>112379</v>
          </cell>
          <cell r="B1408" t="str">
            <v>JUAN CARLOS DIAZ BASCUR</v>
          </cell>
          <cell r="C1408" t="str">
            <v>MOTORISTA CAMINHAO</v>
          </cell>
          <cell r="D1408" t="str">
            <v>ECOSAMPA Operação Geral</v>
          </cell>
        </row>
        <row r="1409">
          <cell r="A1409">
            <v>112384</v>
          </cell>
          <cell r="B1409" t="str">
            <v>JUARES ANTONIO DA SILVA</v>
          </cell>
          <cell r="C1409" t="str">
            <v>MOTORISTA CAMINHAO</v>
          </cell>
          <cell r="D1409" t="str">
            <v>ECOSAMPA Operação Geral</v>
          </cell>
        </row>
        <row r="1410">
          <cell r="A1410">
            <v>112388</v>
          </cell>
          <cell r="B1410" t="str">
            <v>JUAREZ FERREIRA ALVES</v>
          </cell>
          <cell r="C1410" t="str">
            <v>VARREDOR</v>
          </cell>
          <cell r="D1410" t="str">
            <v>ECOSAMPA Santo Amaro</v>
          </cell>
        </row>
        <row r="1411">
          <cell r="A1411">
            <v>112391</v>
          </cell>
          <cell r="B1411" t="str">
            <v>JUAREZ LOPES DE OLIVEIRA FILHO</v>
          </cell>
          <cell r="C1411" t="str">
            <v>AJUDANTE EQ SERVICOS DIVERSOS</v>
          </cell>
          <cell r="D1411" t="str">
            <v>ECOSAMPA Campo Limpo</v>
          </cell>
        </row>
        <row r="1412">
          <cell r="A1412">
            <v>115796</v>
          </cell>
          <cell r="B1412" t="str">
            <v>JULIA KATHLEEN OLIVEIRA DOS SANTOS</v>
          </cell>
          <cell r="C1412" t="str">
            <v>ASSISTENTE DE PLANEJAMENTO OPERACIONAL</v>
          </cell>
          <cell r="D1412" t="str">
            <v>ECOSAMPA Operação Geral</v>
          </cell>
        </row>
        <row r="1413">
          <cell r="A1413">
            <v>112394</v>
          </cell>
          <cell r="B1413" t="str">
            <v>JULIANA ALVES DE OLIVEIRA</v>
          </cell>
          <cell r="C1413" t="str">
            <v>VARREDOR</v>
          </cell>
          <cell r="D1413" t="str">
            <v>ECOSAMPA Santo Amaro</v>
          </cell>
        </row>
        <row r="1414">
          <cell r="A1414">
            <v>113762</v>
          </cell>
          <cell r="B1414" t="str">
            <v>JULIANA CORREA DE BARROS</v>
          </cell>
          <cell r="C1414" t="str">
            <v>AUXILIAR ADMINISTRATIVO</v>
          </cell>
          <cell r="D1414" t="str">
            <v>ECOSAMPA Santo Amaro</v>
          </cell>
        </row>
        <row r="1415">
          <cell r="A1415">
            <v>116234</v>
          </cell>
          <cell r="B1415" t="str">
            <v>JULIANA DA SILVA ANDREOLI</v>
          </cell>
          <cell r="C1415" t="str">
            <v>VARREDOR</v>
          </cell>
          <cell r="D1415" t="str">
            <v>ECOSAMPA Capela do Socorro</v>
          </cell>
        </row>
        <row r="1416">
          <cell r="A1416">
            <v>112401</v>
          </cell>
          <cell r="B1416" t="str">
            <v>JULIANO LAURINDO CAMILO VICENTE</v>
          </cell>
          <cell r="C1416" t="str">
            <v>MOTORISTA CAMINHAO</v>
          </cell>
          <cell r="D1416" t="str">
            <v>ECOSAMPA Operação Geral</v>
          </cell>
        </row>
        <row r="1417">
          <cell r="A1417">
            <v>112407</v>
          </cell>
          <cell r="B1417" t="str">
            <v>JULIANO NASCIMENTO DOS SANTOS</v>
          </cell>
          <cell r="C1417" t="str">
            <v>VARREDOR</v>
          </cell>
          <cell r="D1417" t="str">
            <v>ECOSAMPA Santo Amaro</v>
          </cell>
        </row>
        <row r="1418">
          <cell r="A1418">
            <v>112411</v>
          </cell>
          <cell r="B1418" t="str">
            <v>JULIANO SILVA ANJOS</v>
          </cell>
          <cell r="C1418" t="str">
            <v>BUEIRISTA</v>
          </cell>
          <cell r="D1418" t="str">
            <v>ECOSAMPA M'Boi Mirim</v>
          </cell>
        </row>
        <row r="1419">
          <cell r="A1419">
            <v>116256</v>
          </cell>
          <cell r="B1419" t="str">
            <v>JULIANY CRISLANY DE ARAUJO</v>
          </cell>
          <cell r="C1419" t="str">
            <v>PENSIONISTAS</v>
          </cell>
          <cell r="D1419" t="str">
            <v>ECOSAMPA Pensionistas</v>
          </cell>
        </row>
        <row r="1420">
          <cell r="A1420">
            <v>117236</v>
          </cell>
          <cell r="B1420" t="str">
            <v>JULIE DA SILVA PEREIRA</v>
          </cell>
          <cell r="C1420" t="str">
            <v>VARREDOR</v>
          </cell>
          <cell r="D1420" t="str">
            <v>ECOSAMPA Santo Amaro</v>
          </cell>
        </row>
        <row r="1421">
          <cell r="A1421">
            <v>115370</v>
          </cell>
          <cell r="B1421" t="str">
            <v>JULIO CARLOS DE MACEDO OLIVEIRA</v>
          </cell>
          <cell r="C1421" t="str">
            <v>AJUDANTE EQ SERVICOS DIVERSOS</v>
          </cell>
          <cell r="D1421" t="str">
            <v>ECOSAMPA Santo Amaro</v>
          </cell>
        </row>
        <row r="1422">
          <cell r="A1422">
            <v>114441</v>
          </cell>
          <cell r="B1422" t="str">
            <v>JULIO CESAR APARECIDO ALVES DOS SANTOS</v>
          </cell>
          <cell r="C1422" t="str">
            <v>AJUDANTE EQ SERVICOS DIVERSOS</v>
          </cell>
          <cell r="D1422" t="str">
            <v>ECOSAMPA Santo Amaro</v>
          </cell>
        </row>
        <row r="1423">
          <cell r="A1423">
            <v>121688</v>
          </cell>
          <cell r="B1423" t="str">
            <v>JULIO CESAR CHIARADIA</v>
          </cell>
          <cell r="C1423" t="str">
            <v>AJUDANTE EQ SERVICOS DIVERSOS</v>
          </cell>
          <cell r="D1423" t="str">
            <v>ECOSAMPA Campo Limpo</v>
          </cell>
        </row>
        <row r="1424">
          <cell r="A1424">
            <v>114103</v>
          </cell>
          <cell r="B1424" t="str">
            <v>JULIO CESAR DA SILVA</v>
          </cell>
          <cell r="C1424" t="str">
            <v>AJUDANTE EQ SERVICOS DIVERSOS</v>
          </cell>
          <cell r="D1424" t="str">
            <v>ECOSAMPA Capela do Socorro</v>
          </cell>
        </row>
        <row r="1425">
          <cell r="A1425">
            <v>119635</v>
          </cell>
          <cell r="B1425" t="str">
            <v>JULIO CESAR HOLANDA GOUVEIA</v>
          </cell>
          <cell r="C1425" t="str">
            <v>AJUDANTE EQ SERVICOS DIVERSOS</v>
          </cell>
          <cell r="D1425" t="str">
            <v>ECOSAMPA Campo Limpo</v>
          </cell>
        </row>
        <row r="1426">
          <cell r="A1426">
            <v>119647</v>
          </cell>
          <cell r="B1426" t="str">
            <v>JULIO VICTOR OHARA SANCHEZ</v>
          </cell>
          <cell r="C1426" t="str">
            <v>AUXILIAR DE PLANEJAMENTO OPERACIONAL</v>
          </cell>
          <cell r="D1426" t="str">
            <v>ECOSAMPA Operação Geral</v>
          </cell>
        </row>
        <row r="1427">
          <cell r="A1427">
            <v>112415</v>
          </cell>
          <cell r="B1427" t="str">
            <v>JUNIOR CESAR APARECIDO FERREIRA</v>
          </cell>
          <cell r="C1427" t="str">
            <v>COLETOR</v>
          </cell>
          <cell r="D1427" t="str">
            <v>ECOSAMPA Operação Geral</v>
          </cell>
        </row>
        <row r="1428">
          <cell r="A1428">
            <v>112418</v>
          </cell>
          <cell r="B1428" t="str">
            <v>JURACI BARBOSA SANTOS</v>
          </cell>
          <cell r="C1428" t="str">
            <v>VARREDOR</v>
          </cell>
          <cell r="D1428" t="str">
            <v>ECOSAMPA Santo Amaro</v>
          </cell>
        </row>
        <row r="1429">
          <cell r="A1429">
            <v>112421</v>
          </cell>
          <cell r="B1429" t="str">
            <v>JURACI CUSTODIO DE LIMA</v>
          </cell>
          <cell r="C1429" t="str">
            <v>AJUDANTE EQ SERVICOS DIVERSOS</v>
          </cell>
          <cell r="D1429" t="str">
            <v>ECOSAMPA Capela do Socorro</v>
          </cell>
        </row>
        <row r="1430">
          <cell r="A1430">
            <v>112424</v>
          </cell>
          <cell r="B1430" t="str">
            <v>JURANDIR RODRIGUES DA SILVA</v>
          </cell>
          <cell r="C1430" t="str">
            <v>VARREDOR</v>
          </cell>
          <cell r="D1430" t="str">
            <v>ECOSAMPA Capela do Socorro</v>
          </cell>
        </row>
        <row r="1431">
          <cell r="A1431">
            <v>112431</v>
          </cell>
          <cell r="B1431" t="str">
            <v>JUREMIR ALVES BARROSO</v>
          </cell>
          <cell r="C1431" t="str">
            <v>AJUDANTE EQ SERVICOS DIVERSOS</v>
          </cell>
          <cell r="D1431" t="str">
            <v>ECOSAMPA Campo Limpo</v>
          </cell>
        </row>
        <row r="1432">
          <cell r="A1432">
            <v>112437</v>
          </cell>
          <cell r="B1432" t="str">
            <v>JUSCELINO FERREIRA FILHO</v>
          </cell>
          <cell r="C1432" t="str">
            <v>MOTORISTA DE CAMINHAO</v>
          </cell>
          <cell r="D1432" t="str">
            <v>ECOSAMPA Operação Geral</v>
          </cell>
        </row>
        <row r="1433">
          <cell r="A1433">
            <v>121456</v>
          </cell>
          <cell r="B1433" t="str">
            <v>JUSCELINO SANTOS SOUZA</v>
          </cell>
          <cell r="C1433" t="str">
            <v>AJUDANTE EQ SERVICOS DIVERSOS</v>
          </cell>
          <cell r="D1433" t="str">
            <v>ECOSAMPA Operação Geral</v>
          </cell>
        </row>
        <row r="1434">
          <cell r="A1434">
            <v>112470</v>
          </cell>
          <cell r="B1434" t="str">
            <v>JUSCIMAR FERREIRA DA LOMBA</v>
          </cell>
          <cell r="C1434" t="str">
            <v>AJUDANTE EQ SERVICOS DIVERSOS</v>
          </cell>
          <cell r="D1434" t="str">
            <v>ECOSAMPA Santo Amaro</v>
          </cell>
        </row>
        <row r="1435">
          <cell r="A1435">
            <v>122837</v>
          </cell>
          <cell r="B1435" t="str">
            <v>JUVENAL MOREIRA DOS REIS JUNIOR</v>
          </cell>
          <cell r="C1435" t="str">
            <v>AJUDANTE EQ SERVICOS DIVERSOS</v>
          </cell>
          <cell r="D1435" t="str">
            <v>ECOSAMPA Operação Geral</v>
          </cell>
        </row>
        <row r="1436">
          <cell r="A1436">
            <v>121462</v>
          </cell>
          <cell r="B1436" t="str">
            <v>KAIQUE DOS SANTOS ALMEIDA</v>
          </cell>
          <cell r="C1436" t="str">
            <v>AJUDANTE EQ SERVICOS DIVERSOS</v>
          </cell>
          <cell r="D1436" t="str">
            <v>ECOSAMPA Operação Geral</v>
          </cell>
        </row>
        <row r="1437">
          <cell r="A1437">
            <v>122560</v>
          </cell>
          <cell r="B1437" t="str">
            <v>KAIQUE DOS SANTOS ALMEIDA</v>
          </cell>
          <cell r="C1437" t="str">
            <v>AJUDANTE EQ SERVICOS DIVERSOS</v>
          </cell>
          <cell r="D1437" t="str">
            <v>ECOSAMPA Parelheiros</v>
          </cell>
        </row>
        <row r="1438">
          <cell r="A1438">
            <v>114555</v>
          </cell>
          <cell r="B1438" t="str">
            <v>KAIQUE SILVA DE BRITO</v>
          </cell>
          <cell r="C1438" t="str">
            <v>AJUDANTE EQ SERVICOS DIVERSOS</v>
          </cell>
          <cell r="D1438" t="str">
            <v>ECOSAMPA Capela do Socorro</v>
          </cell>
        </row>
        <row r="1439">
          <cell r="A1439">
            <v>121450</v>
          </cell>
          <cell r="B1439" t="str">
            <v>KAIQUE YURI BARBOZA DOS SANTOS</v>
          </cell>
          <cell r="C1439" t="str">
            <v>AJUDANTE EQ SERVICOS DIVERSOS</v>
          </cell>
          <cell r="D1439" t="str">
            <v>ECOSAMPA Operação Geral</v>
          </cell>
        </row>
        <row r="1440">
          <cell r="A1440">
            <v>115046</v>
          </cell>
          <cell r="B1440" t="str">
            <v>KARINA ARISTIDES DE SOUZA</v>
          </cell>
          <cell r="C1440" t="str">
            <v>PENSIONISTAS</v>
          </cell>
          <cell r="D1440" t="str">
            <v>ECOSAMPA Pensionistas</v>
          </cell>
        </row>
        <row r="1441">
          <cell r="A1441">
            <v>113782</v>
          </cell>
          <cell r="B1441" t="str">
            <v>KARINA CRISTINA BORGES DOS SANTOS</v>
          </cell>
          <cell r="C1441" t="str">
            <v>ENGENHEIRO COORDENADOR QSMS</v>
          </cell>
          <cell r="D1441" t="str">
            <v>ECOSAMPA Operação Geral</v>
          </cell>
        </row>
        <row r="1442">
          <cell r="A1442">
            <v>116978</v>
          </cell>
          <cell r="B1442" t="str">
            <v>KARINA MARIA LIMA</v>
          </cell>
          <cell r="C1442" t="str">
            <v>AJUDANTE EQ SERVICOS DIVERSOS</v>
          </cell>
          <cell r="D1442" t="str">
            <v>ECOSAMPA Campo Limpo</v>
          </cell>
        </row>
        <row r="1443">
          <cell r="A1443">
            <v>121939</v>
          </cell>
          <cell r="B1443" t="str">
            <v>KARINA PEREIRA DA SILVA</v>
          </cell>
          <cell r="C1443" t="str">
            <v>MENOR/JOVEM APRENDIZ</v>
          </cell>
          <cell r="D1443" t="str">
            <v>ECOSAMPA Administração</v>
          </cell>
        </row>
        <row r="1444">
          <cell r="A1444">
            <v>115371</v>
          </cell>
          <cell r="B1444" t="str">
            <v>KATIA CONCEICAO ROCHA</v>
          </cell>
          <cell r="C1444" t="str">
            <v>AJUDANTE EQ SERVICOS DIVERSOS</v>
          </cell>
          <cell r="D1444" t="str">
            <v>ECOSAMPA Santo Amaro</v>
          </cell>
        </row>
        <row r="1445">
          <cell r="A1445">
            <v>112478</v>
          </cell>
          <cell r="B1445" t="str">
            <v>KELBER JESUS DOS SANTOS</v>
          </cell>
          <cell r="C1445" t="str">
            <v>COLETOR</v>
          </cell>
          <cell r="D1445" t="str">
            <v>ECOSAMPA Operação Geral</v>
          </cell>
        </row>
        <row r="1446">
          <cell r="A1446">
            <v>115403</v>
          </cell>
          <cell r="B1446" t="str">
            <v>KELLINGTON ALVES PEREIRA</v>
          </cell>
          <cell r="C1446" t="str">
            <v>AJUDANTE EQ SERVICOS DIVERSOS</v>
          </cell>
          <cell r="D1446" t="str">
            <v>ECOSAMPA Capela do Socorro</v>
          </cell>
        </row>
        <row r="1447">
          <cell r="A1447">
            <v>116850</v>
          </cell>
          <cell r="B1447" t="str">
            <v>KELLY PEREIRA GREGORIO</v>
          </cell>
          <cell r="C1447" t="str">
            <v>PENSIONISTAS</v>
          </cell>
          <cell r="D1447" t="str">
            <v>ECOSAMPA Pensionistas</v>
          </cell>
        </row>
        <row r="1448">
          <cell r="A1448">
            <v>114737</v>
          </cell>
          <cell r="B1448" t="str">
            <v>KELVIM SANTOS DA SILVA</v>
          </cell>
          <cell r="C1448" t="str">
            <v>AJUDANTE EQ SERVICOS DIVERSOS</v>
          </cell>
          <cell r="D1448" t="str">
            <v>ECOSAMPA Santo Amaro</v>
          </cell>
        </row>
        <row r="1449">
          <cell r="A1449">
            <v>114927</v>
          </cell>
          <cell r="B1449" t="str">
            <v>KELVIN CARLOS DE SOUSA AMORIM</v>
          </cell>
          <cell r="C1449" t="str">
            <v>AJUDANTE EQ SERVICOS DIVERSOS</v>
          </cell>
          <cell r="D1449" t="str">
            <v>ECOSAMPA Operação Geral</v>
          </cell>
        </row>
        <row r="1450">
          <cell r="A1450">
            <v>112496</v>
          </cell>
          <cell r="B1450" t="str">
            <v>KELVIN FERNANDO ARRUDA</v>
          </cell>
          <cell r="C1450" t="str">
            <v>AJUDANTE EQ SERVICOS DIVERSOS</v>
          </cell>
          <cell r="D1450" t="str">
            <v>ECOSAMPA Parelheiros</v>
          </cell>
        </row>
        <row r="1451">
          <cell r="A1451">
            <v>112503</v>
          </cell>
          <cell r="B1451" t="str">
            <v>KELVIN LOPES DE ALMEIDA</v>
          </cell>
          <cell r="C1451" t="str">
            <v>AJUDANTE EQ SERVICOS DIVERSOS</v>
          </cell>
          <cell r="D1451" t="str">
            <v>ECOSAMPA Capela do Socorro</v>
          </cell>
        </row>
        <row r="1452">
          <cell r="A1452">
            <v>112509</v>
          </cell>
          <cell r="B1452" t="str">
            <v>KENNY DOUGLAS DO AMARANTE SOUZA</v>
          </cell>
          <cell r="C1452" t="str">
            <v>ENCARREGADO DE TURMA</v>
          </cell>
          <cell r="D1452" t="str">
            <v>ECOSAMPA Santo Amaro</v>
          </cell>
        </row>
        <row r="1453">
          <cell r="A1453">
            <v>116385</v>
          </cell>
          <cell r="B1453" t="str">
            <v>KEVIN DANNIEL CARDOSO DA SILVA</v>
          </cell>
          <cell r="C1453" t="str">
            <v>AJUDANTE EQ SERVICOS DIVERSOS</v>
          </cell>
          <cell r="D1453" t="str">
            <v>ECOSAMPA Parelheiros</v>
          </cell>
        </row>
        <row r="1454">
          <cell r="A1454">
            <v>112516</v>
          </cell>
          <cell r="B1454" t="str">
            <v>KLEBER HENRIQUE SANTANA</v>
          </cell>
          <cell r="C1454" t="str">
            <v>MOTORISTA CAMINHAO</v>
          </cell>
          <cell r="D1454" t="str">
            <v>ECOSAMPA Operação Geral</v>
          </cell>
        </row>
        <row r="1455">
          <cell r="A1455">
            <v>112542</v>
          </cell>
          <cell r="B1455" t="str">
            <v>KLEBER JOSE OLIVEIRA DA SILVA</v>
          </cell>
          <cell r="C1455" t="str">
            <v>AJUDANTE EQ SERVICOS DIVERSOS</v>
          </cell>
          <cell r="D1455" t="str">
            <v>ECOSAMPA Santo Amaro</v>
          </cell>
        </row>
        <row r="1456">
          <cell r="A1456">
            <v>112543</v>
          </cell>
          <cell r="B1456" t="str">
            <v>KLEBER WELTON RODRIGUES CASTRO</v>
          </cell>
          <cell r="C1456" t="str">
            <v>AJUDANTE EQ SERVICOS DIVERSOS</v>
          </cell>
          <cell r="D1456" t="str">
            <v>ECOSAMPA Santo Amaro</v>
          </cell>
        </row>
        <row r="1457">
          <cell r="A1457">
            <v>112545</v>
          </cell>
          <cell r="B1457" t="str">
            <v>KLEBERSON JOSE DA SILVA</v>
          </cell>
          <cell r="C1457" t="str">
            <v>VARREDOR</v>
          </cell>
          <cell r="D1457" t="str">
            <v>ECOSAMPA Santo Amaro</v>
          </cell>
        </row>
        <row r="1458">
          <cell r="A1458">
            <v>112546</v>
          </cell>
          <cell r="B1458" t="str">
            <v>KLEBERT MARCOS DA SILVA FERREIRA</v>
          </cell>
          <cell r="C1458" t="str">
            <v>ENCARREGADO DE MANUTENCAO OFICINA</v>
          </cell>
          <cell r="D1458" t="str">
            <v>ECOSAMPA Operação Geral</v>
          </cell>
        </row>
        <row r="1459">
          <cell r="A1459">
            <v>114962</v>
          </cell>
          <cell r="B1459" t="str">
            <v>KLEYTON DOS SANTOS BARBOSA</v>
          </cell>
          <cell r="C1459" t="str">
            <v>AJUDANTE EQ SERVICOS DIVERSOS</v>
          </cell>
          <cell r="D1459" t="str">
            <v>ECOSAMPA Operação Geral</v>
          </cell>
        </row>
        <row r="1460">
          <cell r="A1460">
            <v>118649</v>
          </cell>
          <cell r="B1460" t="str">
            <v>LACIEL CARLOS DE SENA</v>
          </cell>
          <cell r="C1460" t="str">
            <v>AJUDANTE EQ SERVICOS DIVERSOS</v>
          </cell>
          <cell r="D1460" t="str">
            <v>ECOSAMPA Operação Geral</v>
          </cell>
        </row>
        <row r="1461">
          <cell r="A1461">
            <v>114965</v>
          </cell>
          <cell r="B1461" t="str">
            <v>LAERCIO DA SILVA CAVALCANTE</v>
          </cell>
          <cell r="C1461" t="str">
            <v>AJUDANTE EQ SERVICOS DIVERSOS</v>
          </cell>
          <cell r="D1461" t="str">
            <v>ECOSAMPA Santo Amaro</v>
          </cell>
        </row>
        <row r="1462">
          <cell r="A1462">
            <v>122571</v>
          </cell>
          <cell r="B1462" t="str">
            <v>LAERCIO MARIANO DE ABREU</v>
          </cell>
          <cell r="C1462" t="str">
            <v>MOTORISTA CAMINHAO</v>
          </cell>
          <cell r="D1462" t="str">
            <v>ECOSAMPA Operação Geral</v>
          </cell>
        </row>
        <row r="1463">
          <cell r="A1463">
            <v>114559</v>
          </cell>
          <cell r="B1463" t="str">
            <v>LEANDRO ADY BECKER SILVA</v>
          </cell>
          <cell r="C1463" t="str">
            <v>AJUDANTE EQ SERVICOS DIVERSOS</v>
          </cell>
          <cell r="D1463" t="str">
            <v>ECOSAMPA Santo Amaro</v>
          </cell>
        </row>
        <row r="1464">
          <cell r="A1464">
            <v>112556</v>
          </cell>
          <cell r="B1464" t="str">
            <v>LEANDRO APARECIDO NASCIMENTO DOS SANTOS</v>
          </cell>
          <cell r="C1464" t="str">
            <v>BUEIRISTA</v>
          </cell>
          <cell r="D1464" t="str">
            <v>ECOSAMPA Campo Limpo</v>
          </cell>
        </row>
        <row r="1465">
          <cell r="A1465">
            <v>121476</v>
          </cell>
          <cell r="B1465" t="str">
            <v>LEANDRO APARECIDO VIEIRA DE SOUZA</v>
          </cell>
          <cell r="C1465" t="str">
            <v>AJUDANTE EQ SERVICOS DIVERSOS</v>
          </cell>
          <cell r="D1465" t="str">
            <v>ECOSAMPA Operação Geral</v>
          </cell>
        </row>
        <row r="1466">
          <cell r="A1466">
            <v>112558</v>
          </cell>
          <cell r="B1466" t="str">
            <v>LEANDRO BARROSO DA SILVA</v>
          </cell>
          <cell r="C1466" t="str">
            <v>FISCAL DE TURMA PLENO</v>
          </cell>
          <cell r="D1466" t="str">
            <v>ECOSAMPA Santo Amaro</v>
          </cell>
        </row>
        <row r="1467">
          <cell r="A1467">
            <v>112562</v>
          </cell>
          <cell r="B1467" t="str">
            <v>LEANDRO BENEDITO DA SILVA</v>
          </cell>
          <cell r="C1467" t="str">
            <v>AJUDANTE EQ SERVICOS DIVERSOS</v>
          </cell>
          <cell r="D1467" t="str">
            <v>ECOSAMPA M'Boi Mirim</v>
          </cell>
        </row>
        <row r="1468">
          <cell r="A1468">
            <v>112570</v>
          </cell>
          <cell r="B1468" t="str">
            <v>LEANDRO BURGER</v>
          </cell>
          <cell r="C1468" t="str">
            <v>COLETOR</v>
          </cell>
          <cell r="D1468" t="str">
            <v>ECOSAMPA Operação Geral</v>
          </cell>
        </row>
        <row r="1469">
          <cell r="A1469">
            <v>112577</v>
          </cell>
          <cell r="B1469" t="str">
            <v>LEANDRO DA SILVA DONIZETE</v>
          </cell>
          <cell r="C1469" t="str">
            <v>VARREDOR</v>
          </cell>
          <cell r="D1469" t="str">
            <v>ECOSAMPA Santo Amaro</v>
          </cell>
        </row>
        <row r="1470">
          <cell r="A1470">
            <v>112583</v>
          </cell>
          <cell r="B1470" t="str">
            <v>LEANDRO DE OLIVEIRA</v>
          </cell>
          <cell r="C1470" t="str">
            <v>MOTORISTA CAMINHAO</v>
          </cell>
          <cell r="D1470" t="str">
            <v>ECOSAMPA Operação Geral</v>
          </cell>
        </row>
        <row r="1471">
          <cell r="A1471">
            <v>112589</v>
          </cell>
          <cell r="B1471" t="str">
            <v>LEANDRO DE SOUSA CLAUDINO</v>
          </cell>
          <cell r="C1471" t="str">
            <v>TECNICO EM SEGURANCA DO TRABALHO JUNIOR</v>
          </cell>
          <cell r="D1471" t="str">
            <v>ECOSAMPA Operação Geral</v>
          </cell>
        </row>
        <row r="1472">
          <cell r="A1472">
            <v>115004</v>
          </cell>
          <cell r="B1472" t="str">
            <v>LEANDRO DOS SANTOS PINHEIRO</v>
          </cell>
          <cell r="C1472" t="str">
            <v>AJUDANTE EQ SERVICOS DIVERSOS</v>
          </cell>
          <cell r="D1472" t="str">
            <v>ECOSAMPA Operação Geral</v>
          </cell>
        </row>
        <row r="1473">
          <cell r="A1473">
            <v>112596</v>
          </cell>
          <cell r="B1473" t="str">
            <v>LEANDRO GARCIA CAMARGO</v>
          </cell>
          <cell r="C1473" t="str">
            <v>VARREDOR</v>
          </cell>
          <cell r="D1473" t="str">
            <v>ECOSAMPA Santo Amaro</v>
          </cell>
        </row>
        <row r="1474">
          <cell r="A1474">
            <v>115404</v>
          </cell>
          <cell r="B1474" t="str">
            <v>LEANDRO GOMES DA SILVA</v>
          </cell>
          <cell r="C1474" t="str">
            <v>VARREDOR</v>
          </cell>
          <cell r="D1474" t="str">
            <v>ECOSAMPA Santo Amaro</v>
          </cell>
        </row>
        <row r="1475">
          <cell r="A1475">
            <v>112600</v>
          </cell>
          <cell r="B1475" t="str">
            <v>LEANDRO GOMES DE CARVALHO</v>
          </cell>
          <cell r="C1475" t="str">
            <v>AJUDANTE EQ SERVICOS DIVERSOS</v>
          </cell>
          <cell r="D1475" t="str">
            <v>ECOSAMPA Santo Amaro</v>
          </cell>
        </row>
        <row r="1476">
          <cell r="A1476">
            <v>112604</v>
          </cell>
          <cell r="B1476" t="str">
            <v>LEANDRO JOSE BATISTA</v>
          </cell>
          <cell r="C1476" t="str">
            <v>MOTORISTA CAMINHAO</v>
          </cell>
          <cell r="D1476" t="str">
            <v>ECOSAMPA Operação Geral</v>
          </cell>
        </row>
        <row r="1477">
          <cell r="A1477">
            <v>112611</v>
          </cell>
          <cell r="B1477" t="str">
            <v>LEANDRO JOSE CORREIA DA SILVA</v>
          </cell>
          <cell r="C1477" t="str">
            <v>AJUDANTE EQ SERVICOS DIVERSOS</v>
          </cell>
          <cell r="D1477" t="str">
            <v>ECOSAMPA Operação Geral</v>
          </cell>
        </row>
        <row r="1478">
          <cell r="A1478">
            <v>112617</v>
          </cell>
          <cell r="B1478" t="str">
            <v>LEANDRO MENDES SILQUEIRA</v>
          </cell>
          <cell r="C1478" t="str">
            <v>VARREDOR</v>
          </cell>
          <cell r="D1478" t="str">
            <v>ECOSAMPA M'Boi Mirim</v>
          </cell>
        </row>
        <row r="1479">
          <cell r="A1479">
            <v>115013</v>
          </cell>
          <cell r="B1479" t="str">
            <v>LEANDRO REIS BATISTA</v>
          </cell>
          <cell r="C1479" t="str">
            <v>AJUDANTE EQ SERVICOS DIVERSOS</v>
          </cell>
          <cell r="D1479" t="str">
            <v>ECOSAMPA Operação Geral</v>
          </cell>
        </row>
        <row r="1480">
          <cell r="A1480">
            <v>112625</v>
          </cell>
          <cell r="B1480" t="str">
            <v>LEANDRO SANTANA SANTOS</v>
          </cell>
          <cell r="C1480" t="str">
            <v>MOTORISTA CAMINHAO</v>
          </cell>
          <cell r="D1480" t="str">
            <v>ECOSAMPA Operação Geral</v>
          </cell>
        </row>
        <row r="1481">
          <cell r="A1481">
            <v>112630</v>
          </cell>
          <cell r="B1481" t="str">
            <v>LEANDRO SARAGOCA PEREIRA</v>
          </cell>
          <cell r="C1481" t="str">
            <v>AJUDANTE EQ SERVICOS DIVERSOS</v>
          </cell>
          <cell r="D1481" t="str">
            <v>ECOSAMPA Santo Amaro</v>
          </cell>
        </row>
        <row r="1482">
          <cell r="A1482">
            <v>114736</v>
          </cell>
          <cell r="B1482" t="str">
            <v>LEANDRO SILVA DE SOUZA</v>
          </cell>
          <cell r="C1482" t="str">
            <v>AJUDANTE EQ SERVICOS DIVERSOS</v>
          </cell>
          <cell r="D1482" t="str">
            <v>ECOSAMPA Parelheiros</v>
          </cell>
        </row>
        <row r="1483">
          <cell r="A1483">
            <v>112637</v>
          </cell>
          <cell r="B1483" t="str">
            <v>LEANDRO SILVA SANTOS</v>
          </cell>
          <cell r="C1483" t="str">
            <v>COLETOR</v>
          </cell>
          <cell r="D1483" t="str">
            <v>ECOSAMPA Operação Geral</v>
          </cell>
        </row>
        <row r="1484">
          <cell r="A1484">
            <v>116024</v>
          </cell>
          <cell r="B1484" t="str">
            <v>LEANDRO SOARES DA CRUZ</v>
          </cell>
          <cell r="C1484" t="str">
            <v>AJUDANTE EQ SERVICOS DIVERSOS</v>
          </cell>
          <cell r="D1484" t="str">
            <v>ECOSAMPA Campo Limpo</v>
          </cell>
        </row>
        <row r="1485">
          <cell r="A1485">
            <v>112640</v>
          </cell>
          <cell r="B1485" t="str">
            <v>LEANDRO YASSUNORI DE OLIVEIRA</v>
          </cell>
          <cell r="C1485" t="str">
            <v>AJUDANTE DE MECANICO</v>
          </cell>
          <cell r="D1485" t="str">
            <v>ECOSAMPA Operação Geral</v>
          </cell>
        </row>
        <row r="1486">
          <cell r="A1486">
            <v>112649</v>
          </cell>
          <cell r="B1486" t="str">
            <v>LEMUEL DE OLIVEIRA BRANDAO</v>
          </cell>
          <cell r="C1486" t="str">
            <v>VARREDOR</v>
          </cell>
          <cell r="D1486" t="str">
            <v>ECOSAMPA Capela do Socorro</v>
          </cell>
        </row>
        <row r="1487">
          <cell r="A1487">
            <v>112653</v>
          </cell>
          <cell r="B1487" t="str">
            <v>LENINGTON CLEMENTE DOS REIS</v>
          </cell>
          <cell r="C1487" t="str">
            <v>AJUDANTE EQ SERVICOS DIVERSOS</v>
          </cell>
          <cell r="D1487" t="str">
            <v>ECOSAMPA Campo Limpo</v>
          </cell>
        </row>
        <row r="1488">
          <cell r="A1488">
            <v>122088</v>
          </cell>
          <cell r="B1488" t="str">
            <v>LEONARDO APARECIDO DA SILVA</v>
          </cell>
          <cell r="C1488" t="str">
            <v>AJUDANTE EQ SERVICOS DIVERSOS</v>
          </cell>
          <cell r="D1488" t="str">
            <v>ECOSAMPA Operação Geral</v>
          </cell>
        </row>
        <row r="1489">
          <cell r="A1489">
            <v>112658</v>
          </cell>
          <cell r="B1489" t="str">
            <v>LEONARDO BARBOSA LOPES</v>
          </cell>
          <cell r="C1489" t="str">
            <v>MOTORISTA CAMINHAO</v>
          </cell>
          <cell r="D1489" t="str">
            <v>ECOSAMPA Operação Geral</v>
          </cell>
        </row>
        <row r="1490">
          <cell r="A1490">
            <v>119752</v>
          </cell>
          <cell r="B1490" t="str">
            <v>LEONARDO CESAR SOUZA DE OLIVEIRA</v>
          </cell>
          <cell r="C1490" t="str">
            <v>MENOR/JOVEM APRENDIZ</v>
          </cell>
          <cell r="D1490" t="str">
            <v>ECOSAMPA Administração</v>
          </cell>
        </row>
        <row r="1491">
          <cell r="A1491">
            <v>117248</v>
          </cell>
          <cell r="B1491" t="str">
            <v>LEONARDO DA SILVA SANTOS</v>
          </cell>
          <cell r="C1491" t="str">
            <v>AJUDANTE EQ SERVICOS DIVERSOS</v>
          </cell>
          <cell r="D1491" t="str">
            <v>ECOSAMPA Santo Amaro</v>
          </cell>
        </row>
        <row r="1492">
          <cell r="A1492">
            <v>121523</v>
          </cell>
          <cell r="B1492" t="str">
            <v>LEONARDO EVANGELISTA DE OLIVEIRA</v>
          </cell>
          <cell r="C1492" t="str">
            <v>AJUDANTE EQ SERVICOS DIVERSOS</v>
          </cell>
          <cell r="D1492" t="str">
            <v>ECOSAMPA Operação Geral</v>
          </cell>
        </row>
        <row r="1493">
          <cell r="A1493">
            <v>113768</v>
          </cell>
          <cell r="B1493" t="str">
            <v>LEONARDO FRANCISCO DOS SANTOS</v>
          </cell>
          <cell r="C1493" t="str">
            <v>FISCAL DE TURMA PLENO</v>
          </cell>
          <cell r="D1493" t="str">
            <v>ECOSAMPA Santo Amaro</v>
          </cell>
        </row>
        <row r="1494">
          <cell r="A1494">
            <v>114749</v>
          </cell>
          <cell r="B1494" t="str">
            <v>LEONARDO JOSE DA SILVA</v>
          </cell>
          <cell r="C1494" t="str">
            <v>AJUDANTE EQ SERVICOS DIVERSOS</v>
          </cell>
          <cell r="D1494" t="str">
            <v>ECOSAMPA Campo Limpo</v>
          </cell>
        </row>
        <row r="1495">
          <cell r="A1495">
            <v>112667</v>
          </cell>
          <cell r="B1495" t="str">
            <v>LEONARDO NASCIMENTO ALVES</v>
          </cell>
          <cell r="C1495" t="str">
            <v>LAVADOR</v>
          </cell>
          <cell r="D1495" t="str">
            <v>ECOSAMPA Operação Geral</v>
          </cell>
        </row>
        <row r="1496">
          <cell r="A1496">
            <v>112671</v>
          </cell>
          <cell r="B1496" t="str">
            <v>LEONARDO NOGUEIRA BENTO</v>
          </cell>
          <cell r="C1496" t="str">
            <v>AJUDANTE EQ SERVICOS DIVERSOS</v>
          </cell>
          <cell r="D1496" t="str">
            <v>ECOSAMPA M'Boi Mirim</v>
          </cell>
        </row>
        <row r="1497">
          <cell r="A1497">
            <v>112677</v>
          </cell>
          <cell r="B1497" t="str">
            <v>LEONARDO PEREIRA DA SILVA</v>
          </cell>
          <cell r="C1497" t="str">
            <v>MOTORISTA CAMINHAO</v>
          </cell>
          <cell r="D1497" t="str">
            <v>ECOSAMPA Operação Geral</v>
          </cell>
        </row>
        <row r="1498">
          <cell r="A1498">
            <v>114556</v>
          </cell>
          <cell r="B1498" t="str">
            <v>LEONARDO REIS PEREIRA PIRES</v>
          </cell>
          <cell r="C1498" t="str">
            <v>AJUDANTE EQ SERVICOS DIVERSOS</v>
          </cell>
          <cell r="D1498" t="str">
            <v>ECOSAMPA Capela do Socorro</v>
          </cell>
        </row>
        <row r="1499">
          <cell r="A1499">
            <v>114497</v>
          </cell>
          <cell r="B1499" t="str">
            <v>LEONARDO SABINO PESSOA KOTOVEY</v>
          </cell>
          <cell r="C1499" t="str">
            <v>AJUDANTE EQ SERVICOS DIVERSOS</v>
          </cell>
          <cell r="D1499" t="str">
            <v>ECOSAMPA Santo Amaro</v>
          </cell>
        </row>
        <row r="1500">
          <cell r="A1500">
            <v>112682</v>
          </cell>
          <cell r="B1500" t="str">
            <v>LEONDINEI VAZ</v>
          </cell>
          <cell r="C1500" t="str">
            <v>AJUDANTE EQ SERVICOS DIVERSOS</v>
          </cell>
          <cell r="D1500" t="str">
            <v>ECOSAMPA Capela do Socorro</v>
          </cell>
        </row>
        <row r="1501">
          <cell r="A1501">
            <v>112684</v>
          </cell>
          <cell r="B1501" t="str">
            <v>LEONIDAS CORTES DOS SANTOS</v>
          </cell>
          <cell r="C1501" t="str">
            <v>VARREDOR</v>
          </cell>
          <cell r="D1501" t="str">
            <v>ECOSAMPA Campo Limpo</v>
          </cell>
        </row>
        <row r="1502">
          <cell r="A1502">
            <v>112687</v>
          </cell>
          <cell r="B1502" t="str">
            <v>LESSIO RENOR DE FREITAS</v>
          </cell>
          <cell r="C1502" t="str">
            <v>VARREDOR</v>
          </cell>
          <cell r="D1502" t="str">
            <v>ECOSAMPA Santo Amaro</v>
          </cell>
        </row>
        <row r="1503">
          <cell r="A1503">
            <v>112690</v>
          </cell>
          <cell r="B1503" t="str">
            <v>LETICIA FERREIRA DOS SANTOS</v>
          </cell>
          <cell r="C1503" t="str">
            <v>AJUDANTE EQ SERVICOS DIVERSOS</v>
          </cell>
          <cell r="D1503" t="str">
            <v>ECOSAMPA Campo Limpo</v>
          </cell>
        </row>
        <row r="1504">
          <cell r="A1504">
            <v>115814</v>
          </cell>
          <cell r="B1504" t="str">
            <v>LIGIA GOMES DA CRUZ</v>
          </cell>
          <cell r="C1504" t="str">
            <v>AGENTE AMBIENTAL</v>
          </cell>
          <cell r="D1504" t="str">
            <v>ECOSAMPA Operação Geral</v>
          </cell>
        </row>
        <row r="1505">
          <cell r="A1505">
            <v>114030</v>
          </cell>
          <cell r="B1505" t="str">
            <v>LILIANE ROSA FURTADO DA SILVA</v>
          </cell>
          <cell r="C1505" t="str">
            <v>AJUDANTE EQ SERVICOS DIVERSOS</v>
          </cell>
          <cell r="D1505" t="str">
            <v>ECOSAMPA Capela do Socorro</v>
          </cell>
        </row>
        <row r="1506">
          <cell r="A1506">
            <v>121532</v>
          </cell>
          <cell r="B1506" t="str">
            <v>LINDINEI DA SILVA ALVES</v>
          </cell>
          <cell r="C1506" t="str">
            <v>AJUDANTE EQ SERVICOS DIVERSOS</v>
          </cell>
          <cell r="D1506" t="str">
            <v>ECOSAMPA Operação Geral</v>
          </cell>
        </row>
        <row r="1507">
          <cell r="A1507">
            <v>114722</v>
          </cell>
          <cell r="B1507" t="str">
            <v>LINDOMAR FERNANDO CORREIA DA SILVA</v>
          </cell>
          <cell r="C1507" t="str">
            <v>AJUDANTE EQ SERVICOS DIVERSOS</v>
          </cell>
          <cell r="D1507" t="str">
            <v>ECOSAMPA Santo Amaro</v>
          </cell>
        </row>
        <row r="1508">
          <cell r="A1508">
            <v>112863</v>
          </cell>
          <cell r="B1508" t="str">
            <v>LINDOMAR MARINHO DO NASCIMENTO</v>
          </cell>
          <cell r="C1508" t="str">
            <v>AJUDANTE EQ SERVICOS DIVERSOS</v>
          </cell>
          <cell r="D1508" t="str">
            <v>ECOSAMPA Campo Limpo</v>
          </cell>
        </row>
        <row r="1509">
          <cell r="A1509">
            <v>119643</v>
          </cell>
          <cell r="B1509" t="str">
            <v>LINDOMAR MOISES DA SILVA</v>
          </cell>
          <cell r="C1509" t="str">
            <v>AJUDANTE EQ SERVICOS DIVERSOS</v>
          </cell>
          <cell r="D1509" t="str">
            <v>ECOSAMPA Santo Amaro</v>
          </cell>
        </row>
        <row r="1510">
          <cell r="A1510">
            <v>121949</v>
          </cell>
          <cell r="B1510" t="str">
            <v>LOHANA ARAUJO FIDELES</v>
          </cell>
          <cell r="C1510" t="str">
            <v>MENOR/JOVEM APRENDIZ</v>
          </cell>
          <cell r="D1510" t="str">
            <v>ECOSAMPA Administração</v>
          </cell>
        </row>
        <row r="1511">
          <cell r="A1511">
            <v>116386</v>
          </cell>
          <cell r="B1511" t="str">
            <v>LORIVAL LOPES</v>
          </cell>
          <cell r="C1511" t="str">
            <v>MOTORISTA CAMINHAO</v>
          </cell>
          <cell r="D1511" t="str">
            <v>ECOSAMPA Operação Geral</v>
          </cell>
        </row>
        <row r="1512">
          <cell r="A1512">
            <v>112693</v>
          </cell>
          <cell r="B1512" t="str">
            <v>LOURIVAL CALADO DA SILVA</v>
          </cell>
          <cell r="C1512" t="str">
            <v>VARREDOR</v>
          </cell>
          <cell r="D1512" t="str">
            <v>ECOSAMPA M'Boi Mirim</v>
          </cell>
        </row>
        <row r="1513">
          <cell r="A1513">
            <v>112694</v>
          </cell>
          <cell r="B1513" t="str">
            <v>LOURIVAL IDELFONSO</v>
          </cell>
          <cell r="C1513" t="str">
            <v>BUEIRISTA</v>
          </cell>
          <cell r="D1513" t="str">
            <v>ECOSAMPA M'Boi Mirim</v>
          </cell>
        </row>
        <row r="1514">
          <cell r="A1514">
            <v>112699</v>
          </cell>
          <cell r="B1514" t="str">
            <v>LOURIVAL VALENTIM</v>
          </cell>
          <cell r="C1514" t="str">
            <v>VARREDOR</v>
          </cell>
          <cell r="D1514" t="str">
            <v>ECOSAMPA Santo Amaro</v>
          </cell>
        </row>
        <row r="1515">
          <cell r="A1515">
            <v>114498</v>
          </cell>
          <cell r="B1515" t="str">
            <v>LUA RIBEIRO CHALEGRE NASCIMENTO</v>
          </cell>
          <cell r="C1515" t="str">
            <v>AJUDANTE EQ SERVICOS DIVERSOS</v>
          </cell>
          <cell r="D1515" t="str">
            <v>ECOSAMPA Capela do Socorro</v>
          </cell>
        </row>
        <row r="1516">
          <cell r="A1516">
            <v>119922</v>
          </cell>
          <cell r="B1516" t="str">
            <v>LUAN DE OLIVEIRA</v>
          </cell>
          <cell r="C1516" t="str">
            <v>AJUDANTE EQ SERVICOS DIVERSOS</v>
          </cell>
          <cell r="D1516" t="str">
            <v>ECOSAMPA Operação Geral</v>
          </cell>
        </row>
        <row r="1517">
          <cell r="A1517">
            <v>119143</v>
          </cell>
          <cell r="B1517" t="str">
            <v>LUANA DA GAMA SANTOS</v>
          </cell>
          <cell r="C1517" t="str">
            <v>AUXILIAR ADMINISTRATIVO</v>
          </cell>
          <cell r="D1517" t="str">
            <v>ECOSAMPA Operação Geral</v>
          </cell>
        </row>
        <row r="1518">
          <cell r="A1518">
            <v>112711</v>
          </cell>
          <cell r="B1518" t="str">
            <v>LUANDESSON FILIPE BATISTA MACEDO</v>
          </cell>
          <cell r="C1518" t="str">
            <v>COLETOR</v>
          </cell>
          <cell r="D1518" t="str">
            <v>ECOSAMPA Operação Geral</v>
          </cell>
        </row>
        <row r="1519">
          <cell r="A1519">
            <v>118060</v>
          </cell>
          <cell r="B1519" t="str">
            <v>LUCAS AMORIM DA SILVA DONIZETE</v>
          </cell>
          <cell r="C1519" t="str">
            <v>AJUDANTE EQ SERVICOS DIVERSOS</v>
          </cell>
          <cell r="D1519" t="str">
            <v>ECOSAMPA Santo Amaro</v>
          </cell>
        </row>
        <row r="1520">
          <cell r="A1520">
            <v>116007</v>
          </cell>
          <cell r="B1520" t="str">
            <v>LUCAS APARECIDO RIBEIRO BRANTE</v>
          </cell>
          <cell r="C1520" t="str">
            <v>AJUDANTE EQ SERVICOS DIVERSOS</v>
          </cell>
          <cell r="D1520" t="str">
            <v>ECOSAMPA Campo Limpo</v>
          </cell>
        </row>
        <row r="1521">
          <cell r="A1521">
            <v>112715</v>
          </cell>
          <cell r="B1521" t="str">
            <v>LUCAS BASILIO FARIAS DA SILVA</v>
          </cell>
          <cell r="C1521" t="str">
            <v>MOTORISTA CAMINHAO</v>
          </cell>
          <cell r="D1521" t="str">
            <v>ECOSAMPA Operação Geral</v>
          </cell>
        </row>
        <row r="1522">
          <cell r="A1522">
            <v>112721</v>
          </cell>
          <cell r="B1522" t="str">
            <v>LUCAS BERTOLDO</v>
          </cell>
          <cell r="C1522" t="str">
            <v>AJUDANTE EQ SERVICOS DIVERSOS</v>
          </cell>
          <cell r="D1522" t="str">
            <v>ECOSAMPA Santo Amaro</v>
          </cell>
        </row>
        <row r="1523">
          <cell r="A1523">
            <v>121426</v>
          </cell>
          <cell r="B1523" t="str">
            <v>LUCAS BRAGA DA SILVA</v>
          </cell>
          <cell r="C1523" t="str">
            <v>AJUDANTE EQ SERVICOS DIVERSOS</v>
          </cell>
          <cell r="D1523" t="str">
            <v>ECOSAMPA Operação Geral</v>
          </cell>
        </row>
        <row r="1524">
          <cell r="A1524">
            <v>112728</v>
          </cell>
          <cell r="B1524" t="str">
            <v>LUCAS CONCEICAO DOS SANTOS</v>
          </cell>
          <cell r="C1524" t="str">
            <v>AJUDANTE EQ SERVICOS DIVERSOS</v>
          </cell>
          <cell r="D1524" t="str">
            <v>ECOSAMPA Parelheiros</v>
          </cell>
        </row>
        <row r="1525">
          <cell r="A1525">
            <v>118645</v>
          </cell>
          <cell r="B1525" t="str">
            <v>LUCAS DA ROCHA CARDOSO</v>
          </cell>
          <cell r="C1525" t="str">
            <v>AJUDANTE EQ SERVICOS DIVERSOS</v>
          </cell>
          <cell r="D1525" t="str">
            <v>ECOSAMPA Parelheiros</v>
          </cell>
        </row>
        <row r="1526">
          <cell r="A1526">
            <v>112732</v>
          </cell>
          <cell r="B1526" t="str">
            <v>LUCAS DA SILVA LEITE</v>
          </cell>
          <cell r="C1526" t="str">
            <v>AJUDANTE EQ SERVICOS DIVERSOS</v>
          </cell>
          <cell r="D1526" t="str">
            <v>ECOSAMPA Santo Amaro</v>
          </cell>
        </row>
        <row r="1527">
          <cell r="A1527">
            <v>112736</v>
          </cell>
          <cell r="B1527" t="str">
            <v>LUCAS DA SILVA OLIVEIRA</v>
          </cell>
          <cell r="C1527" t="str">
            <v>AJUDANTE EQ SERVICOS DIVERSOS</v>
          </cell>
          <cell r="D1527" t="str">
            <v>ECOSAMPA Santo Amaro</v>
          </cell>
        </row>
        <row r="1528">
          <cell r="A1528">
            <v>114261</v>
          </cell>
          <cell r="B1528" t="str">
            <v>LUCAS DE OLIVEIRA FERNANDES</v>
          </cell>
          <cell r="C1528" t="str">
            <v>AJUDANTE EQ SERVICOS DIVERSOS</v>
          </cell>
          <cell r="D1528" t="str">
            <v>ECOSAMPA Santo Amaro</v>
          </cell>
        </row>
        <row r="1529">
          <cell r="A1529">
            <v>112740</v>
          </cell>
          <cell r="B1529" t="str">
            <v>LUCAS FERREIRA SANTIAGO</v>
          </cell>
          <cell r="C1529" t="str">
            <v>AJUDANTE EQ SERVICOS DIVERSOS</v>
          </cell>
          <cell r="D1529" t="str">
            <v>ECOSAMPA Santo Amaro</v>
          </cell>
        </row>
        <row r="1530">
          <cell r="A1530">
            <v>112748</v>
          </cell>
          <cell r="B1530" t="str">
            <v>LUCAS GONCALVES DOS SANTOS</v>
          </cell>
          <cell r="C1530" t="str">
            <v>AJUDANTE EQ SERVICOS DIVERSOS</v>
          </cell>
          <cell r="D1530" t="str">
            <v>ECOSAMPA Campo Limpo</v>
          </cell>
        </row>
        <row r="1531">
          <cell r="A1531">
            <v>112752</v>
          </cell>
          <cell r="B1531" t="str">
            <v>LUCAS MORAIS ARAUJO</v>
          </cell>
          <cell r="C1531" t="str">
            <v>VARREDOR</v>
          </cell>
          <cell r="D1531" t="str">
            <v>ECOSAMPA Campo Limpo</v>
          </cell>
        </row>
        <row r="1532">
          <cell r="A1532">
            <v>112756</v>
          </cell>
          <cell r="B1532" t="str">
            <v>LUCAS PEREIRA DA SILVA</v>
          </cell>
          <cell r="C1532" t="str">
            <v>AJUDANTE EQ SERVICOS DIVERSOS</v>
          </cell>
          <cell r="D1532" t="str">
            <v>ECOSAMPA Campo Limpo</v>
          </cell>
        </row>
        <row r="1533">
          <cell r="A1533">
            <v>114745</v>
          </cell>
          <cell r="B1533" t="str">
            <v>LUCAS ROBERTO FERREIRA SILVA</v>
          </cell>
          <cell r="C1533" t="str">
            <v>AJUDANTE EQ SERVICOS DIVERSOS</v>
          </cell>
          <cell r="D1533" t="str">
            <v>ECOSAMPA Capela do Socorro</v>
          </cell>
        </row>
        <row r="1534">
          <cell r="A1534">
            <v>112762</v>
          </cell>
          <cell r="B1534" t="str">
            <v>LUCAS SANTOS FIRMINO</v>
          </cell>
          <cell r="C1534" t="str">
            <v>AJUDANTE EQ SERVICOS DIVERSOS</v>
          </cell>
          <cell r="D1534" t="str">
            <v>ECOSAMPA Operação Geral</v>
          </cell>
        </row>
        <row r="1535">
          <cell r="A1535">
            <v>121529</v>
          </cell>
          <cell r="B1535" t="str">
            <v>LUCAS SILVA NOGUEIRA</v>
          </cell>
          <cell r="C1535" t="str">
            <v>AJUDANTE EQ SERVICOS DIVERSOS</v>
          </cell>
          <cell r="D1535" t="str">
            <v>ECOSAMPA Operação Geral</v>
          </cell>
        </row>
        <row r="1536">
          <cell r="A1536">
            <v>112767</v>
          </cell>
          <cell r="B1536" t="str">
            <v>LUCAS SILVA SANTOS DE OLIVEIRA</v>
          </cell>
          <cell r="C1536" t="str">
            <v>AJUDANTE EQ SERVICOS DIVERSOS</v>
          </cell>
          <cell r="D1536" t="str">
            <v>ECOSAMPA Campo Limpo</v>
          </cell>
        </row>
        <row r="1537">
          <cell r="A1537">
            <v>112771</v>
          </cell>
          <cell r="B1537" t="str">
            <v>LUCAS SOUSA GAMA</v>
          </cell>
          <cell r="C1537" t="str">
            <v>MOTORISTA CAMINHAO</v>
          </cell>
          <cell r="D1537" t="str">
            <v>ECOSAMPA Operação Geral</v>
          </cell>
        </row>
        <row r="1538">
          <cell r="A1538">
            <v>112775</v>
          </cell>
          <cell r="B1538" t="str">
            <v>LUCIANA DE SOUZA EVANGELISTA DOS SANTOS</v>
          </cell>
          <cell r="C1538" t="str">
            <v>AJUDANTE EQ SERVICOS DIVERSOS</v>
          </cell>
          <cell r="D1538" t="str">
            <v>ECOSAMPA Santo Amaro</v>
          </cell>
        </row>
        <row r="1539">
          <cell r="A1539">
            <v>119242</v>
          </cell>
          <cell r="B1539" t="str">
            <v>LUCIANA RODRIGUES DE ANDRADE</v>
          </cell>
          <cell r="C1539" t="str">
            <v>AUXILIAR DE DEPARTAMENTO PESSOAL</v>
          </cell>
          <cell r="D1539" t="str">
            <v>ECOSAMPA Administração</v>
          </cell>
        </row>
        <row r="1540">
          <cell r="A1540">
            <v>112781</v>
          </cell>
          <cell r="B1540" t="str">
            <v>LUCIANO ALCIDES MOTA</v>
          </cell>
          <cell r="C1540" t="str">
            <v>BUEIRISTA</v>
          </cell>
          <cell r="D1540" t="str">
            <v>ECOSAMPA Santo Amaro</v>
          </cell>
        </row>
        <row r="1541">
          <cell r="A1541">
            <v>112787</v>
          </cell>
          <cell r="B1541" t="str">
            <v>LUCIANO APOLINARIO</v>
          </cell>
          <cell r="C1541" t="str">
            <v>AJUDANTE EQ SERVICOS DIVERSOS</v>
          </cell>
          <cell r="D1541" t="str">
            <v>ECOSAMPA M'Boi Mirim</v>
          </cell>
        </row>
        <row r="1542">
          <cell r="A1542">
            <v>117465</v>
          </cell>
          <cell r="B1542" t="str">
            <v>LUCIANO ARCELINO DA SILVA JUNIOR</v>
          </cell>
          <cell r="C1542" t="str">
            <v>AUXILIAR DE CONTROLE OPERACIONAL</v>
          </cell>
          <cell r="D1542" t="str">
            <v>ECOSAMPA Operação Geral</v>
          </cell>
        </row>
        <row r="1543">
          <cell r="A1543">
            <v>113718</v>
          </cell>
          <cell r="B1543" t="str">
            <v>LUCIANO COSTA SILVA</v>
          </cell>
          <cell r="C1543" t="str">
            <v>ASSISTENTE DE ADM DE PESSOAL</v>
          </cell>
          <cell r="D1543" t="str">
            <v>ECOSAMPA Operação Geral</v>
          </cell>
        </row>
        <row r="1544">
          <cell r="A1544">
            <v>122632</v>
          </cell>
          <cell r="B1544" t="str">
            <v>LUCIANO DE SOUSA AMORIM</v>
          </cell>
          <cell r="C1544" t="str">
            <v>MOTORISTA CAMINHAO</v>
          </cell>
          <cell r="D1544" t="str">
            <v>ECOSAMPA Operação Geral</v>
          </cell>
        </row>
        <row r="1545">
          <cell r="A1545">
            <v>114527</v>
          </cell>
          <cell r="B1545" t="str">
            <v>LUCIANO FRANCISCO DOS SANTOS</v>
          </cell>
          <cell r="C1545" t="str">
            <v>VARREDOR</v>
          </cell>
          <cell r="D1545" t="str">
            <v>ECOSAMPA Santo Amaro</v>
          </cell>
        </row>
        <row r="1546">
          <cell r="A1546">
            <v>112803</v>
          </cell>
          <cell r="B1546" t="str">
            <v>LUCIANO GOUVEIA BARBOZA</v>
          </cell>
          <cell r="C1546" t="str">
            <v>VARREDOR</v>
          </cell>
          <cell r="D1546" t="str">
            <v>ECOSAMPA Santo Amaro</v>
          </cell>
        </row>
        <row r="1547">
          <cell r="A1547">
            <v>112809</v>
          </cell>
          <cell r="B1547" t="str">
            <v>LUCIANO HENRIQUE REIS DAMACENA</v>
          </cell>
          <cell r="C1547" t="str">
            <v>AJUDANTE EQ SERVICOS DIVERSOS</v>
          </cell>
          <cell r="D1547" t="str">
            <v>ECOSAMPA Capela do Socorro</v>
          </cell>
        </row>
        <row r="1548">
          <cell r="A1548">
            <v>116980</v>
          </cell>
          <cell r="B1548" t="str">
            <v>LUCIANO ROBERTO DE OLIVEIRA</v>
          </cell>
          <cell r="C1548" t="str">
            <v>MOTORISTA CAMINHAO</v>
          </cell>
          <cell r="D1548" t="str">
            <v>ECOSAMPA Operação Geral</v>
          </cell>
        </row>
        <row r="1549">
          <cell r="A1549">
            <v>121317</v>
          </cell>
          <cell r="B1549" t="str">
            <v>LUCIANO RODRIGUES DE SOUZA</v>
          </cell>
          <cell r="C1549" t="str">
            <v>AJUDANTE EQ SERVICOS DIVERSOS</v>
          </cell>
          <cell r="D1549" t="str">
            <v>ECOSAMPA Campo Limpo</v>
          </cell>
        </row>
        <row r="1550">
          <cell r="A1550">
            <v>112813</v>
          </cell>
          <cell r="B1550" t="str">
            <v>LUCIANO SILVA DE OLIVEIRA</v>
          </cell>
          <cell r="C1550" t="str">
            <v>AJUDANTE EQ SERVICOS DIVERSOS</v>
          </cell>
          <cell r="D1550" t="str">
            <v>ECOSAMPA Campo Limpo</v>
          </cell>
        </row>
        <row r="1551">
          <cell r="A1551">
            <v>112826</v>
          </cell>
          <cell r="B1551" t="str">
            <v>LUCIANO ZABARELLA</v>
          </cell>
          <cell r="C1551" t="str">
            <v>LIDER DE ALMOXARIFADO</v>
          </cell>
          <cell r="D1551" t="str">
            <v>ECOSAMPA Operação Geral</v>
          </cell>
        </row>
        <row r="1552">
          <cell r="A1552">
            <v>112837</v>
          </cell>
          <cell r="B1552" t="str">
            <v>LUCICLEIDE DA SILVA</v>
          </cell>
          <cell r="C1552" t="str">
            <v>MOTORISTA CAMINHAO</v>
          </cell>
          <cell r="D1552" t="str">
            <v>ECOSAMPA Operação Geral</v>
          </cell>
        </row>
        <row r="1553">
          <cell r="A1553">
            <v>122090</v>
          </cell>
          <cell r="B1553" t="str">
            <v>LUCIELMA DOS SANTOS SILVA</v>
          </cell>
          <cell r="C1553" t="str">
            <v>AJUDANTE EQ SERVICOS DIVERSOS</v>
          </cell>
          <cell r="D1553" t="str">
            <v>ECOSAMPA M'Boi Mirim</v>
          </cell>
        </row>
        <row r="1554">
          <cell r="A1554">
            <v>112848</v>
          </cell>
          <cell r="B1554" t="str">
            <v>LUCILENE MARTINS BAENA</v>
          </cell>
          <cell r="C1554" t="str">
            <v>VARREDOR</v>
          </cell>
          <cell r="D1554" t="str">
            <v>ECOSAMPA Santo Amaro</v>
          </cell>
        </row>
        <row r="1555">
          <cell r="A1555">
            <v>121687</v>
          </cell>
          <cell r="B1555" t="str">
            <v>LUCILENE MONTEIRO RODRIGUES</v>
          </cell>
          <cell r="C1555" t="str">
            <v>AJUDANTE EQ SERVICOS DIVERSOS</v>
          </cell>
          <cell r="D1555" t="str">
            <v>ECOSAMPA Campo Limpo</v>
          </cell>
        </row>
        <row r="1556">
          <cell r="A1556">
            <v>114946</v>
          </cell>
          <cell r="B1556" t="str">
            <v>LUCIMAURO PEREIRA DA SILVA</v>
          </cell>
          <cell r="C1556" t="str">
            <v>AJUDANTE EQ SERVICOS DIVERSOS</v>
          </cell>
          <cell r="D1556" t="str">
            <v>ECOSAMPA Operação Geral</v>
          </cell>
        </row>
        <row r="1557">
          <cell r="A1557">
            <v>112854</v>
          </cell>
          <cell r="B1557" t="str">
            <v>LUCINA LINA PASTOR DA SILVA</v>
          </cell>
          <cell r="C1557" t="str">
            <v>VARREDOR</v>
          </cell>
          <cell r="D1557" t="str">
            <v>ECOSAMPA Santo Amaro</v>
          </cell>
        </row>
        <row r="1558">
          <cell r="A1558">
            <v>112872</v>
          </cell>
          <cell r="B1558" t="str">
            <v>LUCINEIA FERREIRA DOS SANTOS</v>
          </cell>
          <cell r="C1558" t="str">
            <v>VARREDOR</v>
          </cell>
          <cell r="D1558" t="str">
            <v>ECOSAMPA Santo Amaro</v>
          </cell>
        </row>
        <row r="1559">
          <cell r="A1559">
            <v>113719</v>
          </cell>
          <cell r="B1559" t="str">
            <v>LUCIVAL CARVALHO REIS</v>
          </cell>
          <cell r="C1559" t="str">
            <v>ENCANADOR</v>
          </cell>
          <cell r="D1559" t="str">
            <v>ECOSAMPA Operação Geral</v>
          </cell>
        </row>
        <row r="1560">
          <cell r="A1560">
            <v>121405</v>
          </cell>
          <cell r="B1560" t="str">
            <v>LUCIVAN JOSE DOS SANTOS</v>
          </cell>
          <cell r="C1560" t="str">
            <v>AJUDANTE EQ SERVICOS DIVERSOS</v>
          </cell>
          <cell r="D1560" t="str">
            <v>ECOSAMPA Operação Geral</v>
          </cell>
        </row>
        <row r="1561">
          <cell r="A1561">
            <v>114892</v>
          </cell>
          <cell r="B1561" t="str">
            <v>LUCRECIA DOURADO DE OLIVEIRA</v>
          </cell>
          <cell r="C1561" t="str">
            <v>PENSIONISTAS</v>
          </cell>
          <cell r="D1561" t="str">
            <v>ECOSAMPA Pensionistas</v>
          </cell>
        </row>
        <row r="1562">
          <cell r="A1562">
            <v>112892</v>
          </cell>
          <cell r="B1562" t="str">
            <v>LUIS CARLOS MATOS DE ALMEIDA</v>
          </cell>
          <cell r="C1562" t="str">
            <v>AUXILIAR DE TRAFEGO</v>
          </cell>
          <cell r="D1562" t="str">
            <v>ECOSAMPA Operação Geral</v>
          </cell>
        </row>
        <row r="1563">
          <cell r="A1563">
            <v>112897</v>
          </cell>
          <cell r="B1563" t="str">
            <v>LUIS CARLOS RIBEIRO DA SILVA</v>
          </cell>
          <cell r="C1563" t="str">
            <v>VARREDOR</v>
          </cell>
          <cell r="D1563" t="str">
            <v>ECOSAMPA Capela do Socorro</v>
          </cell>
        </row>
        <row r="1564">
          <cell r="A1564">
            <v>112902</v>
          </cell>
          <cell r="B1564" t="str">
            <v>LUIS DOS SANTOS BURITI</v>
          </cell>
          <cell r="C1564" t="str">
            <v>AJUDANTE EQ SERVICOS DIVERSOS</v>
          </cell>
          <cell r="D1564" t="str">
            <v>ECOSAMPA Capela do Socorro</v>
          </cell>
        </row>
        <row r="1565">
          <cell r="A1565">
            <v>121955</v>
          </cell>
          <cell r="B1565" t="str">
            <v>LUIS HENRIQUE JERONIMO VIEIRA</v>
          </cell>
          <cell r="C1565" t="str">
            <v>AJUDANTE EQ SERVICOS DIVERSOS</v>
          </cell>
          <cell r="D1565" t="str">
            <v>ECOSAMPA Capela do Socorro</v>
          </cell>
        </row>
        <row r="1566">
          <cell r="A1566">
            <v>112906</v>
          </cell>
          <cell r="B1566" t="str">
            <v>LUIS LOPES DE SOUSA</v>
          </cell>
          <cell r="C1566" t="str">
            <v>VARREDOR</v>
          </cell>
          <cell r="D1566" t="str">
            <v>ECOSAMPA Santo Amaro</v>
          </cell>
        </row>
        <row r="1567">
          <cell r="A1567">
            <v>112913</v>
          </cell>
          <cell r="B1567" t="str">
            <v>LUIS RODRIGUES DE SOUSA</v>
          </cell>
          <cell r="C1567" t="str">
            <v>AJUDANTE EQ SERVICOS DIVERSOS</v>
          </cell>
          <cell r="D1567" t="str">
            <v>ECOSAMPA Santo Amaro</v>
          </cell>
        </row>
        <row r="1568">
          <cell r="A1568">
            <v>112920</v>
          </cell>
          <cell r="B1568" t="str">
            <v>LUIZ ADALBERTO DA SILVA</v>
          </cell>
          <cell r="C1568" t="str">
            <v>MOTORISTA CAMINHAO</v>
          </cell>
          <cell r="D1568" t="str">
            <v>ECOSAMPA Operação Geral</v>
          </cell>
        </row>
        <row r="1569">
          <cell r="A1569">
            <v>112965</v>
          </cell>
          <cell r="B1569" t="str">
            <v>LUIZ ALBERTO MENDES</v>
          </cell>
          <cell r="C1569" t="str">
            <v>AJUDANTE EQ SERVICOS DIVERSOS</v>
          </cell>
          <cell r="D1569" t="str">
            <v>ECOSAMPA Santo Amaro</v>
          </cell>
        </row>
        <row r="1570">
          <cell r="A1570">
            <v>114929</v>
          </cell>
          <cell r="B1570" t="str">
            <v>LUIZ ALBERTO OLIVEIRA CAVALCANTI</v>
          </cell>
          <cell r="C1570" t="str">
            <v>AJUDANTE EQ SERVICOS DIVERSOS</v>
          </cell>
          <cell r="D1570" t="str">
            <v>ECOSAMPA Operação Geral</v>
          </cell>
        </row>
        <row r="1571">
          <cell r="A1571">
            <v>112968</v>
          </cell>
          <cell r="B1571" t="str">
            <v>LUIZ ANTONIO DA SILVA</v>
          </cell>
          <cell r="C1571" t="str">
            <v>VARREDOR</v>
          </cell>
          <cell r="D1571" t="str">
            <v>ECOSAMPA Santo Amaro</v>
          </cell>
        </row>
        <row r="1572">
          <cell r="A1572">
            <v>112971</v>
          </cell>
          <cell r="B1572" t="str">
            <v>LUIZ ANTONIO DE LIMA</v>
          </cell>
          <cell r="C1572" t="str">
            <v>COLETOR</v>
          </cell>
          <cell r="D1572" t="str">
            <v>ECOSAMPA Operação Geral</v>
          </cell>
        </row>
        <row r="1573">
          <cell r="A1573">
            <v>112975</v>
          </cell>
          <cell r="B1573" t="str">
            <v>LUIZ ANTONIO DO AMARANTE SOUSA</v>
          </cell>
          <cell r="C1573" t="str">
            <v>ENCARREGADO DE TRAFEGO II</v>
          </cell>
          <cell r="D1573" t="str">
            <v>ECOSAMPA Operação Geral</v>
          </cell>
        </row>
        <row r="1574">
          <cell r="A1574">
            <v>121514</v>
          </cell>
          <cell r="B1574" t="str">
            <v>LUIZ CARLOS DA SILVA</v>
          </cell>
          <cell r="C1574" t="str">
            <v>AJUDANTE EQ SERVICOS DIVERSOS</v>
          </cell>
          <cell r="D1574" t="str">
            <v>ECOSAMPA Operação Geral</v>
          </cell>
        </row>
        <row r="1575">
          <cell r="A1575">
            <v>116230</v>
          </cell>
          <cell r="B1575" t="str">
            <v>LUIZ CARLOS DE JESUS OLIVEIRA</v>
          </cell>
          <cell r="C1575" t="str">
            <v>AJUDANTE EQ SERVICOS DIVERSOS</v>
          </cell>
          <cell r="D1575" t="str">
            <v>ECOSAMPA Santo Amaro</v>
          </cell>
        </row>
        <row r="1576">
          <cell r="A1576">
            <v>121536</v>
          </cell>
          <cell r="B1576" t="str">
            <v>LUIZ CARLOS DE OLIVEIRA</v>
          </cell>
          <cell r="C1576" t="str">
            <v>MOTORISTA CAMINHAO</v>
          </cell>
          <cell r="D1576" t="str">
            <v>ECOSAMPA Operação Geral</v>
          </cell>
        </row>
        <row r="1577">
          <cell r="A1577">
            <v>122235</v>
          </cell>
          <cell r="B1577" t="str">
            <v>LUIZ CARLOS DE OLIVEIRA</v>
          </cell>
          <cell r="C1577" t="str">
            <v>MOTORISTA CAMINHAO</v>
          </cell>
          <cell r="D1577" t="str">
            <v>ECOSAMPA Operação Geral</v>
          </cell>
        </row>
        <row r="1578">
          <cell r="A1578">
            <v>112980</v>
          </cell>
          <cell r="B1578" t="str">
            <v>LUIZ CARLOS DOS SANTOS</v>
          </cell>
          <cell r="C1578" t="str">
            <v>AJUDANTE EQ SERVICOS DIVERSOS</v>
          </cell>
          <cell r="D1578" t="str">
            <v>ECOSAMPA Operação Geral</v>
          </cell>
        </row>
        <row r="1579">
          <cell r="A1579">
            <v>112988</v>
          </cell>
          <cell r="B1579" t="str">
            <v>LUIZ CARLOS FERNANDES COSTA</v>
          </cell>
          <cell r="C1579" t="str">
            <v>AJUDANTE EQ SERVICOS DIVERSOS</v>
          </cell>
          <cell r="D1579" t="str">
            <v>ECOSAMPA Capela do Socorro</v>
          </cell>
        </row>
        <row r="1580">
          <cell r="A1580">
            <v>112993</v>
          </cell>
          <cell r="B1580" t="str">
            <v>LUIZ CARLOS VITAL DA SILVA</v>
          </cell>
          <cell r="C1580" t="str">
            <v>MOTORISTA CAMINHAO</v>
          </cell>
          <cell r="D1580" t="str">
            <v>ECOSAMPA Operação Geral</v>
          </cell>
        </row>
        <row r="1581">
          <cell r="A1581">
            <v>112996</v>
          </cell>
          <cell r="B1581" t="str">
            <v>LUIZ CLAUDIO CORREIA DA SILVA</v>
          </cell>
          <cell r="C1581" t="str">
            <v>VARREDOR</v>
          </cell>
          <cell r="D1581" t="str">
            <v>ECOSAMPA Capela do Socorro</v>
          </cell>
        </row>
        <row r="1582">
          <cell r="A1582">
            <v>112998</v>
          </cell>
          <cell r="B1582" t="str">
            <v>LUIZ DIAS FERREIRA</v>
          </cell>
          <cell r="C1582" t="str">
            <v>VARREDOR</v>
          </cell>
          <cell r="D1582" t="str">
            <v>ECOSAMPA Capela do Socorro</v>
          </cell>
        </row>
        <row r="1583">
          <cell r="A1583">
            <v>114931</v>
          </cell>
          <cell r="B1583" t="str">
            <v>LUIZ DINIZ PINHEIRO</v>
          </cell>
          <cell r="C1583" t="str">
            <v>AJUDANTE EQ SERVICOS DIVERSOS</v>
          </cell>
          <cell r="D1583" t="str">
            <v>ECOSAMPA Operação Geral</v>
          </cell>
        </row>
        <row r="1584">
          <cell r="A1584">
            <v>113002</v>
          </cell>
          <cell r="B1584" t="str">
            <v>LUIZ DONIZETI DA SILVA</v>
          </cell>
          <cell r="C1584" t="str">
            <v>VARREDOR</v>
          </cell>
          <cell r="D1584" t="str">
            <v>ECOSAMPA Santo Amaro</v>
          </cell>
        </row>
        <row r="1585">
          <cell r="A1585">
            <v>116231</v>
          </cell>
          <cell r="B1585" t="str">
            <v>LUIZ EDUARDO DA SILVA</v>
          </cell>
          <cell r="C1585" t="str">
            <v>AJUDANTE EQ SERVICOS DIVERSOS</v>
          </cell>
          <cell r="D1585" t="str">
            <v>ECOSAMPA Santo Amaro</v>
          </cell>
        </row>
        <row r="1586">
          <cell r="A1586">
            <v>113007</v>
          </cell>
          <cell r="B1586" t="str">
            <v>LUIZ EDUARDO DA SILVA OLIVEIRA</v>
          </cell>
          <cell r="C1586" t="str">
            <v>AJUDANTE EQ SERVICOS DIVERSOS</v>
          </cell>
          <cell r="D1586" t="str">
            <v>ECOSAMPA Santo Amaro</v>
          </cell>
        </row>
        <row r="1587">
          <cell r="A1587">
            <v>119924</v>
          </cell>
          <cell r="B1587" t="str">
            <v>LUIZ FELIPE DA SILVA</v>
          </cell>
          <cell r="C1587" t="str">
            <v>AJUDANTE EQ SERVICOS DIVERSOS</v>
          </cell>
          <cell r="D1587" t="str">
            <v>ECOSAMPA Operação Geral</v>
          </cell>
        </row>
        <row r="1588">
          <cell r="A1588">
            <v>113018</v>
          </cell>
          <cell r="B1588" t="str">
            <v>LUIZ FELIPE ROCHA DO EVANGELO</v>
          </cell>
          <cell r="C1588" t="str">
            <v>VARREDOR</v>
          </cell>
          <cell r="D1588" t="str">
            <v>ECOSAMPA Capela do Socorro</v>
          </cell>
        </row>
        <row r="1589">
          <cell r="A1589">
            <v>113024</v>
          </cell>
          <cell r="B1589" t="str">
            <v>LUIZ FERNANDO DA SILVA</v>
          </cell>
          <cell r="C1589" t="str">
            <v>BUEIRISTA</v>
          </cell>
          <cell r="D1589" t="str">
            <v>ECOSAMPA Santo Amaro</v>
          </cell>
        </row>
        <row r="1590">
          <cell r="A1590">
            <v>113033</v>
          </cell>
          <cell r="B1590" t="str">
            <v>LUIZ FRANCISCO DE MATOS</v>
          </cell>
          <cell r="C1590" t="str">
            <v>MOTORISTA CAMINHAO</v>
          </cell>
          <cell r="D1590" t="str">
            <v>ECOSAMPA Operação Geral</v>
          </cell>
        </row>
        <row r="1591">
          <cell r="A1591">
            <v>113038</v>
          </cell>
          <cell r="B1591" t="str">
            <v>LUIZ GUSTAVO DE SOUZA SILVA</v>
          </cell>
          <cell r="C1591" t="str">
            <v>AJUDANTE EQ SERVICOS DIVERSOS</v>
          </cell>
          <cell r="D1591" t="str">
            <v>ECOSAMPA Capela do Socorro</v>
          </cell>
        </row>
        <row r="1592">
          <cell r="A1592">
            <v>116006</v>
          </cell>
          <cell r="B1592" t="str">
            <v>LUIZ HENRIQUE SANTOS DE OLIVEIRA</v>
          </cell>
          <cell r="C1592" t="str">
            <v>AJUDANTE EQ SERVICOS DIVERSOS</v>
          </cell>
          <cell r="D1592" t="str">
            <v>ECOSAMPA Santo Amaro</v>
          </cell>
        </row>
        <row r="1593">
          <cell r="A1593">
            <v>113042</v>
          </cell>
          <cell r="B1593" t="str">
            <v>LUIZ HENRIQUE SILVA BRAGA</v>
          </cell>
          <cell r="C1593" t="str">
            <v>AJUDANTE EQ SERVICOS DIVERSOS</v>
          </cell>
          <cell r="D1593" t="str">
            <v>ECOSAMPA Santo Amaro</v>
          </cell>
        </row>
        <row r="1594">
          <cell r="A1594">
            <v>113048</v>
          </cell>
          <cell r="B1594" t="str">
            <v>LUIZ JOSE DA SILVA SANTOS</v>
          </cell>
          <cell r="C1594" t="str">
            <v>MOTORISTA CAMINHAO</v>
          </cell>
          <cell r="D1594" t="str">
            <v>ECOSAMPA Operação Geral</v>
          </cell>
        </row>
        <row r="1595">
          <cell r="A1595">
            <v>117247</v>
          </cell>
          <cell r="B1595" t="str">
            <v>LUIZ MORGADO</v>
          </cell>
          <cell r="C1595" t="str">
            <v>ENCARREGADO DE TURMA</v>
          </cell>
          <cell r="D1595" t="str">
            <v>ECOSAMPA Campo Limpo</v>
          </cell>
        </row>
        <row r="1596">
          <cell r="A1596">
            <v>116321</v>
          </cell>
          <cell r="B1596" t="str">
            <v>LUIZ PAULO WANDERLEY DE CARVALHO</v>
          </cell>
          <cell r="C1596" t="str">
            <v>AJUDANTE EQ SERVICOS DIVERSOS</v>
          </cell>
          <cell r="D1596" t="str">
            <v>ECOSAMPA Santo Amaro</v>
          </cell>
        </row>
        <row r="1597">
          <cell r="A1597">
            <v>113055</v>
          </cell>
          <cell r="B1597" t="str">
            <v>LUIZ RODRIGUES DE SOUZA</v>
          </cell>
          <cell r="C1597" t="str">
            <v>VARREDOR</v>
          </cell>
          <cell r="D1597" t="str">
            <v>ECOSAMPA M'Boi Mirim</v>
          </cell>
        </row>
        <row r="1598">
          <cell r="A1598">
            <v>113065</v>
          </cell>
          <cell r="B1598" t="str">
            <v>MAGNO ALVES DA SILVA</v>
          </cell>
          <cell r="C1598" t="str">
            <v>VARREDOR</v>
          </cell>
          <cell r="D1598" t="str">
            <v>ECOSAMPA Campo Limpo</v>
          </cell>
        </row>
        <row r="1599">
          <cell r="A1599">
            <v>113073</v>
          </cell>
          <cell r="B1599" t="str">
            <v>MAGNOBALDO PEREIRA SANTOS</v>
          </cell>
          <cell r="C1599" t="str">
            <v>VARREDOR</v>
          </cell>
          <cell r="D1599" t="str">
            <v>ECOSAMPA Santo Amaro</v>
          </cell>
        </row>
        <row r="1600">
          <cell r="A1600">
            <v>119676</v>
          </cell>
          <cell r="B1600" t="str">
            <v>MAICK ROGERIO RIBEIRO CORREA</v>
          </cell>
          <cell r="C1600" t="str">
            <v>AJUDANTE EQ SERVICOS DIVERSOS</v>
          </cell>
          <cell r="D1600" t="str">
            <v>ECOSAMPA Operação Geral</v>
          </cell>
        </row>
        <row r="1601">
          <cell r="A1601">
            <v>121412</v>
          </cell>
          <cell r="B1601" t="str">
            <v>MAICON APARECIDO DE SOUZA</v>
          </cell>
          <cell r="C1601" t="str">
            <v>AJUDANTE EQ SERVICOS DIVERSOS</v>
          </cell>
          <cell r="D1601" t="str">
            <v>ECOSAMPA Operação Geral</v>
          </cell>
        </row>
        <row r="1602">
          <cell r="A1602">
            <v>113088</v>
          </cell>
          <cell r="B1602" t="str">
            <v>MAICON DOS SANTOS</v>
          </cell>
          <cell r="C1602" t="str">
            <v>COLETOR</v>
          </cell>
          <cell r="D1602" t="str">
            <v>ECOSAMPA Operação Geral</v>
          </cell>
        </row>
        <row r="1603">
          <cell r="A1603">
            <v>121855</v>
          </cell>
          <cell r="B1603" t="str">
            <v>MAIKE SANTOS NASCIMENTO</v>
          </cell>
          <cell r="C1603" t="str">
            <v>AJUDANTE EQ SERVICOS DIVERSOS</v>
          </cell>
          <cell r="D1603" t="str">
            <v>ECOSAMPA Campo Limpo</v>
          </cell>
        </row>
        <row r="1604">
          <cell r="A1604">
            <v>121518</v>
          </cell>
          <cell r="B1604" t="str">
            <v>MAILSON BARBOSA MARTINS</v>
          </cell>
          <cell r="C1604" t="str">
            <v>AJUDANTE EQ SERVICOS DIVERSOS</v>
          </cell>
          <cell r="D1604" t="str">
            <v>ECOSAMPA Operação Geral</v>
          </cell>
        </row>
        <row r="1605">
          <cell r="A1605">
            <v>113095</v>
          </cell>
          <cell r="B1605" t="str">
            <v>MANACES ALVES CORREIA</v>
          </cell>
          <cell r="C1605" t="str">
            <v>FISCAL DE TURMA PLENO</v>
          </cell>
          <cell r="D1605" t="str">
            <v>ECOSAMPA Campo Limpo</v>
          </cell>
        </row>
        <row r="1606">
          <cell r="A1606">
            <v>117363</v>
          </cell>
          <cell r="B1606" t="str">
            <v>MANASSES JOSE DA SILVA</v>
          </cell>
          <cell r="C1606" t="str">
            <v>MOTORISTA CAMINHAO</v>
          </cell>
          <cell r="D1606" t="str">
            <v>ECOSAMPA Operação Geral</v>
          </cell>
        </row>
        <row r="1607">
          <cell r="A1607">
            <v>113101</v>
          </cell>
          <cell r="B1607" t="str">
            <v>MANOEL ARAUJO DE BARROS</v>
          </cell>
          <cell r="C1607" t="str">
            <v>AJUDANTE EQ SERVICOS DIVERSOS</v>
          </cell>
          <cell r="D1607" t="str">
            <v>ECOSAMPA Capela do Socorro</v>
          </cell>
        </row>
        <row r="1608">
          <cell r="A1608">
            <v>114557</v>
          </cell>
          <cell r="B1608" t="str">
            <v>MANOEL BARBOSA DA SILVA</v>
          </cell>
          <cell r="C1608" t="str">
            <v>AJUDANTE EQ SERVICOS DIVERSOS</v>
          </cell>
          <cell r="D1608" t="str">
            <v>ECOSAMPA M'Boi Mirim</v>
          </cell>
        </row>
        <row r="1609">
          <cell r="A1609">
            <v>113106</v>
          </cell>
          <cell r="B1609" t="str">
            <v>MANOEL BELARMINO DA SILVA</v>
          </cell>
          <cell r="C1609" t="str">
            <v>VARREDOR</v>
          </cell>
          <cell r="D1609" t="str">
            <v>ECOSAMPA Santo Amaro</v>
          </cell>
        </row>
        <row r="1610">
          <cell r="A1610">
            <v>113110</v>
          </cell>
          <cell r="B1610" t="str">
            <v>MANOEL CARLOS DA SILVA FIGUEIREDO</v>
          </cell>
          <cell r="C1610" t="str">
            <v>VARREDOR</v>
          </cell>
          <cell r="D1610" t="str">
            <v>ECOSAMPA Capela do Socorro</v>
          </cell>
        </row>
        <row r="1611">
          <cell r="A1611">
            <v>113116</v>
          </cell>
          <cell r="B1611" t="str">
            <v>MANOEL CARLOS DE SOUZA COSTA</v>
          </cell>
          <cell r="C1611" t="str">
            <v>VARREDOR</v>
          </cell>
          <cell r="D1611" t="str">
            <v>ECOSAMPA Campo Limpo</v>
          </cell>
        </row>
        <row r="1612">
          <cell r="A1612">
            <v>113122</v>
          </cell>
          <cell r="B1612" t="str">
            <v>MANOEL DE ASSIS DA SILVA</v>
          </cell>
          <cell r="C1612" t="str">
            <v>VARREDOR</v>
          </cell>
          <cell r="D1612" t="str">
            <v>ECOSAMPA Santo Amaro</v>
          </cell>
        </row>
        <row r="1613">
          <cell r="A1613">
            <v>113127</v>
          </cell>
          <cell r="B1613" t="str">
            <v>MANOEL DOS SANTOS DE LIRA TEIXEIRA</v>
          </cell>
          <cell r="C1613" t="str">
            <v>VARREDOR</v>
          </cell>
          <cell r="D1613" t="str">
            <v>ECOSAMPA Campo Limpo</v>
          </cell>
        </row>
        <row r="1614">
          <cell r="A1614">
            <v>113133</v>
          </cell>
          <cell r="B1614" t="str">
            <v>MANOEL FRANCISCO DA SILVA</v>
          </cell>
          <cell r="C1614" t="str">
            <v>VARREDOR</v>
          </cell>
          <cell r="D1614" t="str">
            <v>ECOSAMPA Santo Amaro</v>
          </cell>
        </row>
        <row r="1615">
          <cell r="A1615">
            <v>113137</v>
          </cell>
          <cell r="B1615" t="str">
            <v>MANOEL FRANCISCO DA SILVA HEMEL</v>
          </cell>
          <cell r="C1615" t="str">
            <v>COLETOR</v>
          </cell>
          <cell r="D1615" t="str">
            <v>ECOSAMPA Operação Geral</v>
          </cell>
        </row>
        <row r="1616">
          <cell r="A1616">
            <v>113140</v>
          </cell>
          <cell r="B1616" t="str">
            <v>MANOEL HENRIQUE CONCEICAO</v>
          </cell>
          <cell r="C1616" t="str">
            <v>VARREDOR</v>
          </cell>
          <cell r="D1616" t="str">
            <v>ECOSAMPA Santo Amaro</v>
          </cell>
        </row>
        <row r="1617">
          <cell r="A1617">
            <v>113142</v>
          </cell>
          <cell r="B1617" t="str">
            <v>MANOEL JOSE DO NASCIMENTO JUNIOR</v>
          </cell>
          <cell r="C1617" t="str">
            <v>COLETOR</v>
          </cell>
          <cell r="D1617" t="str">
            <v>ECOSAMPA Operação Geral</v>
          </cell>
        </row>
        <row r="1618">
          <cell r="A1618">
            <v>113143</v>
          </cell>
          <cell r="B1618" t="str">
            <v>MANOEL LUIZ VESPA</v>
          </cell>
          <cell r="C1618" t="str">
            <v>VARREDOR</v>
          </cell>
          <cell r="D1618" t="str">
            <v>ECOSAMPA Capela do Socorro</v>
          </cell>
        </row>
        <row r="1619">
          <cell r="A1619">
            <v>113146</v>
          </cell>
          <cell r="B1619" t="str">
            <v>MANOEL MESSIAS DA CONCEICAO</v>
          </cell>
          <cell r="C1619" t="str">
            <v>VARREDOR</v>
          </cell>
          <cell r="D1619" t="str">
            <v>ECOSAMPA Campo Limpo</v>
          </cell>
        </row>
        <row r="1620">
          <cell r="A1620">
            <v>113149</v>
          </cell>
          <cell r="B1620" t="str">
            <v>MANOEL MESSIAS DE BRITO</v>
          </cell>
          <cell r="C1620" t="str">
            <v>VARREDOR</v>
          </cell>
          <cell r="D1620" t="str">
            <v>ECOSAMPA M'Boi Mirim</v>
          </cell>
        </row>
        <row r="1621">
          <cell r="A1621">
            <v>113155</v>
          </cell>
          <cell r="B1621" t="str">
            <v>MANOEL OLIVEIRA NETO</v>
          </cell>
          <cell r="C1621" t="str">
            <v>MOTORISTA CAMINHAO</v>
          </cell>
          <cell r="D1621" t="str">
            <v>ECOSAMPA Operação Geral</v>
          </cell>
        </row>
        <row r="1622">
          <cell r="A1622">
            <v>113167</v>
          </cell>
          <cell r="B1622" t="str">
            <v>MANOEL PEREIRA DA SILVA</v>
          </cell>
          <cell r="C1622" t="str">
            <v>VARREDOR</v>
          </cell>
          <cell r="D1622" t="str">
            <v>ECOSAMPA Santo Amaro</v>
          </cell>
        </row>
        <row r="1623">
          <cell r="A1623">
            <v>113169</v>
          </cell>
          <cell r="B1623" t="str">
            <v>MANOEL PEREIRA DOS SANTOS</v>
          </cell>
          <cell r="C1623" t="str">
            <v>VARREDOR</v>
          </cell>
          <cell r="D1623" t="str">
            <v>ECOSAMPA M'Boi Mirim</v>
          </cell>
        </row>
        <row r="1624">
          <cell r="A1624">
            <v>113172</v>
          </cell>
          <cell r="B1624" t="str">
            <v>MANOEL SILVA MENDES</v>
          </cell>
          <cell r="C1624" t="str">
            <v>VARREDOR</v>
          </cell>
          <cell r="D1624" t="str">
            <v>ECOSAMPA Santo Amaro</v>
          </cell>
        </row>
        <row r="1625">
          <cell r="A1625">
            <v>113174</v>
          </cell>
          <cell r="B1625" t="str">
            <v>MANOEL SILVA SANTOS</v>
          </cell>
          <cell r="C1625" t="str">
            <v>MOTORISTA CAMINHAO</v>
          </cell>
          <cell r="D1625" t="str">
            <v>ECOSAMPA Operação Geral</v>
          </cell>
        </row>
        <row r="1626">
          <cell r="A1626">
            <v>113176</v>
          </cell>
          <cell r="B1626" t="str">
            <v>MANOEL VALNAI DE MIRANDA</v>
          </cell>
          <cell r="C1626" t="str">
            <v>VARREDOR</v>
          </cell>
          <cell r="D1626" t="str">
            <v>ECOSAMPA Campo Limpo</v>
          </cell>
        </row>
        <row r="1627">
          <cell r="A1627">
            <v>121409</v>
          </cell>
          <cell r="B1627" t="str">
            <v>MANOEL VALNAI DE MIRANDA</v>
          </cell>
          <cell r="C1627" t="str">
            <v>AJUDANTE EQ SERVICOS DIVERSOS</v>
          </cell>
          <cell r="D1627" t="str">
            <v>ECOSAMPA Operação Geral</v>
          </cell>
        </row>
        <row r="1628">
          <cell r="A1628">
            <v>113177</v>
          </cell>
          <cell r="B1628" t="str">
            <v>MANUELITO PEREIRA DA SILVA</v>
          </cell>
          <cell r="C1628" t="str">
            <v>VARREDOR</v>
          </cell>
          <cell r="D1628" t="str">
            <v>ECOSAMPA Campo Limpo</v>
          </cell>
        </row>
        <row r="1629">
          <cell r="A1629">
            <v>113180</v>
          </cell>
          <cell r="B1629" t="str">
            <v>MARCELO ALBERTI BARROS DA SILVA</v>
          </cell>
          <cell r="C1629" t="str">
            <v>MOTORISTA CAMINHAO</v>
          </cell>
          <cell r="D1629" t="str">
            <v>ECOSAMPA Operação Geral</v>
          </cell>
        </row>
        <row r="1630">
          <cell r="A1630">
            <v>113185</v>
          </cell>
          <cell r="B1630" t="str">
            <v>MARCELO APARECIDO FONSECA</v>
          </cell>
          <cell r="C1630" t="str">
            <v>MOTORISTA CAMINHAO</v>
          </cell>
          <cell r="D1630" t="str">
            <v>ECOSAMPA Operação Geral</v>
          </cell>
        </row>
        <row r="1631">
          <cell r="A1631">
            <v>113189</v>
          </cell>
          <cell r="B1631" t="str">
            <v>MARCELO CALIXTO DE GOUVEIA</v>
          </cell>
          <cell r="C1631" t="str">
            <v>COLETOR</v>
          </cell>
          <cell r="D1631" t="str">
            <v>ECOSAMPA Operação Geral</v>
          </cell>
        </row>
        <row r="1632">
          <cell r="A1632">
            <v>113720</v>
          </cell>
          <cell r="B1632" t="str">
            <v>MARCELO CANDIDO DOS SANTOS</v>
          </cell>
          <cell r="C1632" t="str">
            <v>ASSISTENTE DE DEPARTAMENTO PESSOAL</v>
          </cell>
          <cell r="D1632" t="str">
            <v>ECOSAMPA Administração</v>
          </cell>
        </row>
        <row r="1633">
          <cell r="A1633">
            <v>113193</v>
          </cell>
          <cell r="B1633" t="str">
            <v>MARCELO CELESTINO PALMIERI</v>
          </cell>
          <cell r="C1633" t="str">
            <v>AJUDANTE EQ SERVICOS DIVERSOS</v>
          </cell>
          <cell r="D1633" t="str">
            <v>ECOSAMPA M'Boi Mirim</v>
          </cell>
        </row>
        <row r="1634">
          <cell r="A1634">
            <v>113198</v>
          </cell>
          <cell r="B1634" t="str">
            <v>MARCELO COSTA RODRIGUES</v>
          </cell>
          <cell r="C1634" t="str">
            <v>FISCAL DE TURMA PLENO</v>
          </cell>
          <cell r="D1634" t="str">
            <v>ECOSAMPA M'Boi Mirim</v>
          </cell>
        </row>
        <row r="1635">
          <cell r="A1635">
            <v>113203</v>
          </cell>
          <cell r="B1635" t="str">
            <v>MARCELO DA CONCEICAO OLIVEIRA</v>
          </cell>
          <cell r="C1635" t="str">
            <v>AJUDANTE EQ SERVICOS DIVERSOS</v>
          </cell>
          <cell r="D1635" t="str">
            <v>ECOSAMPA Santo Amaro</v>
          </cell>
        </row>
        <row r="1636">
          <cell r="A1636">
            <v>114726</v>
          </cell>
          <cell r="B1636" t="str">
            <v>MARCELO DE OLIVEIRA FELIPE</v>
          </cell>
          <cell r="C1636" t="str">
            <v>AJUDANTE EQ SERVICOS DIVERSOS</v>
          </cell>
          <cell r="D1636" t="str">
            <v>ECOSAMPA Santo Amaro</v>
          </cell>
        </row>
        <row r="1637">
          <cell r="A1637">
            <v>113205</v>
          </cell>
          <cell r="B1637" t="str">
            <v>MARCELO DE PAULA VIEIRA DA SILVA</v>
          </cell>
          <cell r="C1637" t="str">
            <v>VARREDOR</v>
          </cell>
          <cell r="D1637" t="str">
            <v>ECOSAMPA Santo Amaro</v>
          </cell>
        </row>
        <row r="1638">
          <cell r="A1638">
            <v>115399</v>
          </cell>
          <cell r="B1638" t="str">
            <v>MARCELO DE SOUZA JACO DOS SANTOS</v>
          </cell>
          <cell r="C1638" t="str">
            <v>AJUDANTE EQ SERVICOS DIVERSOS</v>
          </cell>
          <cell r="D1638" t="str">
            <v>ECOSAMPA Santo Amaro</v>
          </cell>
        </row>
        <row r="1639">
          <cell r="A1639">
            <v>113208</v>
          </cell>
          <cell r="B1639" t="str">
            <v>MARCELO DOS SANTOS SANTANA</v>
          </cell>
          <cell r="C1639" t="str">
            <v>VARREDOR</v>
          </cell>
          <cell r="D1639" t="str">
            <v>ECOSAMPA M'Boi Mirim</v>
          </cell>
        </row>
        <row r="1640">
          <cell r="A1640">
            <v>114932</v>
          </cell>
          <cell r="B1640" t="str">
            <v>MARCELO FEITOZA E SILVA</v>
          </cell>
          <cell r="C1640" t="str">
            <v>AJUDANTE EQ SERVICOS DIVERSOS</v>
          </cell>
          <cell r="D1640" t="str">
            <v>ECOSAMPA Operação Geral</v>
          </cell>
        </row>
        <row r="1641">
          <cell r="A1641">
            <v>117362</v>
          </cell>
          <cell r="B1641" t="str">
            <v>MARCELO FEITOZA SANTOS</v>
          </cell>
          <cell r="C1641" t="str">
            <v>MOTORISTA DE CAMINHAO</v>
          </cell>
          <cell r="D1641" t="str">
            <v>ECOSAMPA Operação Geral</v>
          </cell>
        </row>
        <row r="1642">
          <cell r="A1642">
            <v>114501</v>
          </cell>
          <cell r="B1642" t="str">
            <v>MARCELO FERNANDO DA SILVA</v>
          </cell>
          <cell r="C1642" t="str">
            <v>SERVENTE</v>
          </cell>
          <cell r="D1642" t="str">
            <v>ECOSAMPA Operação Geral</v>
          </cell>
        </row>
        <row r="1643">
          <cell r="A1643">
            <v>116016</v>
          </cell>
          <cell r="B1643" t="str">
            <v>MARCELO GOMES</v>
          </cell>
          <cell r="C1643" t="str">
            <v>AJUDANTE EQ SERVICOS DIVERSOS</v>
          </cell>
          <cell r="D1643" t="str">
            <v>ECOSAMPA Campo Limpo</v>
          </cell>
        </row>
        <row r="1644">
          <cell r="A1644">
            <v>113215</v>
          </cell>
          <cell r="B1644" t="str">
            <v>MARCELO INACIO DE OLIVEIRA</v>
          </cell>
          <cell r="C1644" t="str">
            <v>AJUDANTE EQ SERVICOS DIVERSOS</v>
          </cell>
          <cell r="D1644" t="str">
            <v>ECOSAMPA Operação Geral</v>
          </cell>
        </row>
        <row r="1645">
          <cell r="A1645">
            <v>113217</v>
          </cell>
          <cell r="B1645" t="str">
            <v>MARCELO JOSE DE ANDRADE</v>
          </cell>
          <cell r="C1645" t="str">
            <v>AJUDANTE EQ SERVICOS DIVERSOS</v>
          </cell>
          <cell r="D1645" t="str">
            <v>ECOSAMPA Campo Limpo</v>
          </cell>
        </row>
        <row r="1646">
          <cell r="A1646">
            <v>113220</v>
          </cell>
          <cell r="B1646" t="str">
            <v>MARCELO JOSE DO NASCIMENTO</v>
          </cell>
          <cell r="C1646" t="str">
            <v>AJUDANTE EQ SERVICOS DIVERSOS</v>
          </cell>
          <cell r="D1646" t="str">
            <v>ECOSAMPA M'Boi Mirim</v>
          </cell>
        </row>
        <row r="1647">
          <cell r="A1647">
            <v>113222</v>
          </cell>
          <cell r="B1647" t="str">
            <v>MARCELO LIMA PEREIRA</v>
          </cell>
          <cell r="C1647" t="str">
            <v>MOTORISTA CAMINHAO</v>
          </cell>
          <cell r="D1647" t="str">
            <v>ECOSAMPA Operação Geral</v>
          </cell>
        </row>
        <row r="1648">
          <cell r="A1648">
            <v>119667</v>
          </cell>
          <cell r="B1648" t="str">
            <v>MARCELO MANASSES DA SILVA</v>
          </cell>
          <cell r="C1648" t="str">
            <v>AJUDANTE EQ SERVICOS DIVERSOS</v>
          </cell>
          <cell r="D1648" t="str">
            <v>ECOSAMPA Parelheiros</v>
          </cell>
        </row>
        <row r="1649">
          <cell r="A1649">
            <v>113227</v>
          </cell>
          <cell r="B1649" t="str">
            <v>MARCELO MARLOS EVANGELISTA</v>
          </cell>
          <cell r="C1649" t="str">
            <v>MOTORISTA CAMINHAO</v>
          </cell>
          <cell r="D1649" t="str">
            <v>ECOSAMPA Operação Geral</v>
          </cell>
        </row>
        <row r="1650">
          <cell r="A1650">
            <v>122831</v>
          </cell>
          <cell r="B1650" t="str">
            <v>MARCELO PEREIRA DOS SANTOS</v>
          </cell>
          <cell r="C1650" t="str">
            <v>AJUDANTE EQ SERVICOS DIVERSOS</v>
          </cell>
          <cell r="D1650" t="str">
            <v>ECOSAMPA Santo Amaro</v>
          </cell>
        </row>
        <row r="1651">
          <cell r="A1651">
            <v>113231</v>
          </cell>
          <cell r="B1651" t="str">
            <v>MARCELO PINHEIRO DE SOUZA</v>
          </cell>
          <cell r="C1651" t="str">
            <v>MOTORISTA CAMINHAO</v>
          </cell>
          <cell r="D1651" t="str">
            <v>ECOSAMPA Operação Geral</v>
          </cell>
        </row>
        <row r="1652">
          <cell r="A1652">
            <v>115220</v>
          </cell>
          <cell r="B1652" t="str">
            <v>MARCELO ROBERTO DE OLIVEIRA</v>
          </cell>
          <cell r="C1652" t="str">
            <v>AJUDANTE EQ SERVICOS DIVERSOS</v>
          </cell>
          <cell r="D1652" t="str">
            <v>ECOSAMPA Capela do Socorro</v>
          </cell>
        </row>
        <row r="1653">
          <cell r="A1653">
            <v>118641</v>
          </cell>
          <cell r="B1653" t="str">
            <v>MARCELO SILVA</v>
          </cell>
          <cell r="C1653" t="str">
            <v>AJUDANTE EQ SERVICOS DIVERSOS</v>
          </cell>
          <cell r="D1653" t="str">
            <v>ECOSAMPA Santo Amaro</v>
          </cell>
        </row>
        <row r="1654">
          <cell r="A1654">
            <v>114034</v>
          </cell>
          <cell r="B1654" t="str">
            <v>MARCELO SILVA DE OLIVEIRA</v>
          </cell>
          <cell r="C1654" t="str">
            <v>FISCAL DE TURMA PLENO</v>
          </cell>
          <cell r="D1654" t="str">
            <v>ECOSAMPA Campo Limpo</v>
          </cell>
        </row>
        <row r="1655">
          <cell r="A1655">
            <v>118050</v>
          </cell>
          <cell r="B1655" t="str">
            <v>MARCELO VINICIUS SILVA SANTOS</v>
          </cell>
          <cell r="C1655" t="str">
            <v>AJUDANTE EQ SERVICOS DIVERSOS</v>
          </cell>
          <cell r="D1655" t="str">
            <v>ECOSAMPA Santo Amaro</v>
          </cell>
        </row>
        <row r="1656">
          <cell r="A1656">
            <v>121852</v>
          </cell>
          <cell r="B1656" t="str">
            <v>MARCIA ALCANTARA FONSECA</v>
          </cell>
          <cell r="C1656" t="str">
            <v>AJUDANTE EQ SERVICOS DIVERSOS</v>
          </cell>
          <cell r="D1656" t="str">
            <v>ECOSAMPA Parelheiros</v>
          </cell>
        </row>
        <row r="1657">
          <cell r="A1657">
            <v>122082</v>
          </cell>
          <cell r="B1657" t="str">
            <v>MARCIA DORNELES</v>
          </cell>
          <cell r="C1657" t="str">
            <v>AJUDANTE EQ SERVICOS DIVERSOS</v>
          </cell>
          <cell r="D1657" t="str">
            <v>ECOSAMPA M'Boi Mirim</v>
          </cell>
        </row>
        <row r="1658">
          <cell r="A1658">
            <v>113237</v>
          </cell>
          <cell r="B1658" t="str">
            <v>MARCIMINO CAMPOS DA SILVA</v>
          </cell>
          <cell r="C1658" t="str">
            <v>VARREDOR</v>
          </cell>
          <cell r="D1658" t="str">
            <v>ECOSAMPA Campo Limpo</v>
          </cell>
        </row>
        <row r="1659">
          <cell r="A1659">
            <v>113240</v>
          </cell>
          <cell r="B1659" t="str">
            <v>MARCIO ANTONIO DA SILVA</v>
          </cell>
          <cell r="C1659" t="str">
            <v>AJUDANTE EQ SERVICOS DIVERSOS</v>
          </cell>
          <cell r="D1659" t="str">
            <v>ECOSAMPA Campo Limpo</v>
          </cell>
        </row>
        <row r="1660">
          <cell r="A1660">
            <v>113242</v>
          </cell>
          <cell r="B1660" t="str">
            <v>MARCIO DE JESUS TAMEIRAO</v>
          </cell>
          <cell r="C1660" t="str">
            <v>AJUDANTE EQ SERVICOS DIVERSOS</v>
          </cell>
          <cell r="D1660" t="str">
            <v>ECOSAMPA M'Boi Mirim</v>
          </cell>
        </row>
        <row r="1661">
          <cell r="A1661">
            <v>113244</v>
          </cell>
          <cell r="B1661" t="str">
            <v>MARCIO JOSE COELHO</v>
          </cell>
          <cell r="C1661" t="str">
            <v>VARREDOR</v>
          </cell>
          <cell r="D1661" t="str">
            <v>ECOSAMPA Santo Amaro</v>
          </cell>
        </row>
        <row r="1662">
          <cell r="A1662">
            <v>116228</v>
          </cell>
          <cell r="B1662" t="str">
            <v>MARCIO JOSE DE LIMA BARBOSA</v>
          </cell>
          <cell r="C1662" t="str">
            <v>AJUDANTE EQ SERVICOS DIVERSOS</v>
          </cell>
          <cell r="D1662" t="str">
            <v>ECOSAMPA M'Boi Mirim</v>
          </cell>
        </row>
        <row r="1663">
          <cell r="A1663">
            <v>113247</v>
          </cell>
          <cell r="B1663" t="str">
            <v>MARCIO LIMA ALENCAR</v>
          </cell>
          <cell r="C1663" t="str">
            <v>AJUDANTE EQ SERVICOS DIVERSOS</v>
          </cell>
          <cell r="D1663" t="str">
            <v>ECOSAMPA M'Boi Mirim</v>
          </cell>
        </row>
        <row r="1664">
          <cell r="A1664">
            <v>113250</v>
          </cell>
          <cell r="B1664" t="str">
            <v>MARCIO MIGUEL DE GODOY</v>
          </cell>
          <cell r="C1664" t="str">
            <v>AJUDANTE EQ SERVICOS DIVERSOS</v>
          </cell>
          <cell r="D1664" t="str">
            <v>ECOSAMPA Campo Limpo</v>
          </cell>
        </row>
        <row r="1665">
          <cell r="A1665">
            <v>113254</v>
          </cell>
          <cell r="B1665" t="str">
            <v>MARCIO PEREIRA ALVES</v>
          </cell>
          <cell r="C1665" t="str">
            <v>MOTORISTA INSTRUTOR</v>
          </cell>
          <cell r="D1665" t="str">
            <v>ECOSAMPA Operação Geral</v>
          </cell>
        </row>
        <row r="1666">
          <cell r="A1666">
            <v>113256</v>
          </cell>
          <cell r="B1666" t="str">
            <v>MARCIO PIRES DE RESENDES</v>
          </cell>
          <cell r="C1666" t="str">
            <v>AJUDANTE EQ SERVICOS DIVERSOS</v>
          </cell>
          <cell r="D1666" t="str">
            <v>ECOSAMPA Parelheiros</v>
          </cell>
        </row>
        <row r="1667">
          <cell r="A1667">
            <v>119930</v>
          </cell>
          <cell r="B1667" t="str">
            <v>MARCIO ROBERTO CORREA</v>
          </cell>
          <cell r="C1667" t="str">
            <v>AJUDANTE EQ SERVICOS DIVERSOS</v>
          </cell>
          <cell r="D1667" t="str">
            <v>ECOSAMPA Santo Amaro</v>
          </cell>
        </row>
        <row r="1668">
          <cell r="A1668">
            <v>113261</v>
          </cell>
          <cell r="B1668" t="str">
            <v>MARCIO ROBERTO MENEZES</v>
          </cell>
          <cell r="C1668" t="str">
            <v>FISCAL DE TURMA PLENO</v>
          </cell>
          <cell r="D1668" t="str">
            <v>ECOSAMPA Campo Limpo</v>
          </cell>
        </row>
        <row r="1669">
          <cell r="A1669">
            <v>113263</v>
          </cell>
          <cell r="B1669" t="str">
            <v>MARCIO ROGERIO DA SILVA MARTINS</v>
          </cell>
          <cell r="C1669" t="str">
            <v>VARREDOR</v>
          </cell>
          <cell r="D1669" t="str">
            <v>ECOSAMPA Campo Limpo</v>
          </cell>
        </row>
        <row r="1670">
          <cell r="A1670">
            <v>113265</v>
          </cell>
          <cell r="B1670" t="str">
            <v>MARCIO SILVA MARTINS</v>
          </cell>
          <cell r="C1670" t="str">
            <v>MOTORISTA CAMINHAO</v>
          </cell>
          <cell r="D1670" t="str">
            <v>ECOSAMPA Operação Geral</v>
          </cell>
        </row>
        <row r="1671">
          <cell r="A1671">
            <v>113267</v>
          </cell>
          <cell r="B1671" t="str">
            <v>MARCIO SOARES DO NASCIMENTO</v>
          </cell>
          <cell r="C1671" t="str">
            <v>AJUDANTE EQ SERVICOS DIVERSOS</v>
          </cell>
          <cell r="D1671" t="str">
            <v>ECOSAMPA Santo Amaro</v>
          </cell>
        </row>
        <row r="1672">
          <cell r="A1672">
            <v>113755</v>
          </cell>
          <cell r="B1672" t="str">
            <v>MARCIO TADEU MESSIAS</v>
          </cell>
          <cell r="C1672" t="str">
            <v>FISCAL DE TURMA PLENO</v>
          </cell>
          <cell r="D1672" t="str">
            <v>ECOSAMPA Parelheiros</v>
          </cell>
        </row>
        <row r="1673">
          <cell r="A1673">
            <v>113650</v>
          </cell>
          <cell r="B1673" t="str">
            <v>MARCO ANTONIO DA SILVA</v>
          </cell>
          <cell r="C1673" t="str">
            <v>COLETOR</v>
          </cell>
          <cell r="D1673" t="str">
            <v>ECOSAMPA Operação Geral</v>
          </cell>
        </row>
        <row r="1674">
          <cell r="A1674">
            <v>113271</v>
          </cell>
          <cell r="B1674" t="str">
            <v>MARCO ANTONIO DE PAULA</v>
          </cell>
          <cell r="C1674" t="str">
            <v>AJUDANTE EQ SERVICOS DIVERSOS</v>
          </cell>
          <cell r="D1674" t="str">
            <v>ECOSAMPA Parelheiros</v>
          </cell>
        </row>
        <row r="1675">
          <cell r="A1675">
            <v>113273</v>
          </cell>
          <cell r="B1675" t="str">
            <v>MARCO ANTONIO MARTINS</v>
          </cell>
          <cell r="C1675" t="str">
            <v>COLETOR</v>
          </cell>
          <cell r="D1675" t="str">
            <v>ECOSAMPA Operação Geral</v>
          </cell>
        </row>
        <row r="1676">
          <cell r="A1676">
            <v>113276</v>
          </cell>
          <cell r="B1676" t="str">
            <v>MARCO AURELIO FREITAS PACHECO</v>
          </cell>
          <cell r="C1676" t="str">
            <v>AJUDANTE EQ SERVICOS DIVERSOS</v>
          </cell>
          <cell r="D1676" t="str">
            <v>ECOSAMPA Campo Limpo</v>
          </cell>
        </row>
        <row r="1677">
          <cell r="A1677">
            <v>114503</v>
          </cell>
          <cell r="B1677" t="str">
            <v>MARCO LAURINDO DOS SANTOS</v>
          </cell>
          <cell r="C1677" t="str">
            <v>AJUDANTE EQ SERVICOS DIVERSOS</v>
          </cell>
          <cell r="D1677" t="str">
            <v>ECOSAMPA Santo Amaro</v>
          </cell>
        </row>
        <row r="1678">
          <cell r="A1678">
            <v>113279</v>
          </cell>
          <cell r="B1678" t="str">
            <v>MARCOS ALEXANDRE FERREIRA CARVALHO</v>
          </cell>
          <cell r="C1678" t="str">
            <v>MECANICO II</v>
          </cell>
          <cell r="D1678" t="str">
            <v>ECOSAMPA Operação Geral</v>
          </cell>
        </row>
        <row r="1679">
          <cell r="A1679">
            <v>113282</v>
          </cell>
          <cell r="B1679" t="str">
            <v>MARCOS ALVES DA SILVA</v>
          </cell>
          <cell r="C1679" t="str">
            <v>MOTORISTA CAMINHAO</v>
          </cell>
          <cell r="D1679" t="str">
            <v>ECOSAMPA Operação Geral</v>
          </cell>
        </row>
        <row r="1680">
          <cell r="A1680">
            <v>113283</v>
          </cell>
          <cell r="B1680" t="str">
            <v>MARCOS ANDRE DE OLIVEIRA PAULA</v>
          </cell>
          <cell r="C1680" t="str">
            <v>AJUDANTE EQ SERVICOS DIVERSOS</v>
          </cell>
          <cell r="D1680" t="str">
            <v>ECOSAMPA Campo Limpo</v>
          </cell>
        </row>
        <row r="1681">
          <cell r="A1681">
            <v>114641</v>
          </cell>
          <cell r="B1681" t="str">
            <v>MARCOS ANTONIO BERNARDINO DE SENA</v>
          </cell>
          <cell r="C1681" t="str">
            <v>MOTORISTA DE CAMINHAO</v>
          </cell>
          <cell r="D1681" t="str">
            <v>ECOSAMPA Operação Geral</v>
          </cell>
        </row>
        <row r="1682">
          <cell r="A1682">
            <v>113285</v>
          </cell>
          <cell r="B1682" t="str">
            <v>MARCOS ANTONIO DE SOUZA</v>
          </cell>
          <cell r="C1682" t="str">
            <v>AJUDANTE EQ SERVICOS DIVERSOS</v>
          </cell>
          <cell r="D1682" t="str">
            <v>ECOSAMPA Operação Geral</v>
          </cell>
        </row>
        <row r="1683">
          <cell r="A1683">
            <v>113286</v>
          </cell>
          <cell r="B1683" t="str">
            <v>MARCOS AURELIO DA COSTA MONTEIRO</v>
          </cell>
          <cell r="C1683" t="str">
            <v>COLETOR</v>
          </cell>
          <cell r="D1683" t="str">
            <v>ECOSAMPA Operação Geral</v>
          </cell>
        </row>
        <row r="1684">
          <cell r="A1684">
            <v>121315</v>
          </cell>
          <cell r="B1684" t="str">
            <v>MARCOS AURELIO LUIZ</v>
          </cell>
          <cell r="C1684" t="str">
            <v>VARREDOR</v>
          </cell>
          <cell r="D1684" t="str">
            <v>ECOSAMPA Parelheiros</v>
          </cell>
        </row>
        <row r="1685">
          <cell r="A1685">
            <v>114757</v>
          </cell>
          <cell r="B1685" t="str">
            <v>MARCOS BRITO DA SILVA</v>
          </cell>
          <cell r="C1685" t="str">
            <v>MOTORISTA CAMINHAO</v>
          </cell>
          <cell r="D1685" t="str">
            <v>ECOSAMPA Operação Geral</v>
          </cell>
        </row>
        <row r="1686">
          <cell r="A1686">
            <v>114267</v>
          </cell>
          <cell r="B1686" t="str">
            <v>MARCOS CAIQUE DE SOUZA SANTOS</v>
          </cell>
          <cell r="C1686" t="str">
            <v>AJUDANTE EQ SERVICOS DIVERSOS</v>
          </cell>
          <cell r="D1686" t="str">
            <v>ECOSAMPA Santo Amaro</v>
          </cell>
        </row>
        <row r="1687">
          <cell r="A1687">
            <v>113292</v>
          </cell>
          <cell r="B1687" t="str">
            <v>MARCOS DAMIAO MARCONDES</v>
          </cell>
          <cell r="C1687" t="str">
            <v>VARREDOR</v>
          </cell>
          <cell r="D1687" t="str">
            <v>ECOSAMPA Capela do Socorro</v>
          </cell>
        </row>
        <row r="1688">
          <cell r="A1688">
            <v>113294</v>
          </cell>
          <cell r="B1688" t="str">
            <v>MARCOS DE PAULA PRADO</v>
          </cell>
          <cell r="C1688" t="str">
            <v>VARREDOR</v>
          </cell>
          <cell r="D1688" t="str">
            <v>ECOSAMPA M'Boi Mirim</v>
          </cell>
        </row>
        <row r="1689">
          <cell r="A1689">
            <v>113297</v>
          </cell>
          <cell r="B1689" t="str">
            <v>MARCOS DONIZETE DO NASCIMENTO</v>
          </cell>
          <cell r="C1689" t="str">
            <v>COLETOR</v>
          </cell>
          <cell r="D1689" t="str">
            <v>ECOSAMPA Operação Geral</v>
          </cell>
        </row>
        <row r="1690">
          <cell r="A1690">
            <v>113759</v>
          </cell>
          <cell r="B1690" t="str">
            <v>MARCOS FELIPE MEDEIROS DO LAGO</v>
          </cell>
          <cell r="C1690" t="str">
            <v>ASSISTENTE DE TI</v>
          </cell>
          <cell r="D1690" t="str">
            <v>ECOSAMPA Operação Geral</v>
          </cell>
        </row>
        <row r="1691">
          <cell r="A1691">
            <v>113313</v>
          </cell>
          <cell r="B1691" t="str">
            <v>MARCOS FRANCISCO DA SILVA</v>
          </cell>
          <cell r="C1691" t="str">
            <v>AJUDANTE EQ SERVICOS DIVERSOS</v>
          </cell>
          <cell r="D1691" t="str">
            <v>ECOSAMPA Santo Amaro</v>
          </cell>
        </row>
        <row r="1692">
          <cell r="A1692">
            <v>114609</v>
          </cell>
          <cell r="B1692" t="str">
            <v>MARCOS HENRIQUE EULALIO DE JESUS</v>
          </cell>
          <cell r="C1692" t="str">
            <v>AJUDANTE EQ SERVICOS DIVERSOS</v>
          </cell>
          <cell r="D1692" t="str">
            <v>ECOSAMPA Santo Amaro</v>
          </cell>
        </row>
        <row r="1693">
          <cell r="A1693">
            <v>122827</v>
          </cell>
          <cell r="B1693" t="str">
            <v>MARCOS JEFFERSON ALAOR JESUS DE SOUZA</v>
          </cell>
          <cell r="C1693" t="str">
            <v>AJUDANTE EQ SERVICOS DIVERSOS</v>
          </cell>
          <cell r="D1693" t="str">
            <v>ECOSAMPA Capela do Socorro</v>
          </cell>
        </row>
        <row r="1694">
          <cell r="A1694">
            <v>119126</v>
          </cell>
          <cell r="B1694" t="str">
            <v>MARCOS JOSE DA SILVA</v>
          </cell>
          <cell r="C1694" t="str">
            <v>MOTORISTA CAMINHAO</v>
          </cell>
          <cell r="D1694" t="str">
            <v>ECOSAMPA Operação Geral</v>
          </cell>
        </row>
        <row r="1695">
          <cell r="A1695">
            <v>118993</v>
          </cell>
          <cell r="B1695" t="str">
            <v>MARCOS MARCIO ROCHA SANTOS</v>
          </cell>
          <cell r="C1695" t="str">
            <v>SOLDADOR</v>
          </cell>
          <cell r="D1695" t="str">
            <v>ECOSAMPA Operação Geral</v>
          </cell>
        </row>
        <row r="1696">
          <cell r="A1696">
            <v>114254</v>
          </cell>
          <cell r="B1696" t="str">
            <v>MARCOS PAIVA DA SILVA</v>
          </cell>
          <cell r="C1696" t="str">
            <v>VARREDOR</v>
          </cell>
          <cell r="D1696" t="str">
            <v>ECOSAMPA Santo Amaro</v>
          </cell>
        </row>
        <row r="1697">
          <cell r="A1697">
            <v>113316</v>
          </cell>
          <cell r="B1697" t="str">
            <v>MARCOS PAULO DIAS</v>
          </cell>
          <cell r="C1697" t="str">
            <v>COLETOR</v>
          </cell>
          <cell r="D1697" t="str">
            <v>ECOSAMPA Operação Geral</v>
          </cell>
        </row>
        <row r="1698">
          <cell r="A1698">
            <v>113324</v>
          </cell>
          <cell r="B1698" t="str">
            <v>MARCOS PEREIRA MARINHO</v>
          </cell>
          <cell r="C1698" t="str">
            <v>VARREDOR</v>
          </cell>
          <cell r="D1698" t="str">
            <v>ECOSAMPA Santo Amaro</v>
          </cell>
        </row>
        <row r="1699">
          <cell r="A1699">
            <v>122418</v>
          </cell>
          <cell r="B1699" t="str">
            <v>MARCOS ROBERTO DA SILVA</v>
          </cell>
          <cell r="C1699" t="str">
            <v>MOTORISTA CAMINHAO</v>
          </cell>
          <cell r="D1699" t="str">
            <v>ECOSAMPA Operação Geral</v>
          </cell>
        </row>
        <row r="1700">
          <cell r="A1700">
            <v>113329</v>
          </cell>
          <cell r="B1700" t="str">
            <v>MARCOS ROBERTO DE CARVALHO</v>
          </cell>
          <cell r="C1700" t="str">
            <v>VARREDOR</v>
          </cell>
          <cell r="D1700" t="str">
            <v>ECOSAMPA Parelheiros</v>
          </cell>
        </row>
        <row r="1701">
          <cell r="A1701">
            <v>114934</v>
          </cell>
          <cell r="B1701" t="str">
            <v>MARCOS SANTANA DE JESUS</v>
          </cell>
          <cell r="C1701" t="str">
            <v>AUXILIAR DE CHECK LIST</v>
          </cell>
          <cell r="D1701" t="str">
            <v>ECOSAMPA Operação Geral</v>
          </cell>
        </row>
        <row r="1702">
          <cell r="A1702">
            <v>114743</v>
          </cell>
          <cell r="B1702" t="str">
            <v>MARCOS SANTOS DA ROCHA</v>
          </cell>
          <cell r="C1702" t="str">
            <v>AJUDANTE EQ SERVICOS DIVERSOS</v>
          </cell>
          <cell r="D1702" t="str">
            <v>ECOSAMPA Campo Limpo</v>
          </cell>
        </row>
        <row r="1703">
          <cell r="A1703">
            <v>113337</v>
          </cell>
          <cell r="B1703" t="str">
            <v>MARCOS SANTOS DA SILVA</v>
          </cell>
          <cell r="C1703" t="str">
            <v>AJUDANTE EQ SERVICOS DIVERSOS</v>
          </cell>
          <cell r="D1703" t="str">
            <v>ECOSAMPA Campo Limpo</v>
          </cell>
        </row>
        <row r="1704">
          <cell r="A1704">
            <v>113342</v>
          </cell>
          <cell r="B1704" t="str">
            <v>MARCOS TADEU NERI</v>
          </cell>
          <cell r="C1704" t="str">
            <v>AJUDANTE EQ SERVICOS DIVERSOS</v>
          </cell>
          <cell r="D1704" t="str">
            <v>ECOSAMPA Campo Limpo</v>
          </cell>
        </row>
        <row r="1705">
          <cell r="A1705">
            <v>118995</v>
          </cell>
          <cell r="B1705" t="str">
            <v>MARCUS HENRIQUE PLACIDO LISBOA</v>
          </cell>
          <cell r="C1705" t="str">
            <v>MOTORISTA CAMINHAO</v>
          </cell>
          <cell r="D1705" t="str">
            <v>ECOSAMPA Operação Geral</v>
          </cell>
        </row>
        <row r="1706">
          <cell r="A1706">
            <v>113721</v>
          </cell>
          <cell r="B1706" t="str">
            <v>MARCUS VINICIUS PIRES</v>
          </cell>
          <cell r="C1706" t="str">
            <v>AUXILIAR ADMINISTRATIVO</v>
          </cell>
          <cell r="D1706" t="str">
            <v>ECOSAMPA Capela do Socorro</v>
          </cell>
        </row>
        <row r="1707">
          <cell r="A1707">
            <v>113346</v>
          </cell>
          <cell r="B1707" t="str">
            <v>MARIA ADRIANA RODRIGUES DO NASCIMENTO</v>
          </cell>
          <cell r="C1707" t="str">
            <v>AGENTE AMBIENTAL</v>
          </cell>
          <cell r="D1707" t="str">
            <v>ECOSAMPA Santo Amaro</v>
          </cell>
        </row>
        <row r="1708">
          <cell r="A1708">
            <v>122132</v>
          </cell>
          <cell r="B1708" t="str">
            <v>MARIA APARECIDA DOS SANTOS</v>
          </cell>
          <cell r="C1708" t="str">
            <v>PENSIONISTAS</v>
          </cell>
          <cell r="D1708" t="str">
            <v>ECOSAMPA Pensionistas</v>
          </cell>
        </row>
        <row r="1709">
          <cell r="A1709">
            <v>113783</v>
          </cell>
          <cell r="B1709" t="str">
            <v>MARIA APARECIDA NOBRE CAVALCANTE</v>
          </cell>
          <cell r="C1709" t="str">
            <v>AUXILIAR DE PLANEJAMENTO OPERACIONAL</v>
          </cell>
          <cell r="D1709" t="str">
            <v>ECOSAMPA Operação Geral</v>
          </cell>
        </row>
        <row r="1710">
          <cell r="A1710">
            <v>112193</v>
          </cell>
          <cell r="B1710" t="str">
            <v>MARIA APARECIDA RIBEIRO DIAS</v>
          </cell>
          <cell r="C1710" t="str">
            <v>AJUDANTE EQ SERVICOS DIVERSOS</v>
          </cell>
          <cell r="D1710" t="str">
            <v>ECOSAMPA Campo Limpo</v>
          </cell>
        </row>
        <row r="1711">
          <cell r="A1711">
            <v>122254</v>
          </cell>
          <cell r="B1711" t="str">
            <v>MARIA APARECIDA VIEIRA ALEXANDRE</v>
          </cell>
          <cell r="C1711" t="str">
            <v>AUXILIAR DE CONTROLE OPERACIONAL</v>
          </cell>
          <cell r="D1711" t="str">
            <v>ECOSAMPA Operação Geral</v>
          </cell>
        </row>
        <row r="1712">
          <cell r="A1712">
            <v>117414</v>
          </cell>
          <cell r="B1712" t="str">
            <v>MARIA CELIA DE JESUS PEREIRA</v>
          </cell>
          <cell r="C1712" t="str">
            <v>VARREDOR</v>
          </cell>
          <cell r="D1712" t="str">
            <v>ECOSAMPA Campo Limpo</v>
          </cell>
        </row>
        <row r="1713">
          <cell r="A1713">
            <v>120189</v>
          </cell>
          <cell r="B1713" t="str">
            <v>MARIA CRISTIANE DE OLIVEIRA LIRA</v>
          </cell>
          <cell r="C1713" t="str">
            <v>VARREDOR</v>
          </cell>
          <cell r="D1713" t="str">
            <v>ECOSAMPA Santo Amaro</v>
          </cell>
        </row>
        <row r="1714">
          <cell r="A1714">
            <v>112197</v>
          </cell>
          <cell r="B1714" t="str">
            <v>MARIA CUSTODIA DA SILVA MONTEIRO</v>
          </cell>
          <cell r="C1714" t="str">
            <v>VARREDOR</v>
          </cell>
          <cell r="D1714" t="str">
            <v>ECOSAMPA Santo Amaro</v>
          </cell>
        </row>
        <row r="1715">
          <cell r="A1715">
            <v>112201</v>
          </cell>
          <cell r="B1715" t="str">
            <v>MARIA DA CONCEICAO DE SOUZA FELIX</v>
          </cell>
          <cell r="C1715" t="str">
            <v>AJUDANTE EQ SERVICOS DIVERSOS</v>
          </cell>
          <cell r="D1715" t="str">
            <v>ECOSAMPA Campo Limpo</v>
          </cell>
        </row>
        <row r="1716">
          <cell r="A1716">
            <v>112206</v>
          </cell>
          <cell r="B1716" t="str">
            <v>MARIA DAS DORES DA SILVA</v>
          </cell>
          <cell r="C1716" t="str">
            <v>AJUDANTE EQ SERVICOS DIVERSOS</v>
          </cell>
          <cell r="D1716" t="str">
            <v>ECOSAMPA M'Boi Mirim</v>
          </cell>
        </row>
        <row r="1717">
          <cell r="A1717">
            <v>113778</v>
          </cell>
          <cell r="B1717" t="str">
            <v>MARIA DE FATIMA CORREIA DA SILVA</v>
          </cell>
          <cell r="C1717" t="str">
            <v>FISCAL DE TRAFEGO PLENO</v>
          </cell>
          <cell r="D1717" t="str">
            <v>ECOSAMPA Santo Amaro</v>
          </cell>
        </row>
        <row r="1718">
          <cell r="A1718">
            <v>112230</v>
          </cell>
          <cell r="B1718" t="str">
            <v>MARIA DE FATIMA FARIAS DA SILVA</v>
          </cell>
          <cell r="C1718" t="str">
            <v>VARREDOR</v>
          </cell>
          <cell r="D1718" t="str">
            <v>ECOSAMPA Santo Amaro</v>
          </cell>
        </row>
        <row r="1719">
          <cell r="A1719">
            <v>113705</v>
          </cell>
          <cell r="B1719" t="str">
            <v>MARIA FRANCISCA SOBRAL</v>
          </cell>
          <cell r="C1719" t="str">
            <v>VARREDOR</v>
          </cell>
          <cell r="D1719" t="str">
            <v>ECOSAMPA Santo Amaro</v>
          </cell>
        </row>
        <row r="1720">
          <cell r="A1720">
            <v>114106</v>
          </cell>
          <cell r="B1720" t="str">
            <v>MARIA ISABEL DA SILVA NUNES</v>
          </cell>
          <cell r="C1720" t="str">
            <v>AJUDANTE EQ SERVICOS DIVERSOS</v>
          </cell>
          <cell r="D1720" t="str">
            <v>ECOSAMPA Campo Limpo</v>
          </cell>
        </row>
        <row r="1721">
          <cell r="A1721">
            <v>119672</v>
          </cell>
          <cell r="B1721" t="str">
            <v>MARIA JOSE DA SILVA NASCIMENTO</v>
          </cell>
          <cell r="C1721" t="str">
            <v>VARREDOR</v>
          </cell>
          <cell r="D1721" t="str">
            <v>ECOSAMPA Santo Amaro</v>
          </cell>
        </row>
        <row r="1722">
          <cell r="A1722">
            <v>112240</v>
          </cell>
          <cell r="B1722" t="str">
            <v>MARIA JOSE MARTINS BRAGA</v>
          </cell>
          <cell r="C1722" t="str">
            <v>VARREDOR</v>
          </cell>
          <cell r="D1722" t="str">
            <v>ECOSAMPA Santo Amaro</v>
          </cell>
        </row>
        <row r="1723">
          <cell r="A1723">
            <v>112262</v>
          </cell>
          <cell r="B1723" t="str">
            <v>MARIA MADALENA LIMA CARDOSO</v>
          </cell>
          <cell r="C1723" t="str">
            <v>AJUDANTE EQ SERVICOS DIVERSOS</v>
          </cell>
          <cell r="D1723" t="str">
            <v>ECOSAMPA Santo Amaro</v>
          </cell>
        </row>
        <row r="1724">
          <cell r="A1724">
            <v>112270</v>
          </cell>
          <cell r="B1724" t="str">
            <v>MARIA SALETE TAVARES DOS SANTOS</v>
          </cell>
          <cell r="C1724" t="str">
            <v>AJUDANTE EQ SERVICOS DIVERSOS</v>
          </cell>
          <cell r="D1724" t="str">
            <v>ECOSAMPA Santo Amaro</v>
          </cell>
        </row>
        <row r="1725">
          <cell r="A1725">
            <v>119175</v>
          </cell>
          <cell r="B1725" t="str">
            <v>MARIANA DOS SANTOS CARVALHO</v>
          </cell>
          <cell r="C1725" t="str">
            <v>PENSIONISTAS</v>
          </cell>
          <cell r="D1725" t="str">
            <v>ECOSAMPA Pensionistas</v>
          </cell>
        </row>
        <row r="1726">
          <cell r="A1726">
            <v>115787</v>
          </cell>
          <cell r="B1726" t="str">
            <v>MARIANA OLIVEIRA</v>
          </cell>
          <cell r="C1726" t="str">
            <v>ESTAGIARIO(A)</v>
          </cell>
          <cell r="D1726" t="str">
            <v>ECOSAMPA Operação Geral</v>
          </cell>
        </row>
        <row r="1727">
          <cell r="A1727">
            <v>119742</v>
          </cell>
          <cell r="B1727" t="str">
            <v>MARIANA OLIVEIRA</v>
          </cell>
          <cell r="C1727" t="str">
            <v>AGENTE AMBIENTAL</v>
          </cell>
          <cell r="D1727" t="str">
            <v>ECOSAMPA Operação Geral</v>
          </cell>
        </row>
        <row r="1728">
          <cell r="A1728">
            <v>114533</v>
          </cell>
          <cell r="B1728" t="str">
            <v>MARILENE ALVES DE MARIO</v>
          </cell>
          <cell r="C1728" t="str">
            <v>PENSIONISTAS</v>
          </cell>
          <cell r="D1728" t="str">
            <v>ECOSAMPA Pensionistas</v>
          </cell>
        </row>
        <row r="1729">
          <cell r="A1729">
            <v>112277</v>
          </cell>
          <cell r="B1729" t="str">
            <v>MARINALDO FERREIRA DOS SANTOS</v>
          </cell>
          <cell r="C1729" t="str">
            <v>AJUDANTE EQ SERVICOS DIVERSOS</v>
          </cell>
          <cell r="D1729" t="str">
            <v>ECOSAMPA Capela do Socorro</v>
          </cell>
        </row>
        <row r="1730">
          <cell r="A1730">
            <v>112306</v>
          </cell>
          <cell r="B1730" t="str">
            <v>MARIO FERREIRA PACHECO</v>
          </cell>
          <cell r="C1730" t="str">
            <v>VARREDOR</v>
          </cell>
          <cell r="D1730" t="str">
            <v>ECOSAMPA Campo Limpo</v>
          </cell>
        </row>
        <row r="1731">
          <cell r="A1731">
            <v>112316</v>
          </cell>
          <cell r="B1731" t="str">
            <v>MARIO OLIVEIRA</v>
          </cell>
          <cell r="C1731" t="str">
            <v>COLETOR</v>
          </cell>
          <cell r="D1731" t="str">
            <v>ECOSAMPA Operação Geral</v>
          </cell>
        </row>
        <row r="1732">
          <cell r="A1732">
            <v>112323</v>
          </cell>
          <cell r="B1732" t="str">
            <v>MARIO PEDRO DA SILVA</v>
          </cell>
          <cell r="C1732" t="str">
            <v>VARREDOR</v>
          </cell>
          <cell r="D1732" t="str">
            <v>ECOSAMPA Santo Amaro</v>
          </cell>
        </row>
        <row r="1733">
          <cell r="A1733">
            <v>112357</v>
          </cell>
          <cell r="B1733" t="str">
            <v>MARIO ROBERTO XAVIER DA COSTA</v>
          </cell>
          <cell r="C1733" t="str">
            <v>MOTORISTA CAMINHAO</v>
          </cell>
          <cell r="D1733" t="str">
            <v>ECOSAMPA Operação Geral</v>
          </cell>
        </row>
        <row r="1734">
          <cell r="A1734">
            <v>121469</v>
          </cell>
          <cell r="B1734" t="str">
            <v>MARIONICE DO CARMO SANTOS</v>
          </cell>
          <cell r="C1734" t="str">
            <v>AJUDANTE EQ SERVICOS DIVERSOS</v>
          </cell>
          <cell r="D1734" t="str">
            <v>ECOSAMPA Operação Geral</v>
          </cell>
        </row>
        <row r="1735">
          <cell r="A1735">
            <v>113906</v>
          </cell>
          <cell r="B1735" t="str">
            <v>MARISA PEREIRA ALVES</v>
          </cell>
          <cell r="C1735" t="str">
            <v>PENSIONISTAS</v>
          </cell>
          <cell r="D1735" t="str">
            <v>ECOSAMPA Pensionistas</v>
          </cell>
        </row>
        <row r="1736">
          <cell r="A1736">
            <v>113675</v>
          </cell>
          <cell r="B1736" t="str">
            <v>MARIVALDO DOS SANTOS DA PAIXAO</v>
          </cell>
          <cell r="C1736" t="str">
            <v>AJUDANTE EQ SERVICOS DIVERSOS</v>
          </cell>
          <cell r="D1736" t="str">
            <v>ECOSAMPA M'Boi Mirim</v>
          </cell>
        </row>
        <row r="1737">
          <cell r="A1737">
            <v>112373</v>
          </cell>
          <cell r="B1737" t="str">
            <v>MARLI MARIA FAGUNDES DE JESUS</v>
          </cell>
          <cell r="C1737" t="str">
            <v>AJUDANTE EQ SERVICOS DIVERSOS</v>
          </cell>
          <cell r="D1737" t="str">
            <v>ECOSAMPA Santo Amaro</v>
          </cell>
        </row>
        <row r="1738">
          <cell r="A1738">
            <v>112380</v>
          </cell>
          <cell r="B1738" t="str">
            <v>MARTINHO DAMASCENA BRANDAO</v>
          </cell>
          <cell r="C1738" t="str">
            <v>VARREDOR</v>
          </cell>
          <cell r="D1738" t="str">
            <v>ECOSAMPA Santo Amaro</v>
          </cell>
        </row>
        <row r="1739">
          <cell r="A1739">
            <v>112386</v>
          </cell>
          <cell r="B1739" t="str">
            <v>MARTINHO MENEZES NETO</v>
          </cell>
          <cell r="C1739" t="str">
            <v>VARREDOR</v>
          </cell>
          <cell r="D1739" t="str">
            <v>ECOSAMPA Santo Amaro</v>
          </cell>
        </row>
        <row r="1740">
          <cell r="A1740">
            <v>112392</v>
          </cell>
          <cell r="B1740" t="str">
            <v>MARTINS TOMAZ DE MIRANDA</v>
          </cell>
          <cell r="C1740" t="str">
            <v>VARREDOR</v>
          </cell>
          <cell r="D1740" t="str">
            <v>ECOSAMPA Santo Amaro</v>
          </cell>
        </row>
        <row r="1741">
          <cell r="A1741">
            <v>114772</v>
          </cell>
          <cell r="B1741" t="str">
            <v>MATEUS BENEDITO DA SILVA</v>
          </cell>
          <cell r="C1741" t="str">
            <v>VARREDOR</v>
          </cell>
          <cell r="D1741" t="str">
            <v>ECOSAMPA Santo Amaro</v>
          </cell>
        </row>
        <row r="1742">
          <cell r="A1742">
            <v>114935</v>
          </cell>
          <cell r="B1742" t="str">
            <v>MATEUS GOMES DA SILVA</v>
          </cell>
          <cell r="C1742" t="str">
            <v>AJUDANTE EQ SERVICOS DIVERSOS</v>
          </cell>
          <cell r="D1742" t="str">
            <v>ECOSAMPA Capela do Socorro</v>
          </cell>
        </row>
        <row r="1743">
          <cell r="A1743">
            <v>116719</v>
          </cell>
          <cell r="B1743" t="str">
            <v>MATHEUS BATISTA CELSO</v>
          </cell>
          <cell r="C1743" t="str">
            <v>VARREDOR</v>
          </cell>
          <cell r="D1743" t="str">
            <v>ECOSAMPA Capela do Socorro</v>
          </cell>
        </row>
        <row r="1744">
          <cell r="A1744">
            <v>112397</v>
          </cell>
          <cell r="B1744" t="str">
            <v>MATHEUS CASTRO SENA ROSA</v>
          </cell>
          <cell r="C1744" t="str">
            <v>VARREDOR</v>
          </cell>
          <cell r="D1744" t="str">
            <v>ECOSAMPA Campo Limpo</v>
          </cell>
        </row>
        <row r="1745">
          <cell r="A1745">
            <v>112402</v>
          </cell>
          <cell r="B1745" t="str">
            <v>MATHEUS DANTAS</v>
          </cell>
          <cell r="C1745" t="str">
            <v>AJUDANTE EQ SERVICOS DIVERSOS</v>
          </cell>
          <cell r="D1745" t="str">
            <v>ECOSAMPA Santo Amaro</v>
          </cell>
        </row>
        <row r="1746">
          <cell r="A1746">
            <v>112405</v>
          </cell>
          <cell r="B1746" t="str">
            <v>MATHEUS FERREIRA MACIEL</v>
          </cell>
          <cell r="C1746" t="str">
            <v>VARREDOR</v>
          </cell>
          <cell r="D1746" t="str">
            <v>ECOSAMPA Capela do Socorro</v>
          </cell>
        </row>
        <row r="1747">
          <cell r="A1747">
            <v>120168</v>
          </cell>
          <cell r="B1747" t="str">
            <v>MATHEUS FERREIRA SANTANA TITO</v>
          </cell>
          <cell r="C1747" t="str">
            <v>AJUDANTE EQ SERVICOS DIVERSOS</v>
          </cell>
          <cell r="D1747" t="str">
            <v>ECOSAMPA Parelheiros</v>
          </cell>
        </row>
        <row r="1748">
          <cell r="A1748">
            <v>112416</v>
          </cell>
          <cell r="B1748" t="str">
            <v>MATHEUS LUCAS LEITE</v>
          </cell>
          <cell r="C1748" t="str">
            <v>AJUDANTE EQ SERVICOS DIVERSOS</v>
          </cell>
          <cell r="D1748" t="str">
            <v>ECOSAMPA Operação Geral</v>
          </cell>
        </row>
        <row r="1749">
          <cell r="A1749">
            <v>114928</v>
          </cell>
          <cell r="B1749" t="str">
            <v>MATHEUS SILVA DA CUNHA</v>
          </cell>
          <cell r="C1749" t="str">
            <v>AJUDANTE EQ SERVICOS DIVERSOS</v>
          </cell>
          <cell r="D1749" t="str">
            <v>ECOSAMPA Operação Geral</v>
          </cell>
        </row>
        <row r="1750">
          <cell r="A1750">
            <v>116319</v>
          </cell>
          <cell r="B1750" t="str">
            <v>MATHEUS SOUZA SILVA</v>
          </cell>
          <cell r="C1750" t="str">
            <v>AJUDANTE EQ SERVICOS DIVERSOS</v>
          </cell>
          <cell r="D1750" t="str">
            <v>ECOSAMPA Campo Limpo</v>
          </cell>
        </row>
        <row r="1751">
          <cell r="A1751">
            <v>112445</v>
          </cell>
          <cell r="B1751" t="str">
            <v>MAURA GOMES DOS SANTOS CRUZ</v>
          </cell>
          <cell r="C1751" t="str">
            <v>VARREDOR</v>
          </cell>
          <cell r="D1751" t="str">
            <v>ECOSAMPA Campo Limpo</v>
          </cell>
        </row>
        <row r="1752">
          <cell r="A1752">
            <v>121690</v>
          </cell>
          <cell r="B1752" t="str">
            <v>MAURICIO ALVES SOUZA</v>
          </cell>
          <cell r="C1752" t="str">
            <v>AUXILIAR ADMINISTRATIVO</v>
          </cell>
          <cell r="D1752" t="str">
            <v>ECOSAMPA Administração</v>
          </cell>
        </row>
        <row r="1753">
          <cell r="A1753">
            <v>114272</v>
          </cell>
          <cell r="B1753" t="str">
            <v>MAURICIO CAMPOS DOS SANTOS</v>
          </cell>
          <cell r="C1753" t="str">
            <v>VARREDOR</v>
          </cell>
          <cell r="D1753" t="str">
            <v>ECOSAMPA Campo Limpo</v>
          </cell>
        </row>
        <row r="1754">
          <cell r="A1754">
            <v>116713</v>
          </cell>
          <cell r="B1754" t="str">
            <v>MAURICIO DA LUZ SARDINHA</v>
          </cell>
          <cell r="C1754" t="str">
            <v>VARREDOR</v>
          </cell>
          <cell r="D1754" t="str">
            <v>ECOSAMPA M'Boi Mirim</v>
          </cell>
        </row>
        <row r="1755">
          <cell r="A1755">
            <v>112453</v>
          </cell>
          <cell r="B1755" t="str">
            <v>MAURICIO MANOEL FEBRONIO</v>
          </cell>
          <cell r="C1755" t="str">
            <v>VARREDOR</v>
          </cell>
          <cell r="D1755" t="str">
            <v>ECOSAMPA M'Boi Mirim</v>
          </cell>
        </row>
        <row r="1756">
          <cell r="A1756">
            <v>114764</v>
          </cell>
          <cell r="B1756" t="str">
            <v>MAURICIO MARTINS DA CRUZ</v>
          </cell>
          <cell r="C1756" t="str">
            <v>MOTORISTA CAMINHAO</v>
          </cell>
          <cell r="D1756" t="str">
            <v>ECOSAMPA Operação Geral</v>
          </cell>
        </row>
        <row r="1757">
          <cell r="A1757">
            <v>114951</v>
          </cell>
          <cell r="B1757" t="str">
            <v>MAURICIO MARTINS DA CRUZ</v>
          </cell>
          <cell r="C1757" t="str">
            <v>MOTORISTA CAMINHAO</v>
          </cell>
          <cell r="D1757" t="str">
            <v>ECOSAMPA Operação Geral</v>
          </cell>
        </row>
        <row r="1758">
          <cell r="A1758">
            <v>114091</v>
          </cell>
          <cell r="B1758" t="str">
            <v>MAURICIO RODRIGO DE BRITO CARVALHO</v>
          </cell>
          <cell r="C1758" t="str">
            <v>AJUDANTE EQ SERVICOS DIVERSOS</v>
          </cell>
          <cell r="D1758" t="str">
            <v>ECOSAMPA Santo Amaro</v>
          </cell>
        </row>
        <row r="1759">
          <cell r="A1759">
            <v>112469</v>
          </cell>
          <cell r="B1759" t="str">
            <v>MAURICIO SANTANA</v>
          </cell>
          <cell r="C1759" t="str">
            <v>VARREDOR</v>
          </cell>
          <cell r="D1759" t="str">
            <v>ECOSAMPA Campo Limpo</v>
          </cell>
        </row>
        <row r="1760">
          <cell r="A1760">
            <v>112476</v>
          </cell>
          <cell r="B1760" t="str">
            <v>MAURO CESAR DA SILVA</v>
          </cell>
          <cell r="C1760" t="str">
            <v>ASSISTENTE ADMINISTRATIVO</v>
          </cell>
          <cell r="D1760" t="str">
            <v>ECOSAMPA Administração</v>
          </cell>
        </row>
        <row r="1761">
          <cell r="A1761">
            <v>115012</v>
          </cell>
          <cell r="B1761" t="str">
            <v>MAURO JOSE DE JESUS SILVA</v>
          </cell>
          <cell r="C1761" t="str">
            <v>AJUDANTE EQ SERVICOS DIVERSOS</v>
          </cell>
          <cell r="D1761" t="str">
            <v>ECOSAMPA Operação Geral</v>
          </cell>
        </row>
        <row r="1762">
          <cell r="A1762">
            <v>114747</v>
          </cell>
          <cell r="B1762" t="str">
            <v>MAURO LIMA DE SOUSA</v>
          </cell>
          <cell r="C1762" t="str">
            <v>AJUDANTE EQ SERVICOS DIVERSOS</v>
          </cell>
          <cell r="D1762" t="str">
            <v>ECOSAMPA Santo Amaro</v>
          </cell>
        </row>
        <row r="1763">
          <cell r="A1763">
            <v>114733</v>
          </cell>
          <cell r="B1763" t="str">
            <v>MAURO MIGUEL SATO DE LIMA</v>
          </cell>
          <cell r="C1763" t="str">
            <v>AJUDANTE EQ SERVICOS DIVERSOS</v>
          </cell>
          <cell r="D1763" t="str">
            <v>ECOSAMPA Parelheiros</v>
          </cell>
        </row>
        <row r="1764">
          <cell r="A1764">
            <v>116031</v>
          </cell>
          <cell r="B1764" t="str">
            <v>MAURO SERGIO DOS SANTOS MENDES</v>
          </cell>
          <cell r="C1764" t="str">
            <v>AJUDANTE EQ SERVICOS DIVERSOS</v>
          </cell>
          <cell r="D1764" t="str">
            <v>ECOSAMPA Santo Amaro</v>
          </cell>
        </row>
        <row r="1765">
          <cell r="A1765">
            <v>114228</v>
          </cell>
          <cell r="B1765" t="str">
            <v>MAYCON APARECIDO DE LIMA SANTOS</v>
          </cell>
          <cell r="C1765" t="str">
            <v>FISCAL DE TURMA PLENO</v>
          </cell>
          <cell r="D1765" t="str">
            <v>ECOSAMPA Santo Amaro</v>
          </cell>
        </row>
        <row r="1766">
          <cell r="A1766">
            <v>116977</v>
          </cell>
          <cell r="B1766" t="str">
            <v>MAYCON KEVEN BRITO SILVA</v>
          </cell>
          <cell r="C1766" t="str">
            <v>AJUDANTE EQ SERVICOS DIVERSOS</v>
          </cell>
          <cell r="D1766" t="str">
            <v>ECOSAMPA Operação Geral</v>
          </cell>
        </row>
        <row r="1767">
          <cell r="A1767">
            <v>112486</v>
          </cell>
          <cell r="B1767" t="str">
            <v>MAYKON OLIVEIRA DOS SANTOS</v>
          </cell>
          <cell r="C1767" t="str">
            <v>AJUDANTE EQ SERVICOS DIVERSOS</v>
          </cell>
          <cell r="D1767" t="str">
            <v>ECOSAMPA Santo Amaro</v>
          </cell>
        </row>
        <row r="1768">
          <cell r="A1768">
            <v>121470</v>
          </cell>
          <cell r="B1768" t="str">
            <v>MEIRE LEONARDO RODRIGUES</v>
          </cell>
          <cell r="C1768" t="str">
            <v>AJUDANTE EQ SERVICOS DIVERSOS</v>
          </cell>
          <cell r="D1768" t="str">
            <v>ECOSAMPA Operação Geral</v>
          </cell>
        </row>
        <row r="1769">
          <cell r="A1769">
            <v>112492</v>
          </cell>
          <cell r="B1769" t="str">
            <v>MICHAEL DOMINGOS MACHADO SANTO</v>
          </cell>
          <cell r="C1769" t="str">
            <v>VARREDOR</v>
          </cell>
          <cell r="D1769" t="str">
            <v>ECOSAMPA Capela do Socorro</v>
          </cell>
        </row>
        <row r="1770">
          <cell r="A1770">
            <v>121473</v>
          </cell>
          <cell r="B1770" t="str">
            <v>MICHAEL DOUGLAS ALMEIDA FERREIRA</v>
          </cell>
          <cell r="C1770" t="str">
            <v>AJUDANTE EQ SERVICOS DIVERSOS</v>
          </cell>
          <cell r="D1770" t="str">
            <v>ECOSAMPA Operação Geral</v>
          </cell>
        </row>
        <row r="1771">
          <cell r="A1771">
            <v>112497</v>
          </cell>
          <cell r="B1771" t="str">
            <v>MICHAEL DOUGLAS DOS SANTOS ALVES</v>
          </cell>
          <cell r="C1771" t="str">
            <v>AJUDANTE EQ SERVICOS DIVERSOS</v>
          </cell>
          <cell r="D1771" t="str">
            <v>ECOSAMPA Campo Limpo</v>
          </cell>
        </row>
        <row r="1772">
          <cell r="A1772">
            <v>113680</v>
          </cell>
          <cell r="B1772" t="str">
            <v>MICHAEL GODEZ DE CARVALHO ARAUJO</v>
          </cell>
          <cell r="C1772" t="str">
            <v>COLETOR</v>
          </cell>
          <cell r="D1772" t="str">
            <v>ECOSAMPA Operação Geral</v>
          </cell>
        </row>
        <row r="1773">
          <cell r="A1773">
            <v>112578</v>
          </cell>
          <cell r="B1773" t="str">
            <v>MICHAEL JACKSON DE OLIVEIRA ALMEIDA</v>
          </cell>
          <cell r="C1773" t="str">
            <v>AJUDANTE EQ SERVICOS DIVERSOS</v>
          </cell>
          <cell r="D1773" t="str">
            <v>ECOSAMPA M'Boi Mirim</v>
          </cell>
        </row>
        <row r="1774">
          <cell r="A1774">
            <v>119925</v>
          </cell>
          <cell r="B1774" t="str">
            <v>MICHAEL LUIS PEIXOTO DOS SANTOS</v>
          </cell>
          <cell r="C1774" t="str">
            <v>AJUDANTE EQ SERVICOS DIVERSOS</v>
          </cell>
          <cell r="D1774" t="str">
            <v>ECOSAMPA Operação Geral</v>
          </cell>
        </row>
        <row r="1775">
          <cell r="A1775">
            <v>112608</v>
          </cell>
          <cell r="B1775" t="str">
            <v>MICHEL ALBERTO LIMA DE SOUZA</v>
          </cell>
          <cell r="C1775" t="str">
            <v>MOTORISTA CAMINHAO</v>
          </cell>
          <cell r="D1775" t="str">
            <v>ECOSAMPA Operação Geral</v>
          </cell>
        </row>
        <row r="1776">
          <cell r="A1776">
            <v>121686</v>
          </cell>
          <cell r="B1776" t="str">
            <v>MICHEL ALVES PESSOA</v>
          </cell>
          <cell r="C1776" t="str">
            <v>AJUDANTE EQ SERVICOS DIVERSOS</v>
          </cell>
          <cell r="D1776" t="str">
            <v>ECOSAMPA Campo Limpo</v>
          </cell>
        </row>
        <row r="1777">
          <cell r="A1777">
            <v>122250</v>
          </cell>
          <cell r="B1777" t="str">
            <v>MICHEL ROGERIO SANTOS</v>
          </cell>
          <cell r="C1777" t="str">
            <v>AJUDANTE EQ SERVICOS DIVERSOS</v>
          </cell>
          <cell r="D1777" t="str">
            <v>ECOSAMPA Operação Geral</v>
          </cell>
        </row>
        <row r="1778">
          <cell r="A1778">
            <v>116981</v>
          </cell>
          <cell r="B1778" t="str">
            <v>MICHELE APARECIDA GOMES</v>
          </cell>
          <cell r="C1778" t="str">
            <v>AJUDANTE EQ SERVICOS DIVERSOS</v>
          </cell>
          <cell r="D1778" t="str">
            <v>ECOSAMPA Santo Amaro</v>
          </cell>
        </row>
        <row r="1779">
          <cell r="A1779">
            <v>114605</v>
          </cell>
          <cell r="B1779" t="str">
            <v>MICHELE DE CASTRO BARBOZA SOARES</v>
          </cell>
          <cell r="C1779" t="str">
            <v>PENSIONISTAS</v>
          </cell>
          <cell r="D1779" t="str">
            <v>ECOSAMPA Pensionistas</v>
          </cell>
        </row>
        <row r="1780">
          <cell r="A1780">
            <v>112615</v>
          </cell>
          <cell r="B1780" t="str">
            <v>MIGUEL JOSE DOS SANTOS</v>
          </cell>
          <cell r="C1780" t="str">
            <v>VARREDOR</v>
          </cell>
          <cell r="D1780" t="str">
            <v>ECOSAMPA Capela do Socorro</v>
          </cell>
        </row>
        <row r="1781">
          <cell r="A1781">
            <v>112621</v>
          </cell>
          <cell r="B1781" t="str">
            <v>MIGUEL PEREIRA BARBOZA</v>
          </cell>
          <cell r="C1781" t="str">
            <v>AJUDANTE EQ SERVICOS DIVERSOS</v>
          </cell>
          <cell r="D1781" t="str">
            <v>ECOSAMPA Operação Geral</v>
          </cell>
        </row>
        <row r="1782">
          <cell r="A1782">
            <v>112627</v>
          </cell>
          <cell r="B1782" t="str">
            <v>MIKE OTHO MORAIS</v>
          </cell>
          <cell r="C1782" t="str">
            <v>AJUDANTE EQ SERVICOS DIVERSOS</v>
          </cell>
          <cell r="D1782" t="str">
            <v>ECOSAMPA Operação Geral</v>
          </cell>
        </row>
        <row r="1783">
          <cell r="A1783">
            <v>112635</v>
          </cell>
          <cell r="B1783" t="str">
            <v>MILTON DA SILVA REIS</v>
          </cell>
          <cell r="C1783" t="str">
            <v>VARREDOR</v>
          </cell>
          <cell r="D1783" t="str">
            <v>ECOSAMPA Capela do Socorro</v>
          </cell>
        </row>
        <row r="1784">
          <cell r="A1784">
            <v>112642</v>
          </cell>
          <cell r="B1784" t="str">
            <v>MILTON DE OLIVEIRA SANTOS</v>
          </cell>
          <cell r="C1784" t="str">
            <v>VARREDOR</v>
          </cell>
          <cell r="D1784" t="str">
            <v>ECOSAMPA Parelheiros</v>
          </cell>
        </row>
        <row r="1785">
          <cell r="A1785">
            <v>112659</v>
          </cell>
          <cell r="B1785" t="str">
            <v>MILTON HONORIO DA SILVA</v>
          </cell>
          <cell r="C1785" t="str">
            <v>VARREDOR</v>
          </cell>
          <cell r="D1785" t="str">
            <v>ECOSAMPA Campo Limpo</v>
          </cell>
        </row>
        <row r="1786">
          <cell r="A1786">
            <v>114750</v>
          </cell>
          <cell r="B1786" t="str">
            <v>MILTON MILET DE JESUS CASSEMIRO</v>
          </cell>
          <cell r="C1786" t="str">
            <v>AJUDANTE EQ SERVICOS DIVERSOS</v>
          </cell>
          <cell r="D1786" t="str">
            <v>ECOSAMPA Santo Amaro</v>
          </cell>
        </row>
        <row r="1787">
          <cell r="A1787">
            <v>115348</v>
          </cell>
          <cell r="B1787" t="str">
            <v>MIRIA SANTOS SANTANA</v>
          </cell>
          <cell r="C1787" t="str">
            <v>PENSIONISTAS</v>
          </cell>
          <cell r="D1787" t="str">
            <v>ECOSAMPA Pensionistas</v>
          </cell>
        </row>
        <row r="1788">
          <cell r="A1788">
            <v>112669</v>
          </cell>
          <cell r="B1788" t="str">
            <v>MISSIMEIRE FERREIRA LIMA DOS SANTOS</v>
          </cell>
          <cell r="C1788" t="str">
            <v>VARREDOR</v>
          </cell>
          <cell r="D1788" t="str">
            <v>ECOSAMPA Santo Amaro</v>
          </cell>
        </row>
        <row r="1789">
          <cell r="A1789">
            <v>112675</v>
          </cell>
          <cell r="B1789" t="str">
            <v>MOACY GONCALVES DE OLIVEIRA</v>
          </cell>
          <cell r="C1789" t="str">
            <v>VARREDOR</v>
          </cell>
          <cell r="D1789" t="str">
            <v>ECOSAMPA Campo Limpo</v>
          </cell>
        </row>
        <row r="1790">
          <cell r="A1790">
            <v>116011</v>
          </cell>
          <cell r="B1790" t="str">
            <v>MOISES DE JESUS NASCIMENTO</v>
          </cell>
          <cell r="C1790" t="str">
            <v>AJUDANTE EQ SERVICOS DIVERSOS</v>
          </cell>
          <cell r="D1790" t="str">
            <v>ECOSAMPA Santo Amaro</v>
          </cell>
        </row>
        <row r="1791">
          <cell r="A1791">
            <v>115405</v>
          </cell>
          <cell r="B1791" t="str">
            <v>MOISES FERREIRA BRANDAO JUNIOR</v>
          </cell>
          <cell r="C1791" t="str">
            <v>AJUDANTE EQ SERVICOS DIVERSOS</v>
          </cell>
          <cell r="D1791" t="str">
            <v>ECOSAMPA Santo Amaro</v>
          </cell>
        </row>
        <row r="1792">
          <cell r="A1792">
            <v>112681</v>
          </cell>
          <cell r="B1792" t="str">
            <v>MOISES GOMES RODRIGUES</v>
          </cell>
          <cell r="C1792" t="str">
            <v>VARREDOR</v>
          </cell>
          <cell r="D1792" t="str">
            <v>ECOSAMPA Campo Limpo</v>
          </cell>
        </row>
        <row r="1793">
          <cell r="A1793">
            <v>114231</v>
          </cell>
          <cell r="B1793" t="str">
            <v>MOISES MENDES DE QUEIROZ</v>
          </cell>
          <cell r="C1793" t="str">
            <v>FISCAL DE TURMA PLENO</v>
          </cell>
          <cell r="D1793" t="str">
            <v>ECOSAMPA M'Boi Mirim</v>
          </cell>
        </row>
        <row r="1794">
          <cell r="A1794">
            <v>112692</v>
          </cell>
          <cell r="B1794" t="str">
            <v>MOISES SANTOS NOGUEIRA</v>
          </cell>
          <cell r="C1794" t="str">
            <v>VARREDOR</v>
          </cell>
          <cell r="D1794" t="str">
            <v>ECOSAMPA Parelheiros</v>
          </cell>
        </row>
        <row r="1795">
          <cell r="A1795">
            <v>113741</v>
          </cell>
          <cell r="B1795" t="str">
            <v>MONICA PAULA DA SILVA</v>
          </cell>
          <cell r="C1795" t="str">
            <v>COORDENADOR(A) DE COMUNICACAO</v>
          </cell>
          <cell r="D1795" t="str">
            <v>ECOSAMPA Administração</v>
          </cell>
        </row>
        <row r="1796">
          <cell r="A1796">
            <v>113582</v>
          </cell>
          <cell r="B1796" t="str">
            <v>NACISIO JANUARIO DOS SANTOS</v>
          </cell>
          <cell r="C1796" t="str">
            <v>VARREDOR</v>
          </cell>
          <cell r="D1796" t="str">
            <v>ECOSAMPA Santo Amaro</v>
          </cell>
        </row>
        <row r="1797">
          <cell r="A1797">
            <v>116718</v>
          </cell>
          <cell r="B1797" t="str">
            <v>NADIO BORBA DOS SANTOS</v>
          </cell>
          <cell r="C1797" t="str">
            <v>VARREDOR</v>
          </cell>
          <cell r="D1797" t="str">
            <v>ECOSAMPA M'Boi Mirim</v>
          </cell>
        </row>
        <row r="1798">
          <cell r="A1798">
            <v>114610</v>
          </cell>
          <cell r="B1798" t="str">
            <v>NAEDSON ROCHA FARIAS FERREIRA</v>
          </cell>
          <cell r="C1798" t="str">
            <v>AJUDANTE EQ SERVICOS DIVERSOS</v>
          </cell>
          <cell r="D1798" t="str">
            <v>ECOSAMPA Santo Amaro</v>
          </cell>
        </row>
        <row r="1799">
          <cell r="A1799">
            <v>112703</v>
          </cell>
          <cell r="B1799" t="str">
            <v>NAILTON VIEIRA DOS SANTOS</v>
          </cell>
          <cell r="C1799" t="str">
            <v>VARREDOR</v>
          </cell>
          <cell r="D1799" t="str">
            <v>ECOSAMPA Campo Limpo</v>
          </cell>
        </row>
        <row r="1800">
          <cell r="A1800">
            <v>114105</v>
          </cell>
          <cell r="B1800" t="str">
            <v>NATANAEL ALBINO DE OLIVEIRA</v>
          </cell>
          <cell r="C1800" t="str">
            <v>AJUDANTE EQ SERVICOS DIVERSOS</v>
          </cell>
          <cell r="D1800" t="str">
            <v>ECOSAMPA Operação Geral</v>
          </cell>
        </row>
        <row r="1801">
          <cell r="A1801">
            <v>114930</v>
          </cell>
          <cell r="B1801" t="str">
            <v>NATHALIA APARECIDA OLIVEIRA MENDES</v>
          </cell>
          <cell r="C1801" t="str">
            <v>AJUDANTE EQ SERVICOS DIVERSOS</v>
          </cell>
          <cell r="D1801" t="str">
            <v>ECOSAMPA Campo Limpo</v>
          </cell>
        </row>
        <row r="1802">
          <cell r="A1802">
            <v>117413</v>
          </cell>
          <cell r="B1802" t="str">
            <v>NATHAN GOMES DOS SANTOS</v>
          </cell>
          <cell r="C1802" t="str">
            <v>VARREDOR</v>
          </cell>
          <cell r="D1802" t="str">
            <v>ECOSAMPA Capela do Socorro</v>
          </cell>
        </row>
        <row r="1803">
          <cell r="A1803">
            <v>112718</v>
          </cell>
          <cell r="B1803" t="str">
            <v>NELSON BARBOSA</v>
          </cell>
          <cell r="C1803" t="str">
            <v>VARREDOR</v>
          </cell>
          <cell r="D1803" t="str">
            <v>ECOSAMPA Capela do Socorro</v>
          </cell>
        </row>
        <row r="1804">
          <cell r="A1804">
            <v>121475</v>
          </cell>
          <cell r="B1804" t="str">
            <v>NELSON BENEDITO DE MORAES</v>
          </cell>
          <cell r="C1804" t="str">
            <v>AJUDANTE EQ SERVICOS DIVERSOS</v>
          </cell>
          <cell r="D1804" t="str">
            <v>ECOSAMPA Operação Geral</v>
          </cell>
        </row>
        <row r="1805">
          <cell r="A1805">
            <v>112723</v>
          </cell>
          <cell r="B1805" t="str">
            <v>NELSON DA SILVA</v>
          </cell>
          <cell r="C1805" t="str">
            <v>VARREDOR</v>
          </cell>
          <cell r="D1805" t="str">
            <v>ECOSAMPA M'Boi Mirim</v>
          </cell>
        </row>
        <row r="1806">
          <cell r="A1806">
            <v>112731</v>
          </cell>
          <cell r="B1806" t="str">
            <v>NELSON DE OLIVEIRA</v>
          </cell>
          <cell r="C1806" t="str">
            <v>VARREDOR</v>
          </cell>
          <cell r="D1806" t="str">
            <v>ECOSAMPA Capela do Socorro</v>
          </cell>
        </row>
        <row r="1807">
          <cell r="A1807">
            <v>112738</v>
          </cell>
          <cell r="B1807" t="str">
            <v>NELSON LEAL DOS SANTOS</v>
          </cell>
          <cell r="C1807" t="str">
            <v>VARREDOR</v>
          </cell>
          <cell r="D1807" t="str">
            <v>ECOSAMPA Capela do Socorro</v>
          </cell>
        </row>
        <row r="1808">
          <cell r="A1808">
            <v>115447</v>
          </cell>
          <cell r="B1808" t="str">
            <v>NELSON NASCIMENTO DE OLIVEIRA JUNIOR</v>
          </cell>
          <cell r="C1808" t="str">
            <v>FISCAL DE TURMA PLENO</v>
          </cell>
          <cell r="D1808" t="str">
            <v>ECOSAMPA M'Boi Mirim</v>
          </cell>
        </row>
        <row r="1809">
          <cell r="A1809">
            <v>112744</v>
          </cell>
          <cell r="B1809" t="str">
            <v>NELSON ROBERTO RIBEIRO DA SILVA</v>
          </cell>
          <cell r="C1809" t="str">
            <v>BUEIRISTA</v>
          </cell>
          <cell r="D1809" t="str">
            <v>ECOSAMPA Campo Limpo</v>
          </cell>
        </row>
        <row r="1810">
          <cell r="A1810">
            <v>119928</v>
          </cell>
          <cell r="B1810" t="str">
            <v>NELZELITO EDEN DE SOUZA</v>
          </cell>
          <cell r="C1810" t="str">
            <v>AJUDANTE EQ SERVICOS DIVERSOS</v>
          </cell>
          <cell r="D1810" t="str">
            <v>ECOSAMPA Operação Geral</v>
          </cell>
        </row>
        <row r="1811">
          <cell r="A1811">
            <v>121319</v>
          </cell>
          <cell r="B1811" t="str">
            <v>NICOLAS RIBEIRO CIDRAL</v>
          </cell>
          <cell r="C1811" t="str">
            <v>AJUDANTE EQ SERVICOS DIVERSOS</v>
          </cell>
          <cell r="D1811" t="str">
            <v>ECOSAMPA Santo Amaro</v>
          </cell>
        </row>
        <row r="1812">
          <cell r="A1812">
            <v>112755</v>
          </cell>
          <cell r="B1812" t="str">
            <v>NILSON ARAUJO DOS SANTOS</v>
          </cell>
          <cell r="C1812" t="str">
            <v>VARREDOR</v>
          </cell>
          <cell r="D1812" t="str">
            <v>ECOSAMPA Capela do Socorro</v>
          </cell>
        </row>
        <row r="1813">
          <cell r="A1813">
            <v>121025</v>
          </cell>
          <cell r="B1813" t="str">
            <v>NILSON CUSTODIO DE ALCANTARA</v>
          </cell>
          <cell r="C1813" t="str">
            <v>VARREDOR</v>
          </cell>
          <cell r="D1813" t="str">
            <v>ECOSAMPA Capela do Socorro</v>
          </cell>
        </row>
        <row r="1814">
          <cell r="A1814">
            <v>112761</v>
          </cell>
          <cell r="B1814" t="str">
            <v>NILSON DE FARIA</v>
          </cell>
          <cell r="C1814" t="str">
            <v>VARREDOR</v>
          </cell>
          <cell r="D1814" t="str">
            <v>ECOSAMPA Campo Limpo</v>
          </cell>
        </row>
        <row r="1815">
          <cell r="A1815">
            <v>113771</v>
          </cell>
          <cell r="B1815" t="str">
            <v>NILSON DOS SANTOS CAMILLO</v>
          </cell>
          <cell r="C1815" t="str">
            <v>AUXILIAR DE CHECK LIST</v>
          </cell>
          <cell r="D1815" t="str">
            <v>ECOSAMPA Operação Geral</v>
          </cell>
        </row>
        <row r="1816">
          <cell r="A1816">
            <v>112765</v>
          </cell>
          <cell r="B1816" t="str">
            <v>NILSON MUNIZ SILVA</v>
          </cell>
          <cell r="C1816" t="str">
            <v>VARREDOR</v>
          </cell>
          <cell r="D1816" t="str">
            <v>ECOSAMPA Santo Amaro</v>
          </cell>
        </row>
        <row r="1817">
          <cell r="A1817">
            <v>112772</v>
          </cell>
          <cell r="B1817" t="str">
            <v>NILSON ROBERTO GALVAO</v>
          </cell>
          <cell r="C1817" t="str">
            <v>VARREDOR</v>
          </cell>
          <cell r="D1817" t="str">
            <v>ECOSAMPA Santo Amaro</v>
          </cell>
        </row>
        <row r="1818">
          <cell r="A1818">
            <v>112780</v>
          </cell>
          <cell r="B1818" t="str">
            <v>NILSON RODRIGUES DE JESUS</v>
          </cell>
          <cell r="C1818" t="str">
            <v>VARREDOR</v>
          </cell>
          <cell r="D1818" t="str">
            <v>ECOSAMPA Capela do Socorro</v>
          </cell>
        </row>
        <row r="1819">
          <cell r="A1819">
            <v>114618</v>
          </cell>
          <cell r="B1819" t="str">
            <v>NILSON SILVESTRE DA SILVA</v>
          </cell>
          <cell r="C1819" t="str">
            <v>MOTORISTA CAMINHAO</v>
          </cell>
          <cell r="D1819" t="str">
            <v>ECOSAMPA Operação Geral</v>
          </cell>
        </row>
        <row r="1820">
          <cell r="A1820">
            <v>112785</v>
          </cell>
          <cell r="B1820" t="str">
            <v>NILTON DA COSTA LEAL</v>
          </cell>
          <cell r="C1820" t="str">
            <v>VARREDOR</v>
          </cell>
          <cell r="D1820" t="str">
            <v>ECOSAMPA Campo Limpo</v>
          </cell>
        </row>
        <row r="1821">
          <cell r="A1821">
            <v>112791</v>
          </cell>
          <cell r="B1821" t="str">
            <v>NILTON DE JESUS SANTANA</v>
          </cell>
          <cell r="C1821" t="str">
            <v>VARREDOR</v>
          </cell>
          <cell r="D1821" t="str">
            <v>ECOSAMPA Campo Limpo</v>
          </cell>
        </row>
        <row r="1822">
          <cell r="A1822">
            <v>112802</v>
          </cell>
          <cell r="B1822" t="str">
            <v>NILTON PASSOS DOS SANTOS</v>
          </cell>
          <cell r="C1822" t="str">
            <v>MOTORISTA CAMINHAO</v>
          </cell>
          <cell r="D1822" t="str">
            <v>ECOSAMPA Operação Geral</v>
          </cell>
        </row>
        <row r="1823">
          <cell r="A1823">
            <v>112810</v>
          </cell>
          <cell r="B1823" t="str">
            <v>NILTON PEREIRA GARCIA</v>
          </cell>
          <cell r="C1823" t="str">
            <v>VARREDOR</v>
          </cell>
          <cell r="D1823" t="str">
            <v>ECOSAMPA Santo Amaro</v>
          </cell>
        </row>
        <row r="1824">
          <cell r="A1824">
            <v>112816</v>
          </cell>
          <cell r="B1824" t="str">
            <v>NILTON SANTOS DA SILVA</v>
          </cell>
          <cell r="C1824" t="str">
            <v>COLETOR</v>
          </cell>
          <cell r="D1824" t="str">
            <v>ECOSAMPA Operação Geral</v>
          </cell>
        </row>
        <row r="1825">
          <cell r="A1825">
            <v>114711</v>
          </cell>
          <cell r="B1825" t="str">
            <v>NILVAN CHARLES NUNES LOPES</v>
          </cell>
          <cell r="C1825" t="str">
            <v>AJUDANTE EQ SERVICOS DIVERSOS</v>
          </cell>
          <cell r="D1825" t="str">
            <v>ECOSAMPA Campo Limpo</v>
          </cell>
        </row>
        <row r="1826">
          <cell r="A1826">
            <v>112828</v>
          </cell>
          <cell r="B1826" t="str">
            <v>NILZA APARECIDA MOREIRA</v>
          </cell>
          <cell r="C1826" t="str">
            <v>VARREDOR</v>
          </cell>
          <cell r="D1826" t="str">
            <v>ECOSAMPA Santo Amaro</v>
          </cell>
        </row>
        <row r="1827">
          <cell r="A1827">
            <v>119674</v>
          </cell>
          <cell r="B1827" t="str">
            <v>NIRVANIL QUEIROZ DOS SANTOS</v>
          </cell>
          <cell r="C1827" t="str">
            <v>AJUDANTE EQ SERVICOS DIVERSOS</v>
          </cell>
          <cell r="D1827" t="str">
            <v>ECOSAMPA M'Boi Mirim</v>
          </cell>
        </row>
        <row r="1828">
          <cell r="A1828">
            <v>114761</v>
          </cell>
          <cell r="B1828" t="str">
            <v>NIVALDO MARQUES DOS SANTOS</v>
          </cell>
          <cell r="C1828" t="str">
            <v>MOTORISTA CAMINHAO</v>
          </cell>
          <cell r="D1828" t="str">
            <v>ECOSAMPA Operação Geral</v>
          </cell>
        </row>
        <row r="1829">
          <cell r="A1829">
            <v>112833</v>
          </cell>
          <cell r="B1829" t="str">
            <v>NIVALDO SEPERO DOS SANTOS</v>
          </cell>
          <cell r="C1829" t="str">
            <v>VARREDOR</v>
          </cell>
          <cell r="D1829" t="str">
            <v>ECOSAMPA Capela do Socorro</v>
          </cell>
        </row>
        <row r="1830">
          <cell r="A1830">
            <v>112845</v>
          </cell>
          <cell r="B1830" t="str">
            <v>NOBERTO NOGUEIRA DE AGUIAR</v>
          </cell>
          <cell r="C1830" t="str">
            <v>MOTORISTA CAMINHAO</v>
          </cell>
          <cell r="D1830" t="str">
            <v>ECOSAMPA Operação Geral</v>
          </cell>
        </row>
        <row r="1831">
          <cell r="A1831">
            <v>112852</v>
          </cell>
          <cell r="B1831" t="str">
            <v>NOELSON DOS SANTOS CRUZ</v>
          </cell>
          <cell r="C1831" t="str">
            <v>COLETOR</v>
          </cell>
          <cell r="D1831" t="str">
            <v>ECOSAMPA Operação Geral</v>
          </cell>
        </row>
        <row r="1832">
          <cell r="A1832">
            <v>112859</v>
          </cell>
          <cell r="B1832" t="str">
            <v>NORMA NINA COSTA DA SILVA</v>
          </cell>
          <cell r="C1832" t="str">
            <v>AJUDANTE EQ SERVICOS DIVERSOS</v>
          </cell>
          <cell r="D1832" t="str">
            <v>ECOSAMPA Campo Limpo</v>
          </cell>
        </row>
        <row r="1833">
          <cell r="A1833">
            <v>119107</v>
          </cell>
          <cell r="B1833" t="str">
            <v>OCELIO LIMA BARBOSA</v>
          </cell>
          <cell r="C1833" t="str">
            <v>AJUDANTE EQ SERVICOS DIVERSOS</v>
          </cell>
          <cell r="D1833" t="str">
            <v>ECOSAMPA M'Boi Mirim</v>
          </cell>
        </row>
        <row r="1834">
          <cell r="A1834">
            <v>112871</v>
          </cell>
          <cell r="B1834" t="str">
            <v>ODAIR ALVES DOS SANTOS</v>
          </cell>
          <cell r="C1834" t="str">
            <v>VARREDOR</v>
          </cell>
          <cell r="D1834" t="str">
            <v>ECOSAMPA Capela do Socorro</v>
          </cell>
        </row>
        <row r="1835">
          <cell r="A1835">
            <v>114774</v>
          </cell>
          <cell r="B1835" t="str">
            <v>ODAIR DA SILVA HESSEL</v>
          </cell>
          <cell r="C1835" t="str">
            <v>AJUDANTE EQ SERVICOS DIVERSOS</v>
          </cell>
          <cell r="D1835" t="str">
            <v>ECOSAMPA Parelheiros</v>
          </cell>
        </row>
        <row r="1836">
          <cell r="A1836">
            <v>112877</v>
          </cell>
          <cell r="B1836" t="str">
            <v>ODAIR DOS SANTOS FREITAS</v>
          </cell>
          <cell r="C1836" t="str">
            <v>AJUDANTE EQ SERVICOS DIVERSOS</v>
          </cell>
          <cell r="D1836" t="str">
            <v>ECOSAMPA M'Boi Mirim</v>
          </cell>
        </row>
        <row r="1837">
          <cell r="A1837">
            <v>118046</v>
          </cell>
          <cell r="B1837" t="str">
            <v>ODAIR JOSE DA SILVA</v>
          </cell>
          <cell r="C1837" t="str">
            <v>AJUDANTE EQ SERVICOS DIVERSOS</v>
          </cell>
          <cell r="D1837" t="str">
            <v>ECOSAMPA Capela do Socorro</v>
          </cell>
        </row>
        <row r="1838">
          <cell r="A1838">
            <v>112887</v>
          </cell>
          <cell r="B1838" t="str">
            <v>ODAIR JOSE FERREIRA DOS SANTOS</v>
          </cell>
          <cell r="C1838" t="str">
            <v>VARREDOR</v>
          </cell>
          <cell r="D1838" t="str">
            <v>ECOSAMPA Capela do Socorro</v>
          </cell>
        </row>
        <row r="1839">
          <cell r="A1839">
            <v>112894</v>
          </cell>
          <cell r="B1839" t="str">
            <v>ODEVANDO MANOEL XAVIER</v>
          </cell>
          <cell r="C1839" t="str">
            <v>VARREDOR</v>
          </cell>
          <cell r="D1839" t="str">
            <v>ECOSAMPA M'Boi Mirim</v>
          </cell>
        </row>
        <row r="1840">
          <cell r="A1840">
            <v>112908</v>
          </cell>
          <cell r="B1840" t="str">
            <v>OLIMPIO PEREIRA DE MELO FILHO</v>
          </cell>
          <cell r="C1840" t="str">
            <v>AJUDANTE EQ SERVICOS DIVERSOS</v>
          </cell>
          <cell r="D1840" t="str">
            <v>ECOSAMPA Campo Limpo</v>
          </cell>
        </row>
        <row r="1841">
          <cell r="A1841">
            <v>113004</v>
          </cell>
          <cell r="B1841" t="str">
            <v>OLINDINO PEREIRA SILVA</v>
          </cell>
          <cell r="C1841" t="str">
            <v>AJUDANTE EQ SERVICOS DIVERSOS</v>
          </cell>
          <cell r="D1841" t="str">
            <v>ECOSAMPA Santo Amaro</v>
          </cell>
        </row>
        <row r="1842">
          <cell r="A1842">
            <v>113012</v>
          </cell>
          <cell r="B1842" t="str">
            <v>ORIVALDO CUSTODIO</v>
          </cell>
          <cell r="C1842" t="str">
            <v>AUXILIAR DE ALMOXARIFADO PLENO</v>
          </cell>
          <cell r="D1842" t="str">
            <v>ECOSAMPA Operação Geral</v>
          </cell>
        </row>
        <row r="1843">
          <cell r="A1843">
            <v>115229</v>
          </cell>
          <cell r="B1843" t="str">
            <v>ORLANDO DE SOUZA BATISTA</v>
          </cell>
          <cell r="C1843" t="str">
            <v>SERRALHEIRO</v>
          </cell>
          <cell r="D1843" t="str">
            <v>ECOSAMPA Operação Geral</v>
          </cell>
        </row>
        <row r="1844">
          <cell r="A1844">
            <v>113025</v>
          </cell>
          <cell r="B1844" t="str">
            <v>ORLANDO JESUS DOS SANTOS</v>
          </cell>
          <cell r="C1844" t="str">
            <v>VARREDOR</v>
          </cell>
          <cell r="D1844" t="str">
            <v>ECOSAMPA M'Boi Mirim</v>
          </cell>
        </row>
        <row r="1845">
          <cell r="A1845">
            <v>113032</v>
          </cell>
          <cell r="B1845" t="str">
            <v>ORLANDO SEBASTIAO DA SILVA</v>
          </cell>
          <cell r="C1845" t="str">
            <v>VARREDOR</v>
          </cell>
          <cell r="D1845" t="str">
            <v>ECOSAMPA Santo Amaro</v>
          </cell>
        </row>
        <row r="1846">
          <cell r="A1846">
            <v>113044</v>
          </cell>
          <cell r="B1846" t="str">
            <v>OSAIR ALVES FAGUNDES</v>
          </cell>
          <cell r="C1846" t="str">
            <v>MOTORISTA CAMINHAO</v>
          </cell>
          <cell r="D1846" t="str">
            <v>ECOSAMPA Operação Geral</v>
          </cell>
        </row>
        <row r="1847">
          <cell r="A1847">
            <v>113070</v>
          </cell>
          <cell r="B1847" t="str">
            <v>OSCAR PENHA ALVES</v>
          </cell>
          <cell r="C1847" t="str">
            <v>ENCARREGADO DE TURMA</v>
          </cell>
          <cell r="D1847" t="str">
            <v>ECOSAMPA Parelheiros</v>
          </cell>
        </row>
        <row r="1848">
          <cell r="A1848">
            <v>113128</v>
          </cell>
          <cell r="B1848" t="str">
            <v>OSMAR DA FONSECA</v>
          </cell>
          <cell r="C1848" t="str">
            <v>MOTORISTA CAMINHAO</v>
          </cell>
          <cell r="D1848" t="str">
            <v>ECOSAMPA Operação Geral</v>
          </cell>
        </row>
        <row r="1849">
          <cell r="A1849">
            <v>113083</v>
          </cell>
          <cell r="B1849" t="str">
            <v>OSMAR NOGUEIRA DA SILVA</v>
          </cell>
          <cell r="C1849" t="str">
            <v>FISCAL DE TURMA PLENO</v>
          </cell>
          <cell r="D1849" t="str">
            <v>ECOSAMPA Santo Amaro</v>
          </cell>
        </row>
        <row r="1850">
          <cell r="A1850">
            <v>113138</v>
          </cell>
          <cell r="B1850" t="str">
            <v>OSVALDO FORTUNATO MORAIS</v>
          </cell>
          <cell r="C1850" t="str">
            <v>VARREDOR</v>
          </cell>
          <cell r="D1850" t="str">
            <v>ECOSAMPA M'Boi Mirim</v>
          </cell>
        </row>
        <row r="1851">
          <cell r="A1851">
            <v>114716</v>
          </cell>
          <cell r="B1851" t="str">
            <v>OSWALDO ALVES NETO</v>
          </cell>
          <cell r="C1851" t="str">
            <v>AJUDANTE EQ SERVICOS DIVERSOS</v>
          </cell>
          <cell r="D1851" t="str">
            <v>ECOSAMPA Capela do Socorro</v>
          </cell>
        </row>
        <row r="1852">
          <cell r="A1852">
            <v>113141</v>
          </cell>
          <cell r="B1852" t="str">
            <v>OZEIAS PEREIRA DE SOUSA</v>
          </cell>
          <cell r="C1852" t="str">
            <v>VARREDOR</v>
          </cell>
          <cell r="D1852" t="str">
            <v>ECOSAMPA Campo Limpo</v>
          </cell>
        </row>
        <row r="1853">
          <cell r="A1853">
            <v>113669</v>
          </cell>
          <cell r="B1853" t="str">
            <v>OZEIAS ROSA BARBOSA</v>
          </cell>
          <cell r="C1853" t="str">
            <v>VARREDOR</v>
          </cell>
          <cell r="D1853" t="str">
            <v>ECOSAMPA Santo Amaro</v>
          </cell>
        </row>
        <row r="1854">
          <cell r="A1854">
            <v>113671</v>
          </cell>
          <cell r="B1854" t="str">
            <v>OZEILDO CONCEICAO NASCIMENTO</v>
          </cell>
          <cell r="C1854" t="str">
            <v>AJUDANTE EQ SERVICOS DIVERSOS</v>
          </cell>
          <cell r="D1854" t="str">
            <v>ECOSAMPA Capela do Socorro</v>
          </cell>
        </row>
        <row r="1855">
          <cell r="A1855">
            <v>113183</v>
          </cell>
          <cell r="B1855" t="str">
            <v>OZIEL PAULO DE LIMA</v>
          </cell>
          <cell r="C1855" t="str">
            <v>COLETOR</v>
          </cell>
          <cell r="D1855" t="str">
            <v>ECOSAMPA Operação Geral</v>
          </cell>
        </row>
        <row r="1856">
          <cell r="A1856">
            <v>113188</v>
          </cell>
          <cell r="B1856" t="str">
            <v>OZILINA AUGUSTINHA DE SOUZA</v>
          </cell>
          <cell r="C1856" t="str">
            <v>AJUDANTE EQ SERVICOS DIVERSOS</v>
          </cell>
          <cell r="D1856" t="str">
            <v>ECOSAMPA Capela do Socorro</v>
          </cell>
        </row>
        <row r="1857">
          <cell r="A1857">
            <v>122577</v>
          </cell>
          <cell r="B1857" t="str">
            <v>PAMELA MARTINS PEREIRA</v>
          </cell>
          <cell r="C1857" t="str">
            <v>PENSIONISTAS</v>
          </cell>
          <cell r="D1857" t="str">
            <v>ECOSAMPA Pensionistas</v>
          </cell>
        </row>
        <row r="1858">
          <cell r="A1858">
            <v>113743</v>
          </cell>
          <cell r="B1858" t="str">
            <v>PAMELA SUELEN FIORENTINI</v>
          </cell>
          <cell r="C1858" t="str">
            <v>COORDENADOR(A) ADM / FINANCEIRO</v>
          </cell>
          <cell r="D1858" t="str">
            <v>ECOSAMPA Administração</v>
          </cell>
        </row>
        <row r="1859">
          <cell r="A1859">
            <v>113192</v>
          </cell>
          <cell r="B1859" t="str">
            <v>PAOLA SABRINA RIO BRANCO</v>
          </cell>
          <cell r="C1859" t="str">
            <v>VARREDOR</v>
          </cell>
          <cell r="D1859" t="str">
            <v>ECOSAMPA M'Boi Mirim</v>
          </cell>
        </row>
        <row r="1860">
          <cell r="A1860">
            <v>122555</v>
          </cell>
          <cell r="B1860" t="str">
            <v>PATRICIA ALMEIDA DE LIMA</v>
          </cell>
          <cell r="C1860" t="str">
            <v>AJUDANTE EQ SERVICOS DIVERSOS</v>
          </cell>
          <cell r="D1860" t="str">
            <v>ECOSAMPA Capela do Socorro</v>
          </cell>
        </row>
        <row r="1861">
          <cell r="A1861">
            <v>114193</v>
          </cell>
          <cell r="B1861" t="str">
            <v>PATRICIA COSTA DE ARAUJO</v>
          </cell>
          <cell r="C1861" t="str">
            <v>PENSIONISTAS</v>
          </cell>
          <cell r="D1861" t="str">
            <v>ECOSAMPA Pensionistas</v>
          </cell>
        </row>
        <row r="1862">
          <cell r="A1862">
            <v>118054</v>
          </cell>
          <cell r="B1862" t="str">
            <v>PATRICIO AUGUSTO ARAUJO DA SILVA</v>
          </cell>
          <cell r="C1862" t="str">
            <v>AJUDANTE EQ SERVICOS DIVERSOS</v>
          </cell>
          <cell r="D1862" t="str">
            <v>ECOSAMPA Campo Limpo</v>
          </cell>
        </row>
        <row r="1863">
          <cell r="A1863">
            <v>114740</v>
          </cell>
          <cell r="B1863" t="str">
            <v>PATRICIO OLIVEIRA DA SILVA</v>
          </cell>
          <cell r="C1863" t="str">
            <v>VARREDOR</v>
          </cell>
          <cell r="D1863" t="str">
            <v>ECOSAMPA Santo Amaro</v>
          </cell>
        </row>
        <row r="1864">
          <cell r="A1864">
            <v>113722</v>
          </cell>
          <cell r="B1864" t="str">
            <v>PATRICK DOS SANTOS DANTAS</v>
          </cell>
          <cell r="C1864" t="str">
            <v>AJUDANTE EQ SERVICOS DIVERSOS</v>
          </cell>
          <cell r="D1864" t="str">
            <v>ECOSAMPA Campo Limpo</v>
          </cell>
        </row>
        <row r="1865">
          <cell r="A1865">
            <v>117415</v>
          </cell>
          <cell r="B1865" t="str">
            <v>PATRICK SILVA OLIVEIRA</v>
          </cell>
          <cell r="C1865" t="str">
            <v>VARREDOR</v>
          </cell>
          <cell r="D1865" t="str">
            <v>ECOSAMPA Santo Amaro</v>
          </cell>
        </row>
        <row r="1866">
          <cell r="A1866">
            <v>113197</v>
          </cell>
          <cell r="B1866" t="str">
            <v>PAULO ANTONIO DA SILVA</v>
          </cell>
          <cell r="C1866" t="str">
            <v>AJUDANTE EQ SERVICOS DIVERSOS</v>
          </cell>
          <cell r="D1866" t="str">
            <v>ECOSAMPA M'Boi Mirim</v>
          </cell>
        </row>
        <row r="1867">
          <cell r="A1867">
            <v>113201</v>
          </cell>
          <cell r="B1867" t="str">
            <v>PAULO AQUINO TAVARES DE ARRUDA</v>
          </cell>
          <cell r="C1867" t="str">
            <v>VARREDOR</v>
          </cell>
          <cell r="D1867" t="str">
            <v>ECOSAMPA Capela do Socorro</v>
          </cell>
        </row>
        <row r="1868">
          <cell r="A1868">
            <v>113207</v>
          </cell>
          <cell r="B1868" t="str">
            <v>PAULO ASCENDINO DO NASCIMENTO</v>
          </cell>
          <cell r="C1868" t="str">
            <v>MOTORISTA CAMINHAO</v>
          </cell>
          <cell r="D1868" t="str">
            <v>ECOSAMPA Operação Geral</v>
          </cell>
        </row>
        <row r="1869">
          <cell r="A1869">
            <v>113803</v>
          </cell>
          <cell r="B1869" t="str">
            <v>PAULO BATISTA FERNANDES</v>
          </cell>
          <cell r="C1869" t="str">
            <v>MOTORISTA CAMINHAO</v>
          </cell>
          <cell r="D1869" t="str">
            <v>ECOSAMPA Operação Geral</v>
          </cell>
        </row>
        <row r="1870">
          <cell r="A1870">
            <v>113218</v>
          </cell>
          <cell r="B1870" t="str">
            <v>PAULO CAMPOS MEIRELES</v>
          </cell>
          <cell r="C1870" t="str">
            <v>MOTORISTA CAMINHAO</v>
          </cell>
          <cell r="D1870" t="str">
            <v>ECOSAMPA Operação Geral</v>
          </cell>
        </row>
        <row r="1871">
          <cell r="A1871">
            <v>113224</v>
          </cell>
          <cell r="B1871" t="str">
            <v>PAULO CARDOSO DOS SANTOS</v>
          </cell>
          <cell r="C1871" t="str">
            <v>AJUDANTE EQ SERVICOS DIVERSOS</v>
          </cell>
          <cell r="D1871" t="str">
            <v>ECOSAMPA Santo Amaro</v>
          </cell>
        </row>
        <row r="1872">
          <cell r="A1872">
            <v>114094</v>
          </cell>
          <cell r="B1872" t="str">
            <v>PAULO CARLOS PRADO LOURENCO</v>
          </cell>
          <cell r="C1872" t="str">
            <v>AJUDANTE EQ SERVICOS DIVERSOS</v>
          </cell>
          <cell r="D1872" t="str">
            <v>ECOSAMPA Capela do Socorro</v>
          </cell>
        </row>
        <row r="1873">
          <cell r="A1873">
            <v>113235</v>
          </cell>
          <cell r="B1873" t="str">
            <v>PAULO CARVALHO SOUZA</v>
          </cell>
          <cell r="C1873" t="str">
            <v>AJUDANTE EQ SERVICOS DIVERSOS</v>
          </cell>
          <cell r="D1873" t="str">
            <v>ECOSAMPA Santo Amaro</v>
          </cell>
        </row>
        <row r="1874">
          <cell r="A1874">
            <v>113243</v>
          </cell>
          <cell r="B1874" t="str">
            <v>PAULO CESAR MOREIRA ARAUJO</v>
          </cell>
          <cell r="C1874" t="str">
            <v>AJUDANTE EQ SERVICOS DIVERSOS</v>
          </cell>
          <cell r="D1874" t="str">
            <v>ECOSAMPA Operação Geral</v>
          </cell>
        </row>
        <row r="1875">
          <cell r="A1875">
            <v>119125</v>
          </cell>
          <cell r="B1875" t="str">
            <v>PAULO CESAR PEREIRA DA SILVA</v>
          </cell>
          <cell r="C1875" t="str">
            <v>MOTORISTA CAMINHAO</v>
          </cell>
          <cell r="D1875" t="str">
            <v>ECOSAMPA Operação Geral</v>
          </cell>
        </row>
        <row r="1876">
          <cell r="A1876">
            <v>116730</v>
          </cell>
          <cell r="B1876" t="str">
            <v>PAULO CESAR RODRIGUES</v>
          </cell>
          <cell r="C1876" t="str">
            <v>MOTORISTA CAMINHAO</v>
          </cell>
          <cell r="D1876" t="str">
            <v>ECOSAMPA Operação Geral</v>
          </cell>
        </row>
        <row r="1877">
          <cell r="A1877">
            <v>114088</v>
          </cell>
          <cell r="B1877" t="str">
            <v>PAULO CESAR SILVA SANTOS</v>
          </cell>
          <cell r="C1877" t="str">
            <v>AJUDANTE EQ SERVICOS DIVERSOS</v>
          </cell>
          <cell r="D1877" t="str">
            <v>ECOSAMPA Santo Amaro</v>
          </cell>
        </row>
        <row r="1878">
          <cell r="A1878">
            <v>122247</v>
          </cell>
          <cell r="B1878" t="str">
            <v>PAULO DE OLIVEIRA SOUZA</v>
          </cell>
          <cell r="C1878" t="str">
            <v>AJUDANTE EQ SERVICOS DIVERSOS</v>
          </cell>
          <cell r="D1878" t="str">
            <v>ECOSAMPA Santo Amaro</v>
          </cell>
        </row>
        <row r="1879">
          <cell r="A1879">
            <v>114980</v>
          </cell>
          <cell r="B1879" t="str">
            <v>PAULO FRANCISCO DO PRADO SILVA</v>
          </cell>
          <cell r="C1879" t="str">
            <v>AJUDANTE EQ SERVICOS DIVERSOS</v>
          </cell>
          <cell r="D1879" t="str">
            <v>ECOSAMPA Santo Amaro</v>
          </cell>
        </row>
        <row r="1880">
          <cell r="A1880">
            <v>113248</v>
          </cell>
          <cell r="B1880" t="str">
            <v>PAULO GUILHERME DA SILVA SOUZA</v>
          </cell>
          <cell r="C1880" t="str">
            <v>AJUDANTE EQ SERVICOS DIVERSOS</v>
          </cell>
          <cell r="D1880" t="str">
            <v>ECOSAMPA M'Boi Mirim</v>
          </cell>
        </row>
        <row r="1881">
          <cell r="A1881">
            <v>115407</v>
          </cell>
          <cell r="B1881" t="str">
            <v>PAULO GUILHERME MENDES TEODORO</v>
          </cell>
          <cell r="C1881" t="str">
            <v>AJUDANTE EQ SERVICOS DIVERSOS</v>
          </cell>
          <cell r="D1881" t="str">
            <v>ECOSAMPA Parelheiros</v>
          </cell>
        </row>
        <row r="1882">
          <cell r="A1882">
            <v>113252</v>
          </cell>
          <cell r="B1882" t="str">
            <v>PAULO HENRIQUE CORSI AMORIM</v>
          </cell>
          <cell r="C1882" t="str">
            <v>VARREDOR</v>
          </cell>
          <cell r="D1882" t="str">
            <v>ECOSAMPA Campo Limpo</v>
          </cell>
        </row>
        <row r="1883">
          <cell r="A1883">
            <v>113255</v>
          </cell>
          <cell r="B1883" t="str">
            <v>PAULO HENRIQUE DE MELO</v>
          </cell>
          <cell r="C1883" t="str">
            <v>COLETOR</v>
          </cell>
          <cell r="D1883" t="str">
            <v>ECOSAMPA Operação Geral</v>
          </cell>
        </row>
        <row r="1884">
          <cell r="A1884">
            <v>113259</v>
          </cell>
          <cell r="B1884" t="str">
            <v>PAULO HENRIQUE DE SOUZA</v>
          </cell>
          <cell r="C1884" t="str">
            <v>AJUDANTE EQ SERVICOS DIVERSOS</v>
          </cell>
          <cell r="D1884" t="str">
            <v>ECOSAMPA Capela do Socorro</v>
          </cell>
        </row>
        <row r="1885">
          <cell r="A1885">
            <v>116983</v>
          </cell>
          <cell r="B1885" t="str">
            <v>PAULO HENRIQUE DOS ANJOS</v>
          </cell>
          <cell r="C1885" t="str">
            <v>AJUDANTE EQ SERVICOS DIVERSOS</v>
          </cell>
          <cell r="D1885" t="str">
            <v>ECOSAMPA Santo Amaro</v>
          </cell>
        </row>
        <row r="1886">
          <cell r="A1886">
            <v>113262</v>
          </cell>
          <cell r="B1886" t="str">
            <v>PAULO HENRIQUE MAPA</v>
          </cell>
          <cell r="C1886" t="str">
            <v>VARREDOR</v>
          </cell>
          <cell r="D1886" t="str">
            <v>ECOSAMPA Campo Limpo</v>
          </cell>
        </row>
        <row r="1887">
          <cell r="A1887">
            <v>113266</v>
          </cell>
          <cell r="B1887" t="str">
            <v>PAULO HENRIQUE PINHEIRO LIMA</v>
          </cell>
          <cell r="C1887" t="str">
            <v>AJUDANTE EQ SERVICOS DIVERSOS</v>
          </cell>
          <cell r="D1887" t="str">
            <v>ECOSAMPA Santo Amaro</v>
          </cell>
        </row>
        <row r="1888">
          <cell r="A1888">
            <v>113269</v>
          </cell>
          <cell r="B1888" t="str">
            <v>PAULO HENRIQUE SILVA LEAL</v>
          </cell>
          <cell r="C1888" t="str">
            <v>COLETOR</v>
          </cell>
          <cell r="D1888" t="str">
            <v>ECOSAMPA Operação Geral</v>
          </cell>
        </row>
        <row r="1889">
          <cell r="A1889">
            <v>116720</v>
          </cell>
          <cell r="B1889" t="str">
            <v>PAULO HENRIQUE SILVA LEAL</v>
          </cell>
          <cell r="C1889" t="str">
            <v>VARREDOR</v>
          </cell>
          <cell r="D1889" t="str">
            <v>ECOSAMPA Campo Limpo</v>
          </cell>
        </row>
        <row r="1890">
          <cell r="A1890">
            <v>113277</v>
          </cell>
          <cell r="B1890" t="str">
            <v>PAULO HENRIQUE XAVIER</v>
          </cell>
          <cell r="C1890" t="str">
            <v>VARREDOR</v>
          </cell>
          <cell r="D1890" t="str">
            <v>ECOSAMPA Campo Limpo</v>
          </cell>
        </row>
        <row r="1891">
          <cell r="A1891">
            <v>113288</v>
          </cell>
          <cell r="B1891" t="str">
            <v>PAULO JOSE RIBEIRO</v>
          </cell>
          <cell r="C1891" t="str">
            <v>VARREDOR</v>
          </cell>
          <cell r="D1891" t="str">
            <v>ECOSAMPA Santo Amaro</v>
          </cell>
        </row>
        <row r="1892">
          <cell r="A1892">
            <v>113296</v>
          </cell>
          <cell r="B1892" t="str">
            <v>PAULO MOREIRA MORAIS</v>
          </cell>
          <cell r="C1892" t="str">
            <v>VARREDOR</v>
          </cell>
          <cell r="D1892" t="str">
            <v>ECOSAMPA Parelheiros</v>
          </cell>
        </row>
        <row r="1893">
          <cell r="A1893">
            <v>113332</v>
          </cell>
          <cell r="B1893" t="str">
            <v>PAULO NASCIMENTO LIMA</v>
          </cell>
          <cell r="C1893" t="str">
            <v>AJUDANTE EQ SERVICOS DIVERSOS</v>
          </cell>
          <cell r="D1893" t="str">
            <v>ECOSAMPA Capela do Socorro</v>
          </cell>
        </row>
        <row r="1894">
          <cell r="A1894">
            <v>120623</v>
          </cell>
          <cell r="B1894" t="str">
            <v>PAULO OTAVIO ALEXANDRE VIANA</v>
          </cell>
          <cell r="C1894" t="str">
            <v>AUXILIAR DE ALMOXARIFADO PLENO</v>
          </cell>
          <cell r="D1894" t="str">
            <v>ECOSAMPA Operação Geral</v>
          </cell>
        </row>
        <row r="1895">
          <cell r="A1895">
            <v>114742</v>
          </cell>
          <cell r="B1895" t="str">
            <v>PAULO RICARDO SOARES SILVA DOS SANTOS</v>
          </cell>
          <cell r="C1895" t="str">
            <v>AJUDANTE EQ SERVICOS DIVERSOS</v>
          </cell>
          <cell r="D1895" t="str">
            <v>ECOSAMPA Santo Amaro</v>
          </cell>
        </row>
        <row r="1896">
          <cell r="A1896">
            <v>113350</v>
          </cell>
          <cell r="B1896" t="str">
            <v>PAULO ROBERO MUNIZ MOREIRA</v>
          </cell>
          <cell r="C1896" t="str">
            <v>AJUDANTE EQ SERVICOS DIVERSOS</v>
          </cell>
          <cell r="D1896" t="str">
            <v>ECOSAMPA Santo Amaro</v>
          </cell>
        </row>
        <row r="1897">
          <cell r="A1897">
            <v>113356</v>
          </cell>
          <cell r="B1897" t="str">
            <v>PAULO ROBERTO DA SILVA</v>
          </cell>
          <cell r="C1897" t="str">
            <v>AJUDANTE EQ SERVICOS DIVERSOS</v>
          </cell>
          <cell r="D1897" t="str">
            <v>ECOSAMPA Capela do Socorro</v>
          </cell>
        </row>
        <row r="1898">
          <cell r="A1898">
            <v>113365</v>
          </cell>
          <cell r="B1898" t="str">
            <v>PAULO ROBERTO DA SILVA</v>
          </cell>
          <cell r="C1898" t="str">
            <v>MOTORISTA CAMINHAO</v>
          </cell>
          <cell r="D1898" t="str">
            <v>ECOSAMPA Operação Geral</v>
          </cell>
        </row>
        <row r="1899">
          <cell r="A1899">
            <v>113372</v>
          </cell>
          <cell r="B1899" t="str">
            <v>PAULO ROGERIO BORGES DA SILVA</v>
          </cell>
          <cell r="C1899" t="str">
            <v>MECANICO I</v>
          </cell>
          <cell r="D1899" t="str">
            <v>ECOSAMPA Operação Geral</v>
          </cell>
        </row>
        <row r="1900">
          <cell r="A1900">
            <v>121448</v>
          </cell>
          <cell r="B1900" t="str">
            <v>PAULO ROGERIO MATIAS DOMINGUES</v>
          </cell>
          <cell r="C1900" t="str">
            <v>AJUDANTE EQ SERVICOS DIVERSOS</v>
          </cell>
          <cell r="D1900" t="str">
            <v>ECOSAMPA Operação Geral</v>
          </cell>
        </row>
        <row r="1901">
          <cell r="A1901">
            <v>122424</v>
          </cell>
          <cell r="B1901" t="str">
            <v>PAULO ROGERIO MATIAS DOMINGUES</v>
          </cell>
          <cell r="C1901" t="str">
            <v>AJUDANTE EQ SERVICOS DIVERSOS</v>
          </cell>
          <cell r="D1901" t="str">
            <v>ECOSAMPA Operação Geral</v>
          </cell>
        </row>
        <row r="1902">
          <cell r="A1902">
            <v>113378</v>
          </cell>
          <cell r="B1902" t="str">
            <v>PAULO SERGIO ALVES JOAQUIM</v>
          </cell>
          <cell r="C1902" t="str">
            <v>VARREDOR</v>
          </cell>
          <cell r="D1902" t="str">
            <v>ECOSAMPA Parelheiros</v>
          </cell>
        </row>
        <row r="1903">
          <cell r="A1903">
            <v>113389</v>
          </cell>
          <cell r="B1903" t="str">
            <v>PAULO SERGIO DA SILVA</v>
          </cell>
          <cell r="C1903" t="str">
            <v>COLETOR</v>
          </cell>
          <cell r="D1903" t="str">
            <v>ECOSAMPA Operação Geral</v>
          </cell>
        </row>
        <row r="1904">
          <cell r="A1904">
            <v>119646</v>
          </cell>
          <cell r="B1904" t="str">
            <v>PAULO SERGIO DA SILVA MACHADO</v>
          </cell>
          <cell r="C1904" t="str">
            <v>AJUDANTE EQ SERVICOS DIVERSOS</v>
          </cell>
          <cell r="D1904" t="str">
            <v>ECOSAMPA Capela do Socorro</v>
          </cell>
        </row>
        <row r="1905">
          <cell r="A1905">
            <v>113397</v>
          </cell>
          <cell r="B1905" t="str">
            <v>PAULO SERGIO FERREIRA DOS SANTOS</v>
          </cell>
          <cell r="C1905" t="str">
            <v>AJUDANTE EQ SERVICOS DIVERSOS</v>
          </cell>
          <cell r="D1905" t="str">
            <v>ECOSAMPA M'Boi Mirim</v>
          </cell>
        </row>
        <row r="1906">
          <cell r="A1906">
            <v>121028</v>
          </cell>
          <cell r="B1906" t="str">
            <v>PAULO THIAGO SOBRAL RIBEIRO DE SOUZA</v>
          </cell>
          <cell r="C1906" t="str">
            <v>VARREDOR</v>
          </cell>
          <cell r="D1906" t="str">
            <v>ECOSAMPA Parelheiros</v>
          </cell>
        </row>
        <row r="1907">
          <cell r="A1907">
            <v>114739</v>
          </cell>
          <cell r="B1907" t="str">
            <v>PAULO VICTOR DA SILVA ALVES</v>
          </cell>
          <cell r="C1907" t="str">
            <v>AJUDANTE EQ SERVICOS DIVERSOS</v>
          </cell>
          <cell r="D1907" t="str">
            <v>ECOSAMPA Capela do Socorro</v>
          </cell>
        </row>
        <row r="1908">
          <cell r="A1908">
            <v>113399</v>
          </cell>
          <cell r="B1908" t="str">
            <v>PAULO VIEIRA DOS SANTOS</v>
          </cell>
          <cell r="C1908" t="str">
            <v>AJUDANTE EQ SERVICOS DIVERSOS</v>
          </cell>
          <cell r="D1908" t="str">
            <v>ECOSAMPA Capela do Socorro</v>
          </cell>
        </row>
        <row r="1909">
          <cell r="A1909">
            <v>113402</v>
          </cell>
          <cell r="B1909" t="str">
            <v>PAULO VITOR GOMES OLIVEIRA</v>
          </cell>
          <cell r="C1909" t="str">
            <v>VARREDOR</v>
          </cell>
          <cell r="D1909" t="str">
            <v>ECOSAMPA Parelheiros</v>
          </cell>
        </row>
        <row r="1910">
          <cell r="A1910">
            <v>116984</v>
          </cell>
          <cell r="B1910" t="str">
            <v>PEDRO ALEX BATISTA DE SOUZA</v>
          </cell>
          <cell r="C1910" t="str">
            <v>AJUDANTE EQ SERVICOS DIVERSOS</v>
          </cell>
          <cell r="D1910" t="str">
            <v>ECOSAMPA Capela do Socorro</v>
          </cell>
        </row>
        <row r="1911">
          <cell r="A1911">
            <v>113407</v>
          </cell>
          <cell r="B1911" t="str">
            <v>PEDRO AMARO DA SILVA</v>
          </cell>
          <cell r="C1911" t="str">
            <v>MOTORISTA CAMINHAO</v>
          </cell>
          <cell r="D1911" t="str">
            <v>ECOSAMPA Operação Geral</v>
          </cell>
        </row>
        <row r="1912">
          <cell r="A1912">
            <v>113429</v>
          </cell>
          <cell r="B1912" t="str">
            <v>PEDRO BATISTA SANTIAGO</v>
          </cell>
          <cell r="C1912" t="str">
            <v>VARREDOR</v>
          </cell>
          <cell r="D1912" t="str">
            <v>ECOSAMPA Santo Amaro</v>
          </cell>
        </row>
        <row r="1913">
          <cell r="A1913">
            <v>114479</v>
          </cell>
          <cell r="B1913" t="str">
            <v>PEDRO DA SILVA OLIVEIRA</v>
          </cell>
          <cell r="C1913" t="str">
            <v>AJUDANTE EQ SERVICOS DIVERSOS</v>
          </cell>
          <cell r="D1913" t="str">
            <v>ECOSAMPA Santo Amaro</v>
          </cell>
        </row>
        <row r="1914">
          <cell r="A1914">
            <v>113436</v>
          </cell>
          <cell r="B1914" t="str">
            <v>PEDRO FLAVIO FERREIRA DA SILVA</v>
          </cell>
          <cell r="C1914" t="str">
            <v>VARREDOR</v>
          </cell>
          <cell r="D1914" t="str">
            <v>ECOSAMPA Campo Limpo</v>
          </cell>
        </row>
        <row r="1915">
          <cell r="A1915">
            <v>122086</v>
          </cell>
          <cell r="B1915" t="str">
            <v>PEDRO FLOR DE LIMA</v>
          </cell>
          <cell r="C1915" t="str">
            <v>AJUDANTE EQ SERVICOS DIVERSOS</v>
          </cell>
          <cell r="D1915" t="str">
            <v>ECOSAMPA Operação Geral</v>
          </cell>
        </row>
        <row r="1916">
          <cell r="A1916">
            <v>113443</v>
          </cell>
          <cell r="B1916" t="str">
            <v>PEDRO GOMES CARDOZO</v>
          </cell>
          <cell r="C1916" t="str">
            <v>VARREDOR</v>
          </cell>
          <cell r="D1916" t="str">
            <v>ECOSAMPA M'Boi Mirim</v>
          </cell>
        </row>
        <row r="1917">
          <cell r="A1917">
            <v>121530</v>
          </cell>
          <cell r="B1917" t="str">
            <v>PEDRO GUILHERME MARCONDES TEIXEIRA</v>
          </cell>
          <cell r="C1917" t="str">
            <v>AJUDANTE EQ SERVICOS DIVERSOS</v>
          </cell>
          <cell r="D1917" t="str">
            <v>ECOSAMPA Operação Geral</v>
          </cell>
        </row>
        <row r="1918">
          <cell r="A1918">
            <v>113449</v>
          </cell>
          <cell r="B1918" t="str">
            <v>PEDRO HELI DE CASTRO</v>
          </cell>
          <cell r="C1918" t="str">
            <v>AJUDANTE EQ SERVICOS DIVERSOS</v>
          </cell>
          <cell r="D1918" t="str">
            <v>ECOSAMPA Santo Amaro</v>
          </cell>
        </row>
        <row r="1919">
          <cell r="A1919">
            <v>114227</v>
          </cell>
          <cell r="B1919" t="str">
            <v>PEDRO HENRIQUE OLIVEIRA SANTOS</v>
          </cell>
          <cell r="C1919" t="str">
            <v>AUXILIAR ADMINISTRATIVO</v>
          </cell>
          <cell r="D1919" t="str">
            <v>ECOSAMPA Operação Geral</v>
          </cell>
        </row>
        <row r="1920">
          <cell r="A1920">
            <v>113456</v>
          </cell>
          <cell r="B1920" t="str">
            <v>PEDRO JORDAO DA SILVA</v>
          </cell>
          <cell r="C1920" t="str">
            <v>VARREDOR</v>
          </cell>
          <cell r="D1920" t="str">
            <v>ECOSAMPA Santo Amaro</v>
          </cell>
        </row>
        <row r="1921">
          <cell r="A1921">
            <v>113463</v>
          </cell>
          <cell r="B1921" t="str">
            <v>PEDRO LUIZ DA SILVA</v>
          </cell>
          <cell r="C1921" t="str">
            <v>VARREDOR</v>
          </cell>
          <cell r="D1921" t="str">
            <v>ECOSAMPA Parelheiros</v>
          </cell>
        </row>
        <row r="1922">
          <cell r="A1922">
            <v>113465</v>
          </cell>
          <cell r="B1922" t="str">
            <v>PEDRO MANOEL DA SILVA</v>
          </cell>
          <cell r="C1922" t="str">
            <v>VARREDOR</v>
          </cell>
          <cell r="D1922" t="str">
            <v>ECOSAMPA Campo Limpo</v>
          </cell>
        </row>
        <row r="1923">
          <cell r="A1923">
            <v>116606</v>
          </cell>
          <cell r="B1923" t="str">
            <v>PEDRO MONTEIRO DE LIMA</v>
          </cell>
          <cell r="C1923" t="str">
            <v>TECNICO DE GEOPROCESSAMENTO</v>
          </cell>
          <cell r="D1923" t="str">
            <v>ECOSAMPA Operação Geral</v>
          </cell>
        </row>
        <row r="1924">
          <cell r="A1924">
            <v>113470</v>
          </cell>
          <cell r="B1924" t="str">
            <v>PEDRO PAULO DE ASSIS</v>
          </cell>
          <cell r="C1924" t="str">
            <v>VARREDOR</v>
          </cell>
          <cell r="D1924" t="str">
            <v>ECOSAMPA Santo Amaro</v>
          </cell>
        </row>
        <row r="1925">
          <cell r="A1925">
            <v>113708</v>
          </cell>
          <cell r="B1925" t="str">
            <v>PETRONILIO MACARIO DOS SANTOS</v>
          </cell>
          <cell r="C1925" t="str">
            <v>AJUDANTE EQ SERVICOS DIVERSOS</v>
          </cell>
          <cell r="D1925" t="str">
            <v>ECOSAMPA Parelheiros</v>
          </cell>
        </row>
        <row r="1926">
          <cell r="A1926">
            <v>120425</v>
          </cell>
          <cell r="B1926" t="str">
            <v>PRIS PAULA DA ROCHA SILVA</v>
          </cell>
          <cell r="C1926" t="str">
            <v>PENSIONISTAS</v>
          </cell>
          <cell r="D1926" t="str">
            <v>ECOSAMPA Pensionistas</v>
          </cell>
        </row>
        <row r="1927">
          <cell r="A1927">
            <v>113742</v>
          </cell>
          <cell r="B1927" t="str">
            <v>PRISCILA ALVES DE LIMA SILVA</v>
          </cell>
          <cell r="C1927" t="str">
            <v>ANALISTA ADM/FINANCEIRO</v>
          </cell>
          <cell r="D1927" t="str">
            <v>ECOSAMPA Administração</v>
          </cell>
        </row>
        <row r="1928">
          <cell r="A1928">
            <v>118664</v>
          </cell>
          <cell r="B1928" t="str">
            <v>PRISCILA APARECIDA OLIVEIRA DUARTE</v>
          </cell>
          <cell r="C1928" t="str">
            <v>PENSIONISTAS</v>
          </cell>
          <cell r="D1928" t="str">
            <v>ECOSAMPA Pensionistas</v>
          </cell>
        </row>
        <row r="1929">
          <cell r="A1929">
            <v>114244</v>
          </cell>
          <cell r="B1929" t="str">
            <v>PRISCILA APARECIDA VIEIRA DOS SANTOS</v>
          </cell>
          <cell r="C1929" t="str">
            <v>PENSIONISTAS</v>
          </cell>
          <cell r="D1929" t="str">
            <v>ECOSAMPA Pensionistas</v>
          </cell>
        </row>
        <row r="1930">
          <cell r="A1930">
            <v>115367</v>
          </cell>
          <cell r="B1930" t="str">
            <v>PRISCILA ARAUJO FEITOZA</v>
          </cell>
          <cell r="C1930" t="str">
            <v>Nenhum</v>
          </cell>
          <cell r="D1930" t="str">
            <v>ECOSAMPA Pensionistas</v>
          </cell>
        </row>
        <row r="1931">
          <cell r="A1931">
            <v>116803</v>
          </cell>
          <cell r="B1931" t="str">
            <v>PRISCILA VINCI DA ROCHA</v>
          </cell>
          <cell r="C1931" t="str">
            <v>PENSIONISTAS</v>
          </cell>
          <cell r="D1931" t="str">
            <v>ECOSAMPA Pensionistas</v>
          </cell>
        </row>
        <row r="1932">
          <cell r="A1932">
            <v>113709</v>
          </cell>
          <cell r="B1932" t="str">
            <v>RACHEL ROSE EYONDI MOUNDJONGUE</v>
          </cell>
          <cell r="C1932" t="str">
            <v>AJUDANTE EQ SERVICOS DIVERSOS</v>
          </cell>
          <cell r="D1932" t="str">
            <v>ECOSAMPA Santo Amaro</v>
          </cell>
        </row>
        <row r="1933">
          <cell r="A1933">
            <v>113475</v>
          </cell>
          <cell r="B1933" t="str">
            <v>RAFAEL ALFREDO BRAUM</v>
          </cell>
          <cell r="C1933" t="str">
            <v>FISCAL DE TURMA PLENO</v>
          </cell>
          <cell r="D1933" t="str">
            <v>ECOSAMPA Santo Amaro</v>
          </cell>
        </row>
        <row r="1934">
          <cell r="A1934">
            <v>120178</v>
          </cell>
          <cell r="B1934" t="str">
            <v>RAFAEL BARBOSA DOS SANTOS</v>
          </cell>
          <cell r="C1934" t="str">
            <v>AJUDANTE EQ SERVICOS DIVERSOS</v>
          </cell>
          <cell r="D1934" t="str">
            <v>ECOSAMPA Operação Geral</v>
          </cell>
        </row>
        <row r="1935">
          <cell r="A1935">
            <v>115208</v>
          </cell>
          <cell r="B1935" t="str">
            <v>RAFAEL BONIFACIO DA CUNHA</v>
          </cell>
          <cell r="C1935" t="str">
            <v>AJUDANTE EQ SERVICOS DIVERSOS</v>
          </cell>
          <cell r="D1935" t="str">
            <v>ECOSAMPA Capela do Socorro</v>
          </cell>
        </row>
        <row r="1936">
          <cell r="A1936">
            <v>121418</v>
          </cell>
          <cell r="B1936" t="str">
            <v>RAFAEL CAMPOS BEZERRA</v>
          </cell>
          <cell r="C1936" t="str">
            <v>AJUDANTE EQ SERVICOS DIVERSOS</v>
          </cell>
          <cell r="D1936" t="str">
            <v>ECOSAMPA Operação Geral</v>
          </cell>
        </row>
        <row r="1937">
          <cell r="A1937">
            <v>122348</v>
          </cell>
          <cell r="B1937" t="str">
            <v>RAFAEL CAMPOS BEZERRA</v>
          </cell>
          <cell r="C1937" t="str">
            <v>VARREDOR</v>
          </cell>
          <cell r="D1937" t="str">
            <v>ECOSAMPA Capela do Socorro</v>
          </cell>
        </row>
        <row r="1938">
          <cell r="A1938">
            <v>113764</v>
          </cell>
          <cell r="B1938" t="str">
            <v>RAFAEL COSTA BORGES PEREIRA</v>
          </cell>
          <cell r="C1938" t="str">
            <v>ASSISTENTE DE PLANEJAMENTO OPERACIONAL</v>
          </cell>
          <cell r="D1938" t="str">
            <v>ECOSAMPA Operação Geral</v>
          </cell>
        </row>
        <row r="1939">
          <cell r="A1939">
            <v>113477</v>
          </cell>
          <cell r="B1939" t="str">
            <v>RAFAEL DE MELO</v>
          </cell>
          <cell r="C1939" t="str">
            <v>AJUDANTE EQ SERVICOS DIVERSOS</v>
          </cell>
          <cell r="D1939" t="str">
            <v>ECOSAMPA Campo Limpo</v>
          </cell>
        </row>
        <row r="1940">
          <cell r="A1940">
            <v>114095</v>
          </cell>
          <cell r="B1940" t="str">
            <v>RAFAEL DE OLIVEIRA SANTOS</v>
          </cell>
          <cell r="C1940" t="str">
            <v>AJUDANTE EQ SERVICOS DIVERSOS</v>
          </cell>
          <cell r="D1940" t="str">
            <v>ECOSAMPA Parelheiros</v>
          </cell>
        </row>
        <row r="1941">
          <cell r="A1941">
            <v>113493</v>
          </cell>
          <cell r="B1941" t="str">
            <v>RAFAEL DOS SANTOS PALMEIRA DA SILVA</v>
          </cell>
          <cell r="C1941" t="str">
            <v>VARREDOR</v>
          </cell>
          <cell r="D1941" t="str">
            <v>ECOSAMPA Santo Amaro</v>
          </cell>
        </row>
        <row r="1942">
          <cell r="A1942">
            <v>113496</v>
          </cell>
          <cell r="B1942" t="str">
            <v>RAFAEL LIMA CARDOSO</v>
          </cell>
          <cell r="C1942" t="str">
            <v>VARREDOR</v>
          </cell>
          <cell r="D1942" t="str">
            <v>ECOSAMPA Campo Limpo</v>
          </cell>
        </row>
        <row r="1943">
          <cell r="A1943">
            <v>114554</v>
          </cell>
          <cell r="B1943" t="str">
            <v>RAFAEL LIMA SOUZA</v>
          </cell>
          <cell r="C1943" t="str">
            <v>AJUDANTE EQ SERVICOS DIVERSOS</v>
          </cell>
          <cell r="D1943" t="str">
            <v>ECOSAMPA Capela do Socorro</v>
          </cell>
        </row>
        <row r="1944">
          <cell r="A1944">
            <v>113500</v>
          </cell>
          <cell r="B1944" t="str">
            <v>RAFAEL OLIVEIRA MATOS</v>
          </cell>
          <cell r="C1944" t="str">
            <v>AJUDANTE EQ SERVICOS DIVERSOS</v>
          </cell>
          <cell r="D1944" t="str">
            <v>ECOSAMPA M'Boi Mirim</v>
          </cell>
        </row>
        <row r="1945">
          <cell r="A1945">
            <v>113504</v>
          </cell>
          <cell r="B1945" t="str">
            <v>RAFAEL RODRIGUES DA SILVA</v>
          </cell>
          <cell r="C1945" t="str">
            <v>VARREDOR</v>
          </cell>
          <cell r="D1945" t="str">
            <v>ECOSAMPA M'Boi Mirim</v>
          </cell>
        </row>
        <row r="1946">
          <cell r="A1946">
            <v>116985</v>
          </cell>
          <cell r="B1946" t="str">
            <v>RAFAEL RODRIGUES DE FREITAS</v>
          </cell>
          <cell r="C1946" t="str">
            <v>AJUDANTE EQ SERVICOS DIVERSOS</v>
          </cell>
          <cell r="D1946" t="str">
            <v>ECOSAMPA Santo Amaro</v>
          </cell>
        </row>
        <row r="1947">
          <cell r="A1947">
            <v>116986</v>
          </cell>
          <cell r="B1947" t="str">
            <v>RAFAEL SANTIAGO GOMES DA SILVA</v>
          </cell>
          <cell r="C1947" t="str">
            <v>MOTORISTA CAMINHAO</v>
          </cell>
          <cell r="D1947" t="str">
            <v>ECOSAMPA Operação Geral</v>
          </cell>
        </row>
        <row r="1948">
          <cell r="A1948">
            <v>113514</v>
          </cell>
          <cell r="B1948" t="str">
            <v>RAFAEL SANTOS SOARES</v>
          </cell>
          <cell r="C1948" t="str">
            <v>AJUDANTE EQ SERVICOS DIVERSOS</v>
          </cell>
          <cell r="D1948" t="str">
            <v>ECOSAMPA M'Boi Mirim</v>
          </cell>
        </row>
        <row r="1949">
          <cell r="A1949">
            <v>113520</v>
          </cell>
          <cell r="B1949" t="str">
            <v>RAFAEL THEODORO LEITE OLIVEIRA</v>
          </cell>
          <cell r="C1949" t="str">
            <v>FISCAL DE TURMA PLENO</v>
          </cell>
          <cell r="D1949" t="str">
            <v>ECOSAMPA Parelheiros</v>
          </cell>
        </row>
        <row r="1950">
          <cell r="A1950">
            <v>120098</v>
          </cell>
          <cell r="B1950" t="str">
            <v>RAFAELA CRISTINA DA CRUZ SILVA</v>
          </cell>
          <cell r="C1950" t="str">
            <v>PENSIONISTAS</v>
          </cell>
          <cell r="D1950" t="str">
            <v>ECOSAMPA Pensionistas</v>
          </cell>
        </row>
        <row r="1951">
          <cell r="A1951">
            <v>122579</v>
          </cell>
          <cell r="B1951" t="str">
            <v>RAIANA GABRIELE DA SILVA NUNES</v>
          </cell>
          <cell r="C1951" t="str">
            <v>PENSIONISTAS</v>
          </cell>
          <cell r="D1951" t="str">
            <v>ECOSAMPA Pensionistas</v>
          </cell>
        </row>
        <row r="1952">
          <cell r="A1952">
            <v>114540</v>
          </cell>
          <cell r="B1952" t="str">
            <v>RAILAN DOS SANTOS FERREIRA</v>
          </cell>
          <cell r="C1952" t="str">
            <v>AJUDANTE EQ SERVICOS DIVERSOS</v>
          </cell>
          <cell r="D1952" t="str">
            <v>ECOSAMPA Capela do Socorro</v>
          </cell>
        </row>
        <row r="1953">
          <cell r="A1953">
            <v>113526</v>
          </cell>
          <cell r="B1953" t="str">
            <v>RAILDO PEREIRA DE OLIVEIRA</v>
          </cell>
          <cell r="C1953" t="str">
            <v>AJUDANTE EQ SERVICOS DIVERSOS</v>
          </cell>
          <cell r="D1953" t="str">
            <v>ECOSAMPA M'Boi Mirim</v>
          </cell>
        </row>
        <row r="1954">
          <cell r="A1954">
            <v>113528</v>
          </cell>
          <cell r="B1954" t="str">
            <v>RAILSON SILVA PORCINO</v>
          </cell>
          <cell r="C1954" t="str">
            <v>MOTORISTA CAMINHAO</v>
          </cell>
          <cell r="D1954" t="str">
            <v>ECOSAMPA Operação Geral</v>
          </cell>
        </row>
        <row r="1955">
          <cell r="A1955">
            <v>121325</v>
          </cell>
          <cell r="B1955" t="str">
            <v>RAILTON GOMES DOS SANTOS</v>
          </cell>
          <cell r="C1955" t="str">
            <v>VARREDOR</v>
          </cell>
          <cell r="D1955" t="str">
            <v>ECOSAMPA M'Boi Mirim</v>
          </cell>
        </row>
        <row r="1956">
          <cell r="A1956">
            <v>113531</v>
          </cell>
          <cell r="B1956" t="str">
            <v>RAIMUNDA MARIA DE FREITAS SOUZA</v>
          </cell>
          <cell r="C1956" t="str">
            <v>VARREDOR</v>
          </cell>
          <cell r="D1956" t="str">
            <v>ECOSAMPA Campo Limpo</v>
          </cell>
        </row>
        <row r="1957">
          <cell r="A1957">
            <v>113536</v>
          </cell>
          <cell r="B1957" t="str">
            <v>RAIMUNDA TELES DE ALMEIDA</v>
          </cell>
          <cell r="C1957" t="str">
            <v>VARREDOR</v>
          </cell>
          <cell r="D1957" t="str">
            <v>ECOSAMPA Campo Limpo</v>
          </cell>
        </row>
        <row r="1958">
          <cell r="A1958">
            <v>114534</v>
          </cell>
          <cell r="B1958" t="str">
            <v>RAIMUNDA TELES DE ALMEIDA</v>
          </cell>
          <cell r="C1958" t="str">
            <v>PENSIONISTAS</v>
          </cell>
          <cell r="D1958" t="str">
            <v>ECOSAMPA Pensionistas</v>
          </cell>
        </row>
        <row r="1959">
          <cell r="A1959">
            <v>113538</v>
          </cell>
          <cell r="B1959" t="str">
            <v>RAIMUNDO BARROS DO NASCIMENTO</v>
          </cell>
          <cell r="C1959" t="str">
            <v>VARREDOR</v>
          </cell>
          <cell r="D1959" t="str">
            <v>ECOSAMPA Campo Limpo</v>
          </cell>
        </row>
        <row r="1960">
          <cell r="A1960">
            <v>113544</v>
          </cell>
          <cell r="B1960" t="str">
            <v>RAIMUNDO COSME DE ALMEIDA</v>
          </cell>
          <cell r="C1960" t="str">
            <v>VARREDOR</v>
          </cell>
          <cell r="D1960" t="str">
            <v>ECOSAMPA Campo Limpo</v>
          </cell>
        </row>
        <row r="1961">
          <cell r="A1961">
            <v>113547</v>
          </cell>
          <cell r="B1961" t="str">
            <v>RAIMUNDO JOSE DA SILVA</v>
          </cell>
          <cell r="C1961" t="str">
            <v>FISCAL DE TURMA PLENO</v>
          </cell>
          <cell r="D1961" t="str">
            <v>ECOSAMPA Capela do Socorro</v>
          </cell>
        </row>
        <row r="1962">
          <cell r="A1962">
            <v>113552</v>
          </cell>
          <cell r="B1962" t="str">
            <v>RAIMUNDO JOSE DE SANTANA</v>
          </cell>
          <cell r="C1962" t="str">
            <v>COLETOR</v>
          </cell>
          <cell r="D1962" t="str">
            <v>ECOSAMPA Operação Geral</v>
          </cell>
        </row>
        <row r="1963">
          <cell r="A1963">
            <v>113554</v>
          </cell>
          <cell r="B1963" t="str">
            <v>RAIMUNDO NONATO DA SILVA LIMA</v>
          </cell>
          <cell r="C1963" t="str">
            <v>VARREDOR</v>
          </cell>
          <cell r="D1963" t="str">
            <v>ECOSAMPA Capela do Socorro</v>
          </cell>
        </row>
        <row r="1964">
          <cell r="A1964">
            <v>113555</v>
          </cell>
          <cell r="B1964" t="str">
            <v>RAIMUNDO NONATO FILHO</v>
          </cell>
          <cell r="C1964" t="str">
            <v>VARREDOR</v>
          </cell>
          <cell r="D1964" t="str">
            <v>ECOSAMPA M'Boi Mirim</v>
          </cell>
        </row>
        <row r="1965">
          <cell r="A1965">
            <v>113557</v>
          </cell>
          <cell r="B1965" t="str">
            <v>RAIMUNDO RODRIGUES DOS SANTOS</v>
          </cell>
          <cell r="C1965" t="str">
            <v>VARREDOR</v>
          </cell>
          <cell r="D1965" t="str">
            <v>ECOSAMPA Parelheiros</v>
          </cell>
        </row>
        <row r="1966">
          <cell r="A1966">
            <v>113559</v>
          </cell>
          <cell r="B1966" t="str">
            <v>RAMON RICHARD DA SILVA</v>
          </cell>
          <cell r="C1966" t="str">
            <v>VARREDOR</v>
          </cell>
          <cell r="D1966" t="str">
            <v>ECOSAMPA Santo Amaro</v>
          </cell>
        </row>
        <row r="1967">
          <cell r="A1967">
            <v>113562</v>
          </cell>
          <cell r="B1967" t="str">
            <v>RAMON ROBERTO DA SILVA</v>
          </cell>
          <cell r="C1967" t="str">
            <v>AJUDANTE EQ SERVICOS DIVERSOS</v>
          </cell>
          <cell r="D1967" t="str">
            <v>ECOSAMPA Campo Limpo</v>
          </cell>
        </row>
        <row r="1968">
          <cell r="A1968">
            <v>113565</v>
          </cell>
          <cell r="B1968" t="str">
            <v>RANIERE GOMES DA SILVA</v>
          </cell>
          <cell r="C1968" t="str">
            <v>MOTORISTA CAMINHAO</v>
          </cell>
          <cell r="D1968" t="str">
            <v>ECOSAMPA Operação Geral</v>
          </cell>
        </row>
        <row r="1969">
          <cell r="A1969">
            <v>113569</v>
          </cell>
          <cell r="B1969" t="str">
            <v>RAPHAEL DE LIMA SILVEIRA</v>
          </cell>
          <cell r="C1969" t="str">
            <v>VARREDOR</v>
          </cell>
          <cell r="D1969" t="str">
            <v>ECOSAMPA Campo Limpo</v>
          </cell>
        </row>
        <row r="1970">
          <cell r="A1970">
            <v>121816</v>
          </cell>
          <cell r="B1970" t="str">
            <v>RAQUEL LARISSA DA SILVA DIAS</v>
          </cell>
          <cell r="C1970" t="str">
            <v>MENOR/JOVEM APRENDIZ</v>
          </cell>
          <cell r="D1970" t="str">
            <v>ECOSAMPA Administração</v>
          </cell>
        </row>
        <row r="1971">
          <cell r="A1971">
            <v>113573</v>
          </cell>
          <cell r="B1971" t="str">
            <v>RAUL APARECIDO LADISLAU</v>
          </cell>
          <cell r="C1971" t="str">
            <v>VARREDOR</v>
          </cell>
          <cell r="D1971" t="str">
            <v>ECOSAMPA Capela do Socorro</v>
          </cell>
        </row>
        <row r="1972">
          <cell r="A1972">
            <v>114727</v>
          </cell>
          <cell r="B1972" t="str">
            <v>RAUL DA SILVA LIMA</v>
          </cell>
          <cell r="C1972" t="str">
            <v>AJUDANTE EQ SERVICOS DIVERSOS</v>
          </cell>
          <cell r="D1972" t="str">
            <v>ECOSAMPA Capela do Socorro</v>
          </cell>
        </row>
        <row r="1973">
          <cell r="A1973">
            <v>113577</v>
          </cell>
          <cell r="B1973" t="str">
            <v>REGINALDO ASSUMPCAO GARCIA</v>
          </cell>
          <cell r="C1973" t="str">
            <v>COLETOR</v>
          </cell>
          <cell r="D1973" t="str">
            <v>ECOSAMPA Operação Geral</v>
          </cell>
        </row>
        <row r="1974">
          <cell r="A1974">
            <v>113687</v>
          </cell>
          <cell r="B1974" t="str">
            <v>REGINALDO CANDIDO DOS SANTOS</v>
          </cell>
          <cell r="C1974" t="str">
            <v>VARREDOR</v>
          </cell>
          <cell r="D1974" t="str">
            <v>ECOSAMPA Santo Amaro</v>
          </cell>
        </row>
        <row r="1975">
          <cell r="A1975">
            <v>113587</v>
          </cell>
          <cell r="B1975" t="str">
            <v>REGINALDO DA SILVA</v>
          </cell>
          <cell r="C1975" t="str">
            <v>VARREDOR</v>
          </cell>
          <cell r="D1975" t="str">
            <v>ECOSAMPA Parelheiros</v>
          </cell>
        </row>
        <row r="1976">
          <cell r="A1976">
            <v>114259</v>
          </cell>
          <cell r="B1976" t="str">
            <v>REGINALDO DE OLIVEIRA COUTO</v>
          </cell>
          <cell r="C1976" t="str">
            <v>AJUDANTE EQ SERVICOS DIVERSOS</v>
          </cell>
          <cell r="D1976" t="str">
            <v>ECOSAMPA Parelheiros</v>
          </cell>
        </row>
        <row r="1977">
          <cell r="A1977">
            <v>113608</v>
          </cell>
          <cell r="B1977" t="str">
            <v>REGINALDO FLORENCIO DA SILVA</v>
          </cell>
          <cell r="C1977" t="str">
            <v>VARREDOR</v>
          </cell>
          <cell r="D1977" t="str">
            <v>ECOSAMPA M'Boi Mirim</v>
          </cell>
        </row>
        <row r="1978">
          <cell r="A1978">
            <v>113667</v>
          </cell>
          <cell r="B1978" t="str">
            <v>REGINALDO GOMES DE LIMA</v>
          </cell>
          <cell r="C1978" t="str">
            <v>VARREDOR</v>
          </cell>
          <cell r="D1978" t="str">
            <v>ECOSAMPA M'Boi Mirim</v>
          </cell>
        </row>
        <row r="1979">
          <cell r="A1979">
            <v>113668</v>
          </cell>
          <cell r="B1979" t="str">
            <v>REGINALDO QUERINO DE SOUZA</v>
          </cell>
          <cell r="C1979" t="str">
            <v>MOTORISTA CAMINHAO</v>
          </cell>
          <cell r="D1979" t="str">
            <v>ECOSAMPA Operação Geral</v>
          </cell>
        </row>
        <row r="1980">
          <cell r="A1980">
            <v>113662</v>
          </cell>
          <cell r="B1980" t="str">
            <v>REGINALDO ROCHA VILELA</v>
          </cell>
          <cell r="C1980" t="str">
            <v>ASSISTENTE ADMINISTRATIVO</v>
          </cell>
          <cell r="D1980" t="str">
            <v>ECOSAMPA Operação Geral</v>
          </cell>
        </row>
        <row r="1981">
          <cell r="A1981">
            <v>114099</v>
          </cell>
          <cell r="B1981" t="str">
            <v>REGIS RODRIGUES DE OLIVEIRA</v>
          </cell>
          <cell r="C1981" t="str">
            <v>AJUDANTE EQ SERVICOS DIVERSOS</v>
          </cell>
          <cell r="D1981" t="str">
            <v>ECOSAMPA Operação Geral</v>
          </cell>
        </row>
        <row r="1982">
          <cell r="A1982">
            <v>113663</v>
          </cell>
          <cell r="B1982" t="str">
            <v>REGIVAN FERNANDES DOS SANTOS</v>
          </cell>
          <cell r="C1982" t="str">
            <v>MOTORISTA CAMINHAO</v>
          </cell>
          <cell r="D1982" t="str">
            <v>ECOSAMPA Operação Geral</v>
          </cell>
        </row>
        <row r="1983">
          <cell r="A1983">
            <v>114539</v>
          </cell>
          <cell r="B1983" t="str">
            <v>REINALDO ARAUJO DOS SANTOS</v>
          </cell>
          <cell r="C1983" t="str">
            <v>VARREDOR</v>
          </cell>
          <cell r="D1983" t="str">
            <v>ECOSAMPA Santo Amaro</v>
          </cell>
        </row>
        <row r="1984">
          <cell r="A1984">
            <v>119675</v>
          </cell>
          <cell r="B1984" t="str">
            <v>REINALDO DA SILVA MOTA</v>
          </cell>
          <cell r="C1984" t="str">
            <v>AJUDANTE EQ SERVICOS DIVERSOS</v>
          </cell>
          <cell r="D1984" t="str">
            <v>ECOSAMPA Operação Geral</v>
          </cell>
        </row>
        <row r="1985">
          <cell r="A1985">
            <v>113658</v>
          </cell>
          <cell r="B1985" t="str">
            <v>REINALDO MARINHO DO NASCIMENTO</v>
          </cell>
          <cell r="C1985" t="str">
            <v>FISCAL DE TURMA PLENO</v>
          </cell>
          <cell r="D1985" t="str">
            <v>ECOSAMPA Campo Limpo</v>
          </cell>
        </row>
        <row r="1986">
          <cell r="A1986">
            <v>113654</v>
          </cell>
          <cell r="B1986" t="str">
            <v>REMI GONCALVES DOS SANTOS</v>
          </cell>
          <cell r="C1986" t="str">
            <v>COLETOR</v>
          </cell>
          <cell r="D1986" t="str">
            <v>ECOSAMPA Operação Geral</v>
          </cell>
        </row>
        <row r="1987">
          <cell r="A1987">
            <v>113929</v>
          </cell>
          <cell r="B1987" t="str">
            <v>RENALDO VIEIRA SANTOS</v>
          </cell>
          <cell r="C1987" t="str">
            <v>VARREDOR</v>
          </cell>
          <cell r="D1987" t="str">
            <v>ECOSAMPA Santo Amaro</v>
          </cell>
        </row>
        <row r="1988">
          <cell r="A1988">
            <v>118055</v>
          </cell>
          <cell r="B1988" t="str">
            <v>RENALTY LEITE DE JESUS</v>
          </cell>
          <cell r="C1988" t="str">
            <v>AJUDANTE EQ SERVICOS DIVERSOS</v>
          </cell>
          <cell r="D1988" t="str">
            <v>ECOSAMPA Capela do Socorro</v>
          </cell>
        </row>
        <row r="1989">
          <cell r="A1989">
            <v>114933</v>
          </cell>
          <cell r="B1989" t="str">
            <v>RENAN BARBOSA SILVA</v>
          </cell>
          <cell r="C1989" t="str">
            <v>COLETOR</v>
          </cell>
          <cell r="D1989" t="str">
            <v>ECOSAMPA Operação Geral</v>
          </cell>
        </row>
        <row r="1990">
          <cell r="A1990">
            <v>116232</v>
          </cell>
          <cell r="B1990" t="str">
            <v>RENAN RODRIGUES DE FREITAS</v>
          </cell>
          <cell r="C1990" t="str">
            <v>AJUDANTE EQ SERVICOS DIVERSOS</v>
          </cell>
          <cell r="D1990" t="str">
            <v>ECOSAMPA Santo Amaro</v>
          </cell>
        </row>
        <row r="1991">
          <cell r="A1991">
            <v>113884</v>
          </cell>
          <cell r="B1991" t="str">
            <v>RENAN SOUZA OLIVEIRA ANDRADE</v>
          </cell>
          <cell r="C1991" t="str">
            <v>SUPERINTENDENTE OPERACIONAL</v>
          </cell>
          <cell r="D1991" t="str">
            <v>ECOSAMPA PJ</v>
          </cell>
        </row>
        <row r="1992">
          <cell r="A1992">
            <v>114532</v>
          </cell>
          <cell r="B1992" t="str">
            <v>RENATA DE LIMA PINHEIRO</v>
          </cell>
          <cell r="C1992" t="str">
            <v>PENSIONISTAS</v>
          </cell>
          <cell r="D1992" t="str">
            <v>ECOSAMPA Pensionistas</v>
          </cell>
        </row>
        <row r="1993">
          <cell r="A1993">
            <v>114119</v>
          </cell>
          <cell r="B1993" t="str">
            <v>RENATA GONCALVES ALVIM</v>
          </cell>
          <cell r="C1993" t="str">
            <v>PENSIONISTAS</v>
          </cell>
          <cell r="D1993" t="str">
            <v>ECOSAMPA Pensionistas</v>
          </cell>
        </row>
        <row r="1994">
          <cell r="A1994">
            <v>113648</v>
          </cell>
          <cell r="B1994" t="str">
            <v>RENATO CALIXTO DE GOUVEIA</v>
          </cell>
          <cell r="C1994" t="str">
            <v>VARREDOR</v>
          </cell>
          <cell r="D1994" t="str">
            <v>ECOSAMPA Santo Amaro</v>
          </cell>
        </row>
        <row r="1995">
          <cell r="A1995">
            <v>113643</v>
          </cell>
          <cell r="B1995" t="str">
            <v>RENATO DA CONCEICAO LUIZ</v>
          </cell>
          <cell r="C1995" t="str">
            <v>AJUDANTE EQ SERVICOS DIVERSOS</v>
          </cell>
          <cell r="D1995" t="str">
            <v>ECOSAMPA Santo Amaro</v>
          </cell>
        </row>
        <row r="1996">
          <cell r="A1996">
            <v>114714</v>
          </cell>
          <cell r="B1996" t="str">
            <v>RENATO DA SILVA CHAGAS</v>
          </cell>
          <cell r="C1996" t="str">
            <v>AJUDANTE EQ SERVICOS DIVERSOS</v>
          </cell>
          <cell r="D1996" t="str">
            <v>ECOSAMPA Capela do Socorro</v>
          </cell>
        </row>
        <row r="1997">
          <cell r="A1997">
            <v>113638</v>
          </cell>
          <cell r="B1997" t="str">
            <v>RENATO DA SILVA PIRES</v>
          </cell>
          <cell r="C1997" t="str">
            <v>FISCAL DE TURMA PLENO</v>
          </cell>
          <cell r="D1997" t="str">
            <v>ECOSAMPA Capela do Socorro</v>
          </cell>
        </row>
        <row r="1998">
          <cell r="A1998">
            <v>113634</v>
          </cell>
          <cell r="B1998" t="str">
            <v>RENATO FELICIANO</v>
          </cell>
          <cell r="C1998" t="str">
            <v>COLETOR</v>
          </cell>
          <cell r="D1998" t="str">
            <v>ECOSAMPA Operação Geral</v>
          </cell>
        </row>
        <row r="1999">
          <cell r="A1999">
            <v>113630</v>
          </cell>
          <cell r="B1999" t="str">
            <v>RENATO LUIZ DOS SANTOS</v>
          </cell>
          <cell r="C1999" t="str">
            <v>VARREDOR</v>
          </cell>
          <cell r="D1999" t="str">
            <v>ECOSAMPA Parelheiros</v>
          </cell>
        </row>
        <row r="2000">
          <cell r="A2000">
            <v>113627</v>
          </cell>
          <cell r="B2000" t="str">
            <v>RENATO LUIZ PEREIRA</v>
          </cell>
          <cell r="C2000" t="str">
            <v>AJUDANTE EQ SERVICOS DIVERSOS</v>
          </cell>
          <cell r="D2000" t="str">
            <v>ECOSAMPA Campo Limpo</v>
          </cell>
        </row>
        <row r="2001">
          <cell r="A2001">
            <v>114734</v>
          </cell>
          <cell r="B2001" t="str">
            <v>RENATO MARQUES DE SOUSA</v>
          </cell>
          <cell r="C2001" t="str">
            <v>AJUDANTE EQ SERVICOS DIVERSOS</v>
          </cell>
          <cell r="D2001" t="str">
            <v>ECOSAMPA Santo Amaro</v>
          </cell>
        </row>
        <row r="2002">
          <cell r="A2002">
            <v>114756</v>
          </cell>
          <cell r="B2002" t="str">
            <v>RENATO NUNES DE BORBA</v>
          </cell>
          <cell r="C2002" t="str">
            <v>AJUDANTE EQ SERVICOS DIVERSOS</v>
          </cell>
          <cell r="D2002" t="str">
            <v>ECOSAMPA Capela do Socorro</v>
          </cell>
        </row>
        <row r="2003">
          <cell r="A2003">
            <v>113734</v>
          </cell>
          <cell r="B2003" t="str">
            <v>RENATO PAULINO DOS ANJOS</v>
          </cell>
          <cell r="C2003" t="str">
            <v>ENCARREGADO DE CONTROLE DE MANUTENCAO</v>
          </cell>
          <cell r="D2003" t="str">
            <v>ECOSAMPA Operação Geral</v>
          </cell>
        </row>
        <row r="2004">
          <cell r="A2004">
            <v>117237</v>
          </cell>
          <cell r="B2004" t="str">
            <v>RENATO SANTANA DOS SANTOS</v>
          </cell>
          <cell r="C2004" t="str">
            <v>AJUDANTE EQ SERVICOS DIVERSOS</v>
          </cell>
          <cell r="D2004" t="str">
            <v>ECOSAMPA Santo Amaro</v>
          </cell>
        </row>
        <row r="2005">
          <cell r="A2005">
            <v>121516</v>
          </cell>
          <cell r="B2005" t="str">
            <v>RENELSON VALLIERE</v>
          </cell>
          <cell r="C2005" t="str">
            <v>AJUDANTE EQ SERVICOS DIVERSOS</v>
          </cell>
          <cell r="D2005" t="str">
            <v>ECOSAMPA Operação Geral</v>
          </cell>
        </row>
        <row r="2006">
          <cell r="A2006">
            <v>122403</v>
          </cell>
          <cell r="B2006" t="str">
            <v>RENELSON VALLIERE</v>
          </cell>
          <cell r="C2006" t="str">
            <v>AJUDANTE EQ SERVICOS DIVERSOS</v>
          </cell>
          <cell r="D2006" t="str">
            <v>ECOSAMPA Operação Geral</v>
          </cell>
        </row>
        <row r="2007">
          <cell r="A2007">
            <v>116329</v>
          </cell>
          <cell r="B2007" t="str">
            <v>RHUAN MATHEUS PEREIRA BARRETO</v>
          </cell>
          <cell r="C2007" t="str">
            <v>AJUDANTE EQ SERVICOS DIVERSOS</v>
          </cell>
          <cell r="D2007" t="str">
            <v>ECOSAMPA Santo Amaro</v>
          </cell>
        </row>
        <row r="2008">
          <cell r="A2008">
            <v>118642</v>
          </cell>
          <cell r="B2008" t="str">
            <v>RICARDO ALEXANDRE DE OLIVEIRA</v>
          </cell>
          <cell r="C2008" t="str">
            <v>SERVENTE</v>
          </cell>
          <cell r="D2008" t="str">
            <v>ECOSAMPA Operação Geral</v>
          </cell>
        </row>
        <row r="2009">
          <cell r="A2009">
            <v>114971</v>
          </cell>
          <cell r="B2009" t="str">
            <v>RICARDO ANTONIO DO PRADO SILVA LIMA</v>
          </cell>
          <cell r="C2009" t="str">
            <v>AJUDANTE EQ SERVICOS DIVERSOS</v>
          </cell>
          <cell r="D2009" t="str">
            <v>ECOSAMPA Operação Geral</v>
          </cell>
        </row>
        <row r="2010">
          <cell r="A2010">
            <v>114031</v>
          </cell>
          <cell r="B2010" t="str">
            <v>RICARDO APARECIDO DA CONCEICAO</v>
          </cell>
          <cell r="C2010" t="str">
            <v>FISCAL DE TURMA PLENO</v>
          </cell>
          <cell r="D2010" t="str">
            <v>ECOSAMPA Campo Limpo</v>
          </cell>
        </row>
        <row r="2011">
          <cell r="A2011">
            <v>113689</v>
          </cell>
          <cell r="B2011" t="str">
            <v>RICARDO APARECIDO FERNANDO DE OLIVEIRA</v>
          </cell>
          <cell r="C2011" t="str">
            <v>COLETOR</v>
          </cell>
          <cell r="D2011" t="str">
            <v>ECOSAMPA Operação Geral</v>
          </cell>
        </row>
        <row r="2012">
          <cell r="A2012">
            <v>117240</v>
          </cell>
          <cell r="B2012" t="str">
            <v>RICARDO APARECIDO LEANDRO</v>
          </cell>
          <cell r="C2012" t="str">
            <v>AJUDANTE EQ SERVICOS DIVERSOS</v>
          </cell>
          <cell r="D2012" t="str">
            <v>ECOSAMPA Santo Amaro</v>
          </cell>
        </row>
        <row r="2013">
          <cell r="A2013">
            <v>113621</v>
          </cell>
          <cell r="B2013" t="str">
            <v>RICARDO BARROS PEREIRA SANTOS</v>
          </cell>
          <cell r="C2013" t="str">
            <v>VARREDOR</v>
          </cell>
          <cell r="D2013" t="str">
            <v>ECOSAMPA M'Boi Mirim</v>
          </cell>
        </row>
        <row r="2014">
          <cell r="A2014">
            <v>120192</v>
          </cell>
          <cell r="B2014" t="str">
            <v>RICARDO DE ALMEIDA LAURENTINO</v>
          </cell>
          <cell r="C2014" t="str">
            <v>AJUDANTE EQ SERVICOS DIVERSOS</v>
          </cell>
          <cell r="D2014" t="str">
            <v>ECOSAMPA Capela do Socorro</v>
          </cell>
        </row>
        <row r="2015">
          <cell r="A2015">
            <v>114617</v>
          </cell>
          <cell r="B2015" t="str">
            <v>RICARDO DE OLIVEIRA CARDOSO</v>
          </cell>
          <cell r="C2015" t="str">
            <v>MOTORISTA CAMINHAO</v>
          </cell>
          <cell r="D2015" t="str">
            <v>ECOSAMPA Operação Geral</v>
          </cell>
        </row>
        <row r="2016">
          <cell r="A2016">
            <v>116320</v>
          </cell>
          <cell r="B2016" t="str">
            <v>RICARDO GOMES</v>
          </cell>
          <cell r="C2016" t="str">
            <v>AJUDANTE EQ SERVICOS DIVERSOS</v>
          </cell>
          <cell r="D2016" t="str">
            <v>ECOSAMPA Campo Limpo</v>
          </cell>
        </row>
        <row r="2017">
          <cell r="A2017">
            <v>116075</v>
          </cell>
          <cell r="B2017" t="str">
            <v>RICARDO OLIVEIRA SILVA</v>
          </cell>
          <cell r="C2017" t="str">
            <v>FISCAL DE TURMA PLENO</v>
          </cell>
          <cell r="D2017" t="str">
            <v>ECOSAMPA Campo Limpo</v>
          </cell>
        </row>
        <row r="2018">
          <cell r="A2018">
            <v>119681</v>
          </cell>
          <cell r="B2018" t="str">
            <v>RICARDO PEDRO DA SILVA</v>
          </cell>
          <cell r="C2018" t="str">
            <v>AJUDANTE EQ SERVICOS DIVERSOS</v>
          </cell>
          <cell r="D2018" t="str">
            <v>ECOSAMPA Campo Limpo</v>
          </cell>
        </row>
        <row r="2019">
          <cell r="A2019">
            <v>114258</v>
          </cell>
          <cell r="B2019" t="str">
            <v>RICARDO PINTO DA CONCEICAO</v>
          </cell>
          <cell r="C2019" t="str">
            <v>AJUDANTE EQ SERVICOS DIVERSOS</v>
          </cell>
          <cell r="D2019" t="str">
            <v>ECOSAMPA Santo Amaro</v>
          </cell>
        </row>
        <row r="2020">
          <cell r="A2020">
            <v>115842</v>
          </cell>
          <cell r="B2020" t="str">
            <v>RICARDO PORTO DOS SANTOS</v>
          </cell>
          <cell r="C2020" t="str">
            <v>AJUDANTE DE MECANICO</v>
          </cell>
          <cell r="D2020" t="str">
            <v>ECOSAMPA Operação Geral</v>
          </cell>
        </row>
        <row r="2021">
          <cell r="A2021">
            <v>122084</v>
          </cell>
          <cell r="B2021" t="str">
            <v>RICARDO RODRIGO DOS SANTOS</v>
          </cell>
          <cell r="C2021" t="str">
            <v>AJUDANTE EQ SERVICOS DIVERSOS</v>
          </cell>
          <cell r="D2021" t="str">
            <v>ECOSAMPA Operação Geral</v>
          </cell>
        </row>
        <row r="2022">
          <cell r="A2022">
            <v>113611</v>
          </cell>
          <cell r="B2022" t="str">
            <v>RICARDO RODRIGUES DAS NEVES</v>
          </cell>
          <cell r="C2022" t="str">
            <v>FISCAL DE TURMA PLENO</v>
          </cell>
          <cell r="D2022" t="str">
            <v>ECOSAMPA Santo Amaro</v>
          </cell>
        </row>
        <row r="2023">
          <cell r="A2023">
            <v>112862</v>
          </cell>
          <cell r="B2023" t="str">
            <v>RICARDO SANTOS LIMA</v>
          </cell>
          <cell r="C2023" t="str">
            <v>VARREDOR</v>
          </cell>
          <cell r="D2023" t="str">
            <v>ECOSAMPA M'Boi Mirim</v>
          </cell>
        </row>
        <row r="2024">
          <cell r="A2024">
            <v>112853</v>
          </cell>
          <cell r="B2024" t="str">
            <v>RIVALDO ANTONIO TEIXEIRA</v>
          </cell>
          <cell r="C2024" t="str">
            <v>VARREDOR</v>
          </cell>
          <cell r="D2024" t="str">
            <v>ECOSAMPA Santo Amaro</v>
          </cell>
        </row>
        <row r="2025">
          <cell r="A2025">
            <v>112844</v>
          </cell>
          <cell r="B2025" t="str">
            <v>RIVALDO FERREIRA DA SILVA</v>
          </cell>
          <cell r="C2025" t="str">
            <v>VARREDOR</v>
          </cell>
          <cell r="D2025" t="str">
            <v>ECOSAMPA Campo Limpo</v>
          </cell>
        </row>
        <row r="2026">
          <cell r="A2026">
            <v>122825</v>
          </cell>
          <cell r="B2026" t="str">
            <v>RIVALDO OLIVEIRA SILVA</v>
          </cell>
          <cell r="C2026" t="str">
            <v>AJUDANTE EQ SERVICOS DIVERSOS</v>
          </cell>
          <cell r="D2026" t="str">
            <v>ECOSAMPA Capela do Socorro</v>
          </cell>
        </row>
        <row r="2027">
          <cell r="A2027">
            <v>114936</v>
          </cell>
          <cell r="B2027" t="str">
            <v>RIVELINO DE SOUZA</v>
          </cell>
          <cell r="C2027" t="str">
            <v>AJUDANTE EQ SERVICOS DIVERSOS</v>
          </cell>
          <cell r="D2027" t="str">
            <v>ECOSAMPA Operação Geral</v>
          </cell>
        </row>
        <row r="2028">
          <cell r="A2028">
            <v>114093</v>
          </cell>
          <cell r="B2028" t="str">
            <v>ROBERSON DOS SANTOS ALVES</v>
          </cell>
          <cell r="C2028" t="str">
            <v>AJUDANTE EQ SERVICOS DIVERSOS</v>
          </cell>
          <cell r="D2028" t="str">
            <v>ECOSAMPA Capela do Socorro</v>
          </cell>
        </row>
        <row r="2029">
          <cell r="A2029">
            <v>112823</v>
          </cell>
          <cell r="B2029" t="str">
            <v>ROBERTA CRISTINA DOS SANTOS AMORIM</v>
          </cell>
          <cell r="C2029" t="str">
            <v>VARREDOR</v>
          </cell>
          <cell r="D2029" t="str">
            <v>ECOSAMPA Parelheiros</v>
          </cell>
        </row>
        <row r="2030">
          <cell r="A2030">
            <v>112819</v>
          </cell>
          <cell r="B2030" t="str">
            <v>ROBERTO APARECIDO DE MORAES</v>
          </cell>
          <cell r="C2030" t="str">
            <v>BUEIRISTA</v>
          </cell>
          <cell r="D2030" t="str">
            <v>ECOSAMPA Campo Limpo</v>
          </cell>
        </row>
        <row r="2031">
          <cell r="A2031">
            <v>112811</v>
          </cell>
          <cell r="B2031" t="str">
            <v>ROBERTO BERNARDO RODRIGUES</v>
          </cell>
          <cell r="C2031" t="str">
            <v>MOTORISTA CAMINHAO</v>
          </cell>
          <cell r="D2031" t="str">
            <v>ECOSAMPA Operação Geral</v>
          </cell>
        </row>
        <row r="2032">
          <cell r="A2032">
            <v>113733</v>
          </cell>
          <cell r="B2032" t="str">
            <v>ROBERTO CARLOS DA SILVA</v>
          </cell>
          <cell r="C2032" t="str">
            <v>SUPERVISOR DE TRAFEGO</v>
          </cell>
          <cell r="D2032" t="str">
            <v>ECOSAMPA Operação Geral</v>
          </cell>
        </row>
        <row r="2033">
          <cell r="A2033">
            <v>116979</v>
          </cell>
          <cell r="B2033" t="str">
            <v>ROBERTO CARLOS MORAES SILVA</v>
          </cell>
          <cell r="C2033" t="str">
            <v>AJUDANTE EQ SERVICOS DIVERSOS</v>
          </cell>
          <cell r="D2033" t="str">
            <v>ECOSAMPA Campo Limpo</v>
          </cell>
        </row>
        <row r="2034">
          <cell r="A2034">
            <v>114732</v>
          </cell>
          <cell r="B2034" t="str">
            <v>ROBERTO DA CRUZ RIBEIRO DA SILVA</v>
          </cell>
          <cell r="C2034" t="str">
            <v>VARREDOR</v>
          </cell>
          <cell r="D2034" t="str">
            <v>ECOSAMPA Santo Amaro</v>
          </cell>
        </row>
        <row r="2035">
          <cell r="A2035">
            <v>112800</v>
          </cell>
          <cell r="B2035" t="str">
            <v>ROBERTO FILHO</v>
          </cell>
          <cell r="C2035" t="str">
            <v>VARREDOR</v>
          </cell>
          <cell r="D2035" t="str">
            <v>ECOSAMPA Campo Limpo</v>
          </cell>
        </row>
        <row r="2036">
          <cell r="A2036">
            <v>112788</v>
          </cell>
          <cell r="B2036" t="str">
            <v>ROBERTO LUIZ DOS SANTOS SILVA</v>
          </cell>
          <cell r="C2036" t="str">
            <v>BORRACHEIRO II</v>
          </cell>
          <cell r="D2036" t="str">
            <v>ECOSAMPA Operação Geral</v>
          </cell>
        </row>
        <row r="2037">
          <cell r="A2037">
            <v>112778</v>
          </cell>
          <cell r="B2037" t="str">
            <v>ROBERTO MACHADO ARAUJO</v>
          </cell>
          <cell r="C2037" t="str">
            <v>VARREDOR</v>
          </cell>
          <cell r="D2037" t="str">
            <v>ECOSAMPA Capela do Socorro</v>
          </cell>
        </row>
        <row r="2038">
          <cell r="A2038">
            <v>112769</v>
          </cell>
          <cell r="B2038" t="str">
            <v>ROBERTO PEDRETE MAIA</v>
          </cell>
          <cell r="C2038" t="str">
            <v>MOTORISTA CAMINHAO</v>
          </cell>
          <cell r="D2038" t="str">
            <v>ECOSAMPA Operação Geral</v>
          </cell>
        </row>
        <row r="2039">
          <cell r="A2039">
            <v>112760</v>
          </cell>
          <cell r="B2039" t="str">
            <v>ROBERTO PRADO SOARES</v>
          </cell>
          <cell r="C2039" t="str">
            <v>AJUDANTE EQ SERVICOS DIVERSOS</v>
          </cell>
          <cell r="D2039" t="str">
            <v>ECOSAMPA Operação Geral</v>
          </cell>
        </row>
        <row r="2040">
          <cell r="A2040">
            <v>116132</v>
          </cell>
          <cell r="B2040" t="str">
            <v>ROBERTO SOARES CARDOSO</v>
          </cell>
          <cell r="C2040" t="str">
            <v>MOTORISTA CAMINHAO</v>
          </cell>
          <cell r="D2040" t="str">
            <v>ECOSAMPA Operação Geral</v>
          </cell>
        </row>
        <row r="2041">
          <cell r="A2041">
            <v>112754</v>
          </cell>
          <cell r="B2041" t="str">
            <v>ROBERTO XAVIER FIALHO</v>
          </cell>
          <cell r="C2041" t="str">
            <v>VARREDOR</v>
          </cell>
          <cell r="D2041" t="str">
            <v>ECOSAMPA Capela do Socorro</v>
          </cell>
        </row>
        <row r="2042">
          <cell r="A2042">
            <v>121451</v>
          </cell>
          <cell r="B2042" t="str">
            <v>ROBERVAL DOS SANTOS SOUZA</v>
          </cell>
          <cell r="C2042" t="str">
            <v>AJUDANTE EQ SERVICOS DIVERSOS</v>
          </cell>
          <cell r="D2042" t="str">
            <v>ECOSAMPA Operação Geral</v>
          </cell>
        </row>
        <row r="2043">
          <cell r="A2043">
            <v>113723</v>
          </cell>
          <cell r="B2043" t="str">
            <v>ROBSON AMORIM DOS SANTOS</v>
          </cell>
          <cell r="C2043" t="str">
            <v>SERVENTE</v>
          </cell>
          <cell r="D2043" t="str">
            <v>ECOSAMPA Operação Geral</v>
          </cell>
        </row>
        <row r="2044">
          <cell r="A2044">
            <v>113724</v>
          </cell>
          <cell r="B2044" t="str">
            <v>ROBSON MENDES COLEN</v>
          </cell>
          <cell r="C2044" t="str">
            <v>SERRALHEIRO</v>
          </cell>
          <cell r="D2044" t="str">
            <v>ECOSAMPA Operação Geral</v>
          </cell>
        </row>
        <row r="2045">
          <cell r="A2045">
            <v>117241</v>
          </cell>
          <cell r="B2045" t="str">
            <v>ROBSON NUNES MACARIO</v>
          </cell>
          <cell r="C2045" t="str">
            <v>AJUDANTE EQ SERVICOS DIVERSOS</v>
          </cell>
          <cell r="D2045" t="str">
            <v>ECOSAMPA M'Boi Mirim</v>
          </cell>
        </row>
        <row r="2046">
          <cell r="A2046">
            <v>112747</v>
          </cell>
          <cell r="B2046" t="str">
            <v>ROBSON ROCHA GONCALVES</v>
          </cell>
          <cell r="C2046" t="str">
            <v>COLETOR</v>
          </cell>
          <cell r="D2046" t="str">
            <v>ECOSAMPA Operação Geral</v>
          </cell>
        </row>
        <row r="2047">
          <cell r="A2047">
            <v>112741</v>
          </cell>
          <cell r="B2047" t="str">
            <v>ROBSON RODRIGUES DO CARMO</v>
          </cell>
          <cell r="C2047" t="str">
            <v>VARREDOR</v>
          </cell>
          <cell r="D2047" t="str">
            <v>ECOSAMPA Capela do Socorro</v>
          </cell>
        </row>
        <row r="2048">
          <cell r="A2048">
            <v>112735</v>
          </cell>
          <cell r="B2048" t="str">
            <v>ROBSON SANTOS DA SILVA</v>
          </cell>
          <cell r="C2048" t="str">
            <v>AJUDANTE EQ SERVICOS DIVERSOS</v>
          </cell>
          <cell r="D2048" t="str">
            <v>ECOSAMPA Capela do Socorro</v>
          </cell>
        </row>
        <row r="2049">
          <cell r="A2049">
            <v>120355</v>
          </cell>
          <cell r="B2049" t="str">
            <v>ROBSON TADEU DA COSTA</v>
          </cell>
          <cell r="C2049" t="str">
            <v>AJUDANTE EQ SERVICOS DIVERSOS</v>
          </cell>
          <cell r="D2049" t="str">
            <v>ECOSAMPA Santo Amaro</v>
          </cell>
        </row>
        <row r="2050">
          <cell r="A2050">
            <v>117361</v>
          </cell>
          <cell r="B2050" t="str">
            <v>RODOLFO DA SILVA GONCALVES</v>
          </cell>
          <cell r="C2050" t="str">
            <v>MOTORISTA CAMINHAO</v>
          </cell>
          <cell r="D2050" t="str">
            <v>ECOSAMPA Operação Geral</v>
          </cell>
        </row>
        <row r="2051">
          <cell r="A2051">
            <v>119933</v>
          </cell>
          <cell r="B2051" t="str">
            <v>RODRIGO ALENCAR LINO DOS ANJOS</v>
          </cell>
          <cell r="C2051" t="str">
            <v>AJUDANTE EQ SERVICOS DIVERSOS</v>
          </cell>
          <cell r="D2051" t="str">
            <v>ECOSAMPA Parelheiros</v>
          </cell>
        </row>
        <row r="2052">
          <cell r="A2052">
            <v>114560</v>
          </cell>
          <cell r="B2052" t="str">
            <v>RODRIGO ALEXANDRE BARBOZA RODRIGUES DE SOUZA</v>
          </cell>
          <cell r="C2052" t="str">
            <v>AJUDANTE EQ SERVICOS DIVERSOS</v>
          </cell>
          <cell r="D2052" t="str">
            <v>ECOSAMPA Operação Geral</v>
          </cell>
        </row>
        <row r="2053">
          <cell r="A2053">
            <v>113753</v>
          </cell>
          <cell r="B2053" t="str">
            <v>RODRIGO ALVES DA SILVA</v>
          </cell>
          <cell r="C2053" t="str">
            <v>ANALISTA DE PLANEJAMENTO OPERACIONAL</v>
          </cell>
          <cell r="D2053" t="str">
            <v>ECOSAMPA Operação Geral</v>
          </cell>
        </row>
        <row r="2054">
          <cell r="A2054">
            <v>113765</v>
          </cell>
          <cell r="B2054" t="str">
            <v>RODRIGO CARDOSO BARBALHO</v>
          </cell>
          <cell r="C2054" t="str">
            <v>ENCARREGADO DE COMPRA E SUPRIMENTOS</v>
          </cell>
          <cell r="D2054" t="str">
            <v>ECOSAMPA Operação Geral</v>
          </cell>
        </row>
        <row r="2055">
          <cell r="A2055">
            <v>121511</v>
          </cell>
          <cell r="B2055" t="str">
            <v>RODRIGO DA SILVA ROSA</v>
          </cell>
          <cell r="C2055" t="str">
            <v>AJUDANTE EQ SERVICOS DIVERSOS</v>
          </cell>
          <cell r="D2055" t="str">
            <v>ECOSAMPA Operação Geral</v>
          </cell>
        </row>
        <row r="2056">
          <cell r="A2056">
            <v>112477</v>
          </cell>
          <cell r="B2056" t="str">
            <v>RODRIGO DE PAULA FREIRE</v>
          </cell>
          <cell r="C2056" t="str">
            <v>AJUDANTE EQ SERVICOS DIVERSOS</v>
          </cell>
          <cell r="D2056" t="str">
            <v>ECOSAMPA Parelheiros</v>
          </cell>
        </row>
        <row r="2057">
          <cell r="A2057">
            <v>115446</v>
          </cell>
          <cell r="B2057" t="str">
            <v>RODRIGO DE SOUSA</v>
          </cell>
          <cell r="C2057" t="str">
            <v>FISCAL DE TURMA PLENO</v>
          </cell>
          <cell r="D2057" t="str">
            <v>ECOSAMPA Santo Amaro</v>
          </cell>
        </row>
        <row r="2058">
          <cell r="A2058">
            <v>112468</v>
          </cell>
          <cell r="B2058" t="str">
            <v>RODRIGO DO NASCIMENTO OLIVEIRA</v>
          </cell>
          <cell r="C2058" t="str">
            <v>COLETOR</v>
          </cell>
          <cell r="D2058" t="str">
            <v>ECOSAMPA Operação Geral</v>
          </cell>
        </row>
        <row r="2059">
          <cell r="A2059">
            <v>112458</v>
          </cell>
          <cell r="B2059" t="str">
            <v>RODRIGO DOS SANTOS OLIVEIRA</v>
          </cell>
          <cell r="C2059" t="str">
            <v>AJUDANTE EQ SERVICOS DIVERSOS</v>
          </cell>
          <cell r="D2059" t="str">
            <v>ECOSAMPA Santo Amaro</v>
          </cell>
        </row>
        <row r="2060">
          <cell r="A2060">
            <v>116714</v>
          </cell>
          <cell r="B2060" t="str">
            <v>RODRIGO FERREIRA DE FREITAS</v>
          </cell>
          <cell r="C2060" t="str">
            <v>VARREDOR</v>
          </cell>
          <cell r="D2060" t="str">
            <v>ECOSAMPA M'Boi Mirim</v>
          </cell>
        </row>
        <row r="2061">
          <cell r="A2061">
            <v>115379</v>
          </cell>
          <cell r="B2061" t="str">
            <v>RODRIGO LISO DOS SANTOS</v>
          </cell>
          <cell r="C2061" t="str">
            <v>AJUDANTE EQ SERVICOS DIVERSOS</v>
          </cell>
          <cell r="D2061" t="str">
            <v>ECOSAMPA Parelheiros</v>
          </cell>
        </row>
        <row r="2062">
          <cell r="A2062">
            <v>112448</v>
          </cell>
          <cell r="B2062" t="str">
            <v>RODRIGO LOPES DA SILVA</v>
          </cell>
          <cell r="C2062" t="str">
            <v>VARREDOR</v>
          </cell>
          <cell r="D2062" t="str">
            <v>ECOSAMPA M'Boi Mirim</v>
          </cell>
        </row>
        <row r="2063">
          <cell r="A2063">
            <v>119117</v>
          </cell>
          <cell r="B2063" t="str">
            <v>RODRIGO MUNIZ FERNANDES</v>
          </cell>
          <cell r="C2063" t="str">
            <v>AJUDANTE EQ SERVICOS DIVERSOS</v>
          </cell>
          <cell r="D2063" t="str">
            <v>ECOSAMPA M'Boi Mirim</v>
          </cell>
        </row>
        <row r="2064">
          <cell r="A2064">
            <v>112440</v>
          </cell>
          <cell r="B2064" t="str">
            <v>RODRIGO OLIVEIRA DA CRUZ</v>
          </cell>
          <cell r="C2064" t="str">
            <v>ENCARREGADO DE TURMA</v>
          </cell>
          <cell r="D2064" t="str">
            <v>ECOSAMPA Parelheiros</v>
          </cell>
        </row>
        <row r="2065">
          <cell r="A2065">
            <v>113761</v>
          </cell>
          <cell r="B2065" t="str">
            <v>RODRIGO PEDRO DOS SANTOS</v>
          </cell>
          <cell r="C2065" t="str">
            <v>ENCARREGADO DE MANUTENCAO OFICINA</v>
          </cell>
          <cell r="D2065" t="str">
            <v>ECOSAMPA Operação Geral</v>
          </cell>
        </row>
        <row r="2066">
          <cell r="A2066">
            <v>116110</v>
          </cell>
          <cell r="B2066" t="str">
            <v>RODRIGO PEREIRA BARROS</v>
          </cell>
          <cell r="C2066" t="str">
            <v>MOTORISTA CAMINHAO</v>
          </cell>
          <cell r="D2066" t="str">
            <v>ECOSAMPA Operação Geral</v>
          </cell>
        </row>
        <row r="2067">
          <cell r="A2067">
            <v>112429</v>
          </cell>
          <cell r="B2067" t="str">
            <v>RODRIGO SILVA DOS SANTOS</v>
          </cell>
          <cell r="C2067" t="str">
            <v>AJUDANTE EQ SERVICOS DIVERSOS</v>
          </cell>
          <cell r="D2067" t="str">
            <v>ECOSAMPA M'Boi Mirim</v>
          </cell>
        </row>
        <row r="2068">
          <cell r="A2068">
            <v>114454</v>
          </cell>
          <cell r="B2068" t="str">
            <v>RODRIGO SOARES</v>
          </cell>
          <cell r="C2068" t="str">
            <v>AJUDANTE EQ SERVICOS DIVERSOS</v>
          </cell>
          <cell r="D2068" t="str">
            <v>ECOSAMPA Santo Amaro</v>
          </cell>
        </row>
        <row r="2069">
          <cell r="A2069">
            <v>118648</v>
          </cell>
          <cell r="B2069" t="str">
            <v>RODRIGO TRINDADE SILVA</v>
          </cell>
          <cell r="C2069" t="str">
            <v>AJUDANTE EQ SERVICOS DIVERSOS</v>
          </cell>
          <cell r="D2069" t="str">
            <v>ECOSAMPA Operação Geral</v>
          </cell>
        </row>
        <row r="2070">
          <cell r="A2070">
            <v>114937</v>
          </cell>
          <cell r="B2070" t="str">
            <v>ROGERIO ALEXANDRE DE SOUZA</v>
          </cell>
          <cell r="C2070" t="str">
            <v>AJUDANTE EQ SERVICOS DIVERSOS</v>
          </cell>
          <cell r="D2070" t="str">
            <v>ECOSAMPA Operação Geral</v>
          </cell>
        </row>
        <row r="2071">
          <cell r="A2071">
            <v>112414</v>
          </cell>
          <cell r="B2071" t="str">
            <v>ROGERIO DE AQUINO SILVA</v>
          </cell>
          <cell r="C2071" t="str">
            <v>MOTORISTA CAMINHAO</v>
          </cell>
          <cell r="D2071" t="str">
            <v>ECOSAMPA Operação Geral</v>
          </cell>
        </row>
        <row r="2072">
          <cell r="A2072">
            <v>112403</v>
          </cell>
          <cell r="B2072" t="str">
            <v>ROGERIO DO ESPIRITO SANTOS</v>
          </cell>
          <cell r="C2072" t="str">
            <v>VARREDOR</v>
          </cell>
          <cell r="D2072" t="str">
            <v>ECOSAMPA Santo Amaro</v>
          </cell>
        </row>
        <row r="2073">
          <cell r="A2073">
            <v>112398</v>
          </cell>
          <cell r="B2073" t="str">
            <v>ROGERIO DOS SANTOS ARAUJO</v>
          </cell>
          <cell r="C2073" t="str">
            <v>VARREDOR</v>
          </cell>
          <cell r="D2073" t="str">
            <v>ECOSAMPA Campo Limpo</v>
          </cell>
        </row>
        <row r="2074">
          <cell r="A2074">
            <v>116318</v>
          </cell>
          <cell r="B2074" t="str">
            <v>ROGERIO DUARTE SOUZA</v>
          </cell>
          <cell r="C2074" t="str">
            <v>AJUDANTE EQ SERVICOS DIVERSOS</v>
          </cell>
          <cell r="D2074" t="str">
            <v>ECOSAMPA Santo Amaro</v>
          </cell>
        </row>
        <row r="2075">
          <cell r="A2075">
            <v>112390</v>
          </cell>
          <cell r="B2075" t="str">
            <v>ROGERIO ELIEL DAMIN PONTES</v>
          </cell>
          <cell r="C2075" t="str">
            <v>FISCAL DE TURMA PLENO</v>
          </cell>
          <cell r="D2075" t="str">
            <v>ECOSAMPA Santo Amaro</v>
          </cell>
        </row>
        <row r="2076">
          <cell r="A2076">
            <v>120188</v>
          </cell>
          <cell r="B2076" t="str">
            <v>ROGERIO LUIS RODRIGUES</v>
          </cell>
          <cell r="C2076" t="str">
            <v>AJUDANTE EQ SERVICOS DIVERSOS</v>
          </cell>
          <cell r="D2076" t="str">
            <v>ECOSAMPA M'Boi Mirim</v>
          </cell>
        </row>
        <row r="2077">
          <cell r="A2077">
            <v>112301</v>
          </cell>
          <cell r="B2077" t="str">
            <v>ROGERIO LUIZ RODRIGUES DA SILVA</v>
          </cell>
          <cell r="C2077" t="str">
            <v>AJUDANTE EQ SERVICOS DIVERSOS</v>
          </cell>
          <cell r="D2077" t="str">
            <v>ECOSAMPA M'Boi Mirim</v>
          </cell>
        </row>
        <row r="2078">
          <cell r="A2078">
            <v>112293</v>
          </cell>
          <cell r="B2078" t="str">
            <v>ROGERIO LYNCH DE OLIVEIRA</v>
          </cell>
          <cell r="C2078" t="str">
            <v>AJUDANTE EQ SERVICOS DIVERSOS</v>
          </cell>
          <cell r="D2078" t="str">
            <v>ECOSAMPA Operação Geral</v>
          </cell>
        </row>
        <row r="2079">
          <cell r="A2079">
            <v>114821</v>
          </cell>
          <cell r="B2079" t="str">
            <v>ROGERIO MARCELINO DOS SANTOS</v>
          </cell>
          <cell r="C2079" t="str">
            <v>AUXILIAR DE CONTROLE OPERACIONAL</v>
          </cell>
          <cell r="D2079" t="str">
            <v>ECOSAMPA Operação Geral</v>
          </cell>
        </row>
        <row r="2080">
          <cell r="A2080">
            <v>112285</v>
          </cell>
          <cell r="B2080" t="str">
            <v>ROGERIO MORAIS DA SILVA SANTOS</v>
          </cell>
          <cell r="C2080" t="str">
            <v>VARREDOR</v>
          </cell>
          <cell r="D2080" t="str">
            <v>ECOSAMPA M'Boi Mirim</v>
          </cell>
        </row>
        <row r="2081">
          <cell r="A2081">
            <v>112172</v>
          </cell>
          <cell r="B2081" t="str">
            <v>ROGERIO OLIVEIRA LARA</v>
          </cell>
          <cell r="C2081" t="str">
            <v>FISCAL DE TRAFEGO PLENO</v>
          </cell>
          <cell r="D2081" t="str">
            <v>ECOSAMPA Campo Limpo</v>
          </cell>
        </row>
        <row r="2082">
          <cell r="A2082">
            <v>112977</v>
          </cell>
          <cell r="B2082" t="str">
            <v>ROGERIO PEREIRA LINO</v>
          </cell>
          <cell r="C2082" t="str">
            <v>MOTORISTA CAMINHAO</v>
          </cell>
          <cell r="D2082" t="str">
            <v>ECOSAMPA Operação Geral</v>
          </cell>
        </row>
        <row r="2083">
          <cell r="A2083">
            <v>112196</v>
          </cell>
          <cell r="B2083" t="str">
            <v>ROGERIO PIRES</v>
          </cell>
          <cell r="C2083" t="str">
            <v>AJUDANTE EQ SERVICOS DIVERSOS</v>
          </cell>
          <cell r="D2083" t="str">
            <v>ECOSAMPA M'Boi Mirim</v>
          </cell>
        </row>
        <row r="2084">
          <cell r="A2084">
            <v>112199</v>
          </cell>
          <cell r="B2084" t="str">
            <v>ROGERIO RODRIGUES SANTANA</v>
          </cell>
          <cell r="C2084" t="str">
            <v>AJUDANTE EQ SERVICOS DIVERSOS</v>
          </cell>
          <cell r="D2084" t="str">
            <v>ECOSAMPA M'Boi Mirim</v>
          </cell>
        </row>
        <row r="2085">
          <cell r="A2085">
            <v>112636</v>
          </cell>
          <cell r="B2085" t="str">
            <v>ROGERIO SANTOS SANTIAGO</v>
          </cell>
          <cell r="C2085" t="str">
            <v>COLETOR</v>
          </cell>
          <cell r="D2085" t="str">
            <v>ECOSAMPA Operação Geral</v>
          </cell>
        </row>
        <row r="2086">
          <cell r="A2086">
            <v>114256</v>
          </cell>
          <cell r="B2086" t="str">
            <v>ROGERIO SILVA PEREIRA</v>
          </cell>
          <cell r="C2086" t="str">
            <v>AUXILIAR DE TRAFEGO</v>
          </cell>
          <cell r="D2086" t="str">
            <v>ECOSAMPA Operação Geral</v>
          </cell>
        </row>
        <row r="2087">
          <cell r="A2087">
            <v>112202</v>
          </cell>
          <cell r="B2087" t="str">
            <v>ROMILDO BESERRA DE ALENCAR</v>
          </cell>
          <cell r="C2087" t="str">
            <v>AJUDANTE EQ SERVICOS DIVERSOS</v>
          </cell>
          <cell r="D2087" t="str">
            <v>ECOSAMPA M'Boi Mirim</v>
          </cell>
        </row>
        <row r="2088">
          <cell r="A2088">
            <v>114958</v>
          </cell>
          <cell r="B2088" t="str">
            <v>ROMILDO DOS SANTOS SILVA</v>
          </cell>
          <cell r="C2088" t="str">
            <v>MOTORISTA DE CAMINHAO</v>
          </cell>
          <cell r="D2088" t="str">
            <v>ECOSAMPA Operação Geral</v>
          </cell>
        </row>
        <row r="2089">
          <cell r="A2089">
            <v>112639</v>
          </cell>
          <cell r="B2089" t="str">
            <v>ROMILDO FREITAS DOS SANTOS</v>
          </cell>
          <cell r="C2089" t="str">
            <v>VARREDOR</v>
          </cell>
          <cell r="D2089" t="str">
            <v>ECOSAMPA Santo Amaro</v>
          </cell>
        </row>
        <row r="2090">
          <cell r="A2090">
            <v>112257</v>
          </cell>
          <cell r="B2090" t="str">
            <v>ROMILDO GOMES DE MELO</v>
          </cell>
          <cell r="C2090" t="str">
            <v>VARREDOR</v>
          </cell>
          <cell r="D2090" t="str">
            <v>ECOSAMPA M'Boi Mirim</v>
          </cell>
        </row>
        <row r="2091">
          <cell r="A2091">
            <v>112261</v>
          </cell>
          <cell r="B2091" t="str">
            <v>ROMILDO SANTOS</v>
          </cell>
          <cell r="C2091" t="str">
            <v>VARREDOR</v>
          </cell>
          <cell r="D2091" t="str">
            <v>ECOSAMPA Campo Limpo</v>
          </cell>
        </row>
        <row r="2092">
          <cell r="A2092">
            <v>112982</v>
          </cell>
          <cell r="B2092" t="str">
            <v>RONALDO ALVES DE OLIVEIRA</v>
          </cell>
          <cell r="C2092" t="str">
            <v>MOTORISTA CAMINHAO</v>
          </cell>
          <cell r="D2092" t="str">
            <v>ECOSAMPA Operação Geral</v>
          </cell>
        </row>
        <row r="2093">
          <cell r="A2093">
            <v>112644</v>
          </cell>
          <cell r="B2093" t="str">
            <v>RONALDO COUTINHO DE SOUZA</v>
          </cell>
          <cell r="C2093" t="str">
            <v>VARREDOR</v>
          </cell>
          <cell r="D2093" t="str">
            <v>ECOSAMPA Santo Amaro</v>
          </cell>
        </row>
        <row r="2094">
          <cell r="A2094">
            <v>114767</v>
          </cell>
          <cell r="B2094" t="str">
            <v>RONALDO DA SILVA MATOS</v>
          </cell>
          <cell r="C2094" t="str">
            <v>MOTORISTA CAMINHAO</v>
          </cell>
          <cell r="D2094" t="str">
            <v>ECOSAMPA Operação Geral</v>
          </cell>
        </row>
        <row r="2095">
          <cell r="A2095">
            <v>112263</v>
          </cell>
          <cell r="B2095" t="str">
            <v>RONALDO DE SOUZA JESUS</v>
          </cell>
          <cell r="C2095" t="str">
            <v>VARREDOR</v>
          </cell>
          <cell r="D2095" t="str">
            <v>ECOSAMPA Campo Limpo</v>
          </cell>
        </row>
        <row r="2096">
          <cell r="A2096">
            <v>112381</v>
          </cell>
          <cell r="B2096" t="str">
            <v>RONALDO GONCALVES DA PENHA</v>
          </cell>
          <cell r="C2096" t="str">
            <v>COLETOR</v>
          </cell>
          <cell r="D2096" t="str">
            <v>ECOSAMPA Operação Geral</v>
          </cell>
        </row>
        <row r="2097">
          <cell r="A2097">
            <v>112645</v>
          </cell>
          <cell r="B2097" t="str">
            <v>RONALDO GONCALVES LOPES</v>
          </cell>
          <cell r="C2097" t="str">
            <v>COLETOR</v>
          </cell>
          <cell r="D2097" t="str">
            <v>ECOSAMPA Operação Geral</v>
          </cell>
        </row>
        <row r="2098">
          <cell r="A2098">
            <v>112383</v>
          </cell>
          <cell r="B2098" t="str">
            <v>RONALDO JOSE DOS SANTOS</v>
          </cell>
          <cell r="C2098" t="str">
            <v>VARREDOR</v>
          </cell>
          <cell r="D2098" t="str">
            <v>ECOSAMPA Capela do Socorro</v>
          </cell>
        </row>
        <row r="2099">
          <cell r="A2099">
            <v>112648</v>
          </cell>
          <cell r="B2099" t="str">
            <v>RONALDO LUIZ PEREIRA</v>
          </cell>
          <cell r="C2099" t="str">
            <v>VARREDOR</v>
          </cell>
          <cell r="D2099" t="str">
            <v>ECOSAMPA M'Boi Mirim</v>
          </cell>
        </row>
        <row r="2100">
          <cell r="A2100">
            <v>112987</v>
          </cell>
          <cell r="B2100" t="str">
            <v>RONALDO PEREIRA DA SILVA</v>
          </cell>
          <cell r="C2100" t="str">
            <v>MOTORISTA CAMINHAO</v>
          </cell>
          <cell r="D2100" t="str">
            <v>ECOSAMPA Operação Geral</v>
          </cell>
        </row>
        <row r="2101">
          <cell r="A2101">
            <v>117408</v>
          </cell>
          <cell r="B2101" t="str">
            <v>RONALDO PEREIRA LOPES</v>
          </cell>
          <cell r="C2101" t="str">
            <v>VARREDOR</v>
          </cell>
          <cell r="D2101" t="str">
            <v>ECOSAMPA Capela do Socorro</v>
          </cell>
        </row>
        <row r="2102">
          <cell r="A2102">
            <v>119929</v>
          </cell>
          <cell r="B2102" t="str">
            <v>RONALDO RAIMUNDO DA SILVA</v>
          </cell>
          <cell r="C2102" t="str">
            <v>AJUDANTE EQ SERVICOS DIVERSOS</v>
          </cell>
          <cell r="D2102" t="str">
            <v>ECOSAMPA Santo Amaro</v>
          </cell>
        </row>
        <row r="2103">
          <cell r="A2103">
            <v>114125</v>
          </cell>
          <cell r="B2103" t="str">
            <v>RONALDO ROCHA DA SILVA</v>
          </cell>
          <cell r="C2103" t="str">
            <v>VARREDOR</v>
          </cell>
          <cell r="D2103" t="str">
            <v>ECOSAMPA Santo Amaro</v>
          </cell>
        </row>
        <row r="2104">
          <cell r="A2104">
            <v>112666</v>
          </cell>
          <cell r="B2104" t="str">
            <v>RONALDO SILVA SANTOS</v>
          </cell>
          <cell r="C2104" t="str">
            <v>MOTORISTA DE CAMINHAO</v>
          </cell>
          <cell r="D2104" t="str">
            <v>ECOSAMPA Operação Geral</v>
          </cell>
        </row>
        <row r="2105">
          <cell r="A2105">
            <v>112207</v>
          </cell>
          <cell r="B2105" t="str">
            <v>RONEY MARTINS</v>
          </cell>
          <cell r="C2105" t="str">
            <v>VARREDOR</v>
          </cell>
          <cell r="D2105" t="str">
            <v>ECOSAMPA M'Boi Mirim</v>
          </cell>
        </row>
        <row r="2106">
          <cell r="A2106">
            <v>112990</v>
          </cell>
          <cell r="B2106" t="str">
            <v>RONIE DE OLIVEIRA MARTINS</v>
          </cell>
          <cell r="C2106" t="str">
            <v>MOTORISTA CAMINHAO</v>
          </cell>
          <cell r="D2106" t="str">
            <v>ECOSAMPA Operação Geral</v>
          </cell>
        </row>
        <row r="2107">
          <cell r="A2107">
            <v>114955</v>
          </cell>
          <cell r="B2107" t="str">
            <v>RONIE FERREIRA DOS SANTOS</v>
          </cell>
          <cell r="C2107" t="str">
            <v>MOTORISTA DE CAMINHAO</v>
          </cell>
          <cell r="D2107" t="str">
            <v>ECOSAMPA Operação Geral</v>
          </cell>
        </row>
        <row r="2108">
          <cell r="A2108">
            <v>114746</v>
          </cell>
          <cell r="B2108" t="str">
            <v>RONILDO MENDES SOUZA</v>
          </cell>
          <cell r="C2108" t="str">
            <v>VARREDOR</v>
          </cell>
          <cell r="D2108" t="str">
            <v>ECOSAMPA Capela do Socorro</v>
          </cell>
        </row>
        <row r="2109">
          <cell r="A2109">
            <v>112387</v>
          </cell>
          <cell r="B2109" t="str">
            <v>RONNEY SOARES SANTOS</v>
          </cell>
          <cell r="C2109" t="str">
            <v>AJUDANTE EQ SERVICOS DIVERSOS</v>
          </cell>
          <cell r="D2109" t="str">
            <v>ECOSAMPA Capela do Socorro</v>
          </cell>
        </row>
        <row r="2110">
          <cell r="A2110">
            <v>112272</v>
          </cell>
          <cell r="B2110" t="str">
            <v>ROQUE MAXIMINIANO DE SOUZA</v>
          </cell>
          <cell r="C2110" t="str">
            <v>VARREDOR</v>
          </cell>
          <cell r="D2110" t="str">
            <v>ECOSAMPA Campo Limpo</v>
          </cell>
        </row>
        <row r="2111">
          <cell r="A2111">
            <v>112670</v>
          </cell>
          <cell r="B2111" t="str">
            <v>ROSALINO ALVES ROSA</v>
          </cell>
          <cell r="C2111" t="str">
            <v>VARREDOR</v>
          </cell>
          <cell r="D2111" t="str">
            <v>ECOSAMPA Santo Amaro</v>
          </cell>
        </row>
        <row r="2112">
          <cell r="A2112">
            <v>112672</v>
          </cell>
          <cell r="B2112" t="str">
            <v>ROSANA DOS SANTOS</v>
          </cell>
          <cell r="C2112" t="str">
            <v>AJUDANTE EQ SERVICOS DIVERSOS</v>
          </cell>
          <cell r="D2112" t="str">
            <v>ECOSAMPA Santo Amaro</v>
          </cell>
        </row>
        <row r="2113">
          <cell r="A2113">
            <v>112674</v>
          </cell>
          <cell r="B2113" t="str">
            <v>ROSANGELA OLIVEIRA LIMA</v>
          </cell>
          <cell r="C2113" t="str">
            <v>VARREDOR</v>
          </cell>
          <cell r="D2113" t="str">
            <v>ECOSAMPA Santo Amaro</v>
          </cell>
        </row>
        <row r="2114">
          <cell r="A2114">
            <v>115816</v>
          </cell>
          <cell r="B2114" t="str">
            <v>ROSE OLIVEIRA LARA</v>
          </cell>
          <cell r="C2114" t="str">
            <v>AGENTE AMBIENTAL</v>
          </cell>
          <cell r="D2114" t="str">
            <v>ECOSAMPA Santo Amaro</v>
          </cell>
        </row>
        <row r="2115">
          <cell r="A2115">
            <v>121327</v>
          </cell>
          <cell r="B2115" t="str">
            <v>ROSELI FERREIRA DA SILVA</v>
          </cell>
          <cell r="C2115" t="str">
            <v>AJUDANTE EQ SERVICOS DIVERSOS</v>
          </cell>
          <cell r="D2115" t="str">
            <v>ECOSAMPA M'Boi Mirim</v>
          </cell>
        </row>
        <row r="2116">
          <cell r="A2116">
            <v>112274</v>
          </cell>
          <cell r="B2116" t="str">
            <v>ROSELIO BRAZ FERREIRA</v>
          </cell>
          <cell r="C2116" t="str">
            <v>COLETOR</v>
          </cell>
          <cell r="D2116" t="str">
            <v>ECOSAMPA Operação Geral</v>
          </cell>
        </row>
        <row r="2117">
          <cell r="A2117">
            <v>112275</v>
          </cell>
          <cell r="B2117" t="str">
            <v>ROSENIL FIM JUNIOR</v>
          </cell>
          <cell r="C2117" t="str">
            <v>COLETOR</v>
          </cell>
          <cell r="D2117" t="str">
            <v>ECOSAMPA Operação Geral</v>
          </cell>
        </row>
        <row r="2118">
          <cell r="A2118">
            <v>116009</v>
          </cell>
          <cell r="B2118" t="str">
            <v>ROSENIL FIM JUNIOR</v>
          </cell>
          <cell r="C2118" t="str">
            <v>VARREDOR</v>
          </cell>
          <cell r="D2118" t="str">
            <v>ECOSAMPA Capela do Socorro</v>
          </cell>
        </row>
        <row r="2119">
          <cell r="A2119">
            <v>112420</v>
          </cell>
          <cell r="B2119" t="str">
            <v>ROSENILDO DA SILVA PINTO</v>
          </cell>
          <cell r="C2119" t="str">
            <v>AJUDANTE EQ SERVICOS DIVERSOS</v>
          </cell>
          <cell r="D2119" t="str">
            <v>ECOSAMPA Parelheiros</v>
          </cell>
        </row>
        <row r="2120">
          <cell r="A2120">
            <v>115701</v>
          </cell>
          <cell r="B2120" t="str">
            <v>ROSIMARA HELEODORO IDELFONSO</v>
          </cell>
          <cell r="C2120" t="str">
            <v>Nenhum</v>
          </cell>
          <cell r="D2120" t="str">
            <v>ECOSAMPA Pensionistas</v>
          </cell>
        </row>
        <row r="2121">
          <cell r="A2121">
            <v>112426</v>
          </cell>
          <cell r="B2121" t="str">
            <v>ROSINALDO CRISPINIANO DOS SANTOS</v>
          </cell>
          <cell r="C2121" t="str">
            <v>AJUDANTE EQ SERVICOS DIVERSOS</v>
          </cell>
          <cell r="D2121" t="str">
            <v>ECOSAMPA Capela do Socorro</v>
          </cell>
        </row>
        <row r="2122">
          <cell r="A2122">
            <v>112278</v>
          </cell>
          <cell r="B2122" t="str">
            <v>ROSIVALDO FERREIRA DA SILVA</v>
          </cell>
          <cell r="C2122" t="str">
            <v>VARREDOR</v>
          </cell>
          <cell r="D2122" t="str">
            <v>ECOSAMPA Campo Limpo</v>
          </cell>
        </row>
        <row r="2123">
          <cell r="A2123">
            <v>112992</v>
          </cell>
          <cell r="B2123" t="str">
            <v>ROVANDA BARBOSA</v>
          </cell>
          <cell r="C2123" t="str">
            <v>MOTORISTA CAMINHAO</v>
          </cell>
          <cell r="D2123" t="str">
            <v>ECOSAMPA Operação Geral</v>
          </cell>
        </row>
        <row r="2124">
          <cell r="A2124">
            <v>112686</v>
          </cell>
          <cell r="B2124" t="str">
            <v>RUBENS ALVES DA ROCHA</v>
          </cell>
          <cell r="C2124" t="str">
            <v>COLETOR</v>
          </cell>
          <cell r="D2124" t="str">
            <v>ECOSAMPA Operação Geral</v>
          </cell>
        </row>
        <row r="2125">
          <cell r="A2125">
            <v>114938</v>
          </cell>
          <cell r="B2125" t="str">
            <v>RUBENS DA ROCHA</v>
          </cell>
          <cell r="C2125" t="str">
            <v>AJUDANTE EQ SERVICOS DIVERSOS</v>
          </cell>
          <cell r="D2125" t="str">
            <v>ECOSAMPA Capela do Socorro</v>
          </cell>
        </row>
        <row r="2126">
          <cell r="A2126">
            <v>112428</v>
          </cell>
          <cell r="B2126" t="str">
            <v>RUBENS DE ALMEIDA</v>
          </cell>
          <cell r="C2126" t="str">
            <v>VARREDOR</v>
          </cell>
          <cell r="D2126" t="str">
            <v>ECOSAMPA Capela do Socorro</v>
          </cell>
        </row>
        <row r="2127">
          <cell r="A2127">
            <v>112210</v>
          </cell>
          <cell r="B2127" t="str">
            <v>RUBENS DOS SANTOS SILVA</v>
          </cell>
          <cell r="C2127" t="str">
            <v>AJUDANTE EQ SERVICOS DIVERSOS</v>
          </cell>
          <cell r="D2127" t="str">
            <v>ECOSAMPA M'Boi Mirim</v>
          </cell>
        </row>
        <row r="2128">
          <cell r="A2128">
            <v>112696</v>
          </cell>
          <cell r="B2128" t="str">
            <v>RUBENS FERREIRA DE OLIVEIRA</v>
          </cell>
          <cell r="C2128" t="str">
            <v>VARREDOR</v>
          </cell>
          <cell r="D2128" t="str">
            <v>ECOSAMPA Santo Amaro</v>
          </cell>
        </row>
        <row r="2129">
          <cell r="A2129">
            <v>112432</v>
          </cell>
          <cell r="B2129" t="str">
            <v>RUBENS SANTOS DE OLIVEIRA JUNIOR</v>
          </cell>
          <cell r="C2129" t="str">
            <v>AJUDANTE EQ SERVICOS DIVERSOS</v>
          </cell>
          <cell r="D2129" t="str">
            <v>ECOSAMPA Capela do Socorro</v>
          </cell>
        </row>
        <row r="2130">
          <cell r="A2130">
            <v>112282</v>
          </cell>
          <cell r="B2130" t="str">
            <v>RUDIMAR DIONISIO MARINHO</v>
          </cell>
          <cell r="C2130" t="str">
            <v>VARREDOR</v>
          </cell>
          <cell r="D2130" t="str">
            <v>ECOSAMPA Campo Limpo</v>
          </cell>
        </row>
        <row r="2131">
          <cell r="A2131">
            <v>116237</v>
          </cell>
          <cell r="B2131" t="str">
            <v>RUDINEI SILVA FERREIRA DA CRUZ</v>
          </cell>
          <cell r="C2131" t="str">
            <v>VARREDOR</v>
          </cell>
          <cell r="D2131" t="str">
            <v>ECOSAMPA Capela do Socorro</v>
          </cell>
        </row>
        <row r="2132">
          <cell r="A2132">
            <v>121946</v>
          </cell>
          <cell r="B2132" t="str">
            <v>RYAN FERREIRA CABRAL</v>
          </cell>
          <cell r="C2132" t="str">
            <v>MENOR/JOVEM APRENDIZ</v>
          </cell>
          <cell r="D2132" t="str">
            <v>ECOSAMPA Administração</v>
          </cell>
        </row>
        <row r="2133">
          <cell r="A2133">
            <v>119241</v>
          </cell>
          <cell r="B2133" t="str">
            <v>SABRINA APARECIDA LIMA DA SILVA</v>
          </cell>
          <cell r="C2133" t="str">
            <v>AUXILIAR DE DEPARTAMENTO PESSOAL</v>
          </cell>
          <cell r="D2133" t="str">
            <v>ECOSAMPA Administração</v>
          </cell>
        </row>
        <row r="2134">
          <cell r="A2134">
            <v>115725</v>
          </cell>
          <cell r="B2134" t="str">
            <v>SABRINA CARDOSO DA SILVA</v>
          </cell>
          <cell r="C2134" t="str">
            <v>PENSIONISTAS</v>
          </cell>
          <cell r="D2134" t="str">
            <v>ECOSAMPA Pensionistas</v>
          </cell>
        </row>
        <row r="2135">
          <cell r="A2135">
            <v>112216</v>
          </cell>
          <cell r="B2135" t="str">
            <v>SABRINA DE SOUSA GOMES</v>
          </cell>
          <cell r="C2135" t="str">
            <v>VARREDOR</v>
          </cell>
          <cell r="D2135" t="str">
            <v>ECOSAMPA M'Boi Mirim</v>
          </cell>
        </row>
        <row r="2136">
          <cell r="A2136">
            <v>119751</v>
          </cell>
          <cell r="B2136" t="str">
            <v>SABRINA FIGUEIREDO DE SOUSA</v>
          </cell>
          <cell r="C2136" t="str">
            <v>MENOR/JOVEM APRENDIZ</v>
          </cell>
          <cell r="D2136" t="str">
            <v>ECOSAMPA Administração</v>
          </cell>
        </row>
        <row r="2137">
          <cell r="A2137">
            <v>122030</v>
          </cell>
          <cell r="B2137" t="str">
            <v>SABRINA FIGUEIREDO DE SOUSA</v>
          </cell>
          <cell r="C2137" t="str">
            <v>AUXILIAR DE CONTROLE OPERACIONAL</v>
          </cell>
          <cell r="D2137" t="str">
            <v>ECOSAMPA Operação Geral</v>
          </cell>
        </row>
        <row r="2138">
          <cell r="A2138">
            <v>121815</v>
          </cell>
          <cell r="B2138" t="str">
            <v>SABRINA VITORIA SILVA DA COSTA</v>
          </cell>
          <cell r="C2138" t="str">
            <v>MENOR/JOVEM APRENDIZ</v>
          </cell>
          <cell r="D2138" t="str">
            <v>ECOSAMPA Administração</v>
          </cell>
        </row>
        <row r="2139">
          <cell r="A2139">
            <v>114983</v>
          </cell>
          <cell r="B2139" t="str">
            <v>SALIM HILARIO DE LIMA</v>
          </cell>
          <cell r="C2139" t="str">
            <v>AJUDANTE EQ SERVICOS DIVERSOS</v>
          </cell>
          <cell r="D2139" t="str">
            <v>ECOSAMPA Operação Geral</v>
          </cell>
        </row>
        <row r="2140">
          <cell r="A2140">
            <v>112217</v>
          </cell>
          <cell r="B2140" t="str">
            <v>SAMARA CORSI VIEIRA</v>
          </cell>
          <cell r="C2140" t="str">
            <v>VARREDOR</v>
          </cell>
          <cell r="D2140" t="str">
            <v>ECOSAMPA M'Boi Mirim</v>
          </cell>
        </row>
        <row r="2141">
          <cell r="A2141">
            <v>112434</v>
          </cell>
          <cell r="B2141" t="str">
            <v>SAMUEL ALVES DOS ANJOS</v>
          </cell>
          <cell r="C2141" t="str">
            <v>VARREDOR</v>
          </cell>
          <cell r="D2141" t="str">
            <v>ECOSAMPA Capela do Socorro</v>
          </cell>
        </row>
        <row r="2142">
          <cell r="A2142">
            <v>112698</v>
          </cell>
          <cell r="B2142" t="str">
            <v>SAMUEL BATISTA DE SOUZA</v>
          </cell>
          <cell r="C2142" t="str">
            <v>VARREDOR</v>
          </cell>
          <cell r="D2142" t="str">
            <v>ECOSAMPA Santo Amaro</v>
          </cell>
        </row>
        <row r="2143">
          <cell r="A2143">
            <v>112701</v>
          </cell>
          <cell r="B2143" t="str">
            <v>SAMUEL BRITO SANTOS</v>
          </cell>
          <cell r="C2143" t="str">
            <v>VARREDOR</v>
          </cell>
          <cell r="D2143" t="str">
            <v>ECOSAMPA Santo Amaro</v>
          </cell>
        </row>
        <row r="2144">
          <cell r="A2144">
            <v>112994</v>
          </cell>
          <cell r="B2144" t="str">
            <v>SAMUEL DA SILVA SOUZA</v>
          </cell>
          <cell r="C2144" t="str">
            <v>MOTORISTA CAMINHAO</v>
          </cell>
          <cell r="D2144" t="str">
            <v>ECOSAMPA Operação Geral</v>
          </cell>
        </row>
        <row r="2145">
          <cell r="A2145">
            <v>112444</v>
          </cell>
          <cell r="B2145" t="str">
            <v>SAMUEL DE ALCANTARA</v>
          </cell>
          <cell r="C2145" t="str">
            <v>AJUDANTE EQ SERVICOS DIVERSOS</v>
          </cell>
          <cell r="D2145" t="str">
            <v>ECOSAMPA Capela do Socorro</v>
          </cell>
        </row>
        <row r="2146">
          <cell r="A2146">
            <v>112220</v>
          </cell>
          <cell r="B2146" t="str">
            <v>SAMUEL DOS SANTOS SOUZA ARAUJO</v>
          </cell>
          <cell r="C2146" t="str">
            <v>VARREDOR</v>
          </cell>
          <cell r="D2146" t="str">
            <v>ECOSAMPA M'Boi Mirim</v>
          </cell>
        </row>
        <row r="2147">
          <cell r="A2147">
            <v>114959</v>
          </cell>
          <cell r="B2147" t="str">
            <v>SAMUEL MARIANO FIGUEREDO</v>
          </cell>
          <cell r="C2147" t="str">
            <v>AJUDANTE EQ SERVICOS DIVERSOS</v>
          </cell>
          <cell r="D2147" t="str">
            <v>ECOSAMPA Operação Geral</v>
          </cell>
        </row>
        <row r="2148">
          <cell r="A2148">
            <v>116987</v>
          </cell>
          <cell r="B2148" t="str">
            <v>SAMUEL NASCIMENTO DE JESUS SANTOS</v>
          </cell>
          <cell r="C2148" t="str">
            <v>AJUDANTE EQ SERVICOS DIVERSOS</v>
          </cell>
          <cell r="D2148" t="str">
            <v>ECOSAMPA Capela do Socorro</v>
          </cell>
        </row>
        <row r="2149">
          <cell r="A2149">
            <v>112704</v>
          </cell>
          <cell r="B2149" t="str">
            <v>SAMUEL NOGUEIRA SANTANA</v>
          </cell>
          <cell r="C2149" t="str">
            <v>COLETOR</v>
          </cell>
          <cell r="D2149" t="str">
            <v>ECOSAMPA Operação Geral</v>
          </cell>
        </row>
        <row r="2150">
          <cell r="A2150">
            <v>112450</v>
          </cell>
          <cell r="B2150" t="str">
            <v>SAMUEL PENEDO DOS SANTOS</v>
          </cell>
          <cell r="C2150" t="str">
            <v>VARREDOR</v>
          </cell>
          <cell r="D2150" t="str">
            <v>ECOSAMPA Capela do Socorro</v>
          </cell>
        </row>
        <row r="2151">
          <cell r="A2151">
            <v>113732</v>
          </cell>
          <cell r="B2151" t="str">
            <v>SANDRO HARUO AGUENA</v>
          </cell>
          <cell r="C2151" t="str">
            <v>ENCARREGADO DE TURMA</v>
          </cell>
          <cell r="D2151" t="str">
            <v>ECOSAMPA Santo Amaro</v>
          </cell>
        </row>
        <row r="2152">
          <cell r="A2152">
            <v>112454</v>
          </cell>
          <cell r="B2152" t="str">
            <v>SANDRO PEREIRA DOS SANTOS</v>
          </cell>
          <cell r="C2152" t="str">
            <v>AJUDANTE EQ SERVICOS DIVERSOS</v>
          </cell>
          <cell r="D2152" t="str">
            <v>ECOSAMPA Campo Limpo</v>
          </cell>
        </row>
        <row r="2153">
          <cell r="A2153">
            <v>114718</v>
          </cell>
          <cell r="B2153" t="str">
            <v>SAULO HENRIQUE DA SILVA</v>
          </cell>
          <cell r="C2153" t="str">
            <v>AJUDANTE EQ SERVICOS DIVERSOS</v>
          </cell>
          <cell r="D2153" t="str">
            <v>ECOSAMPA Capela do Socorro</v>
          </cell>
        </row>
        <row r="2154">
          <cell r="A2154">
            <v>112284</v>
          </cell>
          <cell r="B2154" t="str">
            <v>SAVIO FRANCISCO DE OLIVEIRA</v>
          </cell>
          <cell r="C2154" t="str">
            <v>AJUDANTE EQ SERVICOS DIVERSOS</v>
          </cell>
          <cell r="D2154" t="str">
            <v>ECOSAMPA Campo Limpo</v>
          </cell>
        </row>
        <row r="2155">
          <cell r="A2155">
            <v>112457</v>
          </cell>
          <cell r="B2155" t="str">
            <v>SEBASTIAO DOS REIS OLIVEIRA</v>
          </cell>
          <cell r="C2155" t="str">
            <v>VARREDOR</v>
          </cell>
          <cell r="D2155" t="str">
            <v>ECOSAMPA Capela do Socorro</v>
          </cell>
        </row>
        <row r="2156">
          <cell r="A2156">
            <v>112287</v>
          </cell>
          <cell r="B2156" t="str">
            <v>SEBASTIAO EVANGELISTA DA FONSECA LEITE</v>
          </cell>
          <cell r="C2156" t="str">
            <v>AJUDANTE EQ SERVICOS DIVERSOS</v>
          </cell>
          <cell r="D2156" t="str">
            <v>ECOSAMPA Campo Limpo</v>
          </cell>
        </row>
        <row r="2157">
          <cell r="A2157">
            <v>112706</v>
          </cell>
          <cell r="B2157" t="str">
            <v>SEBASTIAO GOMES DA SILVA</v>
          </cell>
          <cell r="C2157" t="str">
            <v>VARREDOR</v>
          </cell>
          <cell r="D2157" t="str">
            <v>ECOSAMPA Santo Amaro</v>
          </cell>
        </row>
        <row r="2158">
          <cell r="A2158">
            <v>113001</v>
          </cell>
          <cell r="B2158" t="str">
            <v>SERGIO ASSIS DOS SANTOS BARBOSA</v>
          </cell>
          <cell r="C2158" t="str">
            <v>MOTORISTA CAMINHAO</v>
          </cell>
          <cell r="D2158" t="str">
            <v>ECOSAMPA Operação Geral</v>
          </cell>
        </row>
        <row r="2159">
          <cell r="A2159">
            <v>113003</v>
          </cell>
          <cell r="B2159" t="str">
            <v>SERGIO CUNHA MATIAS</v>
          </cell>
          <cell r="C2159" t="str">
            <v>MOTORISTA CAMINHAO</v>
          </cell>
          <cell r="D2159" t="str">
            <v>ECOSAMPA Operação Geral</v>
          </cell>
        </row>
        <row r="2160">
          <cell r="A2160">
            <v>112707</v>
          </cell>
          <cell r="B2160" t="str">
            <v>SERGIO DA SILVA</v>
          </cell>
          <cell r="C2160" t="str">
            <v>COLETOR</v>
          </cell>
          <cell r="D2160" t="str">
            <v>ECOSAMPA Operação Geral</v>
          </cell>
        </row>
        <row r="2161">
          <cell r="A2161">
            <v>112290</v>
          </cell>
          <cell r="B2161" t="str">
            <v>SERGIO JOSE DA SILVA</v>
          </cell>
          <cell r="C2161" t="str">
            <v>VARREDOR</v>
          </cell>
          <cell r="D2161" t="str">
            <v>ECOSAMPA Campo Limpo</v>
          </cell>
        </row>
        <row r="2162">
          <cell r="A2162">
            <v>114741</v>
          </cell>
          <cell r="B2162" t="str">
            <v>SERGIO LOPES DA SILVA NOGUEIRA</v>
          </cell>
          <cell r="C2162" t="str">
            <v>AJUDANTE EQ SERVICOS DIVERSOS</v>
          </cell>
          <cell r="D2162" t="str">
            <v>ECOSAMPA Capela do Socorro</v>
          </cell>
        </row>
        <row r="2163">
          <cell r="A2163">
            <v>112461</v>
          </cell>
          <cell r="B2163" t="str">
            <v>SERGIO LOPES FERREIRA</v>
          </cell>
          <cell r="C2163" t="str">
            <v>BUEIRISTA</v>
          </cell>
          <cell r="D2163" t="str">
            <v>ECOSAMPA Campo Limpo</v>
          </cell>
        </row>
        <row r="2164">
          <cell r="A2164">
            <v>114754</v>
          </cell>
          <cell r="B2164" t="str">
            <v>SERGIO LUIS DE SOUZA</v>
          </cell>
          <cell r="C2164" t="str">
            <v>MOTORISTA CAMINHAO</v>
          </cell>
          <cell r="D2164" t="str">
            <v>ECOSAMPA Operação Geral</v>
          </cell>
        </row>
        <row r="2165">
          <cell r="A2165">
            <v>112714</v>
          </cell>
          <cell r="B2165" t="str">
            <v>SEVERINO ALEXANDRE DA SILVA</v>
          </cell>
          <cell r="C2165" t="str">
            <v>VARREDOR</v>
          </cell>
          <cell r="D2165" t="str">
            <v>ECOSAMPA Santo Amaro</v>
          </cell>
        </row>
        <row r="2166">
          <cell r="A2166">
            <v>112224</v>
          </cell>
          <cell r="B2166" t="str">
            <v>SEVERINO CANDIDO DA SILVA</v>
          </cell>
          <cell r="C2166" t="str">
            <v>VARREDOR</v>
          </cell>
          <cell r="D2166" t="str">
            <v>ECOSAMPA M'Boi Mirim</v>
          </cell>
        </row>
        <row r="2167">
          <cell r="A2167">
            <v>112294</v>
          </cell>
          <cell r="B2167" t="str">
            <v>SEVERINO DO RAMO FERREIRA DE LIMA</v>
          </cell>
          <cell r="C2167" t="str">
            <v>VARREDOR</v>
          </cell>
          <cell r="D2167" t="str">
            <v>ECOSAMPA Campo Limpo</v>
          </cell>
        </row>
        <row r="2168">
          <cell r="A2168">
            <v>112464</v>
          </cell>
          <cell r="B2168" t="str">
            <v>SEVERINO FRANCISCO DA SILVA</v>
          </cell>
          <cell r="C2168" t="str">
            <v>VARREDOR</v>
          </cell>
          <cell r="D2168" t="str">
            <v>ECOSAMPA Capela do Socorro</v>
          </cell>
        </row>
        <row r="2169">
          <cell r="A2169">
            <v>112466</v>
          </cell>
          <cell r="B2169" t="str">
            <v>SEVERINO GERMANO DA SILVA</v>
          </cell>
          <cell r="C2169" t="str">
            <v>VARREDOR</v>
          </cell>
          <cell r="D2169" t="str">
            <v>ECOSAMPA Parelheiros</v>
          </cell>
        </row>
        <row r="2170">
          <cell r="A2170">
            <v>112717</v>
          </cell>
          <cell r="B2170" t="str">
            <v>SEVERINO ISIDIO DA SILVA</v>
          </cell>
          <cell r="C2170" t="str">
            <v>COLETOR</v>
          </cell>
          <cell r="D2170" t="str">
            <v>ECOSAMPA Operação Geral</v>
          </cell>
        </row>
        <row r="2171">
          <cell r="A2171">
            <v>112472</v>
          </cell>
          <cell r="B2171" t="str">
            <v>SEVERINO MANOEL DE FREITAS</v>
          </cell>
          <cell r="C2171" t="str">
            <v>AJUDANTE EQ SERVICOS DIVERSOS</v>
          </cell>
          <cell r="D2171" t="str">
            <v>ECOSAMPA Capela do Socorro</v>
          </cell>
        </row>
        <row r="2172">
          <cell r="A2172">
            <v>119631</v>
          </cell>
          <cell r="B2172" t="str">
            <v>SEVERINO MARCILIO DA SILVA</v>
          </cell>
          <cell r="C2172" t="str">
            <v>AJUDANTE EQ SERVICOS DIVERSOS</v>
          </cell>
          <cell r="D2172" t="str">
            <v>ECOSAMPA M'Boi Mirim</v>
          </cell>
        </row>
        <row r="2173">
          <cell r="A2173">
            <v>112228</v>
          </cell>
          <cell r="B2173" t="str">
            <v>SEVERINO PEDRO DA SILVA</v>
          </cell>
          <cell r="C2173" t="str">
            <v>VARREDOR</v>
          </cell>
          <cell r="D2173" t="str">
            <v>ECOSAMPA M'Boi Mirim</v>
          </cell>
        </row>
        <row r="2174">
          <cell r="A2174">
            <v>112229</v>
          </cell>
          <cell r="B2174" t="str">
            <v>SEVERINO PEREIRA DE MELO</v>
          </cell>
          <cell r="C2174" t="str">
            <v>VARREDOR</v>
          </cell>
          <cell r="D2174" t="str">
            <v>ECOSAMPA M'Boi Mirim</v>
          </cell>
        </row>
        <row r="2175">
          <cell r="A2175">
            <v>113752</v>
          </cell>
          <cell r="B2175" t="str">
            <v>SHAYENNE RAIZA CARATIN BARROSO</v>
          </cell>
          <cell r="C2175" t="str">
            <v>AUXILIAR DE CONTROLE OPERACIONAL</v>
          </cell>
          <cell r="D2175" t="str">
            <v>ECOSAMPA Operação Geral</v>
          </cell>
        </row>
        <row r="2176">
          <cell r="A2176">
            <v>113839</v>
          </cell>
          <cell r="B2176" t="str">
            <v>SHIRLEY DA PAZ OLIVEIRA</v>
          </cell>
          <cell r="C2176" t="str">
            <v>PENSIONISTAS</v>
          </cell>
          <cell r="D2176" t="str">
            <v>ECOSAMPA Pensionistas</v>
          </cell>
        </row>
        <row r="2177">
          <cell r="A2177">
            <v>113006</v>
          </cell>
          <cell r="B2177" t="str">
            <v>SIDNEI EDUARDO FERREIRA</v>
          </cell>
          <cell r="C2177" t="str">
            <v>MOTORISTA CAMINHAO</v>
          </cell>
          <cell r="D2177" t="str">
            <v>ECOSAMPA Operação Geral</v>
          </cell>
        </row>
        <row r="2178">
          <cell r="A2178">
            <v>121683</v>
          </cell>
          <cell r="B2178" t="str">
            <v>SIDNEI LOPES BARRETO</v>
          </cell>
          <cell r="C2178" t="str">
            <v>AJUDANTE EQ SERVICOS DIVERSOS</v>
          </cell>
          <cell r="D2178" t="str">
            <v>ECOSAMPA Capela do Socorro</v>
          </cell>
        </row>
        <row r="2179">
          <cell r="A2179">
            <v>112475</v>
          </cell>
          <cell r="B2179" t="str">
            <v>SIDNEI LOPES DA SILVA</v>
          </cell>
          <cell r="C2179" t="str">
            <v>VARREDOR</v>
          </cell>
          <cell r="D2179" t="str">
            <v>ECOSAMPA Capela do Socorro</v>
          </cell>
        </row>
        <row r="2180">
          <cell r="A2180">
            <v>118994</v>
          </cell>
          <cell r="B2180" t="str">
            <v>SIDNEY ALVES DE JESUS</v>
          </cell>
          <cell r="C2180" t="str">
            <v>MOTORISTA CAMINHAO</v>
          </cell>
          <cell r="D2180" t="str">
            <v>ECOSAMPA Operação Geral</v>
          </cell>
        </row>
        <row r="2181">
          <cell r="A2181">
            <v>116112</v>
          </cell>
          <cell r="B2181" t="str">
            <v>SIDNEY APARECIDO FERREIRA</v>
          </cell>
          <cell r="C2181" t="str">
            <v>MOTORISTA DE CAMINHAO</v>
          </cell>
          <cell r="D2181" t="str">
            <v>ECOSAMPA Operação Geral</v>
          </cell>
        </row>
        <row r="2182">
          <cell r="A2182">
            <v>112722</v>
          </cell>
          <cell r="B2182" t="str">
            <v>SIDNEY CUNHA DE MIRANDA</v>
          </cell>
          <cell r="C2182" t="str">
            <v>AJUDANTE EQ SERVICOS DIVERSOS</v>
          </cell>
          <cell r="D2182" t="str">
            <v>ECOSAMPA Operação Geral</v>
          </cell>
        </row>
        <row r="2183">
          <cell r="A2183">
            <v>120620</v>
          </cell>
          <cell r="B2183" t="str">
            <v>SILMARA JESUS DOS SANTOS</v>
          </cell>
          <cell r="C2183" t="str">
            <v>ESTAGIARIO(A)</v>
          </cell>
          <cell r="D2183" t="str">
            <v>ECOSAMPA Operação Geral</v>
          </cell>
        </row>
        <row r="2184">
          <cell r="A2184">
            <v>112298</v>
          </cell>
          <cell r="B2184" t="str">
            <v>SILVANI COELHO DE OLIVEIRA</v>
          </cell>
          <cell r="C2184" t="str">
            <v>VARREDOR</v>
          </cell>
          <cell r="D2184" t="str">
            <v>ECOSAMPA Campo Limpo</v>
          </cell>
        </row>
        <row r="2185">
          <cell r="A2185">
            <v>119511</v>
          </cell>
          <cell r="B2185" t="str">
            <v>SILVANIA CRISTINA DE PAULA LOPES</v>
          </cell>
          <cell r="C2185" t="str">
            <v>PENSIONISTAS</v>
          </cell>
          <cell r="D2185" t="str">
            <v>ECOSAMPA Pensionistas</v>
          </cell>
        </row>
        <row r="2186">
          <cell r="A2186">
            <v>113008</v>
          </cell>
          <cell r="B2186" t="str">
            <v>SILVIO APARECIDO DOS SANTOS</v>
          </cell>
          <cell r="C2186" t="str">
            <v>MOTORISTA CAMINHAO</v>
          </cell>
          <cell r="D2186" t="str">
            <v>ECOSAMPA Operação Geral</v>
          </cell>
        </row>
        <row r="2187">
          <cell r="A2187">
            <v>112725</v>
          </cell>
          <cell r="B2187" t="str">
            <v>SILVIO BATISTA DE LIRA</v>
          </cell>
          <cell r="C2187" t="str">
            <v>BUEIRISTA</v>
          </cell>
          <cell r="D2187" t="str">
            <v>ECOSAMPA Santo Amaro</v>
          </cell>
        </row>
        <row r="2188">
          <cell r="A2188">
            <v>122823</v>
          </cell>
          <cell r="B2188" t="str">
            <v>SILVIO JOSE RODRIGUES DA SILVA</v>
          </cell>
          <cell r="C2188" t="str">
            <v>AJUDANTE EQ SERVICOS DIVERSOS</v>
          </cell>
          <cell r="D2188" t="str">
            <v>ECOSAMPA Capela do Socorro</v>
          </cell>
        </row>
        <row r="2189">
          <cell r="A2189">
            <v>112481</v>
          </cell>
          <cell r="B2189" t="str">
            <v>SILVIO LUIZ DOS SANTOS</v>
          </cell>
          <cell r="C2189" t="str">
            <v>BUEIRISTA</v>
          </cell>
          <cell r="D2189" t="str">
            <v>ECOSAMPA Parelheiros</v>
          </cell>
        </row>
        <row r="2190">
          <cell r="A2190">
            <v>113013</v>
          </cell>
          <cell r="B2190" t="str">
            <v>SILVIO SILVA DE SOUZA</v>
          </cell>
          <cell r="C2190" t="str">
            <v>MOTORISTA CAMINHAO</v>
          </cell>
          <cell r="D2190" t="str">
            <v>ECOSAMPA Operação Geral</v>
          </cell>
        </row>
        <row r="2191">
          <cell r="A2191">
            <v>115400</v>
          </cell>
          <cell r="B2191" t="str">
            <v>SILVIO SOARES VIEIRA</v>
          </cell>
          <cell r="C2191" t="str">
            <v>AJUDANTE EQ SERVICOS DIVERSOS</v>
          </cell>
          <cell r="D2191" t="str">
            <v>ECOSAMPA Santo Amaro</v>
          </cell>
        </row>
        <row r="2192">
          <cell r="A2192">
            <v>116021</v>
          </cell>
          <cell r="B2192" t="str">
            <v>SIMONE MORAIS DOS SANTOS</v>
          </cell>
          <cell r="C2192" t="str">
            <v>AJUDANTE EQ SERVICOS DIVERSOS</v>
          </cell>
          <cell r="D2192" t="str">
            <v>ECOSAMPA Campo Limpo</v>
          </cell>
        </row>
        <row r="2193">
          <cell r="A2193">
            <v>112727</v>
          </cell>
          <cell r="B2193" t="str">
            <v>SIVALDO DIAS MACHADO</v>
          </cell>
          <cell r="C2193" t="str">
            <v>VARREDOR</v>
          </cell>
          <cell r="D2193" t="str">
            <v>ECOSAMPA Santo Amaro</v>
          </cell>
        </row>
        <row r="2194">
          <cell r="A2194">
            <v>122087</v>
          </cell>
          <cell r="B2194" t="str">
            <v>SOLANGE APARECIDA DE ALENCAR CARVALHO</v>
          </cell>
          <cell r="C2194" t="str">
            <v>AJUDANTE EQ SERVICOS DIVERSOS</v>
          </cell>
          <cell r="D2194" t="str">
            <v>ECOSAMPA Parelheiros</v>
          </cell>
        </row>
        <row r="2195">
          <cell r="A2195">
            <v>121458</v>
          </cell>
          <cell r="B2195" t="str">
            <v>SOLANGE SILVA LEITAO</v>
          </cell>
          <cell r="C2195" t="str">
            <v>AJUDANTE EQ SERVICOS DIVERSOS</v>
          </cell>
          <cell r="D2195" t="str">
            <v>ECOSAMPA M'Boi Mirim</v>
          </cell>
        </row>
        <row r="2196">
          <cell r="A2196">
            <v>121318</v>
          </cell>
          <cell r="B2196" t="str">
            <v>STEVSON SANTOS GOMES</v>
          </cell>
          <cell r="C2196" t="str">
            <v>VARREDOR</v>
          </cell>
          <cell r="D2196" t="str">
            <v>ECOSAMPA Campo Limpo</v>
          </cell>
        </row>
        <row r="2197">
          <cell r="A2197">
            <v>112678</v>
          </cell>
          <cell r="B2197" t="str">
            <v>SUELI APARECIDA DOS SANTOS</v>
          </cell>
          <cell r="C2197" t="str">
            <v>AJUDANTE EQ SERVICOS DIVERSOS</v>
          </cell>
          <cell r="D2197" t="str">
            <v>ECOSAMPA Santo Amaro</v>
          </cell>
        </row>
        <row r="2198">
          <cell r="A2198">
            <v>113905</v>
          </cell>
          <cell r="B2198" t="str">
            <v>SUELI DE JESUS LADEIRA</v>
          </cell>
          <cell r="C2198" t="str">
            <v>PENSIONISTAS</v>
          </cell>
          <cell r="D2198" t="str">
            <v>ECOSAMPA Pensionistas</v>
          </cell>
        </row>
        <row r="2199">
          <cell r="A2199">
            <v>114268</v>
          </cell>
          <cell r="B2199" t="str">
            <v>SUELI REGINA DA SILVA</v>
          </cell>
          <cell r="C2199" t="str">
            <v>AJUDANTE EQ SERVICOS DIVERSOS</v>
          </cell>
          <cell r="D2199" t="str">
            <v>ECOSAMPA Santo Amaro</v>
          </cell>
        </row>
        <row r="2200">
          <cell r="A2200">
            <v>120354</v>
          </cell>
          <cell r="B2200" t="str">
            <v>TACIANA MARIA SANTOS DA SILVA</v>
          </cell>
          <cell r="C2200" t="str">
            <v>PENSIONISTAS</v>
          </cell>
          <cell r="D2200" t="str">
            <v>ECOSAMPA Pensionistas</v>
          </cell>
        </row>
        <row r="2201">
          <cell r="A2201">
            <v>116727</v>
          </cell>
          <cell r="B2201" t="str">
            <v>TALES SOUSA DE OLIVEIRA</v>
          </cell>
          <cell r="C2201" t="str">
            <v>AJUDANTE EQ SERVICOS DIVERSOS</v>
          </cell>
          <cell r="D2201" t="str">
            <v>ECOSAMPA Operação Geral</v>
          </cell>
        </row>
        <row r="2202">
          <cell r="A2202">
            <v>115206</v>
          </cell>
          <cell r="B2202" t="str">
            <v>TAMIRES LOURENCO MARTINS</v>
          </cell>
          <cell r="C2202" t="str">
            <v>PENSIONISTAS</v>
          </cell>
          <cell r="D2202" t="str">
            <v>ECOSAMPA Pensionistas</v>
          </cell>
        </row>
        <row r="2203">
          <cell r="A2203">
            <v>119753</v>
          </cell>
          <cell r="B2203" t="str">
            <v>TATTIANE ANDRADE RUFINO DOS SANTOS</v>
          </cell>
          <cell r="C2203" t="str">
            <v>MENOR/JOVEM APRENDIZ</v>
          </cell>
          <cell r="D2203" t="str">
            <v>ECOSAMPA Administração</v>
          </cell>
        </row>
        <row r="2204">
          <cell r="A2204">
            <v>122083</v>
          </cell>
          <cell r="B2204" t="str">
            <v>TAYNARA MIGUEL SILVA</v>
          </cell>
          <cell r="C2204" t="str">
            <v>AJUDANTE EQ SERVICOS DIVERSOS</v>
          </cell>
          <cell r="D2204" t="str">
            <v>ECOSAMPA M'Boi Mirim</v>
          </cell>
        </row>
        <row r="2205">
          <cell r="A2205">
            <v>117423</v>
          </cell>
          <cell r="B2205" t="str">
            <v>THAIS COSTA BENTO</v>
          </cell>
          <cell r="C2205" t="str">
            <v>PENSIONISTAS</v>
          </cell>
          <cell r="D2205" t="str">
            <v>ECOSAMPA Pensionistas</v>
          </cell>
        </row>
        <row r="2206">
          <cell r="A2206">
            <v>117218</v>
          </cell>
          <cell r="B2206" t="str">
            <v>THAIS FURTUNATO LADEIRA</v>
          </cell>
          <cell r="C2206" t="str">
            <v>PENSIONISTAS</v>
          </cell>
          <cell r="D2206" t="str">
            <v>ECOSAMPA Pensionistas</v>
          </cell>
        </row>
        <row r="2207">
          <cell r="A2207">
            <v>121850</v>
          </cell>
          <cell r="B2207" t="str">
            <v>THAISSA RAQUEL MARCELINO DE OLIVEIRA</v>
          </cell>
          <cell r="C2207" t="str">
            <v>AJUDANTE EQ SERVICOS DIVERSOS</v>
          </cell>
          <cell r="D2207" t="str">
            <v>ECOSAMPA Capela do Socorro</v>
          </cell>
        </row>
        <row r="2208">
          <cell r="A2208">
            <v>114531</v>
          </cell>
          <cell r="B2208" t="str">
            <v>THAYNA DHANDARA DA SILVA</v>
          </cell>
          <cell r="C2208" t="str">
            <v>PENSIONISTAS</v>
          </cell>
          <cell r="D2208" t="str">
            <v>ECOSAMPA Pensionistas</v>
          </cell>
        </row>
        <row r="2209">
          <cell r="A2209">
            <v>121461</v>
          </cell>
          <cell r="B2209" t="str">
            <v>THEMENY GOMES DE ALMEIDA</v>
          </cell>
          <cell r="C2209" t="str">
            <v>AJUDANTE EQ SERVICOS DIVERSOS</v>
          </cell>
          <cell r="D2209" t="str">
            <v>ECOSAMPA Operação Geral</v>
          </cell>
        </row>
        <row r="2210">
          <cell r="A2210">
            <v>117406</v>
          </cell>
          <cell r="B2210" t="str">
            <v>THIAGO CELESTINO DE SOUZA</v>
          </cell>
          <cell r="C2210" t="str">
            <v>VARREDOR</v>
          </cell>
          <cell r="D2210" t="str">
            <v>ECOSAMPA Campo Limpo</v>
          </cell>
        </row>
        <row r="2211">
          <cell r="A2211">
            <v>113016</v>
          </cell>
          <cell r="B2211" t="str">
            <v>THIAGO DA COSTA MENDES</v>
          </cell>
          <cell r="C2211" t="str">
            <v>MOTORISTA CAMINHAO</v>
          </cell>
          <cell r="D2211" t="str">
            <v>ECOSAMPA Operação Geral</v>
          </cell>
        </row>
        <row r="2212">
          <cell r="A2212">
            <v>114090</v>
          </cell>
          <cell r="B2212" t="str">
            <v>THIAGO DE SOUZA SIQUEIRA</v>
          </cell>
          <cell r="C2212" t="str">
            <v>AJUDANTE EQ SERVICOS DIVERSOS</v>
          </cell>
          <cell r="D2212" t="str">
            <v>ECOSAMPA Capela do Socorro</v>
          </cell>
        </row>
        <row r="2213">
          <cell r="A2213">
            <v>113020</v>
          </cell>
          <cell r="B2213" t="str">
            <v>THIAGO DO NASCIMENTO SILVA</v>
          </cell>
          <cell r="C2213" t="str">
            <v>MOTORISTA CAMINHAO</v>
          </cell>
          <cell r="D2213" t="str">
            <v>ECOSAMPA Operação Geral</v>
          </cell>
        </row>
        <row r="2214">
          <cell r="A2214">
            <v>113030</v>
          </cell>
          <cell r="B2214" t="str">
            <v>THIAGO EDUARDO DA SILVA</v>
          </cell>
          <cell r="C2214" t="str">
            <v>MOTORISTA CAMINHAO</v>
          </cell>
          <cell r="D2214" t="str">
            <v>ECOSAMPA Operação Geral</v>
          </cell>
        </row>
        <row r="2215">
          <cell r="A2215">
            <v>112304</v>
          </cell>
          <cell r="B2215" t="str">
            <v>THIAGO FERRAZ PACHECO</v>
          </cell>
          <cell r="C2215" t="str">
            <v>AJUDANTE EQ SERVICOS DIVERSOS</v>
          </cell>
          <cell r="D2215" t="str">
            <v>ECOSAMPA Campo Limpo</v>
          </cell>
        </row>
        <row r="2216">
          <cell r="A2216">
            <v>116988</v>
          </cell>
          <cell r="B2216" t="str">
            <v>THIAGO FERREIRA DA SILVA</v>
          </cell>
          <cell r="C2216" t="str">
            <v>AJUDANTE EQ SERVICOS DIVERSOS</v>
          </cell>
          <cell r="D2216" t="str">
            <v>ECOSAMPA Capela do Socorro</v>
          </cell>
        </row>
        <row r="2217">
          <cell r="A2217">
            <v>121951</v>
          </cell>
          <cell r="B2217" t="str">
            <v>THIAGO ORILHANA DE JESUS</v>
          </cell>
          <cell r="C2217" t="str">
            <v>MENOR/JOVEM APRENDIZ</v>
          </cell>
          <cell r="D2217" t="str">
            <v>ECOSAMPA Administração</v>
          </cell>
        </row>
        <row r="2218">
          <cell r="A2218">
            <v>116109</v>
          </cell>
          <cell r="B2218" t="str">
            <v>THIAGO PEREIRA DA COSTA</v>
          </cell>
          <cell r="C2218" t="str">
            <v>MOTORISTA CAMINHAO</v>
          </cell>
          <cell r="D2218" t="str">
            <v>ECOSAMPA Operação Geral</v>
          </cell>
        </row>
        <row r="2219">
          <cell r="A2219">
            <v>114262</v>
          </cell>
          <cell r="B2219" t="str">
            <v>THIAGO RANGEL DA SILVA</v>
          </cell>
          <cell r="C2219" t="str">
            <v>AJUDANTE EQ SERVICOS DIVERSOS</v>
          </cell>
          <cell r="D2219" t="str">
            <v>ECOSAMPA Santo Amaro</v>
          </cell>
        </row>
        <row r="2220">
          <cell r="A2220">
            <v>114725</v>
          </cell>
          <cell r="B2220" t="str">
            <v>THIAGO ROCHA DA SILVA</v>
          </cell>
          <cell r="C2220" t="str">
            <v>AJUDANTE EQ SERVICOS DIVERSOS</v>
          </cell>
          <cell r="D2220" t="str">
            <v>ECOSAMPA Campo Limpo</v>
          </cell>
        </row>
        <row r="2221">
          <cell r="A2221">
            <v>122078</v>
          </cell>
          <cell r="B2221" t="str">
            <v>THIAGO SENA DA SILVA</v>
          </cell>
          <cell r="C2221" t="str">
            <v>AJUDANTE EQ SERVICOS DIVERSOS</v>
          </cell>
          <cell r="D2221" t="str">
            <v>ECOSAMPA Capela do Socorro</v>
          </cell>
        </row>
        <row r="2222">
          <cell r="A2222">
            <v>116023</v>
          </cell>
          <cell r="B2222" t="str">
            <v>THIAGO SIQUEIRA DOS REIS</v>
          </cell>
          <cell r="C2222" t="str">
            <v>AJUDANTE EQ SERVICOS DIVERSOS</v>
          </cell>
          <cell r="D2222" t="str">
            <v>ECOSAMPA Campo Limpo</v>
          </cell>
        </row>
        <row r="2223">
          <cell r="A2223">
            <v>112730</v>
          </cell>
          <cell r="B2223" t="str">
            <v>THOMAS LUIS BAPTISTA PEREIRA</v>
          </cell>
          <cell r="C2223" t="str">
            <v>AJUDANTE EQ SERVICOS DIVERSOS</v>
          </cell>
          <cell r="D2223" t="str">
            <v>ECOSAMPA Santo Amaro</v>
          </cell>
        </row>
        <row r="2224">
          <cell r="A2224">
            <v>116384</v>
          </cell>
          <cell r="B2224" t="str">
            <v>TIAGO ALVES CORREIA</v>
          </cell>
          <cell r="C2224" t="str">
            <v>AJUDANTE EQ SERVICOS DIVERSOS</v>
          </cell>
          <cell r="D2224" t="str">
            <v>ECOSAMPA M'Boi Mirim</v>
          </cell>
        </row>
        <row r="2225">
          <cell r="A2225">
            <v>121027</v>
          </cell>
          <cell r="B2225" t="str">
            <v>TIAGO DA SILVA DUARTE</v>
          </cell>
          <cell r="C2225" t="str">
            <v>VARREDOR</v>
          </cell>
          <cell r="D2225" t="str">
            <v>ECOSAMPA Parelheiros</v>
          </cell>
        </row>
        <row r="2226">
          <cell r="A2226">
            <v>112483</v>
          </cell>
          <cell r="B2226" t="str">
            <v>TIAGO DO NASCIMENTO FARIAS</v>
          </cell>
          <cell r="C2226" t="str">
            <v>BUEIRISTA</v>
          </cell>
          <cell r="D2226" t="str">
            <v>ECOSAMPA Capela do Socorro</v>
          </cell>
        </row>
        <row r="2227">
          <cell r="A2227">
            <v>112485</v>
          </cell>
          <cell r="B2227" t="str">
            <v>TIAGO DOS SANTOS COSTA</v>
          </cell>
          <cell r="C2227" t="str">
            <v>VARREDOR</v>
          </cell>
          <cell r="D2227" t="str">
            <v>ECOSAMPA Capela do Socorro</v>
          </cell>
        </row>
        <row r="2228">
          <cell r="A2228">
            <v>121442</v>
          </cell>
          <cell r="B2228" t="str">
            <v>TIAGO FERNANDES DO NASCIMENTO</v>
          </cell>
          <cell r="C2228" t="str">
            <v>AJUDANTE EQ SERVICOS DIVERSOS</v>
          </cell>
          <cell r="D2228" t="str">
            <v>ECOSAMPA Operação Geral</v>
          </cell>
        </row>
        <row r="2229">
          <cell r="A2229">
            <v>122406</v>
          </cell>
          <cell r="B2229" t="str">
            <v>TIAGO FERNANDES DO NASCIMENTO</v>
          </cell>
          <cell r="C2229" t="str">
            <v>AJUDANTE EQ SERVICOS DIVERSOS</v>
          </cell>
          <cell r="D2229" t="str">
            <v>ECOSAMPA Operação Geral</v>
          </cell>
        </row>
        <row r="2230">
          <cell r="A2230">
            <v>112733</v>
          </cell>
          <cell r="B2230" t="str">
            <v>TIAGO MACHADO CARDOZO</v>
          </cell>
          <cell r="C2230" t="str">
            <v>MOTORISTA CAMINHAO</v>
          </cell>
          <cell r="D2230" t="str">
            <v>ECOSAMPA Operação Geral</v>
          </cell>
        </row>
        <row r="2231">
          <cell r="A2231">
            <v>121847</v>
          </cell>
          <cell r="B2231" t="str">
            <v>TIAGO NOVAES</v>
          </cell>
          <cell r="C2231" t="str">
            <v>AJUDANTE EQ SERVICOS DIVERSOS</v>
          </cell>
          <cell r="D2231" t="str">
            <v>ECOSAMPA Parelheiros</v>
          </cell>
        </row>
        <row r="2232">
          <cell r="A2232">
            <v>112488</v>
          </cell>
          <cell r="B2232" t="str">
            <v>TIAGO PEREIRA DA PAIXAO FREIRE</v>
          </cell>
          <cell r="C2232" t="str">
            <v>AJUDANTE EQ SERVICOS DIVERSOS</v>
          </cell>
          <cell r="D2232" t="str">
            <v>ECOSAMPA Parelheiros</v>
          </cell>
        </row>
        <row r="2233">
          <cell r="A2233">
            <v>121460</v>
          </cell>
          <cell r="B2233" t="str">
            <v>TIAGO SANTOS DA CONCEICAO</v>
          </cell>
          <cell r="C2233" t="str">
            <v>AJUDANTE EQ SERVICOS DIVERSOS</v>
          </cell>
          <cell r="D2233" t="str">
            <v>ECOSAMPA M'Boi Mirim</v>
          </cell>
        </row>
        <row r="2234">
          <cell r="A2234">
            <v>112231</v>
          </cell>
          <cell r="B2234" t="str">
            <v>TIAGO VIEIRA</v>
          </cell>
          <cell r="C2234" t="str">
            <v>AJUDANTE EQ SERVICOS DIVERSOS</v>
          </cell>
          <cell r="D2234" t="str">
            <v>ECOSAMPA M'Boi Mirim</v>
          </cell>
        </row>
        <row r="2235">
          <cell r="A2235">
            <v>112489</v>
          </cell>
          <cell r="B2235" t="str">
            <v>TIBURTINO BESERRA DA SILVA NETO</v>
          </cell>
          <cell r="C2235" t="str">
            <v>VARREDOR</v>
          </cell>
          <cell r="D2235" t="str">
            <v>ECOSAMPA Parelheiros</v>
          </cell>
        </row>
        <row r="2236">
          <cell r="A2236">
            <v>112235</v>
          </cell>
          <cell r="B2236" t="str">
            <v>TOME DE JESUS SANTOS</v>
          </cell>
          <cell r="C2236" t="str">
            <v>AJUDANTE EQ SERVICOS DIVERSOS</v>
          </cell>
          <cell r="D2236" t="str">
            <v>ECOSAMPA M'Boi Mirim</v>
          </cell>
        </row>
        <row r="2237">
          <cell r="A2237">
            <v>112322</v>
          </cell>
          <cell r="B2237" t="str">
            <v>UELISON SILVA DOS SANTOS</v>
          </cell>
          <cell r="C2237" t="str">
            <v>BUEIRISTA</v>
          </cell>
          <cell r="D2237" t="str">
            <v>ECOSAMPA Santo Amaro</v>
          </cell>
        </row>
        <row r="2238">
          <cell r="A2238">
            <v>112493</v>
          </cell>
          <cell r="B2238" t="str">
            <v>UELTON JESUS DOS SANTOS</v>
          </cell>
          <cell r="C2238" t="str">
            <v>VARREDOR</v>
          </cell>
          <cell r="D2238" t="str">
            <v>ECOSAMPA Capela do Socorro</v>
          </cell>
        </row>
        <row r="2239">
          <cell r="A2239">
            <v>112237</v>
          </cell>
          <cell r="B2239" t="str">
            <v>UELTON SANTOS DE ARAUJO</v>
          </cell>
          <cell r="C2239" t="str">
            <v>AJUDANTE EQ SERVICOS DIVERSOS</v>
          </cell>
          <cell r="D2239" t="str">
            <v>ECOSAMPA M'Boi Mirim</v>
          </cell>
        </row>
        <row r="2240">
          <cell r="A2240">
            <v>121433</v>
          </cell>
          <cell r="B2240" t="str">
            <v>UILLIAN DAS VIRGENS DOS SANTOS</v>
          </cell>
          <cell r="C2240" t="str">
            <v>AJUDANTE EQ SERVICOS DIVERSOS</v>
          </cell>
          <cell r="D2240" t="str">
            <v>ECOSAMPA Operação Geral</v>
          </cell>
        </row>
        <row r="2241">
          <cell r="A2241">
            <v>112758</v>
          </cell>
          <cell r="B2241" t="str">
            <v>UILTON BATISTA DOS SANTOS</v>
          </cell>
          <cell r="C2241" t="str">
            <v>VARREDOR</v>
          </cell>
          <cell r="D2241" t="str">
            <v>ECOSAMPA Santo Amaro</v>
          </cell>
        </row>
        <row r="2242">
          <cell r="A2242">
            <v>112759</v>
          </cell>
          <cell r="B2242" t="str">
            <v>UILTON SILVA DOS ANJOS SANTOS</v>
          </cell>
          <cell r="C2242" t="str">
            <v>MOTORISTA DE CAMINHAO</v>
          </cell>
          <cell r="D2242" t="str">
            <v>ECOSAMPA Operação Geral</v>
          </cell>
        </row>
        <row r="2243">
          <cell r="A2243">
            <v>112329</v>
          </cell>
          <cell r="B2243" t="str">
            <v>VAGNER SOARES</v>
          </cell>
          <cell r="C2243" t="str">
            <v>AJUDANTE EQ SERVICOS DIVERSOS</v>
          </cell>
          <cell r="D2243" t="str">
            <v>ECOSAMPA Campo Limpo</v>
          </cell>
        </row>
        <row r="2244">
          <cell r="A2244">
            <v>114127</v>
          </cell>
          <cell r="B2244" t="str">
            <v>VAGNER VIANA</v>
          </cell>
          <cell r="C2244" t="str">
            <v>MOTORISTA CAMINHAO</v>
          </cell>
          <cell r="D2244" t="str">
            <v>ECOSAMPA Operação Geral</v>
          </cell>
        </row>
        <row r="2245">
          <cell r="A2245">
            <v>122836</v>
          </cell>
          <cell r="B2245" t="str">
            <v>VALBERTO BRITO DE SOUZA</v>
          </cell>
          <cell r="C2245" t="str">
            <v>AJUDANTE EQ SERVICOS DIVERSOS</v>
          </cell>
          <cell r="D2245" t="str">
            <v>ECOSAMPA Santo Amaro</v>
          </cell>
        </row>
        <row r="2246">
          <cell r="A2246">
            <v>114939</v>
          </cell>
          <cell r="B2246" t="str">
            <v>VALCI OLIVEIRA DOS SANTOS</v>
          </cell>
          <cell r="C2246" t="str">
            <v>AJUDANTE EQ SERVICOS DIVERSOS</v>
          </cell>
          <cell r="D2246" t="str">
            <v>ECOSAMPA Operação Geral</v>
          </cell>
        </row>
        <row r="2247">
          <cell r="A2247">
            <v>114738</v>
          </cell>
          <cell r="B2247" t="str">
            <v>VALDECE PEREIRA CRUZ</v>
          </cell>
          <cell r="C2247" t="str">
            <v>AJUDANTE EQ SERVICOS DIVERSOS</v>
          </cell>
          <cell r="D2247" t="str">
            <v>ECOSAMPA Santo Amaro</v>
          </cell>
        </row>
        <row r="2248">
          <cell r="A2248">
            <v>113034</v>
          </cell>
          <cell r="B2248" t="str">
            <v>VALDECI APARECIDO REIS DE ANDRADE</v>
          </cell>
          <cell r="C2248" t="str">
            <v>MOTORISTA CAMINHAO</v>
          </cell>
          <cell r="D2248" t="str">
            <v>ECOSAMPA Operação Geral</v>
          </cell>
        </row>
        <row r="2249">
          <cell r="A2249">
            <v>113793</v>
          </cell>
          <cell r="B2249" t="str">
            <v>VALDECIR ALMEIDA DA SILVA</v>
          </cell>
          <cell r="C2249" t="str">
            <v>ASSISTENTE ADMINISTRATIVO</v>
          </cell>
          <cell r="D2249" t="str">
            <v>ECOSAMPA Operação Geral</v>
          </cell>
        </row>
        <row r="2250">
          <cell r="A2250">
            <v>112498</v>
          </cell>
          <cell r="B2250" t="str">
            <v>VALDECIR APARECIDO GONCALVES</v>
          </cell>
          <cell r="C2250" t="str">
            <v>VARREDOR</v>
          </cell>
          <cell r="D2250" t="str">
            <v>ECOSAMPA Capela do Socorro</v>
          </cell>
        </row>
        <row r="2251">
          <cell r="A2251">
            <v>112776</v>
          </cell>
          <cell r="B2251" t="str">
            <v>VALDECY ALVES</v>
          </cell>
          <cell r="C2251" t="str">
            <v>VARREDOR</v>
          </cell>
          <cell r="D2251" t="str">
            <v>ECOSAMPA Santo Amaro</v>
          </cell>
        </row>
        <row r="2252">
          <cell r="A2252">
            <v>113767</v>
          </cell>
          <cell r="B2252" t="str">
            <v>VALDEIR ALVES SERAFIM</v>
          </cell>
          <cell r="C2252" t="str">
            <v>ENCARREGADO DE MANUTENCAO PREDIAL</v>
          </cell>
          <cell r="D2252" t="str">
            <v>ECOSAMPA Operação Geral</v>
          </cell>
        </row>
        <row r="2253">
          <cell r="A2253">
            <v>112501</v>
          </cell>
          <cell r="B2253" t="str">
            <v>VALDEIR BISPO DE SOUZA</v>
          </cell>
          <cell r="C2253" t="str">
            <v>AJUDANTE EQ SERVICOS DIVERSOS</v>
          </cell>
          <cell r="D2253" t="str">
            <v>ECOSAMPA M'Boi Mirim</v>
          </cell>
        </row>
        <row r="2254">
          <cell r="A2254">
            <v>112504</v>
          </cell>
          <cell r="B2254" t="str">
            <v>VALDEIR OLIVEIRA SANTOS</v>
          </cell>
          <cell r="C2254" t="str">
            <v>VARREDOR</v>
          </cell>
          <cell r="D2254" t="str">
            <v>ECOSAMPA Capela do Socorro</v>
          </cell>
        </row>
        <row r="2255">
          <cell r="A2255">
            <v>112507</v>
          </cell>
          <cell r="B2255" t="str">
            <v>VALDEIR PEREIRA DOS SANTOS</v>
          </cell>
          <cell r="C2255" t="str">
            <v>VARREDOR</v>
          </cell>
          <cell r="D2255" t="str">
            <v>ECOSAMPA Capela do Socorro</v>
          </cell>
        </row>
        <row r="2256">
          <cell r="A2256">
            <v>114751</v>
          </cell>
          <cell r="B2256" t="str">
            <v>VALDEIR SILVA LEITAO</v>
          </cell>
          <cell r="C2256" t="str">
            <v>VARREDOR</v>
          </cell>
          <cell r="D2256" t="str">
            <v>ECOSAMPA Santo Amaro</v>
          </cell>
        </row>
        <row r="2257">
          <cell r="A2257">
            <v>112331</v>
          </cell>
          <cell r="B2257" t="str">
            <v>VALDEMAR DOS SANTOS</v>
          </cell>
          <cell r="C2257" t="str">
            <v>VARREDOR</v>
          </cell>
          <cell r="D2257" t="str">
            <v>ECOSAMPA Campo Limpo</v>
          </cell>
        </row>
        <row r="2258">
          <cell r="A2258">
            <v>112512</v>
          </cell>
          <cell r="B2258" t="str">
            <v>VALDEMIR CARNEIRO DE MOURA</v>
          </cell>
          <cell r="C2258" t="str">
            <v>AJUDANTE EQ SERVICOS DIVERSOS</v>
          </cell>
          <cell r="D2258" t="str">
            <v>ECOSAMPA Capela do Socorro</v>
          </cell>
        </row>
        <row r="2259">
          <cell r="A2259">
            <v>112779</v>
          </cell>
          <cell r="B2259" t="str">
            <v>VALDEMIR GOMES LEMES</v>
          </cell>
          <cell r="C2259" t="str">
            <v>AJUDANTE EQ SERVICOS DIVERSOS</v>
          </cell>
          <cell r="D2259" t="str">
            <v>ECOSAMPA Operação Geral</v>
          </cell>
        </row>
        <row r="2260">
          <cell r="A2260">
            <v>112782</v>
          </cell>
          <cell r="B2260" t="str">
            <v>VALDEMIR LEITE FERREIRA</v>
          </cell>
          <cell r="C2260" t="str">
            <v>AJUDANTE EQ SERVICOS DIVERSOS</v>
          </cell>
          <cell r="D2260" t="str">
            <v>ECOSAMPA Santo Amaro</v>
          </cell>
        </row>
        <row r="2261">
          <cell r="A2261">
            <v>112783</v>
          </cell>
          <cell r="B2261" t="str">
            <v>VALDENES DA SILVA ANDRADE</v>
          </cell>
          <cell r="C2261" t="str">
            <v>OPERADOR DE PA CARREGADEIRA</v>
          </cell>
          <cell r="D2261" t="str">
            <v>ECOSAMPA Operação Geral</v>
          </cell>
        </row>
        <row r="2262">
          <cell r="A2262">
            <v>112679</v>
          </cell>
          <cell r="B2262" t="str">
            <v>VALDENICE JOSEFA DA SILVA</v>
          </cell>
          <cell r="C2262" t="str">
            <v>VARREDOR</v>
          </cell>
          <cell r="D2262" t="str">
            <v>ECOSAMPA M'Boi Mirim</v>
          </cell>
        </row>
        <row r="2263">
          <cell r="A2263">
            <v>112786</v>
          </cell>
          <cell r="B2263" t="str">
            <v>VALDICK SOUZA DE JESUS</v>
          </cell>
          <cell r="C2263" t="str">
            <v>AJUDANTE EQ SERVICOS DIVERSOS</v>
          </cell>
          <cell r="D2263" t="str">
            <v>ECOSAMPA Santo Amaro</v>
          </cell>
        </row>
        <row r="2264">
          <cell r="A2264">
            <v>122828</v>
          </cell>
          <cell r="B2264" t="str">
            <v>VALDINEI DE JESUS DOS SANTOS</v>
          </cell>
          <cell r="C2264" t="str">
            <v>AJUDANTE EQ SERVICOS DIVERSOS</v>
          </cell>
          <cell r="D2264" t="str">
            <v>ECOSAMPA Capela do Socorro</v>
          </cell>
        </row>
        <row r="2265">
          <cell r="A2265">
            <v>116133</v>
          </cell>
          <cell r="B2265" t="str">
            <v>VALDINEI GONCALVES DOS SANTOS</v>
          </cell>
          <cell r="C2265" t="str">
            <v>AUXILIAR DE ALMOXARIFADO PLENO</v>
          </cell>
          <cell r="D2265" t="str">
            <v>ECOSAMPA Operação Geral</v>
          </cell>
        </row>
        <row r="2266">
          <cell r="A2266">
            <v>112332</v>
          </cell>
          <cell r="B2266" t="str">
            <v>VALDINEI MARTINS CRUZ</v>
          </cell>
          <cell r="C2266" t="str">
            <v>VARREDOR</v>
          </cell>
          <cell r="D2266" t="str">
            <v>ECOSAMPA Campo Limpo</v>
          </cell>
        </row>
        <row r="2267">
          <cell r="A2267">
            <v>112792</v>
          </cell>
          <cell r="B2267" t="str">
            <v>VALDIR BALBINO DE MIRANDA</v>
          </cell>
          <cell r="C2267" t="str">
            <v>OPERADOR DE MAQUINA SENIOR</v>
          </cell>
          <cell r="D2267" t="str">
            <v>ECOSAMPA Operação Geral</v>
          </cell>
        </row>
        <row r="2268">
          <cell r="A2268">
            <v>112566</v>
          </cell>
          <cell r="B2268" t="str">
            <v>VALDIR BARBOSA FERREIRA</v>
          </cell>
          <cell r="C2268" t="str">
            <v>VARREDOR</v>
          </cell>
          <cell r="D2268" t="str">
            <v>ECOSAMPA Capela do Socorro</v>
          </cell>
        </row>
        <row r="2269">
          <cell r="A2269">
            <v>112569</v>
          </cell>
          <cell r="B2269" t="str">
            <v>VALDIR BEZERRA DOS SANTOS</v>
          </cell>
          <cell r="C2269" t="str">
            <v>VARREDOR</v>
          </cell>
          <cell r="D2269" t="str">
            <v>ECOSAMPA Capela do Socorro</v>
          </cell>
        </row>
        <row r="2270">
          <cell r="A2270">
            <v>114317</v>
          </cell>
          <cell r="B2270" t="str">
            <v>VALDIR DE OLIVEIRA MAZOTTI</v>
          </cell>
          <cell r="C2270" t="str">
            <v>AJUDANTE EQ SERVICOS DIVERSOS</v>
          </cell>
          <cell r="D2270" t="str">
            <v>ECOSAMPA Santo Amaro</v>
          </cell>
        </row>
        <row r="2271">
          <cell r="A2271">
            <v>112808</v>
          </cell>
          <cell r="B2271" t="str">
            <v>VALDIR PEREIRA DE SOUZA</v>
          </cell>
          <cell r="C2271" t="str">
            <v>COLETOR</v>
          </cell>
          <cell r="D2271" t="str">
            <v>ECOSAMPA Operação Geral</v>
          </cell>
        </row>
        <row r="2272">
          <cell r="A2272">
            <v>114124</v>
          </cell>
          <cell r="B2272" t="str">
            <v>VALDIR ROCHSTROCH BATISTA</v>
          </cell>
          <cell r="C2272" t="str">
            <v>MOTORISTA CAMINHAO</v>
          </cell>
          <cell r="D2272" t="str">
            <v>ECOSAMPA Operação Geral</v>
          </cell>
        </row>
        <row r="2273">
          <cell r="A2273">
            <v>112814</v>
          </cell>
          <cell r="B2273" t="str">
            <v>VALDIR RODRIGUES DOS ANJOS</v>
          </cell>
          <cell r="C2273" t="str">
            <v>VARREDOR</v>
          </cell>
          <cell r="D2273" t="str">
            <v>ECOSAMPA Santo Amaro</v>
          </cell>
        </row>
        <row r="2274">
          <cell r="A2274">
            <v>112573</v>
          </cell>
          <cell r="B2274" t="str">
            <v>VALDIVIO RODRIGUES CRUZ</v>
          </cell>
          <cell r="C2274" t="str">
            <v>AJUDANTE EQ SERVICOS DIVERSOS</v>
          </cell>
          <cell r="D2274" t="str">
            <v>ECOSAMPA Parelheiros</v>
          </cell>
        </row>
        <row r="2275">
          <cell r="A2275">
            <v>121296</v>
          </cell>
          <cell r="B2275" t="str">
            <v>VALERIA GARRUCHO DE OLIVEIRA</v>
          </cell>
          <cell r="C2275" t="str">
            <v>PENSIONISTAS</v>
          </cell>
          <cell r="D2275" t="str">
            <v>ECOSAMPA Pensionistas</v>
          </cell>
        </row>
        <row r="2276">
          <cell r="A2276">
            <v>114719</v>
          </cell>
          <cell r="B2276" t="str">
            <v>VALMIR DE HARO RODRIGUES</v>
          </cell>
          <cell r="C2276" t="str">
            <v>AJUDANTE EQ SERVICOS DIVERSOS</v>
          </cell>
          <cell r="D2276" t="str">
            <v>ECOSAMPA Capela do Socorro</v>
          </cell>
        </row>
        <row r="2277">
          <cell r="A2277">
            <v>112242</v>
          </cell>
          <cell r="B2277" t="str">
            <v>VALMIR DOS SANTOS MACHADO</v>
          </cell>
          <cell r="C2277" t="str">
            <v>AJUDANTE EQ SERVICOS DIVERSOS</v>
          </cell>
          <cell r="D2277" t="str">
            <v>ECOSAMPA Campo Limpo</v>
          </cell>
        </row>
        <row r="2278">
          <cell r="A2278">
            <v>112795</v>
          </cell>
          <cell r="B2278" t="str">
            <v>VALMIR GOMES DE FREITAS</v>
          </cell>
          <cell r="C2278" t="str">
            <v>ENCARREGADO DE TRAFEGO II</v>
          </cell>
          <cell r="D2278" t="str">
            <v>ECOSAMPA Operação Geral</v>
          </cell>
        </row>
        <row r="2279">
          <cell r="A2279">
            <v>113037</v>
          </cell>
          <cell r="B2279" t="str">
            <v>VALTEMIR LIMA DA SILVA</v>
          </cell>
          <cell r="C2279" t="str">
            <v>MOTORISTA CAMINHAO</v>
          </cell>
          <cell r="D2279" t="str">
            <v>ECOSAMPA Operação Geral</v>
          </cell>
        </row>
        <row r="2280">
          <cell r="A2280">
            <v>112333</v>
          </cell>
          <cell r="B2280" t="str">
            <v>VALTER JOSE DA SILVA</v>
          </cell>
          <cell r="C2280" t="str">
            <v>VARREDOR</v>
          </cell>
          <cell r="D2280" t="str">
            <v>ECOSAMPA Capela do Socorro</v>
          </cell>
        </row>
        <row r="2281">
          <cell r="A2281">
            <v>112244</v>
          </cell>
          <cell r="B2281" t="str">
            <v>VALTER LUIS MACIEL DA COSTA</v>
          </cell>
          <cell r="C2281" t="str">
            <v>AJUDANTE EQ SERVICOS DIVERSOS</v>
          </cell>
          <cell r="D2281" t="str">
            <v>ECOSAMPA M'Boi Mirim</v>
          </cell>
        </row>
        <row r="2282">
          <cell r="A2282">
            <v>116111</v>
          </cell>
          <cell r="B2282" t="str">
            <v>VALTER PEREIRA</v>
          </cell>
          <cell r="C2282" t="str">
            <v>MOTORISTA DE CAMINHAO</v>
          </cell>
          <cell r="D2282" t="str">
            <v>ECOSAMPA Operação Geral</v>
          </cell>
        </row>
        <row r="2283">
          <cell r="A2283">
            <v>113725</v>
          </cell>
          <cell r="B2283" t="str">
            <v>VANDECIR GOMES DA SILVA</v>
          </cell>
          <cell r="C2283" t="str">
            <v>SUPERVISOR OPERACIONAL</v>
          </cell>
          <cell r="D2283" t="str">
            <v>ECOSAMPA Operação Geral</v>
          </cell>
        </row>
        <row r="2284">
          <cell r="A2284">
            <v>112579</v>
          </cell>
          <cell r="B2284" t="str">
            <v>VANDERLEI ALEXANDRE DA SILVA</v>
          </cell>
          <cell r="C2284" t="str">
            <v>VARREDOR</v>
          </cell>
          <cell r="D2284" t="str">
            <v>ECOSAMPA M'Boi Mirim</v>
          </cell>
        </row>
        <row r="2285">
          <cell r="A2285">
            <v>112817</v>
          </cell>
          <cell r="B2285" t="str">
            <v>VANDERLEI POMPEU DE OLIVEIRA</v>
          </cell>
          <cell r="C2285" t="str">
            <v>AJUDANTE EQ SERVICOS DIVERSOS</v>
          </cell>
          <cell r="D2285" t="str">
            <v>ECOSAMPA Operação Geral</v>
          </cell>
        </row>
        <row r="2286">
          <cell r="A2286">
            <v>112820</v>
          </cell>
          <cell r="B2286" t="str">
            <v>VANDERLEY SALDANHA PEIXOTO</v>
          </cell>
          <cell r="C2286" t="str">
            <v>COLETOR</v>
          </cell>
          <cell r="D2286" t="str">
            <v>ECOSAMPA Operação Geral</v>
          </cell>
        </row>
        <row r="2287">
          <cell r="A2287">
            <v>113041</v>
          </cell>
          <cell r="B2287" t="str">
            <v>VANDERLEY SOUSA GAMA FILHO</v>
          </cell>
          <cell r="C2287" t="str">
            <v>MOTORISTA CAMINHAO</v>
          </cell>
          <cell r="D2287" t="str">
            <v>ECOSAMPA Operação Geral</v>
          </cell>
        </row>
        <row r="2288">
          <cell r="A2288">
            <v>112801</v>
          </cell>
          <cell r="B2288" t="str">
            <v>VANDERSON BEZERRA ALVES DOS SANTOS</v>
          </cell>
          <cell r="C2288" t="str">
            <v>OPERADOR DE MAQUINA SENIOR</v>
          </cell>
          <cell r="D2288" t="str">
            <v>ECOSAMPA Operação Geral</v>
          </cell>
        </row>
        <row r="2289">
          <cell r="A2289">
            <v>113046</v>
          </cell>
          <cell r="B2289" t="str">
            <v>VANDERSON SANTANA RODRIGUES</v>
          </cell>
          <cell r="C2289" t="str">
            <v>MOTORISTA CAMINHAO</v>
          </cell>
          <cell r="D2289" t="str">
            <v>ECOSAMPA Operação Geral</v>
          </cell>
        </row>
        <row r="2290">
          <cell r="A2290">
            <v>114941</v>
          </cell>
          <cell r="B2290" t="str">
            <v>VANDERSON WILIAN CASTRO BATISTA</v>
          </cell>
          <cell r="C2290" t="str">
            <v>AJUDANTE EQ SERVICOS DIVERSOS</v>
          </cell>
          <cell r="D2290" t="str">
            <v>ECOSAMPA Operação Geral</v>
          </cell>
        </row>
        <row r="2291">
          <cell r="A2291">
            <v>114037</v>
          </cell>
          <cell r="B2291" t="str">
            <v>VANESSA MARIA DE LIRA</v>
          </cell>
          <cell r="C2291" t="str">
            <v>PENSIONISTAS</v>
          </cell>
          <cell r="D2291" t="str">
            <v>ECOSAMPA Pensionistas</v>
          </cell>
        </row>
        <row r="2292">
          <cell r="A2292">
            <v>119342</v>
          </cell>
          <cell r="B2292" t="str">
            <v>VANESSA OLIVEIRA MACEDO VIDAL</v>
          </cell>
          <cell r="C2292" t="str">
            <v>TECNICA DE ENFERMAGEM DO TRABALHO</v>
          </cell>
          <cell r="D2292" t="str">
            <v>ECOSAMPA Operação Geral</v>
          </cell>
        </row>
        <row r="2293">
          <cell r="A2293">
            <v>115889</v>
          </cell>
          <cell r="B2293" t="str">
            <v>VANESSA OLIVEIRA SANTOS</v>
          </cell>
          <cell r="C2293" t="str">
            <v>PENSIONISTAS</v>
          </cell>
          <cell r="D2293" t="str">
            <v>ECOSAMPA Pensionistas</v>
          </cell>
        </row>
        <row r="2294">
          <cell r="A2294">
            <v>114004</v>
          </cell>
          <cell r="B2294" t="str">
            <v>VANILTON DOS SANTOS</v>
          </cell>
          <cell r="C2294" t="str">
            <v>SOLDADOR</v>
          </cell>
          <cell r="D2294" t="str">
            <v>ECOSAMPA Operação Geral</v>
          </cell>
        </row>
        <row r="2295">
          <cell r="A2295">
            <v>112869</v>
          </cell>
          <cell r="B2295" t="str">
            <v>VICENTE PAULA DE OLIVEIRA</v>
          </cell>
          <cell r="C2295" t="str">
            <v>AJUDANTE EQ SERVICOS DIVERSOS</v>
          </cell>
          <cell r="D2295" t="str">
            <v>ECOSAMPA Santo Amaro</v>
          </cell>
        </row>
        <row r="2296">
          <cell r="A2296">
            <v>112873</v>
          </cell>
          <cell r="B2296" t="str">
            <v>VICENTE SILVA DE ALMEIDA</v>
          </cell>
          <cell r="C2296" t="str">
            <v>VARREDOR</v>
          </cell>
          <cell r="D2296" t="str">
            <v>ECOSAMPA Santo Amaro</v>
          </cell>
        </row>
        <row r="2297">
          <cell r="A2297">
            <v>121474</v>
          </cell>
          <cell r="B2297" t="str">
            <v>VICTOR CARVALHO DE JESUS</v>
          </cell>
          <cell r="C2297" t="str">
            <v>AJUDANTE EQ SERVICOS DIVERSOS</v>
          </cell>
          <cell r="D2297" t="str">
            <v>ECOSAMPA Operação Geral</v>
          </cell>
        </row>
        <row r="2298">
          <cell r="A2298">
            <v>116322</v>
          </cell>
          <cell r="B2298" t="str">
            <v>VICTOR GUILHERME DE PAULA</v>
          </cell>
          <cell r="C2298" t="str">
            <v>AJUDANTE EQ SERVICOS DIVERSOS</v>
          </cell>
          <cell r="D2298" t="str">
            <v>ECOSAMPA Capela do Socorro</v>
          </cell>
        </row>
        <row r="2299">
          <cell r="A2299">
            <v>112584</v>
          </cell>
          <cell r="B2299" t="str">
            <v>VICTOR HERNANDO SANTANA LEITE</v>
          </cell>
          <cell r="C2299" t="str">
            <v>AJUDANTE EQ SERVICOS DIVERSOS</v>
          </cell>
          <cell r="D2299" t="str">
            <v>ECOSAMPA Campo Limpo</v>
          </cell>
        </row>
        <row r="2300">
          <cell r="A2300">
            <v>119118</v>
          </cell>
          <cell r="B2300" t="str">
            <v>VICTOR HUGO ALVES DE OLIVEIRA</v>
          </cell>
          <cell r="C2300" t="str">
            <v>AJUDANTE EQ SERVICOS DIVERSOS</v>
          </cell>
          <cell r="D2300" t="str">
            <v>ECOSAMPA Parelheiros</v>
          </cell>
        </row>
        <row r="2301">
          <cell r="A2301">
            <v>113737</v>
          </cell>
          <cell r="B2301" t="str">
            <v>VICTOR ROLOFF MARQUES</v>
          </cell>
          <cell r="C2301" t="str">
            <v>GERENTE DE FROTA</v>
          </cell>
          <cell r="D2301" t="str">
            <v>ECOSAMPA Operação Geral</v>
          </cell>
        </row>
        <row r="2302">
          <cell r="A2302">
            <v>116653</v>
          </cell>
          <cell r="B2302" t="str">
            <v>VICTOR ROLOFF MARQUES</v>
          </cell>
          <cell r="C2302" t="str">
            <v>GERENTE DE FROTA</v>
          </cell>
          <cell r="D2302" t="str">
            <v>ECOSAMPA PJ</v>
          </cell>
        </row>
        <row r="2303">
          <cell r="A2303">
            <v>112588</v>
          </cell>
          <cell r="B2303" t="str">
            <v>VILSON CORDEIRO DO ROSARIO</v>
          </cell>
          <cell r="C2303" t="str">
            <v>VARREDOR</v>
          </cell>
          <cell r="D2303" t="str">
            <v>ECOSAMPA Capela do Socorro</v>
          </cell>
        </row>
        <row r="2304">
          <cell r="A2304">
            <v>121952</v>
          </cell>
          <cell r="B2304" t="str">
            <v>VINICIUS DE JESUS MARQUES</v>
          </cell>
          <cell r="C2304" t="str">
            <v>MENOR/JOVEM APRENDIZ</v>
          </cell>
          <cell r="D2304" t="str">
            <v>ECOSAMPA Administração</v>
          </cell>
        </row>
        <row r="2305">
          <cell r="A2305">
            <v>112592</v>
          </cell>
          <cell r="B2305" t="str">
            <v>VIRGILIO DA SILVA HEMEL</v>
          </cell>
          <cell r="C2305" t="str">
            <v>AJUDANTE EQ SERVICOS DIVERSOS</v>
          </cell>
          <cell r="D2305" t="str">
            <v>ECOSAMPA Capela do Socorro</v>
          </cell>
        </row>
        <row r="2306">
          <cell r="A2306">
            <v>114039</v>
          </cell>
          <cell r="B2306" t="str">
            <v>VITOR BARRETO DOS SANTOS</v>
          </cell>
          <cell r="C2306" t="str">
            <v>AJUDANTE EQ SERVICOS DIVERSOS</v>
          </cell>
          <cell r="D2306" t="str">
            <v>ECOSAMPA Capela do Socorro</v>
          </cell>
        </row>
        <row r="2307">
          <cell r="A2307">
            <v>114404</v>
          </cell>
          <cell r="B2307" t="str">
            <v>VITOR DA CRUZ SANTOS</v>
          </cell>
          <cell r="C2307" t="str">
            <v>AJUDANTE EQ SERVICOS DIVERSOS</v>
          </cell>
          <cell r="D2307" t="str">
            <v>ECOSAMPA Santo Amaro</v>
          </cell>
        </row>
        <row r="2308">
          <cell r="A2308">
            <v>115402</v>
          </cell>
          <cell r="B2308" t="str">
            <v>VITOR DA SILVA OLIVEIRA</v>
          </cell>
          <cell r="C2308" t="str">
            <v>AJUDANTE EQ SERVICOS DIVERSOS</v>
          </cell>
          <cell r="D2308" t="str">
            <v>ECOSAMPA Capela do Socorro</v>
          </cell>
        </row>
        <row r="2309">
          <cell r="A2309">
            <v>112876</v>
          </cell>
          <cell r="B2309" t="str">
            <v>VITOR JESUS DOS SANTOS</v>
          </cell>
          <cell r="C2309" t="str">
            <v>AUXILIAR ADMINISTRATIVO</v>
          </cell>
          <cell r="D2309" t="str">
            <v>ECOSAMPA Administração</v>
          </cell>
        </row>
        <row r="2310">
          <cell r="A2310">
            <v>112595</v>
          </cell>
          <cell r="B2310" t="str">
            <v>VITOR MENDES CAMPOS</v>
          </cell>
          <cell r="C2310" t="str">
            <v>AJUDANTE EQ SERVICOS DIVERSOS</v>
          </cell>
          <cell r="D2310" t="str">
            <v>ECOSAMPA Capela do Socorro</v>
          </cell>
        </row>
        <row r="2311">
          <cell r="A2311">
            <v>121853</v>
          </cell>
          <cell r="B2311" t="str">
            <v>VITOR SILVA DE SOUZA</v>
          </cell>
          <cell r="C2311" t="str">
            <v>AJUDANTE EQ SERVICOS DIVERSOS</v>
          </cell>
          <cell r="D2311" t="str">
            <v>ECOSAMPA M'Boi Mirim</v>
          </cell>
        </row>
        <row r="2312">
          <cell r="A2312">
            <v>113744</v>
          </cell>
          <cell r="B2312" t="str">
            <v>VIUZA KARLA GOMES DE SOUSA</v>
          </cell>
          <cell r="C2312" t="str">
            <v>AUXILIAR ADMINISTRATIVO</v>
          </cell>
          <cell r="D2312" t="str">
            <v>ECOSAMPA Operação Geral</v>
          </cell>
        </row>
        <row r="2313">
          <cell r="A2313">
            <v>121487</v>
          </cell>
          <cell r="B2313" t="str">
            <v>VIVIAN BRITO MOTA COTIAS</v>
          </cell>
          <cell r="C2313" t="str">
            <v>MOTORISTA CAMINHAO</v>
          </cell>
          <cell r="D2313" t="str">
            <v>ECOSAMPA Operação Geral</v>
          </cell>
        </row>
        <row r="2314">
          <cell r="A2314">
            <v>122240</v>
          </cell>
          <cell r="B2314" t="str">
            <v>VIVIAN BRITO MOTA COTIAS</v>
          </cell>
          <cell r="C2314" t="str">
            <v>MOTORISTA CAMINHAO</v>
          </cell>
          <cell r="D2314" t="str">
            <v>ECOSAMPA Operação Geral</v>
          </cell>
        </row>
        <row r="2315">
          <cell r="A2315">
            <v>114505</v>
          </cell>
          <cell r="B2315" t="str">
            <v>WAGNER ALBERTO MATA GRANDE DA SILVA JUNIOR</v>
          </cell>
          <cell r="C2315" t="str">
            <v>AJUDANTE EQ SERVICOS DIVERSOS</v>
          </cell>
          <cell r="D2315" t="str">
            <v>ECOSAMPA Santo Amaro</v>
          </cell>
        </row>
        <row r="2316">
          <cell r="A2316">
            <v>122346</v>
          </cell>
          <cell r="B2316" t="str">
            <v>WAGNER AUGUSTO DAGLIO PEIKOW</v>
          </cell>
          <cell r="C2316" t="str">
            <v>VARREDOR</v>
          </cell>
          <cell r="D2316" t="str">
            <v>ECOSAMPA Capela do Socorro</v>
          </cell>
        </row>
        <row r="2317">
          <cell r="A2317">
            <v>114509</v>
          </cell>
          <cell r="B2317" t="str">
            <v>WAGNER BARBOSA DA SILVA</v>
          </cell>
          <cell r="C2317" t="str">
            <v>AJUDANTE EQ SERVICOS DIVERSOS</v>
          </cell>
          <cell r="D2317" t="str">
            <v>ECOSAMPA Santo Amaro</v>
          </cell>
        </row>
        <row r="2318">
          <cell r="A2318">
            <v>113049</v>
          </cell>
          <cell r="B2318" t="str">
            <v>WAGNER DA SILVA DE JESUS VALE</v>
          </cell>
          <cell r="C2318" t="str">
            <v>MOTORISTA CAMINHAO</v>
          </cell>
          <cell r="D2318" t="str">
            <v>ECOSAMPA Operação Geral</v>
          </cell>
        </row>
        <row r="2319">
          <cell r="A2319">
            <v>113059</v>
          </cell>
          <cell r="B2319" t="str">
            <v>WAGNER DIOGO SANTOS</v>
          </cell>
          <cell r="C2319" t="str">
            <v>MOTORISTA CAMINHAO</v>
          </cell>
          <cell r="D2319" t="str">
            <v>ECOSAMPA Operação Geral</v>
          </cell>
        </row>
        <row r="2320">
          <cell r="A2320">
            <v>118635</v>
          </cell>
          <cell r="B2320" t="str">
            <v>WAGNER FERREIRA DE OLIVEIRA</v>
          </cell>
          <cell r="C2320" t="str">
            <v>AJUDANTE EQ SERVICOS DIVERSOS</v>
          </cell>
          <cell r="D2320" t="str">
            <v>ECOSAMPA Santo Amaro</v>
          </cell>
        </row>
        <row r="2321">
          <cell r="A2321">
            <v>121438</v>
          </cell>
          <cell r="B2321" t="str">
            <v>WAGNER JOSE DA SILVA</v>
          </cell>
          <cell r="C2321" t="str">
            <v>AJUDANTE EQ SERVICOS DIVERSOS</v>
          </cell>
          <cell r="D2321" t="str">
            <v>ECOSAMPA Operação Geral</v>
          </cell>
        </row>
        <row r="2322">
          <cell r="A2322">
            <v>112339</v>
          </cell>
          <cell r="B2322" t="str">
            <v>WAGNER NASCIMENTO DE LIMA</v>
          </cell>
          <cell r="C2322" t="str">
            <v>AJUDANTE EQ SERVICOS DIVERSOS</v>
          </cell>
          <cell r="D2322" t="str">
            <v>ECOSAMPA Campo Limpo</v>
          </cell>
        </row>
        <row r="2323">
          <cell r="A2323">
            <v>112342</v>
          </cell>
          <cell r="B2323" t="str">
            <v>WAGNER PASSOS DE SOUSA</v>
          </cell>
          <cell r="C2323" t="str">
            <v>AJUDANTE EQ SERVICOS DIVERSOS</v>
          </cell>
          <cell r="D2323" t="str">
            <v>ECOSAMPA Campo Limpo</v>
          </cell>
        </row>
        <row r="2324">
          <cell r="A2324">
            <v>113063</v>
          </cell>
          <cell r="B2324" t="str">
            <v>WAGNER RIBEIRO DOS SANTOS</v>
          </cell>
          <cell r="C2324" t="str">
            <v>MOTORISTA CAMINHAO</v>
          </cell>
          <cell r="D2324" t="str">
            <v>ECOSAMPA Operação Geral</v>
          </cell>
        </row>
        <row r="2325">
          <cell r="A2325">
            <v>112343</v>
          </cell>
          <cell r="B2325" t="str">
            <v>WAGNER ROBERTO SANTIAGO DOS SANTOS</v>
          </cell>
          <cell r="C2325" t="str">
            <v>AJUDANTE EQ SERVICOS DIVERSOS</v>
          </cell>
          <cell r="D2325" t="str">
            <v>ECOSAMPA Campo Limpo</v>
          </cell>
        </row>
        <row r="2326">
          <cell r="A2326">
            <v>114981</v>
          </cell>
          <cell r="B2326" t="str">
            <v>WAGNER SANTANA XAVIER</v>
          </cell>
          <cell r="C2326" t="str">
            <v>MOTORISTA DE CAMINHAO</v>
          </cell>
          <cell r="D2326" t="str">
            <v>ECOSAMPA Operação Geral</v>
          </cell>
        </row>
        <row r="2327">
          <cell r="A2327">
            <v>114943</v>
          </cell>
          <cell r="B2327" t="str">
            <v>WAGNER VARGENS DE ALMEIDA</v>
          </cell>
          <cell r="C2327" t="str">
            <v>AJUDANTE EQ SERVICOS DIVERSOS</v>
          </cell>
          <cell r="D2327" t="str">
            <v>ECOSAMPA Operação Geral</v>
          </cell>
        </row>
        <row r="2328">
          <cell r="A2328">
            <v>121485</v>
          </cell>
          <cell r="B2328" t="str">
            <v>WALDIR ANTONIO MARTINS</v>
          </cell>
          <cell r="C2328" t="str">
            <v>MOTORISTA CAMINHAO</v>
          </cell>
          <cell r="D2328" t="str">
            <v>ECOSAMPA Operação Geral</v>
          </cell>
        </row>
        <row r="2329">
          <cell r="A2329">
            <v>122234</v>
          </cell>
          <cell r="B2329" t="str">
            <v>WALDIR ANTONIO MARTINS</v>
          </cell>
          <cell r="C2329" t="str">
            <v>MOTORISTA CAMINHAO</v>
          </cell>
          <cell r="D2329" t="str">
            <v>ECOSAMPA Operação Geral</v>
          </cell>
        </row>
        <row r="2330">
          <cell r="A2330">
            <v>112597</v>
          </cell>
          <cell r="B2330" t="str">
            <v>WALDIR PEREIRA SANTOS</v>
          </cell>
          <cell r="C2330" t="str">
            <v>VARREDOR</v>
          </cell>
          <cell r="D2330" t="str">
            <v>ECOSAMPA Capela do Socorro</v>
          </cell>
        </row>
        <row r="2331">
          <cell r="A2331">
            <v>112882</v>
          </cell>
          <cell r="B2331" t="str">
            <v>WALICE ARAUJO SOUZA</v>
          </cell>
          <cell r="C2331" t="str">
            <v>AJUDANTE EQ SERVICOS DIVERSOS</v>
          </cell>
          <cell r="D2331" t="str">
            <v>ECOSAMPA Santo Amaro</v>
          </cell>
        </row>
        <row r="2332">
          <cell r="A2332">
            <v>121684</v>
          </cell>
          <cell r="B2332" t="str">
            <v>WALKER MINANCIAM DA SILVA</v>
          </cell>
          <cell r="C2332" t="str">
            <v>AUXILIAR DE CONTROLE OPERACIONAL</v>
          </cell>
          <cell r="D2332" t="str">
            <v>ECOSAMPA Operação Geral</v>
          </cell>
        </row>
        <row r="2333">
          <cell r="A2333">
            <v>121510</v>
          </cell>
          <cell r="B2333" t="str">
            <v>WALLACE FERREIRA DA SILVA</v>
          </cell>
          <cell r="C2333" t="str">
            <v>AJUDANTE EQ SERVICOS DIVERSOS</v>
          </cell>
          <cell r="D2333" t="str">
            <v>ECOSAMPA Operação Geral</v>
          </cell>
        </row>
        <row r="2334">
          <cell r="A2334">
            <v>112345</v>
          </cell>
          <cell r="B2334" t="str">
            <v>WALLACE TAVARES DA SILVA</v>
          </cell>
          <cell r="C2334" t="str">
            <v>BUEIRISTA</v>
          </cell>
          <cell r="D2334" t="str">
            <v>ECOSAMPA Campo Limpo</v>
          </cell>
        </row>
        <row r="2335">
          <cell r="A2335">
            <v>112599</v>
          </cell>
          <cell r="B2335" t="str">
            <v>WALMIR ALVES DE SOUZA</v>
          </cell>
          <cell r="C2335" t="str">
            <v>AJUDANTE EQ SERVICOS DIVERSOS</v>
          </cell>
          <cell r="D2335" t="str">
            <v>ECOSAMPA M'Boi Mirim</v>
          </cell>
        </row>
        <row r="2336">
          <cell r="A2336">
            <v>121324</v>
          </cell>
          <cell r="B2336" t="str">
            <v>WALTER CARINHANHA SOARES</v>
          </cell>
          <cell r="C2336" t="str">
            <v>VARREDOR</v>
          </cell>
          <cell r="D2336" t="str">
            <v>ECOSAMPA Capela do Socorro</v>
          </cell>
        </row>
        <row r="2337">
          <cell r="A2337">
            <v>112347</v>
          </cell>
          <cell r="B2337" t="str">
            <v>WASHINGTON DE JESUS FERREIRA DE CASTRO</v>
          </cell>
          <cell r="C2337" t="str">
            <v>AJUDANTE EQ SERVICOS DIVERSOS</v>
          </cell>
          <cell r="D2337" t="str">
            <v>ECOSAMPA Campo Limpo</v>
          </cell>
        </row>
        <row r="2338">
          <cell r="A2338">
            <v>112350</v>
          </cell>
          <cell r="B2338" t="str">
            <v>WASHINGTON MORAIS MILITAO</v>
          </cell>
          <cell r="C2338" t="str">
            <v>AJUDANTE EQ SERVICOS DIVERSOS</v>
          </cell>
          <cell r="D2338" t="str">
            <v>ECOSAMPA Campo Limpo</v>
          </cell>
        </row>
        <row r="2339">
          <cell r="A2339">
            <v>115234</v>
          </cell>
          <cell r="B2339" t="str">
            <v>WASHINGTON PEREIRA RAMOS</v>
          </cell>
          <cell r="C2339" t="str">
            <v>AJUDANTE EQ SERVICOS DIVERSOS</v>
          </cell>
          <cell r="D2339" t="str">
            <v>ECOSAMPA M'Boi Mirim</v>
          </cell>
        </row>
        <row r="2340">
          <cell r="A2340">
            <v>122333</v>
          </cell>
          <cell r="B2340" t="str">
            <v>WASHINGTON SILVA LOPES</v>
          </cell>
          <cell r="C2340" t="str">
            <v>VARREDOR</v>
          </cell>
          <cell r="D2340" t="str">
            <v>ECOSAMPA Capela do Socorro</v>
          </cell>
        </row>
        <row r="2341">
          <cell r="A2341">
            <v>121479</v>
          </cell>
          <cell r="B2341" t="str">
            <v>WELAINE DA CONCEICAO ALVES</v>
          </cell>
          <cell r="C2341" t="str">
            <v>AJUDANTE EQ SERVICOS DIVERSOS</v>
          </cell>
          <cell r="D2341" t="str">
            <v>ECOSAMPA Operação Geral</v>
          </cell>
        </row>
        <row r="2342">
          <cell r="A2342">
            <v>121444</v>
          </cell>
          <cell r="B2342" t="str">
            <v>WELLINGTON BARBOSA DA SILVA</v>
          </cell>
          <cell r="C2342" t="str">
            <v>AJUDANTE EQ SERVICOS DIVERSOS</v>
          </cell>
          <cell r="D2342" t="str">
            <v>ECOSAMPA Operação Geral</v>
          </cell>
        </row>
        <row r="2343">
          <cell r="A2343">
            <v>119936</v>
          </cell>
          <cell r="B2343" t="str">
            <v>WELLINGTON FERREIRA DA COSTA</v>
          </cell>
          <cell r="C2343" t="str">
            <v>AJUDANTE EQ SERVICOS DIVERSOS</v>
          </cell>
          <cell r="D2343" t="str">
            <v>ECOSAMPA Santo Amaro</v>
          </cell>
        </row>
        <row r="2344">
          <cell r="A2344">
            <v>112605</v>
          </cell>
          <cell r="B2344" t="str">
            <v>WELLINGTON LOPES DE LIMA</v>
          </cell>
          <cell r="C2344" t="str">
            <v>VARREDOR</v>
          </cell>
          <cell r="D2344" t="str">
            <v>ECOSAMPA Santo Amaro</v>
          </cell>
        </row>
        <row r="2345">
          <cell r="A2345">
            <v>112888</v>
          </cell>
          <cell r="B2345" t="str">
            <v>WELLINGTON LUIZ DE ALMEIDA</v>
          </cell>
          <cell r="C2345" t="str">
            <v>COLETOR</v>
          </cell>
          <cell r="D2345" t="str">
            <v>ECOSAMPA Operação Geral</v>
          </cell>
        </row>
        <row r="2346">
          <cell r="A2346">
            <v>118053</v>
          </cell>
          <cell r="B2346" t="str">
            <v>WELLINGTON PONTES FONSECA</v>
          </cell>
          <cell r="C2346" t="str">
            <v>AJUDANTE EQ SERVICOS DIVERSOS</v>
          </cell>
          <cell r="D2346" t="str">
            <v>ECOSAMPA Campo Limpo</v>
          </cell>
        </row>
        <row r="2347">
          <cell r="A2347">
            <v>112351</v>
          </cell>
          <cell r="B2347" t="str">
            <v>WELLINGTON SILVA ARAUJO JUNIOR</v>
          </cell>
          <cell r="C2347" t="str">
            <v>VARREDOR</v>
          </cell>
          <cell r="D2347" t="str">
            <v>ECOSAMPA Campo Limpo</v>
          </cell>
        </row>
        <row r="2348">
          <cell r="A2348">
            <v>112607</v>
          </cell>
          <cell r="B2348" t="str">
            <v>WELLINGTON TIAGO DE JESUS SANTOS</v>
          </cell>
          <cell r="C2348" t="str">
            <v>AJUDANTE EQ SERVICOS DIVERSOS</v>
          </cell>
          <cell r="D2348" t="str">
            <v>ECOSAMPA Capela do Socorro</v>
          </cell>
        </row>
        <row r="2349">
          <cell r="A2349">
            <v>112612</v>
          </cell>
          <cell r="B2349" t="str">
            <v>WELTON DOUGLAS RIBEIRO</v>
          </cell>
          <cell r="C2349" t="str">
            <v>AJUDANTE EQ SERVICOS DIVERSOS</v>
          </cell>
          <cell r="D2349" t="str">
            <v>ECOSAMPA Campo Limpo</v>
          </cell>
        </row>
        <row r="2350">
          <cell r="A2350">
            <v>112247</v>
          </cell>
          <cell r="B2350" t="str">
            <v>WELTON PINHEIRO BRITO</v>
          </cell>
          <cell r="C2350" t="str">
            <v>AJUDANTE EQ SERVICOS DIVERSOS</v>
          </cell>
          <cell r="D2350" t="str">
            <v>ECOSAMPA M'Boi Mirim</v>
          </cell>
        </row>
        <row r="2351">
          <cell r="A2351">
            <v>121480</v>
          </cell>
          <cell r="B2351" t="str">
            <v>WENDELL OLIVEIRA DA SILVA</v>
          </cell>
          <cell r="C2351" t="str">
            <v>AJUDANTE EQ SERVICOS DIVERSOS</v>
          </cell>
          <cell r="D2351" t="str">
            <v>ECOSAMPA M'Boi Mirim</v>
          </cell>
        </row>
        <row r="2352">
          <cell r="A2352">
            <v>112614</v>
          </cell>
          <cell r="B2352" t="str">
            <v>WENSYLL SANTOS DE ARAUJO</v>
          </cell>
          <cell r="C2352" t="str">
            <v>AJUDANTE EQ SERVICOS DIVERSOS</v>
          </cell>
          <cell r="D2352" t="str">
            <v>ECOSAMPA Capela do Socorro</v>
          </cell>
        </row>
        <row r="2353">
          <cell r="A2353">
            <v>114264</v>
          </cell>
          <cell r="B2353" t="str">
            <v>WERIK ALVES DE SOUZA</v>
          </cell>
          <cell r="C2353" t="str">
            <v>AJUDANTE EQ SERVICOS DIVERSOS</v>
          </cell>
          <cell r="D2353" t="str">
            <v>ECOSAMPA Santo Amaro</v>
          </cell>
        </row>
        <row r="2354">
          <cell r="A2354">
            <v>112354</v>
          </cell>
          <cell r="B2354" t="str">
            <v>WESLEY BALBINO DA SILVA</v>
          </cell>
          <cell r="C2354" t="str">
            <v>AJUDANTE EQ SERVICOS DIVERSOS</v>
          </cell>
          <cell r="D2354" t="str">
            <v>ECOSAMPA Campo Limpo</v>
          </cell>
        </row>
        <row r="2355">
          <cell r="A2355">
            <v>119678</v>
          </cell>
          <cell r="B2355" t="str">
            <v>WESLEY LUCAS AGUIAR DOS ANJOS</v>
          </cell>
          <cell r="C2355" t="str">
            <v>AJUDANTE EQ SERVICOS DIVERSOS</v>
          </cell>
          <cell r="D2355" t="str">
            <v>ECOSAMPA M'Boi Mirim</v>
          </cell>
        </row>
        <row r="2356">
          <cell r="A2356">
            <v>122029</v>
          </cell>
          <cell r="B2356" t="str">
            <v>WESLEY PEREIRA DE SOUZA</v>
          </cell>
          <cell r="C2356" t="str">
            <v>AGENTE AMBIENTAL</v>
          </cell>
          <cell r="D2356" t="str">
            <v>ECOSAMPA Operação Geral</v>
          </cell>
        </row>
        <row r="2357">
          <cell r="A2357">
            <v>114752</v>
          </cell>
          <cell r="B2357" t="str">
            <v>WESLEY SERDEIRA ALVES</v>
          </cell>
          <cell r="C2357" t="str">
            <v>AJUDANTE EQ SERVICOS DIVERSOS</v>
          </cell>
          <cell r="D2357" t="str">
            <v>ECOSAMPA M'Boi Mirim</v>
          </cell>
        </row>
        <row r="2358">
          <cell r="A2358">
            <v>114360</v>
          </cell>
          <cell r="B2358" t="str">
            <v>WESLEY SILVA COSTA</v>
          </cell>
          <cell r="C2358" t="str">
            <v>AJUDANTE EQ SERVICOS DIVERSOS</v>
          </cell>
          <cell r="D2358" t="str">
            <v>ECOSAMPA Santo Amaro</v>
          </cell>
        </row>
        <row r="2359">
          <cell r="A2359">
            <v>121512</v>
          </cell>
          <cell r="B2359" t="str">
            <v>WESLEY SOARES DA SILVA OLIVEIRA</v>
          </cell>
          <cell r="C2359" t="str">
            <v>AJUDANTE EQ SERVICOS DIVERSOS</v>
          </cell>
          <cell r="D2359" t="str">
            <v>ECOSAMPA Operação Geral</v>
          </cell>
        </row>
        <row r="2360">
          <cell r="A2360">
            <v>122554</v>
          </cell>
          <cell r="B2360" t="str">
            <v>WESLEY SOARES DA SILVA OLIVEIRA</v>
          </cell>
          <cell r="C2360" t="str">
            <v>AJUDANTE EQ SERVICOS DIVERSOS</v>
          </cell>
          <cell r="D2360" t="str">
            <v>ECOSAMPA Santo Amaro</v>
          </cell>
        </row>
        <row r="2361">
          <cell r="A2361">
            <v>121527</v>
          </cell>
          <cell r="B2361" t="str">
            <v>WESLEY VIRGINIO DA SILVA</v>
          </cell>
          <cell r="C2361" t="str">
            <v>AJUDANTE EQ SERVICOS DIVERSOS</v>
          </cell>
          <cell r="D2361" t="str">
            <v>ECOSAMPA Operação Geral</v>
          </cell>
        </row>
        <row r="2362">
          <cell r="A2362">
            <v>122553</v>
          </cell>
          <cell r="B2362" t="str">
            <v>WESLEY VIRGINIO DA SILVA</v>
          </cell>
          <cell r="C2362" t="str">
            <v>AJUDANTE EQ SERVICOS DIVERSOS</v>
          </cell>
          <cell r="D2362" t="str">
            <v>ECOSAMPA Santo Amaro</v>
          </cell>
        </row>
        <row r="2363">
          <cell r="A2363">
            <v>113074</v>
          </cell>
          <cell r="B2363" t="str">
            <v>WEVERSON DA SILVA FELIPE</v>
          </cell>
          <cell r="C2363" t="str">
            <v>MOTORISTA CAMINHAO</v>
          </cell>
          <cell r="D2363" t="str">
            <v>ECOSAMPA Operação Geral</v>
          </cell>
        </row>
        <row r="2364">
          <cell r="A2364">
            <v>121329</v>
          </cell>
          <cell r="B2364" t="str">
            <v>WEVERTON DA SILVA PASSOS DOS SANTOS</v>
          </cell>
          <cell r="C2364" t="str">
            <v>VARREDOR</v>
          </cell>
          <cell r="D2364" t="str">
            <v>ECOSAMPA Capela do Socorro</v>
          </cell>
        </row>
        <row r="2365">
          <cell r="A2365">
            <v>121029</v>
          </cell>
          <cell r="B2365" t="str">
            <v>WILAMS DOS SANTOS</v>
          </cell>
          <cell r="C2365" t="str">
            <v>VARREDOR</v>
          </cell>
          <cell r="D2365" t="str">
            <v>ECOSAMPA M'Boi Mirim</v>
          </cell>
        </row>
        <row r="2366">
          <cell r="A2366">
            <v>112363</v>
          </cell>
          <cell r="B2366" t="str">
            <v>WILIAM MOREIRA NASCIMENTO</v>
          </cell>
          <cell r="C2366" t="str">
            <v>AJUDANTE EQ SERVICOS DIVERSOS</v>
          </cell>
          <cell r="D2366" t="str">
            <v>ECOSAMPA Campo Limpo</v>
          </cell>
        </row>
        <row r="2367">
          <cell r="A2367">
            <v>112903</v>
          </cell>
          <cell r="B2367" t="str">
            <v>WILIS MARINHO DE ALMEIDA</v>
          </cell>
          <cell r="C2367" t="str">
            <v>VARREDOR</v>
          </cell>
          <cell r="D2367" t="str">
            <v>ECOSAMPA Santo Amaro</v>
          </cell>
        </row>
        <row r="2368">
          <cell r="A2368">
            <v>114092</v>
          </cell>
          <cell r="B2368" t="str">
            <v>WILLI CORREIA DOS SANTOS</v>
          </cell>
          <cell r="C2368" t="str">
            <v>AJUDANTE EQ SERVICOS DIVERSOS</v>
          </cell>
          <cell r="D2368" t="str">
            <v>ECOSAMPA M'Boi Mirim</v>
          </cell>
        </row>
        <row r="2369">
          <cell r="A2369">
            <v>112250</v>
          </cell>
          <cell r="B2369" t="str">
            <v>WILLIAM ALVES DO NASCIMENTO</v>
          </cell>
          <cell r="C2369" t="str">
            <v>AJUDANTE EQ SERVICOS DIVERSOS</v>
          </cell>
          <cell r="D2369" t="str">
            <v>ECOSAMPA M'Boi Mirim</v>
          </cell>
        </row>
        <row r="2370">
          <cell r="A2370">
            <v>112893</v>
          </cell>
          <cell r="B2370" t="str">
            <v>WILLIAM ARAUJO DA SILVA</v>
          </cell>
          <cell r="C2370" t="str">
            <v>FISCAL DE TURMA PLENO</v>
          </cell>
          <cell r="D2370" t="str">
            <v>ECOSAMPA Santo Amaro</v>
          </cell>
        </row>
        <row r="2371">
          <cell r="A2371">
            <v>112249</v>
          </cell>
          <cell r="B2371" t="str">
            <v>WILLIAM DA SILVA SALVADOR</v>
          </cell>
          <cell r="C2371" t="str">
            <v>AJUDANTE EQ SERVICOS DIVERSOS</v>
          </cell>
          <cell r="D2371" t="str">
            <v>ECOSAMPA Operação Geral</v>
          </cell>
        </row>
        <row r="2372">
          <cell r="A2372">
            <v>114985</v>
          </cell>
          <cell r="B2372" t="str">
            <v>WILLIAM DE SOUSA ALVES</v>
          </cell>
          <cell r="C2372" t="str">
            <v>AJUDANTE EQ SERVICOS DIVERSOS</v>
          </cell>
          <cell r="D2372" t="str">
            <v>ECOSAMPA Operação Geral</v>
          </cell>
        </row>
        <row r="2373">
          <cell r="A2373">
            <v>112896</v>
          </cell>
          <cell r="B2373" t="str">
            <v>WILLIAM DIAS DA SILVA</v>
          </cell>
          <cell r="C2373" t="str">
            <v>COLETOR</v>
          </cell>
          <cell r="D2373" t="str">
            <v>ECOSAMPA Operação Geral</v>
          </cell>
        </row>
        <row r="2374">
          <cell r="A2374">
            <v>116317</v>
          </cell>
          <cell r="B2374" t="str">
            <v>WILLIAM DOS SANTOS RIBEIRO</v>
          </cell>
          <cell r="C2374" t="str">
            <v>AJUDANTE EQ SERVICOS DIVERSOS</v>
          </cell>
          <cell r="D2374" t="str">
            <v>ECOSAMPA Parelheiros</v>
          </cell>
        </row>
        <row r="2375">
          <cell r="A2375">
            <v>112368</v>
          </cell>
          <cell r="B2375" t="str">
            <v>WILLIAM LIMA DE JESUS</v>
          </cell>
          <cell r="C2375" t="str">
            <v>AJUDANTE EQ SERVICOS DIVERSOS</v>
          </cell>
          <cell r="D2375" t="str">
            <v>ECOSAMPA Campo Limpo</v>
          </cell>
        </row>
        <row r="2376">
          <cell r="A2376">
            <v>112626</v>
          </cell>
          <cell r="B2376" t="str">
            <v>WILLIAM LIMA SILVA</v>
          </cell>
          <cell r="C2376" t="str">
            <v>AJUDANTE EQ SERVICOS DIVERSOS</v>
          </cell>
          <cell r="D2376" t="str">
            <v>ECOSAMPA Capela do Socorro</v>
          </cell>
        </row>
        <row r="2377">
          <cell r="A2377">
            <v>113846</v>
          </cell>
          <cell r="B2377" t="str">
            <v>WILLIAM LUIZ DA SILVA</v>
          </cell>
          <cell r="C2377" t="str">
            <v>COMPRADOR</v>
          </cell>
          <cell r="D2377" t="str">
            <v>ECOSAMPA Administração</v>
          </cell>
        </row>
        <row r="2378">
          <cell r="A2378">
            <v>116717</v>
          </cell>
          <cell r="B2378" t="str">
            <v>WILLIAM MOTA DA SILVA</v>
          </cell>
          <cell r="C2378" t="str">
            <v>AJUDANTE EQ SERVICOS DIVERSOS</v>
          </cell>
          <cell r="D2378" t="str">
            <v>ECOSAMPA Campo Limpo</v>
          </cell>
        </row>
        <row r="2379">
          <cell r="A2379">
            <v>112898</v>
          </cell>
          <cell r="B2379" t="str">
            <v>WILLIAM PROFIRO DE SOUZA</v>
          </cell>
          <cell r="C2379" t="str">
            <v>COLETOR</v>
          </cell>
          <cell r="D2379" t="str">
            <v>ECOSAMPA Operação Geral</v>
          </cell>
        </row>
        <row r="2380">
          <cell r="A2380">
            <v>112618</v>
          </cell>
          <cell r="B2380" t="str">
            <v>WILLIAN ANDRADE LEAL</v>
          </cell>
          <cell r="C2380" t="str">
            <v>FISCAL DE TURMA PLENO</v>
          </cell>
          <cell r="D2380" t="str">
            <v>ECOSAMPA Capela do Socorro</v>
          </cell>
        </row>
        <row r="2381">
          <cell r="A2381">
            <v>112628</v>
          </cell>
          <cell r="B2381" t="str">
            <v>WILLIAN CARDOSO DA SILVA</v>
          </cell>
          <cell r="C2381" t="str">
            <v>AJUDANTE EQ SERVICOS DIVERSOS</v>
          </cell>
          <cell r="D2381" t="str">
            <v>ECOSAMPA Capela do Socorro</v>
          </cell>
        </row>
        <row r="2382">
          <cell r="A2382">
            <v>112901</v>
          </cell>
          <cell r="B2382" t="str">
            <v>WILLIAN DE FARIAS ALMEIDA</v>
          </cell>
          <cell r="C2382" t="str">
            <v>AJUDANTE EQ SERVICOS DIVERSOS</v>
          </cell>
          <cell r="D2382" t="str">
            <v>ECOSAMPA Operação Geral</v>
          </cell>
        </row>
        <row r="2383">
          <cell r="A2383">
            <v>113932</v>
          </cell>
          <cell r="B2383" t="str">
            <v>WILLIAN DOS SANTOS LOPES</v>
          </cell>
          <cell r="C2383" t="str">
            <v>TECNICO EM SEGURANCA DO TRABALHO JUNIOR</v>
          </cell>
          <cell r="D2383" t="str">
            <v>ECOSAMPA Operação Geral</v>
          </cell>
        </row>
        <row r="2384">
          <cell r="A2384">
            <v>113770</v>
          </cell>
          <cell r="B2384" t="str">
            <v>WILLIAN NASCIMENTO SILVA</v>
          </cell>
          <cell r="C2384" t="str">
            <v>AUXILIAR DE CHECK LIST</v>
          </cell>
          <cell r="D2384" t="str">
            <v>ECOSAMPA Operação Geral</v>
          </cell>
        </row>
        <row r="2385">
          <cell r="A2385">
            <v>119110</v>
          </cell>
          <cell r="B2385" t="str">
            <v>WILLIANS MAXIMINO DOS SANTOS</v>
          </cell>
          <cell r="C2385" t="str">
            <v>AJUDANTE EQ SERVICOS DIVERSOS</v>
          </cell>
          <cell r="D2385" t="str">
            <v>ECOSAMPA Capela do Socorro</v>
          </cell>
        </row>
        <row r="2386">
          <cell r="A2386">
            <v>114265</v>
          </cell>
          <cell r="B2386" t="str">
            <v>WILLINS RODRIGO TEODORO</v>
          </cell>
          <cell r="C2386" t="str">
            <v>AJUDANTE EQ SERVICOS DIVERSOS</v>
          </cell>
          <cell r="D2386" t="str">
            <v>ECOSAMPA Santo Amaro</v>
          </cell>
        </row>
        <row r="2387">
          <cell r="A2387">
            <v>112905</v>
          </cell>
          <cell r="B2387" t="str">
            <v>WILLY CASTRO VIEIRA</v>
          </cell>
          <cell r="C2387" t="str">
            <v>AJUDANTE EQ SERVICOS DIVERSOS</v>
          </cell>
          <cell r="D2387" t="str">
            <v>ECOSAMPA Santo Amaro</v>
          </cell>
        </row>
        <row r="2388">
          <cell r="A2388">
            <v>112907</v>
          </cell>
          <cell r="B2388" t="str">
            <v>WILSON AUGUSTO</v>
          </cell>
          <cell r="C2388" t="str">
            <v>COLETOR</v>
          </cell>
          <cell r="D2388" t="str">
            <v>ECOSAMPA Operação Geral</v>
          </cell>
        </row>
        <row r="2389">
          <cell r="A2389">
            <v>114748</v>
          </cell>
          <cell r="B2389" t="str">
            <v>WILSON CAMARGO DE AMANCIO</v>
          </cell>
          <cell r="C2389" t="str">
            <v>AJUDANTE EQ SERVICOS DIVERSOS</v>
          </cell>
          <cell r="D2389" t="str">
            <v>ECOSAMPA Santo Amaro</v>
          </cell>
        </row>
        <row r="2390">
          <cell r="A2390">
            <v>114769</v>
          </cell>
          <cell r="B2390" t="str">
            <v>WILSON CARDOSO BARBOSA</v>
          </cell>
          <cell r="C2390" t="str">
            <v>MOTORISTA CAMINHAO</v>
          </cell>
          <cell r="D2390" t="str">
            <v>ECOSAMPA Operação Geral</v>
          </cell>
        </row>
        <row r="2391">
          <cell r="A2391">
            <v>114949</v>
          </cell>
          <cell r="B2391" t="str">
            <v>WILSON CARDOSO BARBOSA</v>
          </cell>
          <cell r="C2391" t="str">
            <v>MOTORISTA CAMINHAO</v>
          </cell>
          <cell r="D2391" t="str">
            <v>ECOSAMPA Operação Geral</v>
          </cell>
        </row>
        <row r="2392">
          <cell r="A2392">
            <v>113883</v>
          </cell>
          <cell r="B2392" t="str">
            <v>WILSON ROBERTO DE OLIVEIRA</v>
          </cell>
          <cell r="C2392" t="str">
            <v>GERENTE ADMINISTRATIVO</v>
          </cell>
          <cell r="D2392" t="str">
            <v>ECOSAMPA PJ</v>
          </cell>
        </row>
        <row r="2393">
          <cell r="A2393">
            <v>112631</v>
          </cell>
          <cell r="B2393" t="str">
            <v>WILSON ROBERTO DE SOUZA</v>
          </cell>
          <cell r="C2393" t="str">
            <v>VARREDOR</v>
          </cell>
          <cell r="D2393" t="str">
            <v>ECOSAMPA Capela do Socorro</v>
          </cell>
        </row>
        <row r="2394">
          <cell r="A2394">
            <v>112374</v>
          </cell>
          <cell r="B2394" t="str">
            <v>WILTON ROBSON GUEDES QUEIROZ</v>
          </cell>
          <cell r="C2394" t="str">
            <v>AJUDANTE EQ SERVICOS DIVERSOS</v>
          </cell>
          <cell r="D2394" t="str">
            <v>ECOSAMPA Campo Limpo</v>
          </cell>
        </row>
        <row r="2395">
          <cell r="A2395">
            <v>112376</v>
          </cell>
          <cell r="B2395" t="str">
            <v>WILTON SOUSA SILVA</v>
          </cell>
          <cell r="C2395" t="str">
            <v>LAVADOR</v>
          </cell>
          <cell r="D2395" t="str">
            <v>ECOSAMPA Operação Geral</v>
          </cell>
        </row>
        <row r="2396">
          <cell r="A2396">
            <v>116722</v>
          </cell>
          <cell r="B2396" t="str">
            <v>YAGO DOS SANTOS LIMA</v>
          </cell>
          <cell r="C2396" t="str">
            <v>AJUDANTE EQ SERVICOS DIVERSOS</v>
          </cell>
          <cell r="D2396" t="str">
            <v>ECOSAMPA Campo Limpo</v>
          </cell>
        </row>
        <row r="2397">
          <cell r="A2397">
            <v>112911</v>
          </cell>
          <cell r="B2397" t="str">
            <v>ZELINO DOS SANTOS MACHADO</v>
          </cell>
          <cell r="C2397" t="str">
            <v>COLETOR</v>
          </cell>
          <cell r="D2397" t="str">
            <v>ECOSAMPA Operação Geral</v>
          </cell>
        </row>
        <row r="2398">
          <cell r="A2398">
            <v>112683</v>
          </cell>
          <cell r="B2398" t="str">
            <v>ZELITA GALDINO DA SILVA</v>
          </cell>
          <cell r="C2398" t="str">
            <v>AJUDANTE EQ SERVICOS DIVERSOS</v>
          </cell>
          <cell r="D2398" t="str">
            <v>ECOSAMPA Santo Amaro</v>
          </cell>
        </row>
        <row r="2399">
          <cell r="A2399">
            <v>112805</v>
          </cell>
          <cell r="B2399" t="str">
            <v>ZENIL SANTANA DE AGUIAR</v>
          </cell>
          <cell r="C2399" t="str">
            <v>TECNICO EM SEGURANCA DO TRABALHO SENIOR</v>
          </cell>
          <cell r="D2399" t="str">
            <v>ECOSAMPA Operação Geral</v>
          </cell>
        </row>
        <row r="2400">
          <cell r="A2400">
            <v>112915</v>
          </cell>
          <cell r="B2400" t="str">
            <v>ZENILDO BATISTA PEREIRA</v>
          </cell>
          <cell r="C2400" t="str">
            <v>COLETOR</v>
          </cell>
          <cell r="D2400" t="str">
            <v>ECOSAMPA Operação Geral</v>
          </cell>
        </row>
        <row r="2401">
          <cell r="A2401">
            <v>112685</v>
          </cell>
          <cell r="B2401" t="str">
            <v>ZILDA CANDIDO DA SILVA</v>
          </cell>
          <cell r="C2401" t="str">
            <v>AJUDANTE EQ SERVICOS DIVERSOS</v>
          </cell>
          <cell r="D2401" t="str">
            <v>ECOSAMPA Campo Limpo</v>
          </cell>
        </row>
        <row r="2402">
          <cell r="A2402">
            <v>114558</v>
          </cell>
          <cell r="B2402" t="str">
            <v>ZILDO JOSE DA SILVA</v>
          </cell>
          <cell r="C2402" t="str">
            <v>AJUDANTE EQ SERVICOS DIVERSOS</v>
          </cell>
          <cell r="D2402" t="str">
            <v>ECOSAMPA Capela do Socorro</v>
          </cell>
        </row>
        <row r="2403">
          <cell r="A2403">
            <v>112918</v>
          </cell>
          <cell r="B2403" t="str">
            <v>ZOZELITO MARQUES BEZERRA</v>
          </cell>
          <cell r="C2403" t="str">
            <v>COLETOR</v>
          </cell>
          <cell r="D2403" t="str">
            <v>ECOSAMPA Operação Geral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jair Patricio" refreshedDate="45169.450241435188" createdVersion="8" refreshedVersion="8" minRefreshableVersion="3" recordCount="1452" xr:uid="{075D14AA-AD9E-4B0B-BCDA-21AC9A869904}">
  <cacheSource type="worksheet">
    <worksheetSource ref="A1:E1453" sheet="FALTAS"/>
  </cacheSource>
  <cacheFields count="5">
    <cacheField name="Id Contratado" numFmtId="166">
      <sharedItems containsSemiMixedTypes="0" containsString="0" containsNumber="1" containsInteger="1" minValue="112169" maxValue="122632"/>
    </cacheField>
    <cacheField name="Nome" numFmtId="0">
      <sharedItems/>
    </cacheField>
    <cacheField name="Cargo" numFmtId="0">
      <sharedItems/>
    </cacheField>
    <cacheField name="FALTAS" numFmtId="0">
      <sharedItems containsSemiMixedTypes="0" containsString="0" containsNumber="1" containsInteger="1" minValue="0" maxValue="26"/>
    </cacheField>
    <cacheField name="SITUAÇÃO" numFmtId="0">
      <sharedItems count="6">
        <s v="Em Atividade Normal"/>
        <s v="Gozando Férias"/>
        <s v="Cumprimento de Pena de Reclusão"/>
        <s v="Auxílio-Doença"/>
        <s v="Acidente do Trabalho"/>
        <s v="Afastado Pré-Auxílio-Doenç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169.64303634259" createdVersion="8" refreshedVersion="8" minRefreshableVersion="3" recordCount="1445" xr:uid="{C8CFA788-D103-438F-9649-222DEE665A40}">
  <cacheSource type="worksheet">
    <worksheetSource ref="A1:I1446" sheet="MES A MES"/>
  </cacheSource>
  <cacheFields count="9">
    <cacheField name="ID" numFmtId="166">
      <sharedItems containsSemiMixedTypes="0" containsString="0" containsNumber="1" containsInteger="1" minValue="112169" maxValue="122632"/>
    </cacheField>
    <cacheField name="NOME" numFmtId="0">
      <sharedItems/>
    </cacheField>
    <cacheField name="Cargo" numFmtId="0">
      <sharedItems/>
    </cacheField>
    <cacheField name="REGIONAL" numFmtId="0">
      <sharedItems count="8">
        <s v="ECOSAMPA M'Boi Mirim"/>
        <s v="ECOSAMPA Santo Amaro"/>
        <s v="ECOSAMPA Operação Geral"/>
        <s v="ECOSAMPA Capela do Socorro"/>
        <s v="ECOSAMPA Parelheiros"/>
        <s v="ECOSAMPA Campo Limpo"/>
        <s v="ECOSAMPA Administração"/>
        <s v="ECOSAMPA PJ"/>
      </sharedItems>
    </cacheField>
    <cacheField name="ADMISSÃO" numFmtId="14">
      <sharedItems containsSemiMixedTypes="0" containsNonDate="0" containsDate="1" containsString="0" minDate="2019-04-23T00:00:00" maxDate="2023-08-08T00:00:00"/>
    </cacheField>
    <cacheField name="AGOSTO-2023" numFmtId="165">
      <sharedItems containsSemiMixedTypes="0" containsString="0" containsNumber="1" minValue="0" maxValue="1380" count="26">
        <n v="1016.96"/>
        <n v="657.5"/>
        <n v="940.39"/>
        <n v="978.67000000000007"/>
        <n v="359.46"/>
        <n v="442.73"/>
        <n v="1016.95"/>
        <n v="1290.76"/>
        <n v="634.14"/>
        <n v="863.83"/>
        <n v="902.11"/>
        <n v="519.29"/>
        <n v="787.26"/>
        <n v="327.88"/>
        <n v="825.55"/>
        <n v="1055.25"/>
        <n v="434.79"/>
        <n v="0"/>
        <n v="273.8"/>
        <n v="186.21"/>
        <n v="1110.06"/>
        <n v="672.42000000000007"/>
        <n v="1380"/>
        <n v="174.75"/>
        <n v="748.98"/>
        <n v="1131.81"/>
      </sharedItems>
    </cacheField>
    <cacheField name="SETEMBRO" numFmtId="165">
      <sharedItems containsSemiMixedTypes="0" containsString="0" containsNumber="1" minValue="0" maxValue="1845.5900000000001" count="24">
        <n v="1016.96"/>
        <n v="359.46"/>
        <n v="978.67000000000007"/>
        <n v="657.5"/>
        <n v="940.39"/>
        <n v="0"/>
        <n v="902.11"/>
        <n v="249.55"/>
        <n v="969.03"/>
        <n v="174.75"/>
        <n v="863.83"/>
        <n v="1309.18"/>
        <n v="885.46"/>
        <n v="787.26"/>
        <n v="335.49"/>
        <n v="1016.95"/>
        <n v="1845.5900000000001"/>
        <n v="825.55"/>
        <n v="634.14"/>
        <n v="1055.92"/>
        <n v="1200"/>
        <n v="748.98"/>
        <n v="1380" u="1"/>
        <n v="718.92" u="1"/>
      </sharedItems>
    </cacheField>
    <cacheField name="DIFERENÇA" numFmtId="170">
      <sharedItems containsSemiMixedTypes="0" containsString="0" containsNumber="1" minValue="-1016.96" maxValue="1845.5900000000001"/>
    </cacheField>
    <cacheField name="Situação" numFmtId="0">
      <sharedItems count="10">
        <s v="Em Atividade Normal"/>
        <s v="AFASTADO"/>
        <s v="Gozando Férias"/>
        <s v="Demitido no Mês"/>
        <s v="ADMISSÃO"/>
        <s v="Acidente do Trabalho" u="1"/>
        <s v="Auxílio-Doença" u="1"/>
        <s v="Licença-Maternidade" u="1"/>
        <s v="Afastado Pré-Auxílio-Doença" u="1"/>
        <s v="Demitido em Meses Anteriore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2">
  <r>
    <n v="112169"/>
    <s v="CARLIONEI HOLANDA DE SOUSA"/>
    <s v="VARREDOR"/>
    <n v="0"/>
    <x v="0"/>
  </r>
  <r>
    <n v="112170"/>
    <s v="CARLITO PASTOR DA SILVA"/>
    <s v="VARREDOR"/>
    <n v="0"/>
    <x v="0"/>
  </r>
  <r>
    <n v="112171"/>
    <s v="ADILSON FLORES DE LIMA"/>
    <s v="AJUDANTE EQ SERVICOS DIVERSOS"/>
    <n v="1"/>
    <x v="0"/>
  </r>
  <r>
    <n v="112172"/>
    <s v="ROGERIO OLIVEIRA LARA"/>
    <s v="FISCAL DE TRAFEGO PLENO"/>
    <n v="0"/>
    <x v="1"/>
  </r>
  <r>
    <n v="112173"/>
    <s v="ADRIANA MARIA REGIS DA SILVA"/>
    <s v="AJUDANTE EQ SERVICOS DIVERSOS"/>
    <n v="0"/>
    <x v="0"/>
  </r>
  <r>
    <n v="112174"/>
    <s v="AGNALDO DA SILVA ARAUJO"/>
    <s v="AJUDANTE EQ SERVICOS DIVERSOS"/>
    <n v="0"/>
    <x v="0"/>
  </r>
  <r>
    <n v="112175"/>
    <s v="ALESSANDRO DOS SANTOS MARTINS"/>
    <s v="AJUDANTE EQ SERVICOS DIVERSOS"/>
    <n v="0"/>
    <x v="0"/>
  </r>
  <r>
    <n v="112177"/>
    <s v="CARLOS ALBERTO QUEIROZ DE OLIVEIRA"/>
    <s v="MOTORISTA CAMINHAO"/>
    <n v="0"/>
    <x v="0"/>
  </r>
  <r>
    <n v="112178"/>
    <s v="IVANILDO JOSE DE FREITAS"/>
    <s v="AJUDANTE EQ SERVICOS DIVERSOS"/>
    <n v="0"/>
    <x v="0"/>
  </r>
  <r>
    <n v="112179"/>
    <s v="CARLOS ALBERTO TEIXEIRA RAMOS"/>
    <s v="AJUDANTE EQ SERVICOS DIVERSOS"/>
    <n v="0"/>
    <x v="0"/>
  </r>
  <r>
    <n v="112180"/>
    <s v="JHONATAN CALDEIRA DE OLIVEIRA"/>
    <s v="AJUDANTE EQ SERVICOS DIVERSOS"/>
    <n v="0"/>
    <x v="2"/>
  </r>
  <r>
    <n v="112181"/>
    <s v="CARLOS ALENCAR OLIVEIRA SOUZA"/>
    <s v="AJUDANTE EQ SERVICOS DIVERSOS"/>
    <n v="0"/>
    <x v="3"/>
  </r>
  <r>
    <n v="112183"/>
    <s v="CARLOS DE OLIVEIRA BORGES"/>
    <s v="AJUDANTE EQ SERVICOS DIVERSOS"/>
    <n v="0"/>
    <x v="0"/>
  </r>
  <r>
    <n v="112184"/>
    <s v="CARLOS DOS SANTOS"/>
    <s v="VARREDOR"/>
    <n v="0"/>
    <x v="0"/>
  </r>
  <r>
    <n v="112186"/>
    <s v="CARLOS HENRIQUE BASTOS DE OLIVEIRA"/>
    <s v="AJUDANTE EQ SERVICOS DIVERSOS"/>
    <n v="0"/>
    <x v="0"/>
  </r>
  <r>
    <n v="112187"/>
    <s v="CARLOS HENRIQUE TEIXEIRA DE JESUS"/>
    <s v="COLETOR"/>
    <n v="0"/>
    <x v="0"/>
  </r>
  <r>
    <n v="112188"/>
    <s v="JOSE RICARDO DA SILVA"/>
    <s v="BUEIRISTA"/>
    <n v="0"/>
    <x v="0"/>
  </r>
  <r>
    <n v="112189"/>
    <s v="JOSE ROBERTO AVANZI"/>
    <s v="VARREDOR"/>
    <n v="0"/>
    <x v="0"/>
  </r>
  <r>
    <n v="112193"/>
    <s v="MARIA APARECIDA RIBEIRO DIAS"/>
    <s v="AJUDANTE EQ SERVICOS DIVERSOS"/>
    <n v="0"/>
    <x v="1"/>
  </r>
  <r>
    <n v="112194"/>
    <s v="ABELITO FERREIRA DOS SANTOS"/>
    <s v="VARREDOR"/>
    <n v="0"/>
    <x v="0"/>
  </r>
  <r>
    <n v="112196"/>
    <s v="ROGERIO PIRES"/>
    <s v="AJUDANTE EQ SERVICOS DIVERSOS"/>
    <n v="0"/>
    <x v="0"/>
  </r>
  <r>
    <n v="112198"/>
    <s v="ADAELSON ADAUTO SENA DE SIQUEIRA"/>
    <s v="VARREDOR"/>
    <n v="0"/>
    <x v="0"/>
  </r>
  <r>
    <n v="112199"/>
    <s v="ROGERIO RODRIGUES SANTANA"/>
    <s v="AJUDANTE EQ SERVICOS DIVERSOS"/>
    <n v="0"/>
    <x v="0"/>
  </r>
  <r>
    <n v="112201"/>
    <s v="MARIA DA CONCEICAO DE SOUZA FELIX"/>
    <s v="AJUDANTE EQ SERVICOS DIVERSOS"/>
    <n v="0"/>
    <x v="0"/>
  </r>
  <r>
    <n v="112202"/>
    <s v="ROMILDO BESERRA DE ALENCAR"/>
    <s v="AJUDANTE EQ SERVICOS DIVERSOS"/>
    <n v="0"/>
    <x v="0"/>
  </r>
  <r>
    <n v="112204"/>
    <s v="JOANA MORAIS OLIVEIRA"/>
    <s v="AJUDANTE EQ SERVICOS DIVERSOS"/>
    <n v="0"/>
    <x v="0"/>
  </r>
  <r>
    <n v="112205"/>
    <s v="JOSE ROBERTO SOARES DA SILVA"/>
    <s v="VARREDOR"/>
    <n v="0"/>
    <x v="0"/>
  </r>
  <r>
    <n v="112208"/>
    <s v="JOAO EVANGELISTA VIERA DO NASCIMENTO"/>
    <s v="AJUDANTE EQ SERVICOS DIVERSOS"/>
    <n v="0"/>
    <x v="0"/>
  </r>
  <r>
    <n v="112209"/>
    <s v="JOSE ROBERTO SOARES DE ANDRADE"/>
    <s v="VARREDOR"/>
    <n v="0"/>
    <x v="0"/>
  </r>
  <r>
    <n v="112212"/>
    <s v="JOELMA MARIA DE SOUSA"/>
    <s v="AJUDANTE EQ SERVICOS DIVERSOS"/>
    <n v="0"/>
    <x v="0"/>
  </r>
  <r>
    <n v="112213"/>
    <s v="JOSE ROMILDO ARAUJO DOS SANTOS"/>
    <s v="VARREDOR"/>
    <n v="0"/>
    <x v="0"/>
  </r>
  <r>
    <n v="112217"/>
    <s v="SAMARA CORSI VIEIRA"/>
    <s v="VARREDOR"/>
    <n v="0"/>
    <x v="0"/>
  </r>
  <r>
    <n v="112218"/>
    <s v="JEFFERSON DE LIMA SILVA"/>
    <s v="AJUDANTE EQ SERVICOS DIVERSOS"/>
    <n v="0"/>
    <x v="0"/>
  </r>
  <r>
    <n v="112220"/>
    <s v="SAMUEL DOS SANTOS SOUZA ARAUJO"/>
    <s v="VARREDOR"/>
    <n v="0"/>
    <x v="0"/>
  </r>
  <r>
    <n v="112221"/>
    <s v="JOSE DAS GRACAS DOS SANTOS"/>
    <s v="AJUDANTE EQ SERVICOS DIVERSOS"/>
    <n v="0"/>
    <x v="0"/>
  </r>
  <r>
    <n v="112222"/>
    <s v="JOSE ROMIRAN DA SILVA"/>
    <s v="VARREDOR"/>
    <n v="0"/>
    <x v="0"/>
  </r>
  <r>
    <n v="112223"/>
    <s v="JOSE MARIA FERREIRA DE SOUSA"/>
    <s v="VARREDOR"/>
    <n v="0"/>
    <x v="0"/>
  </r>
  <r>
    <n v="112224"/>
    <s v="SEVERINO CANDIDO DA SILVA"/>
    <s v="VARREDOR"/>
    <n v="0"/>
    <x v="0"/>
  </r>
  <r>
    <n v="112225"/>
    <s v="ADAILTON RODRIGUES SANTOS"/>
    <s v="AJUDANTE EQ SERVICOS DIVERSOS"/>
    <n v="0"/>
    <x v="3"/>
  </r>
  <r>
    <n v="112226"/>
    <s v="JAILTON DE AZEVEDO SILVA"/>
    <s v="VARREDOR"/>
    <n v="0"/>
    <x v="0"/>
  </r>
  <r>
    <n v="112227"/>
    <s v="JOSE RONILTON DOS SANTOS"/>
    <s v="AJUDANTE EQ SERVICOS DIVERSOS"/>
    <n v="0"/>
    <x v="0"/>
  </r>
  <r>
    <n v="112228"/>
    <s v="SEVERINO PEDRO DA SILVA"/>
    <s v="VARREDOR"/>
    <n v="0"/>
    <x v="0"/>
  </r>
  <r>
    <n v="112229"/>
    <s v="SEVERINO PEREIRA DE MELO"/>
    <s v="VARREDOR"/>
    <n v="0"/>
    <x v="0"/>
  </r>
  <r>
    <n v="112230"/>
    <s v="MARIA DE FATIMA FARIAS DA SILVA"/>
    <s v="VARREDOR"/>
    <n v="0"/>
    <x v="1"/>
  </r>
  <r>
    <n v="112232"/>
    <s v="JOAO BATISTA DA SILVA"/>
    <s v="VARREDOR"/>
    <n v="0"/>
    <x v="0"/>
  </r>
  <r>
    <n v="112235"/>
    <s v="TOME DE JESUS SANTOS"/>
    <s v="AJUDANTE EQ SERVICOS DIVERSOS"/>
    <n v="0"/>
    <x v="0"/>
  </r>
  <r>
    <n v="112236"/>
    <s v="JOAO CARLOS ARAUJO DA SILVA"/>
    <s v="VARREDOR"/>
    <n v="0"/>
    <x v="0"/>
  </r>
  <r>
    <n v="112237"/>
    <s v="UELTON SANTOS DE ARAUJO"/>
    <s v="AJUDANTE EQ SERVICOS DIVERSOS"/>
    <n v="0"/>
    <x v="0"/>
  </r>
  <r>
    <n v="112238"/>
    <s v="JOAO JOSE DA SILVA"/>
    <s v="VARREDOR"/>
    <n v="0"/>
    <x v="0"/>
  </r>
  <r>
    <n v="112239"/>
    <s v="JOSE SATURNINO DE OLIVEIRA"/>
    <s v="VARREDOR"/>
    <n v="0"/>
    <x v="0"/>
  </r>
  <r>
    <n v="112240"/>
    <s v="MARIA JOSE MARTINS BRAGA"/>
    <s v="VARREDOR"/>
    <n v="0"/>
    <x v="0"/>
  </r>
  <r>
    <n v="112242"/>
    <s v="VALMIR DOS SANTOS MACHADO"/>
    <s v="AJUDANTE EQ SERVICOS DIVERSOS"/>
    <n v="0"/>
    <x v="0"/>
  </r>
  <r>
    <n v="112245"/>
    <s v="JOAO MARTINS DE SOBRAL"/>
    <s v="VARREDOR"/>
    <n v="0"/>
    <x v="0"/>
  </r>
  <r>
    <n v="112248"/>
    <s v="JOAO SEBASTIAO DA SILVA"/>
    <s v="VARREDOR"/>
    <n v="0"/>
    <x v="0"/>
  </r>
  <r>
    <n v="112250"/>
    <s v="WILLIAM ALVES DO NASCIMENTO"/>
    <s v="AJUDANTE EQ SERVICOS DIVERSOS"/>
    <n v="0"/>
    <x v="0"/>
  </r>
  <r>
    <n v="112252"/>
    <s v="JOSE ALVES DA SILVA"/>
    <s v="VARREDOR"/>
    <n v="0"/>
    <x v="0"/>
  </r>
  <r>
    <n v="112253"/>
    <s v="JOSE SERGIO OLIVEIRA DA SILVA"/>
    <s v="MOTORISTA CAMINHAO"/>
    <n v="0"/>
    <x v="0"/>
  </r>
  <r>
    <n v="112254"/>
    <s v="ADELCIO PIMENTEL DOS SANTOS"/>
    <s v="COLETOR"/>
    <n v="0"/>
    <x v="0"/>
  </r>
  <r>
    <n v="112255"/>
    <s v="JOSE ARNALDO DOS SANTOS"/>
    <s v="VARREDOR"/>
    <n v="0"/>
    <x v="0"/>
  </r>
  <r>
    <n v="112256"/>
    <s v="JOSE SOARES"/>
    <s v="AJUDANTE EQ SERVICOS DIVERSOS"/>
    <n v="0"/>
    <x v="1"/>
  </r>
  <r>
    <n v="112257"/>
    <s v="ROMILDO GOMES DE MELO"/>
    <s v="VARREDOR"/>
    <n v="0"/>
    <x v="0"/>
  </r>
  <r>
    <n v="112258"/>
    <s v="ADELSON BEZERRA DA SILVA"/>
    <s v="VARREDOR"/>
    <n v="0"/>
    <x v="0"/>
  </r>
  <r>
    <n v="112259"/>
    <s v="JOSE AUGUSTO SANTOS DO CARMO"/>
    <s v="VARREDOR"/>
    <n v="0"/>
    <x v="0"/>
  </r>
  <r>
    <n v="112261"/>
    <s v="ROMILDO SANTOS"/>
    <s v="VARREDOR"/>
    <n v="0"/>
    <x v="0"/>
  </r>
  <r>
    <n v="112262"/>
    <s v="MARIA MADALENA LIMA CARDOSO"/>
    <s v="AJUDANTE EQ SERVICOS DIVERSOS"/>
    <n v="0"/>
    <x v="0"/>
  </r>
  <r>
    <n v="112263"/>
    <s v="RONALDO DE SOUZA JESUS"/>
    <s v="VARREDOR"/>
    <n v="0"/>
    <x v="0"/>
  </r>
  <r>
    <n v="112264"/>
    <s v="JOSE DOMINGOS ALVES DE OLIVEIRA"/>
    <s v="VARREDOR"/>
    <n v="0"/>
    <x v="0"/>
  </r>
  <r>
    <n v="112265"/>
    <s v="ADELSON DOS SANTOS TEIXEIRA"/>
    <s v="AJUDANTE EQ SERVICOS DIVERSOS"/>
    <n v="0"/>
    <x v="0"/>
  </r>
  <r>
    <n v="112268"/>
    <s v="JOSE VANDERLEI MARTINS"/>
    <s v="VARREDOR"/>
    <n v="0"/>
    <x v="0"/>
  </r>
  <r>
    <n v="112269"/>
    <s v="JOSE MANOEL PEREIRA"/>
    <s v="VARREDOR"/>
    <n v="0"/>
    <x v="0"/>
  </r>
  <r>
    <n v="112271"/>
    <s v="ADELSON FRANCISCO FREITAS"/>
    <s v="AJUDANTE EQ SERVICOS DIVERSOS"/>
    <n v="0"/>
    <x v="0"/>
  </r>
  <r>
    <n v="112273"/>
    <s v="JOSE VANDICO ARAUJO DOS SANTOS"/>
    <s v="AJUDANTE EQ SERVICOS DIVERSOS"/>
    <n v="0"/>
    <x v="1"/>
  </r>
  <r>
    <n v="112274"/>
    <s v="ROSELIO BRAZ FERREIRA"/>
    <s v="COLETOR"/>
    <n v="0"/>
    <x v="1"/>
  </r>
  <r>
    <n v="112277"/>
    <s v="MARINALDO FERREIRA DOS SANTOS"/>
    <s v="AJUDANTE EQ SERVICOS DIVERSOS"/>
    <n v="0"/>
    <x v="0"/>
  </r>
  <r>
    <n v="112278"/>
    <s v="ROSIVALDO FERREIRA DA SILVA"/>
    <s v="VARREDOR"/>
    <n v="0"/>
    <x v="0"/>
  </r>
  <r>
    <n v="112279"/>
    <s v="ADEMIR MANOEL DA SILVA"/>
    <s v="VARREDOR"/>
    <n v="0"/>
    <x v="0"/>
  </r>
  <r>
    <n v="112280"/>
    <s v="JOSE NERIS DA SILVA"/>
    <s v="VARREDOR"/>
    <n v="0"/>
    <x v="0"/>
  </r>
  <r>
    <n v="112281"/>
    <s v="JOSE WELLITON MATEUS GOMES"/>
    <s v="COLETOR"/>
    <n v="0"/>
    <x v="0"/>
  </r>
  <r>
    <n v="112282"/>
    <s v="RUDIMAR DIONISIO MARINHO"/>
    <s v="VARREDOR"/>
    <n v="0"/>
    <x v="0"/>
  </r>
  <r>
    <n v="112283"/>
    <s v="JOSE MARIA DE SOUSA"/>
    <s v="VARREDOR"/>
    <n v="0"/>
    <x v="0"/>
  </r>
  <r>
    <n v="112288"/>
    <s v="ELISEU DE CARVALHO NETO"/>
    <s v="VARREDOR"/>
    <n v="0"/>
    <x v="0"/>
  </r>
  <r>
    <n v="112290"/>
    <s v="SERGIO JOSE DA SILVA"/>
    <s v="VARREDOR"/>
    <n v="0"/>
    <x v="0"/>
  </r>
  <r>
    <n v="112292"/>
    <s v="JOSEMAR CELESTINO DOS SANTOS"/>
    <s v="MOTORISTA CAMINHAO"/>
    <n v="0"/>
    <x v="0"/>
  </r>
  <r>
    <n v="112294"/>
    <s v="SEVERINO DO RAMO FERREIRA DE LIMA"/>
    <s v="VARREDOR"/>
    <n v="0"/>
    <x v="0"/>
  </r>
  <r>
    <n v="112296"/>
    <s v="JOSENILSON FELICIO DOS SANTOS"/>
    <s v="AJUDANTE EQ SERVICOS DIVERSOS"/>
    <n v="0"/>
    <x v="0"/>
  </r>
  <r>
    <n v="112297"/>
    <s v="ELIVANIO BARBOSA SANTOS"/>
    <s v="MOTORISTA CAMINHAO"/>
    <n v="0"/>
    <x v="0"/>
  </r>
  <r>
    <n v="112298"/>
    <s v="SILVANI COELHO DE OLIVEIRA"/>
    <s v="VARREDOR"/>
    <n v="0"/>
    <x v="0"/>
  </r>
  <r>
    <n v="112299"/>
    <s v="ADEMIR SILVA LIMA"/>
    <s v="VARREDOR"/>
    <n v="0"/>
    <x v="0"/>
  </r>
  <r>
    <n v="112301"/>
    <s v="ROGERIO LUIZ RODRIGUES DA SILVA"/>
    <s v="AJUDANTE EQ SERVICOS DIVERSOS"/>
    <n v="0"/>
    <x v="0"/>
  </r>
  <r>
    <n v="112303"/>
    <s v="JESUS FERREIRA DE CARVALHO"/>
    <s v="VARREDOR"/>
    <n v="1"/>
    <x v="0"/>
  </r>
  <r>
    <n v="112306"/>
    <s v="MARIO FERREIRA PACHECO"/>
    <s v="VARREDOR"/>
    <n v="0"/>
    <x v="0"/>
  </r>
  <r>
    <n v="112307"/>
    <s v="JOAQUIM INACIO DE BRITO FILHO"/>
    <s v="VARREDOR"/>
    <n v="0"/>
    <x v="0"/>
  </r>
  <r>
    <n v="112309"/>
    <s v="JOSEVAL FERREIRA MIRANDA"/>
    <s v="AJUDANTE EQ SERVICOS DIVERSOS"/>
    <n v="0"/>
    <x v="0"/>
  </r>
  <r>
    <n v="112315"/>
    <s v="JOSE ADAO RODRIGUES"/>
    <s v="VARREDOR"/>
    <n v="0"/>
    <x v="0"/>
  </r>
  <r>
    <n v="112318"/>
    <s v="CARLOS ROBERTO BARBOSA SALES"/>
    <s v="VARREDOR"/>
    <n v="0"/>
    <x v="1"/>
  </r>
  <r>
    <n v="112319"/>
    <s v="ADILSON DE MATOS FERREIRA JUNIOR"/>
    <s v="AJUDANTE EQ SERVICOS DIVERSOS"/>
    <n v="0"/>
    <x v="0"/>
  </r>
  <r>
    <n v="112320"/>
    <s v="JOSE CAMILO SILVEIRA"/>
    <s v="VARREDOR"/>
    <n v="0"/>
    <x v="0"/>
  </r>
  <r>
    <n v="112322"/>
    <s v="UELISON SILVA DOS SANTOS"/>
    <s v="BUEIRISTA"/>
    <n v="0"/>
    <x v="0"/>
  </r>
  <r>
    <n v="112324"/>
    <s v="CARLOS ROBERTO DA SILVA"/>
    <s v="VARREDOR"/>
    <n v="0"/>
    <x v="1"/>
  </r>
  <r>
    <n v="112327"/>
    <s v="CARLOS ROBERTO DA SILVA JESUS"/>
    <s v="AJUDANTE EQ SERVICOS DIVERSOS"/>
    <n v="0"/>
    <x v="0"/>
  </r>
  <r>
    <n v="112328"/>
    <s v="JOSE CARLOS ZACARIAS"/>
    <s v="VARREDOR"/>
    <n v="0"/>
    <x v="0"/>
  </r>
  <r>
    <n v="112329"/>
    <s v="VAGNER SOARES"/>
    <s v="AJUDANTE EQ SERVICOS DIVERSOS"/>
    <n v="0"/>
    <x v="0"/>
  </r>
  <r>
    <n v="112330"/>
    <s v="JOSE RAIMUNDO DA SILVA MATOS"/>
    <s v="VARREDOR"/>
    <n v="0"/>
    <x v="0"/>
  </r>
  <r>
    <n v="112331"/>
    <s v="VALDEMAR DOS SANTOS"/>
    <s v="VARREDOR"/>
    <n v="0"/>
    <x v="0"/>
  </r>
  <r>
    <n v="112332"/>
    <s v="VALDINEI MARTINS CRUZ"/>
    <s v="VARREDOR"/>
    <n v="0"/>
    <x v="0"/>
  </r>
  <r>
    <n v="112333"/>
    <s v="VALTER JOSE DA SILVA"/>
    <s v="VARREDOR"/>
    <n v="0"/>
    <x v="0"/>
  </r>
  <r>
    <n v="112334"/>
    <s v="CARLOS ROBERTO ROCHA DA SILVA"/>
    <s v="VARREDOR"/>
    <n v="0"/>
    <x v="1"/>
  </r>
  <r>
    <n v="112337"/>
    <s v="JOSE MARCOS DA SILVA QUINTINO"/>
    <s v="VARREDOR"/>
    <n v="0"/>
    <x v="0"/>
  </r>
  <r>
    <n v="112338"/>
    <s v="JHONY ROCHA DE LIMA"/>
    <s v="AJUDANTE EQ SERVICOS DIVERSOS"/>
    <n v="0"/>
    <x v="0"/>
  </r>
  <r>
    <n v="112340"/>
    <s v="CARLOS ROGER DE SOUZA JESUS"/>
    <s v="FISCAL DE TURMA PLENO"/>
    <n v="0"/>
    <x v="0"/>
  </r>
  <r>
    <n v="112341"/>
    <s v="JOAO BATISTA DOS SANTOS"/>
    <s v="AJUDANTE EQ SERVICOS DIVERSOS"/>
    <n v="0"/>
    <x v="0"/>
  </r>
  <r>
    <n v="112345"/>
    <s v="WALLACE TAVARES DA SILVA"/>
    <s v="BUEIRISTA"/>
    <n v="0"/>
    <x v="0"/>
  </r>
  <r>
    <n v="112346"/>
    <s v="JOAO DOMINGOS DA SILVA FILHO"/>
    <s v="AJUDANTE EQ SERVICOS DIVERSOS"/>
    <n v="0"/>
    <x v="0"/>
  </r>
  <r>
    <n v="112348"/>
    <s v="CARLOS SIMON SELIS DE OLIVEIRA"/>
    <s v="VARREDOR"/>
    <n v="0"/>
    <x v="1"/>
  </r>
  <r>
    <n v="112349"/>
    <s v="JOAO PAULO VIEIRA"/>
    <s v="AJUDANTE EQ SERVICOS DIVERSOS"/>
    <n v="0"/>
    <x v="0"/>
  </r>
  <r>
    <n v="112352"/>
    <s v="JOSE CARLOS ROQUE DA SILVA"/>
    <s v="AJUDANTE EQ SERVICOS DIVERSOS"/>
    <n v="0"/>
    <x v="0"/>
  </r>
  <r>
    <n v="112353"/>
    <s v="JOSE GASPARINO DE BRITO"/>
    <s v="VARREDOR"/>
    <n v="0"/>
    <x v="1"/>
  </r>
  <r>
    <n v="112354"/>
    <s v="WESLEY BALBINO DA SILVA"/>
    <s v="AJUDANTE EQ SERVICOS DIVERSOS"/>
    <n v="0"/>
    <x v="0"/>
  </r>
  <r>
    <n v="112355"/>
    <s v="ADILSON GOMES EMIDIO"/>
    <s v="VARREDOR"/>
    <n v="0"/>
    <x v="1"/>
  </r>
  <r>
    <n v="112358"/>
    <s v="ADILSON GONCALVES DA SILVA"/>
    <s v="AJUDANTE EQ SERVICOS DIVERSOS"/>
    <n v="0"/>
    <x v="1"/>
  </r>
  <r>
    <n v="112359"/>
    <s v="ELIZEU DA SILVA PEREIRA"/>
    <s v="VARREDOR"/>
    <n v="0"/>
    <x v="0"/>
  </r>
  <r>
    <n v="112363"/>
    <s v="WILIAM MOREIRA NASCIMENTO"/>
    <s v="AJUDANTE EQ SERVICOS DIVERSOS"/>
    <n v="0"/>
    <x v="0"/>
  </r>
  <r>
    <n v="112364"/>
    <s v="JOSIVALDO SILVA DE MELO"/>
    <s v="AJUDANTE EQ SERVICOS DIVERSOS"/>
    <n v="1"/>
    <x v="0"/>
  </r>
  <r>
    <n v="112366"/>
    <s v="ELOI ALENCAR MATIAS"/>
    <s v="MOTORISTA CAMINHAO"/>
    <n v="0"/>
    <x v="0"/>
  </r>
  <r>
    <n v="112368"/>
    <s v="WILLIAM LIMA DE JESUS"/>
    <s v="AJUDANTE EQ SERVICOS DIVERSOS"/>
    <n v="0"/>
    <x v="0"/>
  </r>
  <r>
    <n v="112370"/>
    <s v="JOVELINA MARIA DA SILVA"/>
    <s v="AJUDANTE EQ SERVICOS DIVERSOS"/>
    <n v="0"/>
    <x v="3"/>
  </r>
  <r>
    <n v="112372"/>
    <s v="ELOISA LOPES LARANJEIRA"/>
    <s v="VARREDOR"/>
    <n v="0"/>
    <x v="0"/>
  </r>
  <r>
    <n v="112373"/>
    <s v="MARLI MARIA FAGUNDES DE JESUS"/>
    <s v="AJUDANTE EQ SERVICOS DIVERSOS"/>
    <n v="0"/>
    <x v="0"/>
  </r>
  <r>
    <n v="112376"/>
    <s v="WILTON SOUSA SILVA"/>
    <s v="LAVADOR"/>
    <n v="0"/>
    <x v="0"/>
  </r>
  <r>
    <n v="112377"/>
    <s v="ADRIANO DA SILVA PEREIRA"/>
    <s v="BUEIRISTA"/>
    <n v="0"/>
    <x v="0"/>
  </r>
  <r>
    <n v="112378"/>
    <s v="ELSON AMORIM DE SOUSA"/>
    <s v="VARREDOR"/>
    <n v="0"/>
    <x v="0"/>
  </r>
  <r>
    <n v="112379"/>
    <s v="JUAN CARLOS DIAZ BASCUR"/>
    <s v="MOTORISTA CAMINHAO"/>
    <n v="0"/>
    <x v="0"/>
  </r>
  <r>
    <n v="112380"/>
    <s v="MARTINHO DAMASCENA BRANDAO"/>
    <s v="VARREDOR"/>
    <n v="0"/>
    <x v="0"/>
  </r>
  <r>
    <n v="112381"/>
    <s v="RONALDO GONCALVES DA PENHA"/>
    <s v="COLETOR"/>
    <n v="0"/>
    <x v="0"/>
  </r>
  <r>
    <n v="112382"/>
    <s v="ELSON DOS SANTOS SILVA"/>
    <s v="FISCAL DE TURMA PLENO"/>
    <n v="0"/>
    <x v="0"/>
  </r>
  <r>
    <n v="112383"/>
    <s v="RONALDO JOSE DOS SANTOS"/>
    <s v="VARREDOR"/>
    <n v="0"/>
    <x v="0"/>
  </r>
  <r>
    <n v="112384"/>
    <s v="JUARES ANTONIO DA SILVA"/>
    <s v="MOTORISTA CAMINHAO"/>
    <n v="0"/>
    <x v="0"/>
  </r>
  <r>
    <n v="112389"/>
    <s v="ADRIANO MONTEIRO DOS SANTOS"/>
    <s v="VARREDOR"/>
    <n v="0"/>
    <x v="0"/>
  </r>
  <r>
    <n v="112392"/>
    <s v="MARTINS TOMAZ DE MIRANDA"/>
    <s v="VARREDOR"/>
    <n v="0"/>
    <x v="0"/>
  </r>
  <r>
    <n v="112393"/>
    <s v="ADRIANO NEVES DE MATOS"/>
    <s v="AJUDANTE EQ SERVICOS DIVERSOS"/>
    <n v="0"/>
    <x v="1"/>
  </r>
  <r>
    <n v="112394"/>
    <s v="JULIANA ALVES DE OLIVEIRA"/>
    <s v="VARREDOR"/>
    <n v="0"/>
    <x v="0"/>
  </r>
  <r>
    <n v="112396"/>
    <s v="ADRIANO NILO DOS SANTOS"/>
    <s v="VARREDOR"/>
    <n v="0"/>
    <x v="3"/>
  </r>
  <r>
    <n v="112397"/>
    <s v="MATHEUS CASTRO SENA ROSA"/>
    <s v="VARREDOR"/>
    <n v="0"/>
    <x v="0"/>
  </r>
  <r>
    <n v="112398"/>
    <s v="ROGERIO DOS SANTOS ARAUJO"/>
    <s v="VARREDOR"/>
    <n v="0"/>
    <x v="0"/>
  </r>
  <r>
    <n v="112399"/>
    <s v="ADRIANO RAMOS DOS SANTOS"/>
    <s v="VARREDOR"/>
    <n v="0"/>
    <x v="0"/>
  </r>
  <r>
    <n v="112400"/>
    <s v="EMERSON ARAUJO PEDROSO"/>
    <s v="AUXILIAR DE CONTROLE OPERACIONAL"/>
    <n v="0"/>
    <x v="0"/>
  </r>
  <r>
    <n v="112401"/>
    <s v="JULIANO LAURINDO CAMILO VICENTE"/>
    <s v="MOTORISTA CAMINHAO"/>
    <n v="0"/>
    <x v="0"/>
  </r>
  <r>
    <n v="112402"/>
    <s v="MATHEUS DANTAS"/>
    <s v="AJUDANTE EQ SERVICOS DIVERSOS"/>
    <n v="0"/>
    <x v="0"/>
  </r>
  <r>
    <n v="112403"/>
    <s v="ROGERIO DO ESPIRITO SANTOS"/>
    <s v="VARREDOR"/>
    <n v="0"/>
    <x v="0"/>
  </r>
  <r>
    <n v="112405"/>
    <s v="MATHEUS FERREIRA MACIEL"/>
    <s v="VARREDOR"/>
    <n v="0"/>
    <x v="0"/>
  </r>
  <r>
    <n v="112408"/>
    <s v="JOSE GERALDO DE OLIVEIRA"/>
    <s v="AJUDANTE EQ SERVICOS DIVERSOS"/>
    <n v="0"/>
    <x v="0"/>
  </r>
  <r>
    <n v="112409"/>
    <s v="JOSE INALDO DOS SANTOS SANTANA"/>
    <s v="VARREDOR"/>
    <n v="0"/>
    <x v="0"/>
  </r>
  <r>
    <n v="112410"/>
    <s v="EMERSON GOMES DA SILVA"/>
    <s v="MOTORISTA CAMINHAO"/>
    <n v="0"/>
    <x v="0"/>
  </r>
  <r>
    <n v="112413"/>
    <s v="EMERSON NEVES COSTA"/>
    <s v="MOTORISTA CAMINHAO"/>
    <n v="0"/>
    <x v="0"/>
  </r>
  <r>
    <n v="112414"/>
    <s v="ROGERIO DE AQUINO SILVA"/>
    <s v="MOTORISTA CAMINHAO"/>
    <n v="0"/>
    <x v="0"/>
  </r>
  <r>
    <n v="112415"/>
    <s v="JUNIOR CESAR APARECIDO FERREIRA"/>
    <s v="COLETOR"/>
    <n v="0"/>
    <x v="0"/>
  </r>
  <r>
    <n v="112417"/>
    <s v="EMERSON PAULO DA SILVA LIMA"/>
    <s v="VARREDOR"/>
    <n v="0"/>
    <x v="0"/>
  </r>
  <r>
    <n v="112418"/>
    <s v="JURACI BARBOSA SANTOS"/>
    <s v="VARREDOR"/>
    <n v="0"/>
    <x v="0"/>
  </r>
  <r>
    <n v="112419"/>
    <s v="AFONSO CIMINIO"/>
    <s v="VARREDOR"/>
    <n v="0"/>
    <x v="0"/>
  </r>
  <r>
    <n v="112421"/>
    <s v="JURACI CUSTODIO DE LIMA"/>
    <s v="AJUDANTE EQ SERVICOS DIVERSOS"/>
    <n v="0"/>
    <x v="0"/>
  </r>
  <r>
    <n v="112422"/>
    <s v="AGNALDO BISPO DOS SANTOS"/>
    <s v="VARREDOR"/>
    <n v="0"/>
    <x v="0"/>
  </r>
  <r>
    <n v="112424"/>
    <s v="JURANDIR RODRIGUES DA SILVA"/>
    <s v="VARREDOR"/>
    <n v="0"/>
    <x v="2"/>
  </r>
  <r>
    <n v="112428"/>
    <s v="RUBENS DE ALMEIDA"/>
    <s v="VARREDOR"/>
    <n v="0"/>
    <x v="0"/>
  </r>
  <r>
    <n v="112430"/>
    <s v="AGNELO MARTINS DE SOUZA"/>
    <s v="AJUDANTE EQ SERVICOS DIVERSOS"/>
    <n v="0"/>
    <x v="0"/>
  </r>
  <r>
    <n v="112431"/>
    <s v="JUREMIR ALVES BARROSO"/>
    <s v="AJUDANTE EQ SERVICOS DIVERSOS"/>
    <n v="0"/>
    <x v="0"/>
  </r>
  <r>
    <n v="112432"/>
    <s v="RUBENS SANTOS DE OLIVEIRA JUNIOR"/>
    <s v="AJUDANTE EQ SERVICOS DIVERSOS"/>
    <n v="0"/>
    <x v="0"/>
  </r>
  <r>
    <n v="112433"/>
    <s v="AGRIPINO BRANDAO DE SOUZA SOBRINHO"/>
    <s v="COLETOR"/>
    <n v="0"/>
    <x v="0"/>
  </r>
  <r>
    <n v="112434"/>
    <s v="SAMUEL ALVES DOS ANJOS"/>
    <s v="VARREDOR"/>
    <n v="0"/>
    <x v="0"/>
  </r>
  <r>
    <n v="112436"/>
    <s v="AGUINALDO NASCIMENTO"/>
    <s v="BUEIRISTA"/>
    <n v="0"/>
    <x v="0"/>
  </r>
  <r>
    <n v="112437"/>
    <s v="JUSCELINO FERREIRA FILHO"/>
    <s v="MOTORISTA DE CAMINHAO"/>
    <n v="0"/>
    <x v="0"/>
  </r>
  <r>
    <n v="112439"/>
    <s v="ERALDO COSME DA SILVA"/>
    <s v="COLETOR"/>
    <n v="0"/>
    <x v="0"/>
  </r>
  <r>
    <n v="112440"/>
    <s v="RODRIGO OLIVEIRA DA CRUZ"/>
    <s v="ENCARREGADO DE TURMA"/>
    <n v="0"/>
    <x v="0"/>
  </r>
  <r>
    <n v="112442"/>
    <s v="JOSE MANOEL DA CRUZ"/>
    <s v="AJUDANTE EQ SERVICOS DIVERSOS"/>
    <n v="0"/>
    <x v="0"/>
  </r>
  <r>
    <n v="112443"/>
    <s v="CASSIA GOMES DA SILVA"/>
    <s v="AJUDANTE EQ SERVICOS DIVERSOS"/>
    <n v="0"/>
    <x v="1"/>
  </r>
  <r>
    <n v="112444"/>
    <s v="SAMUEL DE ALCANTARA"/>
    <s v="AJUDANTE EQ SERVICOS DIVERSOS"/>
    <n v="0"/>
    <x v="0"/>
  </r>
  <r>
    <n v="112445"/>
    <s v="MAURA GOMES DOS SANTOS CRUZ"/>
    <s v="VARREDOR"/>
    <n v="0"/>
    <x v="0"/>
  </r>
  <r>
    <n v="112448"/>
    <s v="RODRIGO LOPES DA SILVA"/>
    <s v="VARREDOR"/>
    <n v="0"/>
    <x v="0"/>
  </r>
  <r>
    <n v="112449"/>
    <s v="ERALDO SILVA DE OLIVEIRA"/>
    <s v="VARREDOR"/>
    <n v="0"/>
    <x v="0"/>
  </r>
  <r>
    <n v="112451"/>
    <s v="JEFFERSON SANTOS FERRAZ"/>
    <s v="AJUDANTE EQ SERVICOS DIVERSOS"/>
    <n v="1"/>
    <x v="0"/>
  </r>
  <r>
    <n v="112453"/>
    <s v="MAURICIO MANOEL FEBRONIO"/>
    <s v="VARREDOR"/>
    <n v="0"/>
    <x v="0"/>
  </r>
  <r>
    <n v="112454"/>
    <s v="SANDRO PEREIRA DOS SANTOS"/>
    <s v="AJUDANTE EQ SERVICOS DIVERSOS"/>
    <n v="26"/>
    <x v="0"/>
  </r>
  <r>
    <n v="112457"/>
    <s v="SEBASTIAO DOS REIS OLIVEIRA"/>
    <s v="VARREDOR"/>
    <n v="0"/>
    <x v="0"/>
  </r>
  <r>
    <n v="112458"/>
    <s v="RODRIGO DOS SANTOS OLIVEIRA"/>
    <s v="AJUDANTE EQ SERVICOS DIVERSOS"/>
    <n v="0"/>
    <x v="0"/>
  </r>
  <r>
    <n v="112459"/>
    <s v="JOAQUIM BARBOSA FILHO"/>
    <s v="AUXILIAR DE SEGURANCA DO TRABALHO"/>
    <n v="0"/>
    <x v="0"/>
  </r>
  <r>
    <n v="112461"/>
    <s v="SERGIO LOPES FERREIRA"/>
    <s v="BUEIRISTA"/>
    <n v="0"/>
    <x v="0"/>
  </r>
  <r>
    <n v="112462"/>
    <s v="AILTON ALVES DA SILVA"/>
    <s v="MOTORISTA CAMINHAO"/>
    <n v="0"/>
    <x v="0"/>
  </r>
  <r>
    <n v="112465"/>
    <s v="JOHNATAN FELIPE MARQUES MOTA"/>
    <s v="VARREDOR"/>
    <n v="0"/>
    <x v="0"/>
  </r>
  <r>
    <n v="112469"/>
    <s v="MAURICIO SANTANA"/>
    <s v="VARREDOR"/>
    <n v="0"/>
    <x v="0"/>
  </r>
  <r>
    <n v="112470"/>
    <s v="JUSCIMAR FERREIRA DA LOMBA"/>
    <s v="AJUDANTE EQ SERVICOS DIVERSOS"/>
    <n v="0"/>
    <x v="0"/>
  </r>
  <r>
    <n v="112471"/>
    <s v="ERASMO MIRANDA DOS SANTOS"/>
    <s v="AJUDANTE EQ SERVICOS DIVERSOS"/>
    <n v="0"/>
    <x v="0"/>
  </r>
  <r>
    <n v="112472"/>
    <s v="SEVERINO MANOEL DE FREITAS"/>
    <s v="AJUDANTE EQ SERVICOS DIVERSOS"/>
    <n v="0"/>
    <x v="0"/>
  </r>
  <r>
    <n v="112473"/>
    <s v="ERICK WILLIAM BORGES ARAUJO"/>
    <s v="VARREDOR"/>
    <n v="0"/>
    <x v="0"/>
  </r>
  <r>
    <n v="112475"/>
    <s v="SIDNEI LOPES DA SILVA"/>
    <s v="VARREDOR"/>
    <n v="0"/>
    <x v="0"/>
  </r>
  <r>
    <n v="112476"/>
    <s v="MAURO CESAR DA SILVA"/>
    <s v="ASSISTENTE ADMINISTRATIVO"/>
    <n v="0"/>
    <x v="0"/>
  </r>
  <r>
    <n v="112478"/>
    <s v="KELBER JESUS DOS SANTOS"/>
    <s v="COLETOR"/>
    <n v="0"/>
    <x v="0"/>
  </r>
  <r>
    <n v="112481"/>
    <s v="SILVIO LUIZ DOS SANTOS"/>
    <s v="BUEIRISTA"/>
    <n v="0"/>
    <x v="0"/>
  </r>
  <r>
    <n v="112483"/>
    <s v="TIAGO DO NASCIMENTO FARIAS"/>
    <s v="BUEIRISTA"/>
    <n v="0"/>
    <x v="0"/>
  </r>
  <r>
    <n v="112485"/>
    <s v="TIAGO DOS SANTOS COSTA"/>
    <s v="VARREDOR"/>
    <n v="1"/>
    <x v="0"/>
  </r>
  <r>
    <n v="112489"/>
    <s v="TIBURTINO BESERRA DA SILVA NETO"/>
    <s v="VARREDOR"/>
    <n v="0"/>
    <x v="0"/>
  </r>
  <r>
    <n v="112490"/>
    <s v="CELSO APARECIDO AVELINO"/>
    <s v="COLETOR"/>
    <n v="0"/>
    <x v="0"/>
  </r>
  <r>
    <n v="112492"/>
    <s v="MICHAEL DOMINGOS MACHADO SANTO"/>
    <s v="VARREDOR"/>
    <n v="0"/>
    <x v="0"/>
  </r>
  <r>
    <n v="112494"/>
    <s v="ERIVALDO PEREIRA DE GOUVEIA"/>
    <s v="BUEIRISTA"/>
    <n v="0"/>
    <x v="0"/>
  </r>
  <r>
    <n v="112495"/>
    <s v="JOSE HILDO DE MELO"/>
    <s v="AJUDANTE EQ SERVICOS DIVERSOS"/>
    <n v="0"/>
    <x v="0"/>
  </r>
  <r>
    <n v="112497"/>
    <s v="MICHAEL DOUGLAS DOS SANTOS ALVES"/>
    <s v="AJUDANTE EQ SERVICOS DIVERSOS"/>
    <n v="0"/>
    <x v="0"/>
  </r>
  <r>
    <n v="112498"/>
    <s v="VALDECIR APARECIDO GONCALVES"/>
    <s v="VARREDOR"/>
    <n v="0"/>
    <x v="0"/>
  </r>
  <r>
    <n v="112499"/>
    <s v="JOSE CANDIDO"/>
    <s v="BUEIRISTA"/>
    <n v="0"/>
    <x v="0"/>
  </r>
  <r>
    <n v="112500"/>
    <s v="ERIVAN SILVA ALVES"/>
    <s v="AJUDANTE EQ SERVICOS DIVERSOS"/>
    <n v="0"/>
    <x v="0"/>
  </r>
  <r>
    <n v="112502"/>
    <s v="CELSO RICARDO DE JESUS"/>
    <s v="MOTORISTA CAMINHAO"/>
    <n v="0"/>
    <x v="1"/>
  </r>
  <r>
    <n v="112503"/>
    <s v="KELVIN LOPES DE ALMEIDA"/>
    <s v="AJUDANTE EQ SERVICOS DIVERSOS"/>
    <n v="0"/>
    <x v="0"/>
  </r>
  <r>
    <n v="112504"/>
    <s v="VALDEIR OLIVEIRA SANTOS"/>
    <s v="VARREDOR"/>
    <n v="0"/>
    <x v="0"/>
  </r>
  <r>
    <n v="112505"/>
    <s v="JOSE CARLOS SILVA DOS SANTOS"/>
    <s v="BUEIRISTA"/>
    <n v="0"/>
    <x v="0"/>
  </r>
  <r>
    <n v="112506"/>
    <s v="ERIVANILDO BATISTA LOPES"/>
    <s v="MOTORISTA CAMINHAO"/>
    <n v="0"/>
    <x v="0"/>
  </r>
  <r>
    <n v="112507"/>
    <s v="VALDEIR PEREIRA DOS SANTOS"/>
    <s v="VARREDOR"/>
    <n v="0"/>
    <x v="0"/>
  </r>
  <r>
    <n v="112508"/>
    <s v="JOSE ANTONIO TAVARES DA SILVA"/>
    <s v="BUEIRISTA"/>
    <n v="0"/>
    <x v="0"/>
  </r>
  <r>
    <n v="112510"/>
    <s v="ERNALDO SOUSA DE JESUS"/>
    <s v="AJUDANTE EQ SERVICOS DIVERSOS"/>
    <n v="0"/>
    <x v="0"/>
  </r>
  <r>
    <n v="112512"/>
    <s v="VALDEMIR CARNEIRO DE MOURA"/>
    <s v="AJUDANTE EQ SERVICOS DIVERSOS"/>
    <n v="0"/>
    <x v="0"/>
  </r>
  <r>
    <n v="112513"/>
    <s v="JEFERSON JOSE ANDRADE DE SOUZA"/>
    <s v="FISCAL DE TURMA PLENO"/>
    <n v="0"/>
    <x v="0"/>
  </r>
  <r>
    <n v="112514"/>
    <s v="ERNANDES FLORENTINO SOARES"/>
    <s v="BUEIRISTA"/>
    <n v="0"/>
    <x v="1"/>
  </r>
  <r>
    <n v="112515"/>
    <s v="JORGE LUIZ LEITE OLIVEIRA"/>
    <s v="FISCAL DE TURMA PLENO"/>
    <n v="0"/>
    <x v="0"/>
  </r>
  <r>
    <n v="112517"/>
    <s v="JOSE DE CASTRO OLIVEIRA"/>
    <s v="VARREDOR"/>
    <n v="0"/>
    <x v="0"/>
  </r>
  <r>
    <n v="112518"/>
    <s v="ERONILDO BATISTA DO NASCIMENTO"/>
    <s v="MOTORISTA CAMINHAO"/>
    <n v="0"/>
    <x v="0"/>
  </r>
  <r>
    <n v="112520"/>
    <s v="ESPEDITO RODRIGUES DOS SANTOS"/>
    <s v="VARREDOR"/>
    <n v="0"/>
    <x v="0"/>
  </r>
  <r>
    <n v="112521"/>
    <s v="CELSON DUARTE"/>
    <s v="VARREDOR"/>
    <n v="0"/>
    <x v="0"/>
  </r>
  <r>
    <n v="112522"/>
    <s v="ESPERIDIAO CORREIA DA SILVA"/>
    <s v="VARREDOR"/>
    <n v="0"/>
    <x v="0"/>
  </r>
  <r>
    <n v="112525"/>
    <s v="CHARLES MOREIRA DOS SANTOS"/>
    <s v="MOTORISTA CAMINHAO"/>
    <n v="0"/>
    <x v="0"/>
  </r>
  <r>
    <n v="112526"/>
    <s v="JOSE RAIMUNDO SILVA"/>
    <s v="VARREDOR"/>
    <n v="0"/>
    <x v="0"/>
  </r>
  <r>
    <n v="112527"/>
    <s v="CHRISTIAN ALVES SIQUEIRA DE OLIVEIRA"/>
    <s v="MOTORISTA CAMINHAO"/>
    <n v="0"/>
    <x v="0"/>
  </r>
  <r>
    <n v="112529"/>
    <s v="ISRAEL DANTAS DOS SANTOS"/>
    <s v="VARREDOR"/>
    <n v="0"/>
    <x v="0"/>
  </r>
  <r>
    <n v="112530"/>
    <s v="CICERO ALVES DE MARIO"/>
    <s v="MOTORISTA CAMINHAO"/>
    <n v="0"/>
    <x v="0"/>
  </r>
  <r>
    <n v="112531"/>
    <s v="ITAMAR INACIO DA SILVA"/>
    <s v="VARREDOR"/>
    <n v="0"/>
    <x v="0"/>
  </r>
  <r>
    <n v="112532"/>
    <s v="CICERO ANTONIO FAUSTINO"/>
    <s v="VARREDOR"/>
    <n v="0"/>
    <x v="0"/>
  </r>
  <r>
    <n v="112533"/>
    <s v="CICERO APARECIDO DOS SANTOS"/>
    <s v="VARREDOR"/>
    <n v="0"/>
    <x v="0"/>
  </r>
  <r>
    <n v="112534"/>
    <s v="DAMIAO BEZERRA DE OLIVEIRA"/>
    <s v="AJUDANTE EQ SERVICOS DIVERSOS"/>
    <n v="0"/>
    <x v="0"/>
  </r>
  <r>
    <n v="112535"/>
    <s v="CICERO BENEDITO DA SILVA"/>
    <s v="VARREDOR"/>
    <n v="0"/>
    <x v="1"/>
  </r>
  <r>
    <n v="112537"/>
    <s v="DAMIAO JOSE DA SILVA"/>
    <s v="AJUDANTE EQ SERVICOS DIVERSOS"/>
    <n v="0"/>
    <x v="0"/>
  </r>
  <r>
    <n v="112538"/>
    <s v="CICERO DA SILVA COSTA"/>
    <s v="VARREDOR"/>
    <n v="0"/>
    <x v="0"/>
  </r>
  <r>
    <n v="112539"/>
    <s v="DAMIAO LIMA BISPO"/>
    <s v="VARREDOR"/>
    <n v="0"/>
    <x v="0"/>
  </r>
  <r>
    <n v="112540"/>
    <s v="DAMIAO RODRIGUES PITA"/>
    <s v="AJUDANTE EQ SERVICOS DIVERSOS"/>
    <n v="0"/>
    <x v="0"/>
  </r>
  <r>
    <n v="112542"/>
    <s v="KLEBER JOSE OLIVEIRA DA SILVA"/>
    <s v="AJUDANTE EQ SERVICOS DIVERSOS"/>
    <n v="1"/>
    <x v="0"/>
  </r>
  <r>
    <n v="112544"/>
    <s v="CICERO JOSE DA SILVA"/>
    <s v="VARREDOR"/>
    <n v="0"/>
    <x v="3"/>
  </r>
  <r>
    <n v="112545"/>
    <s v="KLEBERSON JOSE DA SILVA"/>
    <s v="VARREDOR"/>
    <n v="0"/>
    <x v="0"/>
  </r>
  <r>
    <n v="112546"/>
    <s v="KLEBERT MARCOS DA SILVA FERREIRA"/>
    <s v="ENCARREGADO DE MANUTENCAO OFICINA"/>
    <n v="0"/>
    <x v="0"/>
  </r>
  <r>
    <n v="112547"/>
    <s v="AILTON CONCEICAO DA SILVA"/>
    <s v="VARREDOR"/>
    <n v="0"/>
    <x v="0"/>
  </r>
  <r>
    <n v="112548"/>
    <s v="CICERO LUIZ DA SILVA"/>
    <s v="BUEIRISTA"/>
    <n v="0"/>
    <x v="0"/>
  </r>
  <r>
    <n v="112549"/>
    <s v="AILTON JOSE DO NASCIMENTO"/>
    <s v="VARREDOR"/>
    <n v="0"/>
    <x v="1"/>
  </r>
  <r>
    <n v="112551"/>
    <s v="CICERO VIEIRA"/>
    <s v="BUEIRISTA"/>
    <n v="0"/>
    <x v="0"/>
  </r>
  <r>
    <n v="112553"/>
    <s v="CLAUDEMIR DE ANDRADE FELICIANO"/>
    <s v="VARREDOR"/>
    <n v="0"/>
    <x v="1"/>
  </r>
  <r>
    <n v="112555"/>
    <s v="CLAUDEMIRO PRATA DE ALMEIDA"/>
    <s v="VARREDOR"/>
    <n v="0"/>
    <x v="1"/>
  </r>
  <r>
    <n v="112557"/>
    <s v="CLAUDINEI MENDES DA SILVA"/>
    <s v="COLETOR"/>
    <n v="0"/>
    <x v="0"/>
  </r>
  <r>
    <n v="112558"/>
    <s v="LEANDRO BARROSO DA SILVA"/>
    <s v="FISCAL DE TURMA PLENO"/>
    <n v="0"/>
    <x v="0"/>
  </r>
  <r>
    <n v="112559"/>
    <s v="CLAUDINEI OLIVEIRA E SILVA"/>
    <s v="VARREDOR"/>
    <n v="0"/>
    <x v="0"/>
  </r>
  <r>
    <n v="112561"/>
    <s v="CLAUDIO DA SILVA ALVINO"/>
    <s v="VARREDOR"/>
    <n v="0"/>
    <x v="0"/>
  </r>
  <r>
    <n v="112563"/>
    <s v="CLAUDIO DE SOUZA"/>
    <s v="VARREDOR"/>
    <n v="0"/>
    <x v="0"/>
  </r>
  <r>
    <n v="112566"/>
    <s v="VALDIR BARBOSA FERREIRA"/>
    <s v="VARREDOR"/>
    <n v="0"/>
    <x v="1"/>
  </r>
  <r>
    <n v="112567"/>
    <s v="ALCIDES NEI JAIR INEZ"/>
    <s v="AJUDANTE EQ SERVICOS DIVERSOS"/>
    <n v="0"/>
    <x v="0"/>
  </r>
  <r>
    <n v="112568"/>
    <s v="CLAUDIO MOREIRA DA SILVA"/>
    <s v="MOTORISTA CAMINHAO"/>
    <n v="0"/>
    <x v="0"/>
  </r>
  <r>
    <n v="112569"/>
    <s v="VALDIR BEZERRA DOS SANTOS"/>
    <s v="VARREDOR"/>
    <n v="0"/>
    <x v="0"/>
  </r>
  <r>
    <n v="112573"/>
    <s v="VALDIVIO RODRIGUES CRUZ"/>
    <s v="AJUDANTE EQ SERVICOS DIVERSOS"/>
    <n v="0"/>
    <x v="0"/>
  </r>
  <r>
    <n v="112576"/>
    <s v="CLAYTON FERREIRA DE MELO"/>
    <s v="VARREDOR"/>
    <n v="0"/>
    <x v="1"/>
  </r>
  <r>
    <n v="112577"/>
    <s v="LEANDRO DA SILVA DONIZETE"/>
    <s v="VARREDOR"/>
    <n v="0"/>
    <x v="1"/>
  </r>
  <r>
    <n v="112578"/>
    <s v="MICHAEL JACKSON DE OLIVEIRA ALMEIDA"/>
    <s v="AJUDANTE EQ SERVICOS DIVERSOS"/>
    <n v="0"/>
    <x v="0"/>
  </r>
  <r>
    <n v="112579"/>
    <s v="VANDERLEI ALEXANDRE DA SILVA"/>
    <s v="VARREDOR"/>
    <n v="0"/>
    <x v="0"/>
  </r>
  <r>
    <n v="112581"/>
    <s v="CLAYVES CRISTIANO DE JESUS"/>
    <s v="AJUDANTE EQ SERVICOS DIVERSOS"/>
    <n v="0"/>
    <x v="0"/>
  </r>
  <r>
    <n v="112583"/>
    <s v="LEANDRO DE OLIVEIRA"/>
    <s v="MOTORISTA CAMINHAO"/>
    <n v="0"/>
    <x v="0"/>
  </r>
  <r>
    <n v="112586"/>
    <s v="EUZEMAR FRANCO DE LIMA"/>
    <s v="VARREDOR"/>
    <n v="0"/>
    <x v="0"/>
  </r>
  <r>
    <n v="112587"/>
    <s v="CLEBER GONCALVES DOS SANTOS"/>
    <s v="VARREDOR"/>
    <n v="0"/>
    <x v="0"/>
  </r>
  <r>
    <n v="112589"/>
    <s v="LEANDRO DE SOUSA CLAUDINO"/>
    <s v="MOTORISTA DE CAMINHAO"/>
    <n v="0"/>
    <x v="1"/>
  </r>
  <r>
    <n v="112590"/>
    <s v="EVACI FERREIRA DOS SANTOS"/>
    <s v="COLETOR"/>
    <n v="0"/>
    <x v="0"/>
  </r>
  <r>
    <n v="112594"/>
    <s v="CLELIO ANDRADE ARAUJO"/>
    <s v="VARREDOR"/>
    <n v="0"/>
    <x v="0"/>
  </r>
  <r>
    <n v="112596"/>
    <s v="LEANDRO GARCIA CAMARGO"/>
    <s v="VARREDOR"/>
    <n v="0"/>
    <x v="0"/>
  </r>
  <r>
    <n v="112597"/>
    <s v="WALDIR PEREIRA SANTOS"/>
    <s v="VARREDOR"/>
    <n v="0"/>
    <x v="0"/>
  </r>
  <r>
    <n v="112598"/>
    <s v="EVALDO MOREIRA SANTOS"/>
    <s v="MOTORISTA CAMINHAO"/>
    <n v="0"/>
    <x v="0"/>
  </r>
  <r>
    <n v="112599"/>
    <s v="WALMIR ALVES DE SOUZA"/>
    <s v="AJUDANTE EQ SERVICOS DIVERSOS"/>
    <n v="0"/>
    <x v="0"/>
  </r>
  <r>
    <n v="112602"/>
    <s v="EVALDO SILVA"/>
    <s v="FISCAL DE TURMA PLENO"/>
    <n v="0"/>
    <x v="0"/>
  </r>
  <r>
    <n v="112604"/>
    <s v="LEANDRO JOSE BATISTA"/>
    <s v="MOTORISTA CAMINHAO"/>
    <n v="0"/>
    <x v="1"/>
  </r>
  <r>
    <n v="112606"/>
    <s v="EVANDRO ANTONIO DA CUNHA"/>
    <s v="COLETOR"/>
    <n v="0"/>
    <x v="0"/>
  </r>
  <r>
    <n v="112607"/>
    <s v="WELLINGTON TIAGO DE JESUS SANTOS"/>
    <s v="AJUDANTE EQ SERVICOS DIVERSOS"/>
    <n v="0"/>
    <x v="0"/>
  </r>
  <r>
    <n v="112608"/>
    <s v="MICHEL ALBERTO LIMA DE SOUZA"/>
    <s v="MOTORISTA CAMINHAO"/>
    <n v="0"/>
    <x v="0"/>
  </r>
  <r>
    <n v="112609"/>
    <s v="EVANDRO RAMOS DA SILVA"/>
    <s v="VARREDOR"/>
    <n v="0"/>
    <x v="0"/>
  </r>
  <r>
    <n v="112610"/>
    <s v="CLERISTON BELAU DOS SANTOS CRUZ"/>
    <s v="AJUDANTE EQ SERVICOS DIVERSOS"/>
    <n v="0"/>
    <x v="0"/>
  </r>
  <r>
    <n v="112611"/>
    <s v="LEANDRO JOSE CORREIA DA SILVA"/>
    <s v="AJUDANTE EQ SERVICOS DIVERSOS"/>
    <n v="0"/>
    <x v="0"/>
  </r>
  <r>
    <n v="112612"/>
    <s v="WELTON DOUGLAS RIBEIRO"/>
    <s v="AJUDANTE EQ SERVICOS DIVERSOS"/>
    <n v="0"/>
    <x v="0"/>
  </r>
  <r>
    <n v="112613"/>
    <s v="CLEYTON DIAS MACHADO"/>
    <s v="AJUDANTE EQ SERVICOS DIVERSOS"/>
    <n v="0"/>
    <x v="0"/>
  </r>
  <r>
    <n v="112614"/>
    <s v="WENSYLL SANTOS DE ARAUJO"/>
    <s v="AJUDANTE EQ SERVICOS DIVERSOS"/>
    <n v="1"/>
    <x v="0"/>
  </r>
  <r>
    <n v="112615"/>
    <s v="MIGUEL JOSE DOS SANTOS"/>
    <s v="VARREDOR"/>
    <n v="0"/>
    <x v="0"/>
  </r>
  <r>
    <n v="112617"/>
    <s v="LEANDRO MENDES SILQUEIRA"/>
    <s v="VARREDOR"/>
    <n v="0"/>
    <x v="0"/>
  </r>
  <r>
    <n v="112618"/>
    <s v="WILLIAN ANDRADE LEAL"/>
    <s v="FISCAL DE TURMA PLENO"/>
    <n v="0"/>
    <x v="1"/>
  </r>
  <r>
    <n v="112619"/>
    <s v="EVERSSON HENRIQUE CIPRIANO"/>
    <s v="AJUDANTE EQ SERVICOS DIVERSOS"/>
    <n v="0"/>
    <x v="0"/>
  </r>
  <r>
    <n v="112620"/>
    <s v="CLOVES TAVARES DIAS"/>
    <s v="AJUDANTE EQ SERVICOS DIVERSOS"/>
    <n v="0"/>
    <x v="0"/>
  </r>
  <r>
    <n v="112621"/>
    <s v="MIGUEL PEREIRA BARBOZA"/>
    <s v="AJUDANTE EQ SERVICOS DIVERSOS"/>
    <n v="0"/>
    <x v="0"/>
  </r>
  <r>
    <n v="112625"/>
    <s v="LEANDRO SANTANA SANTOS"/>
    <s v="MOTORISTA CAMINHAO"/>
    <n v="0"/>
    <x v="0"/>
  </r>
  <r>
    <n v="112626"/>
    <s v="WILLIAM LIMA SILVA"/>
    <s v="AJUDANTE EQ SERVICOS DIVERSOS"/>
    <n v="0"/>
    <x v="0"/>
  </r>
  <r>
    <n v="112628"/>
    <s v="WILLIAN CARDOSO DA SILVA"/>
    <s v="AJUDANTE EQ SERVICOS DIVERSOS"/>
    <n v="0"/>
    <x v="0"/>
  </r>
  <r>
    <n v="112629"/>
    <s v="EXPEDITO FERREIRA DA SILVA"/>
    <s v="VARREDOR"/>
    <n v="0"/>
    <x v="0"/>
  </r>
  <r>
    <n v="112630"/>
    <s v="LEANDRO SARAGOCA PEREIRA"/>
    <s v="AJUDANTE EQ SERVICOS DIVERSOS"/>
    <n v="0"/>
    <x v="0"/>
  </r>
  <r>
    <n v="112632"/>
    <s v="AILTON DE JESUS"/>
    <s v="VARREDOR"/>
    <n v="0"/>
    <x v="1"/>
  </r>
  <r>
    <n v="112634"/>
    <s v="COSMA LIBERATO DE OLIVEIRA"/>
    <s v="VARREDOR"/>
    <n v="0"/>
    <x v="0"/>
  </r>
  <r>
    <n v="112635"/>
    <s v="MILTON DA SILVA REIS"/>
    <s v="VARREDOR"/>
    <n v="0"/>
    <x v="0"/>
  </r>
  <r>
    <n v="112638"/>
    <s v="FABIANO CHAGAS MACIEL"/>
    <s v="AJUDANTE EQ SERVICOS DIVERSOS"/>
    <n v="0"/>
    <x v="0"/>
  </r>
  <r>
    <n v="112639"/>
    <s v="ROMILDO FREITAS DOS SANTOS"/>
    <s v="VARREDOR"/>
    <n v="0"/>
    <x v="0"/>
  </r>
  <r>
    <n v="112640"/>
    <s v="LEANDRO YASSUNORI DE OLIVEIRA"/>
    <s v="AJUDANTE DE MECANICO"/>
    <n v="0"/>
    <x v="0"/>
  </r>
  <r>
    <n v="112641"/>
    <s v="AIRTON COSTA"/>
    <s v="VARREDOR"/>
    <n v="0"/>
    <x v="1"/>
  </r>
  <r>
    <n v="112643"/>
    <s v="FABIANO LANDIM DA ROCHA"/>
    <s v="FISCAL DE TURMA PLENO"/>
    <n v="0"/>
    <x v="0"/>
  </r>
  <r>
    <n v="112646"/>
    <s v="ALBERICO DA SILVA BRANDAO"/>
    <s v="AJUDANTE EQ SERVICOS DIVERSOS"/>
    <n v="0"/>
    <x v="1"/>
  </r>
  <r>
    <n v="112649"/>
    <s v="LEMUEL DE OLIVEIRA BRANDAO"/>
    <s v="VARREDOR"/>
    <n v="0"/>
    <x v="0"/>
  </r>
  <r>
    <n v="112650"/>
    <s v="FABIANO PEREIRA DE OLIVEIRA SANTOS"/>
    <s v="VARREDOR"/>
    <n v="0"/>
    <x v="0"/>
  </r>
  <r>
    <n v="112652"/>
    <s v="ALCIDES JOSE DOS SANTOS"/>
    <s v="AJUDANTE EQ SERVICOS DIVERSOS"/>
    <n v="0"/>
    <x v="0"/>
  </r>
  <r>
    <n v="112654"/>
    <s v="FABIO CESAR DE OLIVEIRA SOUZA"/>
    <s v="MOTORISTA CAMINHAO"/>
    <n v="0"/>
    <x v="1"/>
  </r>
  <r>
    <n v="112656"/>
    <s v="ALDO DOS SANTOS ORESTES"/>
    <s v="COLETOR"/>
    <n v="0"/>
    <x v="0"/>
  </r>
  <r>
    <n v="112658"/>
    <s v="LEONARDO BARBOSA LOPES"/>
    <s v="MOTORISTA CAMINHAO"/>
    <n v="0"/>
    <x v="1"/>
  </r>
  <r>
    <n v="112659"/>
    <s v="MILTON HONORIO DA SILVA"/>
    <s v="VARREDOR"/>
    <n v="0"/>
    <x v="0"/>
  </r>
  <r>
    <n v="112661"/>
    <s v="FABIO DA SILVA ALVES ROLIM"/>
    <s v="MOTORISTA DE CAMINHAO"/>
    <n v="0"/>
    <x v="0"/>
  </r>
  <r>
    <n v="112664"/>
    <s v="ALESSANDRA SANTOSTASI TEIXEIRA"/>
    <s v="VARREDOR"/>
    <n v="1"/>
    <x v="0"/>
  </r>
  <r>
    <n v="112666"/>
    <s v="RONALDO SILVA SANTOS"/>
    <s v="MOTORISTA DE CAMINHAO"/>
    <n v="0"/>
    <x v="0"/>
  </r>
  <r>
    <n v="112667"/>
    <s v="LEONARDO NASCIMENTO ALVES"/>
    <s v="LAVADOR"/>
    <n v="0"/>
    <x v="0"/>
  </r>
  <r>
    <n v="112668"/>
    <s v="FABIO DA SILVA DUARTE"/>
    <s v="VARREDOR"/>
    <n v="0"/>
    <x v="0"/>
  </r>
  <r>
    <n v="112669"/>
    <s v="MISSIMEIRE FERREIRA LIMA DOS SANTOS"/>
    <s v="VARREDOR"/>
    <n v="0"/>
    <x v="0"/>
  </r>
  <r>
    <n v="112674"/>
    <s v="ROSANGELA OLIVEIRA LIMA"/>
    <s v="VARREDOR"/>
    <n v="0"/>
    <x v="0"/>
  </r>
  <r>
    <n v="112675"/>
    <s v="MOACY GONCALVES DE OLIVEIRA"/>
    <s v="VARREDOR"/>
    <n v="0"/>
    <x v="0"/>
  </r>
  <r>
    <n v="112677"/>
    <s v="LEONARDO PEREIRA DA SILVA"/>
    <s v="MOTORISTA CAMINHAO"/>
    <n v="0"/>
    <x v="0"/>
  </r>
  <r>
    <n v="112678"/>
    <s v="SUELI APARECIDA DOS SANTOS"/>
    <s v="AJUDANTE EQ SERVICOS DIVERSOS"/>
    <n v="0"/>
    <x v="0"/>
  </r>
  <r>
    <n v="112680"/>
    <s v="FABIO FERREIRA DO NASCIMENTO"/>
    <s v="FISCAL DE TURMA PLENO"/>
    <n v="0"/>
    <x v="0"/>
  </r>
  <r>
    <n v="112681"/>
    <s v="MOISES GOMES RODRIGUES"/>
    <s v="VARREDOR"/>
    <n v="0"/>
    <x v="1"/>
  </r>
  <r>
    <n v="112682"/>
    <s v="LEONDINEI VAZ"/>
    <s v="AJUDANTE EQ SERVICOS DIVERSOS"/>
    <n v="0"/>
    <x v="0"/>
  </r>
  <r>
    <n v="112683"/>
    <s v="ZELITA GALDINO DA SILVA"/>
    <s v="AJUDANTE EQ SERVICOS DIVERSOS"/>
    <n v="0"/>
    <x v="0"/>
  </r>
  <r>
    <n v="112684"/>
    <s v="LEONIDAS CORTES DOS SANTOS"/>
    <s v="VARREDOR"/>
    <n v="0"/>
    <x v="0"/>
  </r>
  <r>
    <n v="112685"/>
    <s v="ZILDA CANDIDO DA SILVA"/>
    <s v="AJUDANTE EQ SERVICOS DIVERSOS"/>
    <n v="0"/>
    <x v="0"/>
  </r>
  <r>
    <n v="112686"/>
    <s v="RUBENS ALVES DA ROCHA"/>
    <s v="COLETOR"/>
    <n v="0"/>
    <x v="0"/>
  </r>
  <r>
    <n v="112687"/>
    <s v="LESSIO RENOR DE FREITAS"/>
    <s v="VARREDOR"/>
    <n v="0"/>
    <x v="0"/>
  </r>
  <r>
    <n v="112690"/>
    <s v="LETICIA FERREIRA DOS SANTOS"/>
    <s v="AJUDANTE EQ SERVICOS DIVERSOS"/>
    <n v="0"/>
    <x v="0"/>
  </r>
  <r>
    <n v="112691"/>
    <s v="ALESSANDRE DE OLIVEIRA SILVA"/>
    <s v="COLETOR"/>
    <n v="0"/>
    <x v="0"/>
  </r>
  <r>
    <n v="112692"/>
    <s v="MOISES SANTOS NOGUEIRA"/>
    <s v="VARREDOR"/>
    <n v="0"/>
    <x v="0"/>
  </r>
  <r>
    <n v="112693"/>
    <s v="LOURIVAL CALADO DA SILVA"/>
    <s v="VARREDOR"/>
    <n v="0"/>
    <x v="0"/>
  </r>
  <r>
    <n v="112694"/>
    <s v="LOURIVAL IDELFONSO"/>
    <s v="BUEIRISTA"/>
    <n v="0"/>
    <x v="0"/>
  </r>
  <r>
    <n v="112697"/>
    <s v="ALESSANDRO ARRUDA DE OLIVEIRA"/>
    <s v="VARREDOR"/>
    <n v="0"/>
    <x v="0"/>
  </r>
  <r>
    <n v="112698"/>
    <s v="SAMUEL BATISTA DE SOUZA"/>
    <s v="VARREDOR"/>
    <n v="0"/>
    <x v="0"/>
  </r>
  <r>
    <n v="112699"/>
    <s v="LOURIVAL VALENTIM"/>
    <s v="VARREDOR"/>
    <n v="0"/>
    <x v="0"/>
  </r>
  <r>
    <n v="112700"/>
    <s v="ALESSANDRO DE JESUS SILVA"/>
    <s v="VARREDOR"/>
    <n v="0"/>
    <x v="0"/>
  </r>
  <r>
    <n v="112703"/>
    <s v="NAILTON VIEIRA DOS SANTOS"/>
    <s v="VARREDOR"/>
    <n v="0"/>
    <x v="0"/>
  </r>
  <r>
    <n v="112704"/>
    <s v="SAMUEL NOGUEIRA SANTANA"/>
    <s v="COLETOR"/>
    <n v="0"/>
    <x v="0"/>
  </r>
  <r>
    <n v="112706"/>
    <s v="SEBASTIAO GOMES DA SILVA"/>
    <s v="VARREDOR"/>
    <n v="0"/>
    <x v="0"/>
  </r>
  <r>
    <n v="112707"/>
    <s v="SERGIO DA SILVA"/>
    <s v="COLETOR"/>
    <n v="0"/>
    <x v="0"/>
  </r>
  <r>
    <n v="112709"/>
    <s v="FABIO JULIO FRANCISCO LUZ DA SILVA"/>
    <s v="MOTORISTA CAMINHAO"/>
    <n v="0"/>
    <x v="0"/>
  </r>
  <r>
    <n v="112713"/>
    <s v="FABIO JUNIOR DOS SANTOS COSTA"/>
    <s v="MOTORISTA DE CAMINHAO"/>
    <n v="0"/>
    <x v="0"/>
  </r>
  <r>
    <n v="112714"/>
    <s v="SEVERINO ALEXANDRE DA SILVA"/>
    <s v="VARREDOR"/>
    <n v="0"/>
    <x v="0"/>
  </r>
  <r>
    <n v="112716"/>
    <s v="FABIO MIRANDA SILVA"/>
    <s v="VARREDOR"/>
    <n v="0"/>
    <x v="0"/>
  </r>
  <r>
    <n v="112717"/>
    <s v="SEVERINO ISIDIO DA SILVA"/>
    <s v="COLETOR"/>
    <n v="0"/>
    <x v="0"/>
  </r>
  <r>
    <n v="112718"/>
    <s v="NELSON BARBOSA"/>
    <s v="VARREDOR"/>
    <n v="0"/>
    <x v="0"/>
  </r>
  <r>
    <n v="112719"/>
    <s v="ALEX APARECIDO DOS SANTOS"/>
    <s v="MOTORISTA CAMINHAO"/>
    <n v="0"/>
    <x v="0"/>
  </r>
  <r>
    <n v="112720"/>
    <s v="FABIO OLIVEIRA DOS ANJOS"/>
    <s v="VARREDOR"/>
    <n v="0"/>
    <x v="0"/>
  </r>
  <r>
    <n v="112722"/>
    <s v="SIDNEY CUNHA DE MIRANDA"/>
    <s v="AJUDANTE EQ SERVICOS DIVERSOS"/>
    <n v="0"/>
    <x v="0"/>
  </r>
  <r>
    <n v="112724"/>
    <s v="FABIO PEREIRA BARROS"/>
    <s v="AJUDANTE EQ SERVICOS DIVERSOS"/>
    <n v="0"/>
    <x v="0"/>
  </r>
  <r>
    <n v="112725"/>
    <s v="SILVIO BATISTA DE LIRA"/>
    <s v="BUEIRISTA"/>
    <n v="0"/>
    <x v="1"/>
  </r>
  <r>
    <n v="112726"/>
    <s v="ALEX DE FIGUEIREDO COSTA"/>
    <s v="COLETOR"/>
    <n v="0"/>
    <x v="0"/>
  </r>
  <r>
    <n v="112727"/>
    <s v="SIVALDO DIAS MACHADO"/>
    <s v="VARREDOR"/>
    <n v="0"/>
    <x v="0"/>
  </r>
  <r>
    <n v="112730"/>
    <s v="THOMAS LUIS BAPTISTA PEREIRA"/>
    <s v="AJUDANTE EQ SERVICOS DIVERSOS"/>
    <n v="0"/>
    <x v="0"/>
  </r>
  <r>
    <n v="112731"/>
    <s v="NELSON DE OLIVEIRA"/>
    <s v="VARREDOR"/>
    <n v="0"/>
    <x v="0"/>
  </r>
  <r>
    <n v="112732"/>
    <s v="LUCAS DA SILVA LEITE"/>
    <s v="AJUDANTE EQ SERVICOS DIVERSOS"/>
    <n v="0"/>
    <x v="0"/>
  </r>
  <r>
    <n v="112733"/>
    <s v="TIAGO MACHADO CARDOZO"/>
    <s v="MOTORISTA CAMINHAO"/>
    <n v="0"/>
    <x v="1"/>
  </r>
  <r>
    <n v="112737"/>
    <s v="FABIO ROBERTO SILVA"/>
    <s v="VARREDOR"/>
    <n v="0"/>
    <x v="0"/>
  </r>
  <r>
    <n v="112741"/>
    <s v="ROBSON RODRIGUES DO CARMO"/>
    <s v="VARREDOR"/>
    <n v="0"/>
    <x v="0"/>
  </r>
  <r>
    <n v="112742"/>
    <s v="FABIO SANTOS SALES"/>
    <s v="FISCAL DE TURMA PLENO"/>
    <n v="0"/>
    <x v="0"/>
  </r>
  <r>
    <n v="112744"/>
    <s v="NELSON ROBERTO RIBEIRO DA SILVA"/>
    <s v="BUEIRISTA"/>
    <n v="0"/>
    <x v="0"/>
  </r>
  <r>
    <n v="112745"/>
    <s v="FABRICIO DA COSTA GOMES"/>
    <s v="LAVADOR"/>
    <n v="0"/>
    <x v="0"/>
  </r>
  <r>
    <n v="112747"/>
    <s v="ROBSON ROCHA GONCALVES"/>
    <s v="COLETOR"/>
    <n v="0"/>
    <x v="0"/>
  </r>
  <r>
    <n v="112748"/>
    <s v="LUCAS GONCALVES DOS SANTOS"/>
    <s v="AJUDANTE EQ SERVICOS DIVERSOS"/>
    <n v="0"/>
    <x v="0"/>
  </r>
  <r>
    <n v="112749"/>
    <s v="FAUSTINIANO MONTEIRO MAGALHAES"/>
    <s v="VARREDOR"/>
    <n v="0"/>
    <x v="0"/>
  </r>
  <r>
    <n v="112753"/>
    <s v="FAUSTINO ARNALDO DE LANA"/>
    <s v="MECANICO II"/>
    <n v="0"/>
    <x v="0"/>
  </r>
  <r>
    <n v="112754"/>
    <s v="ROBERTO XAVIER FIALHO"/>
    <s v="VARREDOR"/>
    <n v="0"/>
    <x v="0"/>
  </r>
  <r>
    <n v="112757"/>
    <s v="FAUSTO ALVES DE ALMEIDA"/>
    <s v="MOTORISTA CAMINHAO"/>
    <n v="0"/>
    <x v="0"/>
  </r>
  <r>
    <n v="112759"/>
    <s v="UILTON SILVA DOS ANJOS SANTOS"/>
    <s v="MOTORISTA DE CAMINHAO"/>
    <n v="0"/>
    <x v="0"/>
  </r>
  <r>
    <n v="112761"/>
    <s v="NILSON DE FARIA"/>
    <s v="VARREDOR"/>
    <n v="0"/>
    <x v="0"/>
  </r>
  <r>
    <n v="112763"/>
    <s v="ALEX SANDRO PEREIRA DOS SANTOS"/>
    <s v="MOTORISTA CAMINHAO"/>
    <n v="0"/>
    <x v="0"/>
  </r>
  <r>
    <n v="112764"/>
    <s v="FELIPE FIGUEIREDO DA SILVA"/>
    <s v="FISCAL DE TURMA PLENO"/>
    <n v="0"/>
    <x v="0"/>
  </r>
  <r>
    <n v="112765"/>
    <s v="NILSON MUNIZ SILVA"/>
    <s v="VARREDOR"/>
    <n v="0"/>
    <x v="0"/>
  </r>
  <r>
    <n v="112766"/>
    <s v="FERNANDO ALVES DE SOUSA"/>
    <s v="AJUDANTE EQ SERVICOS DIVERSOS"/>
    <n v="1"/>
    <x v="0"/>
  </r>
  <r>
    <n v="112768"/>
    <s v="FERNANDO ANTONIO DA SILVA"/>
    <s v="COLETOR"/>
    <n v="0"/>
    <x v="0"/>
  </r>
  <r>
    <n v="112769"/>
    <s v="ROBERTO PEDRETE MAIA"/>
    <s v="MOTORISTA CAMINHAO"/>
    <n v="0"/>
    <x v="0"/>
  </r>
  <r>
    <n v="112771"/>
    <s v="LUCAS SOUSA GAMA"/>
    <s v="MOTORISTA CAMINHAO"/>
    <n v="0"/>
    <x v="0"/>
  </r>
  <r>
    <n v="112772"/>
    <s v="NILSON ROBERTO GALVAO"/>
    <s v="VARREDOR"/>
    <n v="0"/>
    <x v="0"/>
  </r>
  <r>
    <n v="112774"/>
    <s v="IZAIAS MOREIRA DA COSTA"/>
    <s v="VARREDOR"/>
    <n v="0"/>
    <x v="0"/>
  </r>
  <r>
    <n v="112775"/>
    <s v="LUCIANA DE SOUZA EVANGELISTA DOS SANTOS"/>
    <s v="AJUDANTE EQ SERVICOS DIVERSOS"/>
    <n v="0"/>
    <x v="0"/>
  </r>
  <r>
    <n v="112776"/>
    <s v="VALDECY ALVES"/>
    <s v="VARREDOR"/>
    <n v="0"/>
    <x v="0"/>
  </r>
  <r>
    <n v="112778"/>
    <s v="ROBERTO MACHADO ARAUJO"/>
    <s v="VARREDOR"/>
    <n v="0"/>
    <x v="0"/>
  </r>
  <r>
    <n v="112779"/>
    <s v="VALDEMIR GOMES LEMES"/>
    <s v="AJUDANTE EQ SERVICOS DIVERSOS"/>
    <n v="0"/>
    <x v="1"/>
  </r>
  <r>
    <n v="112780"/>
    <s v="NILSON RODRIGUES DE JESUS"/>
    <s v="VARREDOR"/>
    <n v="0"/>
    <x v="0"/>
  </r>
  <r>
    <n v="112781"/>
    <s v="LUCIANO ALCIDES MOTA"/>
    <s v="BUEIRISTA"/>
    <n v="0"/>
    <x v="0"/>
  </r>
  <r>
    <n v="112782"/>
    <s v="VALDEMIR LEITE FERREIRA"/>
    <s v="AJUDANTE EQ SERVICOS DIVERSOS"/>
    <n v="0"/>
    <x v="0"/>
  </r>
  <r>
    <n v="112785"/>
    <s v="NILTON DA COSTA LEAL"/>
    <s v="VARREDOR"/>
    <n v="0"/>
    <x v="0"/>
  </r>
  <r>
    <n v="112786"/>
    <s v="VALDICK SOUZA DE JESUS"/>
    <s v="AJUDANTE EQ SERVICOS DIVERSOS"/>
    <n v="0"/>
    <x v="0"/>
  </r>
  <r>
    <n v="112788"/>
    <s v="ROBERTO LUIZ DOS SANTOS SILVA"/>
    <s v="BORRACHEIRO II"/>
    <n v="0"/>
    <x v="0"/>
  </r>
  <r>
    <n v="112789"/>
    <s v="JAIR LUIZ DOS SANTOS"/>
    <s v="VARREDOR"/>
    <n v="0"/>
    <x v="0"/>
  </r>
  <r>
    <n v="112791"/>
    <s v="NILTON DE JESUS SANTANA"/>
    <s v="VARREDOR"/>
    <n v="0"/>
    <x v="3"/>
  </r>
  <r>
    <n v="112793"/>
    <s v="ALEXANDRE FERREIRA DA SILVA"/>
    <s v="VARREDOR"/>
    <n v="0"/>
    <x v="0"/>
  </r>
  <r>
    <n v="112795"/>
    <s v="VALMIR GOMES DE FREITAS"/>
    <s v="ENCARREGADO DE TRAFEGO II"/>
    <n v="0"/>
    <x v="1"/>
  </r>
  <r>
    <n v="112797"/>
    <s v="COSME GALDINO DA SILVA"/>
    <s v="VARREDOR"/>
    <n v="0"/>
    <x v="0"/>
  </r>
  <r>
    <n v="112798"/>
    <s v="ALEXANDRE PEREIRA DA SILVA"/>
    <s v="VARREDOR"/>
    <n v="0"/>
    <x v="0"/>
  </r>
  <r>
    <n v="112799"/>
    <s v="FERNANDO JESUS DO CARMO"/>
    <s v="AJUDANTE EQ SERVICOS DIVERSOS"/>
    <n v="0"/>
    <x v="0"/>
  </r>
  <r>
    <n v="112801"/>
    <s v="VANDERSON BEZERRA ALVES DOS SANTOS"/>
    <s v="OPERADOR DE MAQUINA SENIOR"/>
    <n v="0"/>
    <x v="0"/>
  </r>
  <r>
    <n v="112802"/>
    <s v="NILTON PASSOS DOS SANTOS"/>
    <s v="MOTORISTA CAMINHAO"/>
    <n v="0"/>
    <x v="0"/>
  </r>
  <r>
    <n v="112803"/>
    <s v="LUCIANO GOUVEIA BARBOZA"/>
    <s v="VARREDOR"/>
    <n v="0"/>
    <x v="0"/>
  </r>
  <r>
    <n v="112804"/>
    <s v="ALEXANDRE SILVA RAMOS"/>
    <s v="VARREDOR"/>
    <n v="0"/>
    <x v="0"/>
  </r>
  <r>
    <n v="112805"/>
    <s v="ZENIL SANTANA DE AGUIAR"/>
    <s v="TECNICO EM SEGURANCA DO TRABALHO SENIOR"/>
    <n v="0"/>
    <x v="0"/>
  </r>
  <r>
    <n v="112809"/>
    <s v="LUCIANO HENRIQUE REIS DAMACENA"/>
    <s v="AJUDANTE EQ SERVICOS DIVERSOS"/>
    <n v="0"/>
    <x v="0"/>
  </r>
  <r>
    <n v="112810"/>
    <s v="NILTON PEREIRA GARCIA"/>
    <s v="VARREDOR"/>
    <n v="0"/>
    <x v="0"/>
  </r>
  <r>
    <n v="112811"/>
    <s v="ROBERTO BERNARDO RODRIGUES"/>
    <s v="MOTORISTA CAMINHAO"/>
    <n v="0"/>
    <x v="0"/>
  </r>
  <r>
    <n v="112812"/>
    <s v="ALEXSANDRO NOGUEIRA DE SANTANA"/>
    <s v="FISCAL DE TURMA PLENO"/>
    <n v="0"/>
    <x v="0"/>
  </r>
  <r>
    <n v="112813"/>
    <s v="LUCIANO SILVA DE OLIVEIRA"/>
    <s v="AJUDANTE EQ SERVICOS DIVERSOS"/>
    <n v="0"/>
    <x v="0"/>
  </r>
  <r>
    <n v="112814"/>
    <s v="VALDIR RODRIGUES DOS ANJOS"/>
    <s v="VARREDOR"/>
    <n v="0"/>
    <x v="0"/>
  </r>
  <r>
    <n v="112815"/>
    <s v="ALEXSANDRO SOARES CORREA"/>
    <s v="AJUDANTE EQ SERVICOS DIVERSOS"/>
    <n v="0"/>
    <x v="0"/>
  </r>
  <r>
    <n v="112816"/>
    <s v="NILTON SANTOS DA SILVA"/>
    <s v="COLETOR"/>
    <n v="0"/>
    <x v="0"/>
  </r>
  <r>
    <n v="112818"/>
    <s v="FLAVIO FIGUEREDO DOS SANTOS"/>
    <s v="FISCAL DE TURMA PLENO"/>
    <n v="0"/>
    <x v="0"/>
  </r>
  <r>
    <n v="112820"/>
    <s v="VANDERLEY SALDANHA PEIXOTO"/>
    <s v="COLETOR"/>
    <n v="0"/>
    <x v="0"/>
  </r>
  <r>
    <n v="112821"/>
    <s v="DANIEL BONIFACIO"/>
    <s v="MOTORISTA CAMINHAO"/>
    <n v="0"/>
    <x v="0"/>
  </r>
  <r>
    <n v="112823"/>
    <s v="ROBERTA CRISTINA DOS SANTOS AMORIM"/>
    <s v="VARREDOR"/>
    <n v="0"/>
    <x v="0"/>
  </r>
  <r>
    <n v="112824"/>
    <s v="ALICIO SILVA DE ADORNO"/>
    <s v="VARREDOR"/>
    <n v="0"/>
    <x v="1"/>
  </r>
  <r>
    <n v="112825"/>
    <s v="ECLYTON MYCAEL FERREIRA LOPES"/>
    <s v="MOTORISTA CAMINHAO"/>
    <n v="0"/>
    <x v="0"/>
  </r>
  <r>
    <n v="112827"/>
    <s v="DANIEL DA CUNHA PUPO"/>
    <s v="COLETOR"/>
    <n v="0"/>
    <x v="0"/>
  </r>
  <r>
    <n v="112829"/>
    <s v="FLAVIO RODRIGUES JOAQUIM"/>
    <s v="MOTORISTA DE CAMINHAO"/>
    <n v="0"/>
    <x v="0"/>
  </r>
  <r>
    <n v="112830"/>
    <s v="ED CARLOS BARBOSA ALVES"/>
    <s v="AJUDANTE EQ SERVICOS DIVERSOS"/>
    <n v="0"/>
    <x v="0"/>
  </r>
  <r>
    <n v="112832"/>
    <s v="FRANCIMARIO FERREIRA ANTUNES"/>
    <s v="COLETOR"/>
    <n v="0"/>
    <x v="0"/>
  </r>
  <r>
    <n v="112833"/>
    <s v="NIVALDO SEPERO DOS SANTOS"/>
    <s v="VARREDOR"/>
    <n v="0"/>
    <x v="0"/>
  </r>
  <r>
    <n v="112834"/>
    <s v="DANIEL DE PAULA CUNHA"/>
    <s v="VARREDOR"/>
    <n v="0"/>
    <x v="0"/>
  </r>
  <r>
    <n v="112837"/>
    <s v="LUCICLEIDE DA SILVA"/>
    <s v="MOTORISTA CAMINHAO"/>
    <n v="0"/>
    <x v="0"/>
  </r>
  <r>
    <n v="112838"/>
    <s v="EDIEL ARAUJO SANTANA"/>
    <s v="MOTORISTA CAMINHAO"/>
    <n v="0"/>
    <x v="0"/>
  </r>
  <r>
    <n v="112840"/>
    <s v="FRANCISCO ALVES MARTINS"/>
    <s v="VARREDOR"/>
    <n v="0"/>
    <x v="0"/>
  </r>
  <r>
    <n v="112843"/>
    <s v="DANIEL DOS REIS CARVALHO"/>
    <s v="AJUDANTE EQ SERVICOS DIVERSOS"/>
    <n v="1"/>
    <x v="1"/>
  </r>
  <r>
    <n v="112845"/>
    <s v="NOBERTO NOGUEIRA DE AGUIAR"/>
    <s v="MOTORISTA CAMINHAO"/>
    <n v="0"/>
    <x v="0"/>
  </r>
  <r>
    <n v="112847"/>
    <s v="EDILSON APARECIDO DE SOUZA"/>
    <s v="BUEIRISTA"/>
    <n v="0"/>
    <x v="1"/>
  </r>
  <r>
    <n v="112849"/>
    <s v="FRANCISCO ASSIS DE OLIVEIRA"/>
    <s v="VARREDOR"/>
    <n v="0"/>
    <x v="0"/>
  </r>
  <r>
    <n v="112850"/>
    <s v="EDILSON GALDINO DA SILVA"/>
    <s v="MOTORISTA CAMINHAO"/>
    <n v="0"/>
    <x v="0"/>
  </r>
  <r>
    <n v="112851"/>
    <s v="COSMO DOMINGOS DE SOUSA"/>
    <s v="AJUDANTE EQ SERVICOS DIVERSOS"/>
    <n v="0"/>
    <x v="0"/>
  </r>
  <r>
    <n v="112853"/>
    <s v="RIVALDO ANTONIO TEIXEIRA"/>
    <s v="VARREDOR"/>
    <n v="0"/>
    <x v="0"/>
  </r>
  <r>
    <n v="112855"/>
    <s v="COSMO FERNANDES PEREIRA"/>
    <s v="AJUDANTE EQ SERVICOS DIVERSOS"/>
    <n v="0"/>
    <x v="0"/>
  </r>
  <r>
    <n v="112858"/>
    <s v="EDILSON MOREIRA DA COSTA"/>
    <s v="MOTORISTA CAMINHAO"/>
    <n v="0"/>
    <x v="0"/>
  </r>
  <r>
    <n v="112860"/>
    <s v="COSMO JOSE DE OLIVEIRA"/>
    <s v="AJUDANTE EQ SERVICOS DIVERSOS"/>
    <n v="0"/>
    <x v="0"/>
  </r>
  <r>
    <n v="112862"/>
    <s v="RICARDO SANTOS LIMA"/>
    <s v="VARREDOR"/>
    <n v="0"/>
    <x v="0"/>
  </r>
  <r>
    <n v="112864"/>
    <s v="FRANCISCO CARLOS LIMEIRA DA SILVA"/>
    <s v="VARREDOR"/>
    <n v="0"/>
    <x v="0"/>
  </r>
  <r>
    <n v="112865"/>
    <s v="CRISTIANE BARBOSA DA SILVA"/>
    <s v="VARREDOR"/>
    <n v="0"/>
    <x v="0"/>
  </r>
  <r>
    <n v="112866"/>
    <s v="EDILSON SANTOS DE JESUS"/>
    <s v="VARREDOR"/>
    <n v="0"/>
    <x v="0"/>
  </r>
  <r>
    <n v="112867"/>
    <s v="EDIMILSON COSTA LIMA ROMANOS"/>
    <s v="VARREDOR"/>
    <n v="0"/>
    <x v="0"/>
  </r>
  <r>
    <n v="112870"/>
    <s v="FRANCISCO DAS CHAGAS GOMES PINTO"/>
    <s v="VARREDOR"/>
    <n v="0"/>
    <x v="0"/>
  </r>
  <r>
    <n v="112871"/>
    <s v="ODAIR ALVES DOS SANTOS"/>
    <s v="VARREDOR"/>
    <n v="0"/>
    <x v="0"/>
  </r>
  <r>
    <n v="112873"/>
    <s v="VICENTE SILVA DE ALMEIDA"/>
    <s v="VARREDOR"/>
    <n v="0"/>
    <x v="0"/>
  </r>
  <r>
    <n v="112874"/>
    <s v="EDINALDO ALMEIDA DO NASCIMENTO"/>
    <s v="MOTORISTA CAMINHAO"/>
    <n v="0"/>
    <x v="0"/>
  </r>
  <r>
    <n v="112875"/>
    <s v="CRISTIANO DA SILVA GOMES"/>
    <s v="MOTORISTA CAMINHAO"/>
    <n v="0"/>
    <x v="0"/>
  </r>
  <r>
    <n v="112876"/>
    <s v="VITOR JESUS DOS SANTOS"/>
    <s v="AUXILIAR ADMINISTRATIVO"/>
    <n v="0"/>
    <x v="0"/>
  </r>
  <r>
    <n v="112877"/>
    <s v="ODAIR DOS SANTOS FREITAS"/>
    <s v="AJUDANTE EQ SERVICOS DIVERSOS"/>
    <n v="0"/>
    <x v="0"/>
  </r>
  <r>
    <n v="112878"/>
    <s v="EDINALDO FRANCISCO DA FONSECA"/>
    <s v="MOTORISTA CAMINHAO"/>
    <n v="0"/>
    <x v="0"/>
  </r>
  <r>
    <n v="112881"/>
    <s v="EDINALDO DA SILVA"/>
    <s v="VARREDOR"/>
    <n v="0"/>
    <x v="0"/>
  </r>
  <r>
    <n v="112882"/>
    <s v="WALICE ARAUJO SOUZA"/>
    <s v="AJUDANTE EQ SERVICOS DIVERSOS"/>
    <n v="0"/>
    <x v="0"/>
  </r>
  <r>
    <n v="112883"/>
    <s v="CRISTIANO SENA SILVA"/>
    <s v="AJUDANTE EQ SERVICOS DIVERSOS"/>
    <n v="0"/>
    <x v="0"/>
  </r>
  <r>
    <n v="112886"/>
    <s v="FRANCISCO DE ASSIS ALEXANDRE NUNES"/>
    <s v="VARREDOR"/>
    <n v="0"/>
    <x v="0"/>
  </r>
  <r>
    <n v="112887"/>
    <s v="ODAIR JOSE FERREIRA DOS SANTOS"/>
    <s v="VARREDOR"/>
    <n v="0"/>
    <x v="0"/>
  </r>
  <r>
    <n v="112888"/>
    <s v="WELLINGTON LUIZ DE ALMEIDA"/>
    <s v="COLETOR"/>
    <n v="0"/>
    <x v="0"/>
  </r>
  <r>
    <n v="112891"/>
    <s v="CRISTIANO SILVA BEZERRA"/>
    <s v="VARREDOR"/>
    <n v="0"/>
    <x v="1"/>
  </r>
  <r>
    <n v="112892"/>
    <s v="LUIS CARLOS MATOS DE ALMEIDA"/>
    <s v="AUXILIAR DE TRAFEGO"/>
    <n v="0"/>
    <x v="0"/>
  </r>
  <r>
    <n v="112893"/>
    <s v="WILLIAM ARAUJO DA SILVA"/>
    <s v="FISCAL DE TURMA PLENO"/>
    <n v="0"/>
    <x v="0"/>
  </r>
  <r>
    <n v="112894"/>
    <s v="ODEVANDO MANOEL XAVIER"/>
    <s v="VARREDOR"/>
    <n v="0"/>
    <x v="0"/>
  </r>
  <r>
    <n v="112896"/>
    <s v="WILLIAM DIAS DA SILVA"/>
    <s v="COLETOR"/>
    <n v="0"/>
    <x v="0"/>
  </r>
  <r>
    <n v="112897"/>
    <s v="LUIS CARLOS RIBEIRO DA SILVA"/>
    <s v="VARREDOR"/>
    <n v="0"/>
    <x v="1"/>
  </r>
  <r>
    <n v="112898"/>
    <s v="WILLIAM PROFIRO DE SOUZA"/>
    <s v="COLETOR"/>
    <n v="0"/>
    <x v="0"/>
  </r>
  <r>
    <n v="112900"/>
    <s v="CRISTIANO TEIXEIRA DA SILVA"/>
    <s v="AJUDANTE EQ SERVICOS DIVERSOS"/>
    <n v="0"/>
    <x v="0"/>
  </r>
  <r>
    <n v="112902"/>
    <s v="LUIS DOS SANTOS BURITI"/>
    <s v="AJUDANTE EQ SERVICOS DIVERSOS"/>
    <n v="0"/>
    <x v="0"/>
  </r>
  <r>
    <n v="112904"/>
    <s v="FRANCISCO DUTRA DA PAIXAO"/>
    <s v="MOTORISTA CAMINHAO"/>
    <n v="0"/>
    <x v="0"/>
  </r>
  <r>
    <n v="112905"/>
    <s v="WILLY CASTRO VIEIRA"/>
    <s v="AJUDANTE EQ SERVICOS DIVERSOS"/>
    <n v="0"/>
    <x v="0"/>
  </r>
  <r>
    <n v="112906"/>
    <s v="LUIS LOPES DE SOUSA"/>
    <s v="VARREDOR"/>
    <n v="0"/>
    <x v="0"/>
  </r>
  <r>
    <n v="112907"/>
    <s v="WILSON AUGUSTO"/>
    <s v="COLETOR"/>
    <n v="0"/>
    <x v="1"/>
  </r>
  <r>
    <n v="112908"/>
    <s v="OLIMPIO PEREIRA DE MELO FILHO"/>
    <s v="AJUDANTE EQ SERVICOS DIVERSOS"/>
    <n v="0"/>
    <x v="0"/>
  </r>
  <r>
    <n v="112909"/>
    <s v="JOAN NUNES GOMES"/>
    <s v="VARREDOR"/>
    <n v="0"/>
    <x v="0"/>
  </r>
  <r>
    <n v="112911"/>
    <s v="ZELINO DOS SANTOS MACHADO"/>
    <s v="COLETOR"/>
    <n v="0"/>
    <x v="1"/>
  </r>
  <r>
    <n v="112912"/>
    <s v="FRANCISCO EDIVALDO GALDINO FREITAS"/>
    <s v="VARREDOR"/>
    <n v="0"/>
    <x v="0"/>
  </r>
  <r>
    <n v="112916"/>
    <s v="CRISTOVAO DE SOUSA"/>
    <s v="VARREDOR"/>
    <n v="0"/>
    <x v="1"/>
  </r>
  <r>
    <n v="112917"/>
    <s v="JOAO BATISTA DE SOUZA"/>
    <s v="VARREDOR"/>
    <n v="0"/>
    <x v="0"/>
  </r>
  <r>
    <n v="112918"/>
    <s v="ZOZELITO MARQUES BEZERRA"/>
    <s v="COLETOR"/>
    <n v="0"/>
    <x v="0"/>
  </r>
  <r>
    <n v="112920"/>
    <s v="LUIZ ADALBERTO DA SILVA"/>
    <s v="MOTORISTA CAMINHAO"/>
    <n v="0"/>
    <x v="0"/>
  </r>
  <r>
    <n v="112922"/>
    <s v="DANIEL GOMES DA SILVA"/>
    <s v="COLETOR"/>
    <n v="0"/>
    <x v="1"/>
  </r>
  <r>
    <n v="112924"/>
    <s v="JOAO JUASSELE CUNHA ANDRADE"/>
    <s v="VARREDOR"/>
    <n v="0"/>
    <x v="0"/>
  </r>
  <r>
    <n v="112926"/>
    <s v="JOAO PEREIRA DE OLIVEIRA"/>
    <s v="VARREDOR"/>
    <n v="0"/>
    <x v="0"/>
  </r>
  <r>
    <n v="112927"/>
    <s v="JOAQUIM SATIRO DE PAULO"/>
    <s v="VARREDOR"/>
    <n v="0"/>
    <x v="0"/>
  </r>
  <r>
    <n v="112928"/>
    <s v="JOEL PEREIRA DO NASCIMENTO"/>
    <s v="VARREDOR"/>
    <n v="0"/>
    <x v="0"/>
  </r>
  <r>
    <n v="112930"/>
    <s v="DANIEL JACINTO DA SILVA"/>
    <s v="AJUDANTE EQ SERVICOS DIVERSOS"/>
    <n v="0"/>
    <x v="3"/>
  </r>
  <r>
    <n v="112935"/>
    <s v="JOSE APARECIDO CHICUTA"/>
    <s v="VARREDOR"/>
    <n v="0"/>
    <x v="0"/>
  </r>
  <r>
    <n v="112936"/>
    <s v="DANIEL MARQUES ALVES"/>
    <s v="VARREDOR"/>
    <n v="0"/>
    <x v="1"/>
  </r>
  <r>
    <n v="112937"/>
    <s v="JOSE BARBOSA DE FARIAS"/>
    <s v="VARREDOR"/>
    <n v="0"/>
    <x v="0"/>
  </r>
  <r>
    <n v="112940"/>
    <s v="JOSE DARIO DE MEDEIROS"/>
    <s v="VARREDOR"/>
    <n v="0"/>
    <x v="0"/>
  </r>
  <r>
    <n v="112941"/>
    <s v="JOSE DE FATIMA CAMPOS"/>
    <s v="VARREDOR"/>
    <n v="0"/>
    <x v="0"/>
  </r>
  <r>
    <n v="112942"/>
    <s v="DANIEL PAULO DOS SANTOS"/>
    <s v="MOTORISTA CAMINHAO"/>
    <n v="0"/>
    <x v="0"/>
  </r>
  <r>
    <n v="112943"/>
    <s v="JOSE DE JESUS CAETANO"/>
    <s v="VARREDOR"/>
    <n v="0"/>
    <x v="0"/>
  </r>
  <r>
    <n v="112944"/>
    <s v="JOSE DOS REIS OLIVEIRA SANTOS"/>
    <s v="VARREDOR"/>
    <n v="0"/>
    <x v="0"/>
  </r>
  <r>
    <n v="112946"/>
    <s v="JOSE FERREIRA DA SILVA"/>
    <s v="VARREDOR"/>
    <n v="0"/>
    <x v="0"/>
  </r>
  <r>
    <n v="112949"/>
    <s v="JOSE GOMES DE ANDRADE"/>
    <s v="VARREDOR"/>
    <n v="0"/>
    <x v="0"/>
  </r>
  <r>
    <n v="112950"/>
    <s v="DANILO CARDOSO DA SILVA"/>
    <s v="VARREDOR"/>
    <n v="0"/>
    <x v="0"/>
  </r>
  <r>
    <n v="112951"/>
    <s v="JOSE MANOEL DE ANDRADE"/>
    <s v="VARREDOR"/>
    <n v="0"/>
    <x v="0"/>
  </r>
  <r>
    <n v="112952"/>
    <s v="JOSE MESSIAS SANTOS ANUNCIACAO"/>
    <s v="VARREDOR"/>
    <n v="0"/>
    <x v="0"/>
  </r>
  <r>
    <n v="112954"/>
    <s v="DANILO SOARES OLIVEIRA"/>
    <s v="VARREDOR"/>
    <n v="0"/>
    <x v="0"/>
  </r>
  <r>
    <n v="112956"/>
    <s v="DANLEY SILVA SANTOS"/>
    <s v="AJUDANTE EQ SERVICOS DIVERSOS"/>
    <n v="0"/>
    <x v="0"/>
  </r>
  <r>
    <n v="112957"/>
    <s v="JAILTON DA SILVA AMARAL NASCIMENTO"/>
    <s v="MOTORISTA CAMINHAO"/>
    <n v="0"/>
    <x v="1"/>
  </r>
  <r>
    <n v="112959"/>
    <s v="JOEL PEREIRA CRUZ FILHO"/>
    <s v="AJUDANTE EQ SERVICOS DIVERSOS"/>
    <n v="0"/>
    <x v="0"/>
  </r>
  <r>
    <n v="112961"/>
    <s v="DAVI FERREIRA DOS SANTOS RODRIGUES"/>
    <s v="MOTORISTA CAMINHAO"/>
    <n v="0"/>
    <x v="0"/>
  </r>
  <r>
    <n v="112962"/>
    <s v="JOSE LEITE DA SILVA"/>
    <s v="AJUDANTE EQ SERVICOS DIVERSOS"/>
    <n v="0"/>
    <x v="0"/>
  </r>
  <r>
    <n v="112964"/>
    <s v="JOSE MAURO DOS SANTOS SILVA"/>
    <s v="AJUDANTE EQ SERVICOS DIVERSOS"/>
    <n v="0"/>
    <x v="0"/>
  </r>
  <r>
    <n v="112967"/>
    <s v="IZAIAS VIEIRA COSTA"/>
    <s v="AJUDANTE EQ SERVICOS DIVERSOS"/>
    <n v="0"/>
    <x v="0"/>
  </r>
  <r>
    <n v="112973"/>
    <s v="JOAO VICTOR DOS SANTOS SILVA"/>
    <s v="AJUDANTE EQ SERVICOS DIVERSOS"/>
    <n v="0"/>
    <x v="0"/>
  </r>
  <r>
    <n v="112974"/>
    <s v="FRANCISCO ELSON COSTA PEREIRA"/>
    <s v="VARREDOR"/>
    <n v="0"/>
    <x v="0"/>
  </r>
  <r>
    <n v="112975"/>
    <s v="LUIZ ANTONIO DO AMARANTE SOUSA"/>
    <s v="ENCARREGADO DE TRAFEGO II"/>
    <n v="0"/>
    <x v="0"/>
  </r>
  <r>
    <n v="112978"/>
    <s v="FRANCISCO ERIVAN DA SILVA FELIX"/>
    <s v="VARREDOR"/>
    <n v="0"/>
    <x v="0"/>
  </r>
  <r>
    <n v="112979"/>
    <s v="JOSE APARECIDO DE GOUVEIA"/>
    <s v="AJUDANTE EQ SERVICOS DIVERSOS"/>
    <n v="0"/>
    <x v="0"/>
  </r>
  <r>
    <n v="112983"/>
    <s v="JOSE CALIXTO DA SILVA FILHO"/>
    <s v="AJUDANTE EQ SERVICOS DIVERSOS"/>
    <n v="0"/>
    <x v="0"/>
  </r>
  <r>
    <n v="112986"/>
    <s v="JOSE MARIA DE GOUVEIA"/>
    <s v="AJUDANTE EQ SERVICOS DIVERSOS"/>
    <n v="0"/>
    <x v="0"/>
  </r>
  <r>
    <n v="112989"/>
    <s v="JOSE AVELINO DE SOUSA FILHO"/>
    <s v="BUEIRISTA"/>
    <n v="0"/>
    <x v="0"/>
  </r>
  <r>
    <n v="112990"/>
    <s v="RONIE DE OLIVEIRA MARTINS"/>
    <s v="MOTORISTA CAMINHAO"/>
    <n v="0"/>
    <x v="1"/>
  </r>
  <r>
    <n v="112991"/>
    <s v="JOAO CARLOS MARCONDES DE BRITO"/>
    <s v="FISCAL DE TURMA PLENO"/>
    <n v="0"/>
    <x v="0"/>
  </r>
  <r>
    <n v="112992"/>
    <s v="ROVANDA BARBOSA"/>
    <s v="MOTORISTA CAMINHAO"/>
    <n v="0"/>
    <x v="0"/>
  </r>
  <r>
    <n v="112995"/>
    <s v="ALTINO COSTA"/>
    <s v="VARREDOR"/>
    <n v="0"/>
    <x v="0"/>
  </r>
  <r>
    <n v="112996"/>
    <s v="LUIZ CLAUDIO CORREIA DA SILVA"/>
    <s v="VARREDOR"/>
    <n v="0"/>
    <x v="0"/>
  </r>
  <r>
    <n v="113000"/>
    <s v="ALEXANDRE DAS NEVES NETO"/>
    <s v="MOTORISTA CAMINHAO"/>
    <n v="0"/>
    <x v="0"/>
  </r>
  <r>
    <n v="113002"/>
    <s v="LUIZ DONIZETI DA SILVA"/>
    <s v="VARREDOR"/>
    <n v="0"/>
    <x v="0"/>
  </r>
  <r>
    <n v="113003"/>
    <s v="SERGIO CUNHA MATIAS"/>
    <s v="MOTORISTA CAMINHAO"/>
    <n v="0"/>
    <x v="0"/>
  </r>
  <r>
    <n v="113004"/>
    <s v="OLINDINO PEREIRA SILVA"/>
    <s v="AJUDANTE EQ SERVICOS DIVERSOS"/>
    <n v="0"/>
    <x v="0"/>
  </r>
  <r>
    <n v="113008"/>
    <s v="SILVIO APARECIDO DOS SANTOS"/>
    <s v="MOTORISTA CAMINHAO"/>
    <n v="0"/>
    <x v="0"/>
  </r>
  <r>
    <n v="113013"/>
    <s v="SILVIO SILVA DE SOUZA"/>
    <s v="MOTORISTA CAMINHAO"/>
    <n v="0"/>
    <x v="0"/>
  </r>
  <r>
    <n v="113016"/>
    <s v="THIAGO DA COSTA MENDES"/>
    <s v="MOTORISTA CAMINHAO"/>
    <n v="0"/>
    <x v="0"/>
  </r>
  <r>
    <n v="113021"/>
    <s v="JOAO BATISTA DA SILVA"/>
    <s v="VARREDOR"/>
    <n v="0"/>
    <x v="0"/>
  </r>
  <r>
    <n v="113023"/>
    <s v="DAVID EDUARDO DA SILVA"/>
    <s v="MOTORISTA CAMINHAO"/>
    <n v="0"/>
    <x v="0"/>
  </r>
  <r>
    <n v="113024"/>
    <s v="LUIZ FERNANDO DA SILVA"/>
    <s v="BUEIRISTA"/>
    <n v="0"/>
    <x v="0"/>
  </r>
  <r>
    <n v="113025"/>
    <s v="ORLANDO JESUS DOS SANTOS"/>
    <s v="VARREDOR"/>
    <n v="0"/>
    <x v="0"/>
  </r>
  <r>
    <n v="113028"/>
    <s v="ALEXANDRE REINALDO DE SOUZA"/>
    <s v="ENCARREGADO DE TURMA"/>
    <n v="0"/>
    <x v="1"/>
  </r>
  <r>
    <n v="113029"/>
    <s v="FRANCISCO NACELIO DE SOUSA"/>
    <s v="MOTORISTA CAMINHAO"/>
    <n v="0"/>
    <x v="0"/>
  </r>
  <r>
    <n v="113030"/>
    <s v="THIAGO EDUARDO DA SILVA"/>
    <s v="MOTORISTA CAMINHAO"/>
    <n v="0"/>
    <x v="0"/>
  </r>
  <r>
    <n v="113032"/>
    <s v="ORLANDO SEBASTIAO DA SILVA"/>
    <s v="VARREDOR"/>
    <n v="0"/>
    <x v="0"/>
  </r>
  <r>
    <n v="113033"/>
    <s v="LUIZ FRANCISCO DE MATOS"/>
    <s v="MOTORISTA CAMINHAO"/>
    <n v="0"/>
    <x v="0"/>
  </r>
  <r>
    <n v="113034"/>
    <s v="VALDECI APARECIDO REIS DE ANDRADE"/>
    <s v="MOTORISTA CAMINHAO"/>
    <n v="0"/>
    <x v="0"/>
  </r>
  <r>
    <n v="113035"/>
    <s v="FRANCISCO NILBERTO BEZERRA DO NASCIMENTO"/>
    <s v="COLETOR"/>
    <n v="0"/>
    <x v="1"/>
  </r>
  <r>
    <n v="113036"/>
    <s v="JOSE ALVES DINIZ"/>
    <s v="VARREDOR"/>
    <n v="0"/>
    <x v="0"/>
  </r>
  <r>
    <n v="113039"/>
    <s v="JOSE CARLOS DA SILVA"/>
    <s v="VARREDOR"/>
    <n v="0"/>
    <x v="0"/>
  </r>
  <r>
    <n v="113041"/>
    <s v="VANDERLEY SOUSA GAMA FILHO"/>
    <s v="MOTORISTA CAMINHAO"/>
    <n v="0"/>
    <x v="0"/>
  </r>
  <r>
    <n v="113042"/>
    <s v="LUIZ HENRIQUE SILVA BRAGA"/>
    <s v="AJUDANTE EQ SERVICOS DIVERSOS"/>
    <n v="0"/>
    <x v="0"/>
  </r>
  <r>
    <n v="113043"/>
    <s v="ALEXANDRE XAVIER DA SILVA"/>
    <s v="AJUDANTE EQ SERVICOS DIVERSOS"/>
    <n v="0"/>
    <x v="0"/>
  </r>
  <r>
    <n v="113044"/>
    <s v="OSAIR ALVES FAGUNDES"/>
    <s v="MOTORISTA CAMINHAO"/>
    <n v="0"/>
    <x v="0"/>
  </r>
  <r>
    <n v="113049"/>
    <s v="WAGNER DA SILVA DE JESUS VALE"/>
    <s v="MOTORISTA CAMINHAO"/>
    <n v="0"/>
    <x v="0"/>
  </r>
  <r>
    <n v="113050"/>
    <s v="IVAN SANTOS BALBINO DA SILVA"/>
    <s v="VARREDOR"/>
    <n v="0"/>
    <x v="0"/>
  </r>
  <r>
    <n v="113055"/>
    <s v="LUIZ RODRIGUES DE SOUZA"/>
    <s v="VARREDOR"/>
    <n v="0"/>
    <x v="0"/>
  </r>
  <r>
    <n v="113056"/>
    <s v="JOAO VICENTE NETO"/>
    <s v="VARREDOR"/>
    <n v="0"/>
    <x v="0"/>
  </r>
  <r>
    <n v="113058"/>
    <s v="ALFREDO SEIFERT"/>
    <s v="VARREDOR"/>
    <n v="0"/>
    <x v="0"/>
  </r>
  <r>
    <n v="113059"/>
    <s v="WAGNER DIOGO SANTOS"/>
    <s v="MOTORISTA CAMINHAO"/>
    <n v="0"/>
    <x v="0"/>
  </r>
  <r>
    <n v="113063"/>
    <s v="WAGNER RIBEIRO DOS SANTOS"/>
    <s v="MOTORISTA CAMINHAO"/>
    <n v="0"/>
    <x v="0"/>
  </r>
  <r>
    <n v="113064"/>
    <s v="FRANCISNALDO DA SILVA NEPOMUCENO"/>
    <s v="AJUDANTE EQ SERVICOS DIVERSOS"/>
    <n v="1"/>
    <x v="0"/>
  </r>
  <r>
    <n v="113068"/>
    <s v="DAVID PEREIRA LIMA"/>
    <s v="COLETOR"/>
    <n v="0"/>
    <x v="0"/>
  </r>
  <r>
    <n v="113071"/>
    <s v="FRANQUILANIO DA SILVA"/>
    <s v="FISCAL DE TURMA PLENO"/>
    <n v="0"/>
    <x v="0"/>
  </r>
  <r>
    <n v="113072"/>
    <s v="IVO FERREIRA DE AZEVEDO"/>
    <s v="AJUDANTE EQ SERVICOS DIVERSOS"/>
    <n v="0"/>
    <x v="0"/>
  </r>
  <r>
    <n v="113073"/>
    <s v="MAGNOBALDO PEREIRA SANTOS"/>
    <s v="VARREDOR"/>
    <n v="0"/>
    <x v="0"/>
  </r>
  <r>
    <n v="113074"/>
    <s v="WEVERSON DA SILVA FELIPE"/>
    <s v="MOTORISTA CAMINHAO"/>
    <n v="0"/>
    <x v="0"/>
  </r>
  <r>
    <n v="113075"/>
    <s v="FREDSON VIEIRA BRAGA"/>
    <s v="VARREDOR"/>
    <n v="0"/>
    <x v="0"/>
  </r>
  <r>
    <n v="113077"/>
    <s v="JEAN DE LIMA GOMES"/>
    <s v="AJUDANTE EQ SERVICOS DIVERSOS"/>
    <n v="1"/>
    <x v="0"/>
  </r>
  <r>
    <n v="113079"/>
    <s v="GABRIEL AUGUSTO DE ANDRADE"/>
    <s v="AJUDANTE EQ SERVICOS DIVERSOS"/>
    <n v="0"/>
    <x v="0"/>
  </r>
  <r>
    <n v="113080"/>
    <s v="JEFISON COSTA DE OLIVEIRA"/>
    <s v="COLETOR"/>
    <n v="0"/>
    <x v="0"/>
  </r>
  <r>
    <n v="113081"/>
    <s v="JHONATAN DE LIMA GOMES"/>
    <s v="AJUDANTE EQ SERVICOS DIVERSOS"/>
    <n v="0"/>
    <x v="0"/>
  </r>
  <r>
    <n v="113082"/>
    <s v="JOHNATA MONTEIRO DOS SANTOS SOUZA"/>
    <s v="VARREDOR"/>
    <n v="0"/>
    <x v="3"/>
  </r>
  <r>
    <n v="113083"/>
    <s v="OSMAR NOGUEIRA DA SILVA"/>
    <s v="FISCAL DE TURMA PLENO"/>
    <n v="0"/>
    <x v="1"/>
  </r>
  <r>
    <n v="113086"/>
    <s v="ALTAMIR REIS LUIZ"/>
    <s v="MOTORISTA CAMINHAO"/>
    <n v="0"/>
    <x v="0"/>
  </r>
  <r>
    <n v="113093"/>
    <s v="IVANILDO ALEXANDRE DOS SANTOS"/>
    <s v="AJUDANTE EQ SERVICOS DIVERSOS"/>
    <n v="0"/>
    <x v="0"/>
  </r>
  <r>
    <n v="113094"/>
    <s v="IVANILDO DA SILVA LEITE"/>
    <s v="AJUDANTE EQ SERVICOS DIVERSOS"/>
    <n v="0"/>
    <x v="0"/>
  </r>
  <r>
    <n v="113095"/>
    <s v="MANACES ALVES CORREIA"/>
    <s v="FISCAL DE TURMA PLENO"/>
    <n v="0"/>
    <x v="0"/>
  </r>
  <r>
    <n v="113098"/>
    <s v="IVANILDO PASSOS DOS SANTOS"/>
    <s v="COLETOR"/>
    <n v="0"/>
    <x v="0"/>
  </r>
  <r>
    <n v="113101"/>
    <s v="MANOEL ARAUJO DE BARROS"/>
    <s v="AJUDANTE EQ SERVICOS DIVERSOS"/>
    <n v="0"/>
    <x v="0"/>
  </r>
  <r>
    <n v="113103"/>
    <s v="AMARILDO MAMEDE DA SILVA"/>
    <s v="AJUDANTE EQ SERVICOS DIVERSOS"/>
    <n v="0"/>
    <x v="1"/>
  </r>
  <r>
    <n v="113106"/>
    <s v="MANOEL BELARMINO DA SILVA"/>
    <s v="VARREDOR"/>
    <n v="0"/>
    <x v="1"/>
  </r>
  <r>
    <n v="113107"/>
    <s v="DENES GABRIEL COSTA SILVA"/>
    <s v="VARREDOR"/>
    <n v="0"/>
    <x v="0"/>
  </r>
  <r>
    <n v="113109"/>
    <s v="AMARO NIVALDO PLINIO"/>
    <s v="BUEIRISTA"/>
    <n v="0"/>
    <x v="0"/>
  </r>
  <r>
    <n v="113110"/>
    <s v="MANOEL CARLOS DA SILVA FIGUEIREDO"/>
    <s v="VARREDOR"/>
    <n v="0"/>
    <x v="0"/>
  </r>
  <r>
    <n v="113111"/>
    <s v="GABRIEL SANTOS QUARESMA"/>
    <s v="AJUDANTE EQ SERVICOS DIVERSOS"/>
    <n v="2"/>
    <x v="0"/>
  </r>
  <r>
    <n v="113114"/>
    <s v="JOSE DE JESUS SANTOS"/>
    <s v="VARREDOR"/>
    <n v="0"/>
    <x v="0"/>
  </r>
  <r>
    <n v="113116"/>
    <s v="MANOEL CARLOS DE SOUZA COSTA"/>
    <s v="VARREDOR"/>
    <n v="0"/>
    <x v="0"/>
  </r>
  <r>
    <n v="113117"/>
    <s v="AMAURI FERREIRA DA SILVA"/>
    <s v="AJUDANTE EQ SERVICOS DIVERSOS"/>
    <n v="0"/>
    <x v="0"/>
  </r>
  <r>
    <n v="113118"/>
    <s v="JOSE ILARIO DOS SANTOS"/>
    <s v="BORRACHEIRO II"/>
    <n v="0"/>
    <x v="0"/>
  </r>
  <r>
    <n v="113119"/>
    <s v="DENILSON SOARES BATISTA"/>
    <s v="COLETOR"/>
    <n v="0"/>
    <x v="0"/>
  </r>
  <r>
    <n v="113120"/>
    <s v="JOALDO ALVES DOS ANJOS"/>
    <s v="BUEIRISTA"/>
    <n v="0"/>
    <x v="0"/>
  </r>
  <r>
    <n v="113121"/>
    <s v="GENEILSON RODRIGUES DA SILVA"/>
    <s v="MOTORISTA CAMINHAO"/>
    <n v="0"/>
    <x v="0"/>
  </r>
  <r>
    <n v="113122"/>
    <s v="MANOEL DE ASSIS DA SILVA"/>
    <s v="VARREDOR"/>
    <n v="0"/>
    <x v="0"/>
  </r>
  <r>
    <n v="113123"/>
    <s v="JEDSON DA SILVA SANTOS"/>
    <s v="MOTORISTA DE CAMINHAO"/>
    <n v="0"/>
    <x v="0"/>
  </r>
  <r>
    <n v="113124"/>
    <s v="AMILTON PEREIRA SANTOS"/>
    <s v="COLETOR"/>
    <n v="0"/>
    <x v="0"/>
  </r>
  <r>
    <n v="113125"/>
    <s v="JORCIRLEI ROCHA DOS SANTOS"/>
    <s v="COLETOR"/>
    <n v="0"/>
    <x v="0"/>
  </r>
  <r>
    <n v="113127"/>
    <s v="MANOEL DOS SANTOS DE LIRA TEIXEIRA"/>
    <s v="VARREDOR"/>
    <n v="0"/>
    <x v="0"/>
  </r>
  <r>
    <n v="113131"/>
    <s v="GENEVAL JOSE DA SILVA"/>
    <s v="VARREDOR"/>
    <n v="0"/>
    <x v="0"/>
  </r>
  <r>
    <n v="113132"/>
    <s v="JAILSON CONCEICAO DOS SANTOS"/>
    <s v="COLETOR"/>
    <n v="0"/>
    <x v="0"/>
  </r>
  <r>
    <n v="113134"/>
    <s v="JOSE ANTONIO DOS SANTOS"/>
    <s v="COLETOR"/>
    <n v="0"/>
    <x v="0"/>
  </r>
  <r>
    <n v="113135"/>
    <s v="ANA CLAUDIA RODRIGUES BRITO"/>
    <s v="VARREDOR"/>
    <n v="0"/>
    <x v="0"/>
  </r>
  <r>
    <n v="113136"/>
    <s v="GENILSON BATISTA CALADO"/>
    <s v="COLETOR"/>
    <n v="0"/>
    <x v="0"/>
  </r>
  <r>
    <n v="113137"/>
    <s v="MANOEL FRANCISCO DA SILVA HEMEL"/>
    <s v="COLETOR"/>
    <n v="0"/>
    <x v="0"/>
  </r>
  <r>
    <n v="113139"/>
    <s v="ANA LUCIA GONZAGA DE SOUZA"/>
    <s v="VARREDOR"/>
    <n v="0"/>
    <x v="1"/>
  </r>
  <r>
    <n v="113140"/>
    <s v="MANOEL HENRIQUE CONCEICAO"/>
    <s v="VARREDOR"/>
    <n v="0"/>
    <x v="0"/>
  </r>
  <r>
    <n v="113141"/>
    <s v="OZEIAS PEREIRA DE SOUSA"/>
    <s v="VARREDOR"/>
    <n v="0"/>
    <x v="0"/>
  </r>
  <r>
    <n v="113142"/>
    <s v="MANOEL JOSE DO NASCIMENTO JUNIOR"/>
    <s v="COLETOR"/>
    <n v="0"/>
    <x v="1"/>
  </r>
  <r>
    <n v="113146"/>
    <s v="MANOEL MESSIAS DA CONCEICAO"/>
    <s v="VARREDOR"/>
    <n v="0"/>
    <x v="0"/>
  </r>
  <r>
    <n v="113149"/>
    <s v="MANOEL MESSIAS DE BRITO"/>
    <s v="VARREDOR"/>
    <n v="0"/>
    <x v="0"/>
  </r>
  <r>
    <n v="113150"/>
    <s v="GENIVALDO DA SILVA"/>
    <s v="COLETOR"/>
    <n v="0"/>
    <x v="0"/>
  </r>
  <r>
    <n v="113151"/>
    <s v="ANDERSON ALBERTO LAPIETRA"/>
    <s v="AJUDANTE EQ SERVICOS DIVERSOS"/>
    <n v="0"/>
    <x v="0"/>
  </r>
  <r>
    <n v="113153"/>
    <s v="GENIVALDO DOS SANTOS ARAUJO"/>
    <s v="AJUDANTE EQ SERVICOS DIVERSOS"/>
    <n v="0"/>
    <x v="1"/>
  </r>
  <r>
    <n v="113155"/>
    <s v="MANOEL OLIVEIRA NETO"/>
    <s v="MOTORISTA CAMINHAO"/>
    <n v="0"/>
    <x v="0"/>
  </r>
  <r>
    <n v="113157"/>
    <s v="DENIS RODRIGUES DE ALMEIDA"/>
    <s v="VARREDOR"/>
    <n v="0"/>
    <x v="0"/>
  </r>
  <r>
    <n v="113158"/>
    <s v="JOSE GERALDO DA SILVA"/>
    <s v="COLETOR"/>
    <n v="0"/>
    <x v="0"/>
  </r>
  <r>
    <n v="113159"/>
    <s v="JOSE IRANDIR SANTOS DE JESUS"/>
    <s v="COLETOR"/>
    <n v="0"/>
    <x v="0"/>
  </r>
  <r>
    <n v="113160"/>
    <s v="JOSE LUIZ GOMES DA SILVA"/>
    <s v="COLETOR"/>
    <n v="0"/>
    <x v="0"/>
  </r>
  <r>
    <n v="113161"/>
    <s v="JOSE DAMIAO DOS SANTOS"/>
    <s v="MOTORISTA CAMINHAO"/>
    <n v="0"/>
    <x v="0"/>
  </r>
  <r>
    <n v="113162"/>
    <s v="JOSE GOMES DA SILVA"/>
    <s v="COLETOR"/>
    <n v="0"/>
    <x v="0"/>
  </r>
  <r>
    <n v="113163"/>
    <s v="JOSE PROVINO OSORIO"/>
    <s v="COLETOR"/>
    <n v="0"/>
    <x v="0"/>
  </r>
  <r>
    <n v="113164"/>
    <s v="IZAIAS RODRIGUES MIRANDA"/>
    <s v="COLETOR"/>
    <n v="0"/>
    <x v="0"/>
  </r>
  <r>
    <n v="113166"/>
    <s v="JAIME MENDES DOS SANTOS"/>
    <s v="COLETOR"/>
    <n v="0"/>
    <x v="0"/>
  </r>
  <r>
    <n v="113167"/>
    <s v="MANOEL PEREIRA DA SILVA"/>
    <s v="VARREDOR"/>
    <n v="0"/>
    <x v="0"/>
  </r>
  <r>
    <n v="113169"/>
    <s v="MANOEL PEREIRA DOS SANTOS"/>
    <s v="VARREDOR"/>
    <n v="0"/>
    <x v="0"/>
  </r>
  <r>
    <n v="113171"/>
    <s v="ANDERSON BUENO TAVARES"/>
    <s v="AJUDANTE EQ SERVICOS DIVERSOS"/>
    <n v="0"/>
    <x v="0"/>
  </r>
  <r>
    <n v="113172"/>
    <s v="MANOEL SILVA MENDES"/>
    <s v="VARREDOR"/>
    <n v="0"/>
    <x v="0"/>
  </r>
  <r>
    <n v="113173"/>
    <s v="ANDERSON DOS SANTOS ALVES"/>
    <s v="AJUDANTE EQ SERVICOS DIVERSOS"/>
    <n v="0"/>
    <x v="1"/>
  </r>
  <r>
    <n v="113177"/>
    <s v="MANUELITO PEREIRA DA SILVA"/>
    <s v="VARREDOR"/>
    <n v="0"/>
    <x v="0"/>
  </r>
  <r>
    <n v="113179"/>
    <s v="GENIVALDO SANTOS DE JESUS"/>
    <s v="AJUDANTE EQ SERVICOS DIVERSOS"/>
    <n v="0"/>
    <x v="0"/>
  </r>
  <r>
    <n v="113181"/>
    <s v="GEORGE DOS SANTOS BARBOSA"/>
    <s v="AJUDANTE EQ SERVICOS DIVERSOS"/>
    <n v="0"/>
    <x v="0"/>
  </r>
  <r>
    <n v="113183"/>
    <s v="OZIEL PAULO DE LIMA"/>
    <s v="COLETOR"/>
    <n v="0"/>
    <x v="0"/>
  </r>
  <r>
    <n v="113185"/>
    <s v="MARCELO APARECIDO FONSECA"/>
    <s v="MOTORISTA CAMINHAO"/>
    <n v="0"/>
    <x v="0"/>
  </r>
  <r>
    <n v="113186"/>
    <s v="ANDERSON SOARES CARDOSO"/>
    <s v="VARREDOR"/>
    <n v="0"/>
    <x v="0"/>
  </r>
  <r>
    <n v="113188"/>
    <s v="OZILINA AUGUSTINHA DE SOUZA"/>
    <s v="AJUDANTE EQ SERVICOS DIVERSOS"/>
    <n v="0"/>
    <x v="0"/>
  </r>
  <r>
    <n v="113189"/>
    <s v="MARCELO CALIXTO DE GOUVEIA"/>
    <s v="COLETOR"/>
    <n v="0"/>
    <x v="0"/>
  </r>
  <r>
    <n v="113192"/>
    <s v="PAOLA SABRINA RIO BRANCO"/>
    <s v="VARREDOR"/>
    <n v="0"/>
    <x v="0"/>
  </r>
  <r>
    <n v="113194"/>
    <s v="GERALDO EVANGELISTA DE CARVALHO"/>
    <s v="VARREDOR"/>
    <n v="0"/>
    <x v="0"/>
  </r>
  <r>
    <n v="113198"/>
    <s v="MARCELO COSTA RODRIGUES"/>
    <s v="FISCAL DE TURMA PLENO"/>
    <n v="0"/>
    <x v="0"/>
  </r>
  <r>
    <n v="113199"/>
    <s v="GERALDO GUEDES DA SILVA"/>
    <s v="VARREDOR"/>
    <n v="0"/>
    <x v="0"/>
  </r>
  <r>
    <n v="113201"/>
    <s v="PAULO AQUINO TAVARES DE ARRUDA"/>
    <s v="VARREDOR"/>
    <n v="0"/>
    <x v="0"/>
  </r>
  <r>
    <n v="113202"/>
    <s v="GERALDO LEONILDO DA SILVA"/>
    <s v="AJUDANTE EQ SERVICOS DIVERSOS"/>
    <n v="0"/>
    <x v="0"/>
  </r>
  <r>
    <n v="113203"/>
    <s v="MARCELO DA CONCEICAO OLIVEIRA"/>
    <s v="AJUDANTE EQ SERVICOS DIVERSOS"/>
    <n v="0"/>
    <x v="0"/>
  </r>
  <r>
    <n v="113204"/>
    <s v="DENIS SANTOS DA SILVA"/>
    <s v="AJUDANTE EQ SERVICOS DIVERSOS"/>
    <n v="0"/>
    <x v="0"/>
  </r>
  <r>
    <n v="113205"/>
    <s v="MARCELO DE PAULA VIEIRA DA SILVA"/>
    <s v="VARREDOR"/>
    <n v="0"/>
    <x v="0"/>
  </r>
  <r>
    <n v="113206"/>
    <s v="GERALDO MANGELA DAMASIO"/>
    <s v="VARREDOR"/>
    <n v="0"/>
    <x v="0"/>
  </r>
  <r>
    <n v="113208"/>
    <s v="MARCELO DOS SANTOS SANTANA"/>
    <s v="VARREDOR"/>
    <n v="0"/>
    <x v="0"/>
  </r>
  <r>
    <n v="113209"/>
    <s v="GERALDO MANOEL DO NASCIMENTO"/>
    <s v="VARREDOR"/>
    <n v="0"/>
    <x v="0"/>
  </r>
  <r>
    <n v="113213"/>
    <s v="ANDRE BARBOSA DE PAULA"/>
    <s v="MOTORISTA CAMINHAO"/>
    <n v="0"/>
    <x v="0"/>
  </r>
  <r>
    <n v="113217"/>
    <s v="MARCELO JOSE DE ANDRADE"/>
    <s v="AJUDANTE EQ SERVICOS DIVERSOS"/>
    <n v="1"/>
    <x v="0"/>
  </r>
  <r>
    <n v="113218"/>
    <s v="PAULO CAMPOS MEIRELES"/>
    <s v="MOTORISTA CAMINHAO"/>
    <n v="0"/>
    <x v="0"/>
  </r>
  <r>
    <n v="113219"/>
    <s v="ANDRE BARBOSA MATIAS"/>
    <s v="MOTORISTA CAMINHAO"/>
    <n v="0"/>
    <x v="0"/>
  </r>
  <r>
    <n v="113223"/>
    <s v="ANDRE BORGES SOUZA"/>
    <s v="AJUDANTE EQ SERVICOS DIVERSOS"/>
    <n v="0"/>
    <x v="0"/>
  </r>
  <r>
    <n v="113224"/>
    <s v="PAULO CARDOSO DOS SANTOS"/>
    <s v="AJUDANTE EQ SERVICOS DIVERSOS"/>
    <n v="0"/>
    <x v="0"/>
  </r>
  <r>
    <n v="113225"/>
    <s v="GERSON CAETANO DO NASCIMENTO"/>
    <s v="VARREDOR"/>
    <n v="0"/>
    <x v="1"/>
  </r>
  <r>
    <n v="113226"/>
    <s v="ANDRE FERREIRA DA SILVA"/>
    <s v="VARREDOR"/>
    <n v="0"/>
    <x v="0"/>
  </r>
  <r>
    <n v="113227"/>
    <s v="MARCELO MARLOS EVANGELISTA"/>
    <s v="MOTORISTA CAMINHAO"/>
    <n v="0"/>
    <x v="1"/>
  </r>
  <r>
    <n v="113228"/>
    <s v="GERSON DE JESUS SOARES"/>
    <s v="COLETOR"/>
    <n v="0"/>
    <x v="0"/>
  </r>
  <r>
    <n v="113232"/>
    <s v="ANDRE GUSTAVO DOS SANTOS"/>
    <s v="FISCAL DE TRAFEGO PLENO"/>
    <n v="0"/>
    <x v="0"/>
  </r>
  <r>
    <n v="113233"/>
    <s v="GERSON FERNANDO LIMA SOUSA"/>
    <s v="AJUDANTE EQ SERVICOS DIVERSOS"/>
    <n v="0"/>
    <x v="0"/>
  </r>
  <r>
    <n v="113235"/>
    <s v="PAULO CARVALHO SOUZA"/>
    <s v="AJUDANTE EQ SERVICOS DIVERSOS"/>
    <n v="0"/>
    <x v="0"/>
  </r>
  <r>
    <n v="113237"/>
    <s v="MARCIMINO CAMPOS DA SILVA"/>
    <s v="VARREDOR"/>
    <n v="0"/>
    <x v="0"/>
  </r>
  <r>
    <n v="113240"/>
    <s v="MARCIO ANTONIO DA SILVA"/>
    <s v="AJUDANTE EQ SERVICOS DIVERSOS"/>
    <n v="0"/>
    <x v="3"/>
  </r>
  <r>
    <n v="113242"/>
    <s v="MARCIO DE JESUS TAMEIRAO"/>
    <s v="AJUDANTE EQ SERVICOS DIVERSOS"/>
    <n v="0"/>
    <x v="0"/>
  </r>
  <r>
    <n v="113244"/>
    <s v="MARCIO JOSE COELHO"/>
    <s v="VARREDOR"/>
    <n v="0"/>
    <x v="0"/>
  </r>
  <r>
    <n v="113246"/>
    <s v="GERSON RODRIGUES CAVALCANTE"/>
    <s v="MOTORISTA CAMINHAO"/>
    <n v="0"/>
    <x v="0"/>
  </r>
  <r>
    <n v="113249"/>
    <s v="GIDALTO SOUSA DE CASTRO"/>
    <s v="VARREDOR"/>
    <n v="0"/>
    <x v="0"/>
  </r>
  <r>
    <n v="113250"/>
    <s v="MARCIO MIGUEL DE GODOY"/>
    <s v="AJUDANTE EQ SERVICOS DIVERSOS"/>
    <n v="0"/>
    <x v="0"/>
  </r>
  <r>
    <n v="113251"/>
    <s v="ANDRE LUIZ ALMEIDA PEREIRA"/>
    <s v="MOTORISTA CAMINHAO"/>
    <n v="0"/>
    <x v="0"/>
  </r>
  <r>
    <n v="113253"/>
    <s v="ANDRE LUIZ LEITE DE JESUS"/>
    <s v="FISCAL DE TURMA PLENO"/>
    <n v="0"/>
    <x v="0"/>
  </r>
  <r>
    <n v="113255"/>
    <s v="PAULO HENRIQUE DE MELO"/>
    <s v="COLETOR"/>
    <n v="0"/>
    <x v="0"/>
  </r>
  <r>
    <n v="113258"/>
    <s v="ANDRE MISSIAS AMOROSO"/>
    <s v="AJUDANTE EQ SERVICOS DIVERSOS"/>
    <n v="0"/>
    <x v="0"/>
  </r>
  <r>
    <n v="113260"/>
    <s v="GILBERTO DA COSTA"/>
    <s v="AJUDANTE EQ SERVICOS DIVERSOS"/>
    <n v="0"/>
    <x v="0"/>
  </r>
  <r>
    <n v="113262"/>
    <s v="PAULO HENRIQUE MAPA"/>
    <s v="VARREDOR"/>
    <n v="0"/>
    <x v="0"/>
  </r>
  <r>
    <n v="113263"/>
    <s v="MARCIO ROGERIO DA SILVA MARTINS"/>
    <s v="VARREDOR"/>
    <n v="0"/>
    <x v="0"/>
  </r>
  <r>
    <n v="113264"/>
    <s v="GILBERTO DE JESUS OLIVEIRA"/>
    <s v="VARREDOR"/>
    <n v="0"/>
    <x v="0"/>
  </r>
  <r>
    <n v="113268"/>
    <s v="GILBERTO GOMES TEIXEIRA"/>
    <s v="AJUDANTE EQ SERVICOS DIVERSOS"/>
    <n v="0"/>
    <x v="0"/>
  </r>
  <r>
    <n v="113272"/>
    <s v="GILBERTO SILVA SANTOS"/>
    <s v="VARREDOR"/>
    <n v="0"/>
    <x v="0"/>
  </r>
  <r>
    <n v="113273"/>
    <s v="MARCO ANTONIO MARTINS"/>
    <s v="COLETOR"/>
    <n v="0"/>
    <x v="0"/>
  </r>
  <r>
    <n v="113274"/>
    <s v="GILCELIO SOARES"/>
    <s v="VARREDOR"/>
    <n v="0"/>
    <x v="0"/>
  </r>
  <r>
    <n v="113276"/>
    <s v="MARCO AURELIO FREITAS PACHECO"/>
    <s v="AJUDANTE EQ SERVICOS DIVERSOS"/>
    <n v="0"/>
    <x v="0"/>
  </r>
  <r>
    <n v="113278"/>
    <s v="GILDENE DA SILVA"/>
    <s v="AJUDANTE EQ SERVICOS DIVERSOS"/>
    <n v="0"/>
    <x v="0"/>
  </r>
  <r>
    <n v="113279"/>
    <s v="MARCOS ALEXANDRE FERREIRA CARVALHO"/>
    <s v="MECANICO II"/>
    <n v="0"/>
    <x v="0"/>
  </r>
  <r>
    <n v="113280"/>
    <s v="GILMAR RIBEIRO"/>
    <s v="AJUDANTE EQ SERVICOS DIVERSOS"/>
    <n v="0"/>
    <x v="0"/>
  </r>
  <r>
    <n v="113282"/>
    <s v="MARCOS ALVES DA SILVA"/>
    <s v="MOTORISTA CAMINHAO"/>
    <n v="0"/>
    <x v="0"/>
  </r>
  <r>
    <n v="113286"/>
    <s v="MARCOS AURELIO DA COSTA MONTEIRO"/>
    <s v="COLETOR"/>
    <n v="0"/>
    <x v="0"/>
  </r>
  <r>
    <n v="113287"/>
    <s v="GILSON ALVES DA SILVA"/>
    <s v="VARREDOR"/>
    <n v="0"/>
    <x v="0"/>
  </r>
  <r>
    <n v="113288"/>
    <s v="PAULO JOSE RIBEIRO"/>
    <s v="VARREDOR"/>
    <n v="0"/>
    <x v="0"/>
  </r>
  <r>
    <n v="113289"/>
    <s v="GILSON DE OLIVEIRA"/>
    <s v="VARREDOR"/>
    <n v="0"/>
    <x v="0"/>
  </r>
  <r>
    <n v="113292"/>
    <s v="MARCOS DAMIAO MARCONDES"/>
    <s v="VARREDOR"/>
    <n v="0"/>
    <x v="0"/>
  </r>
  <r>
    <n v="113294"/>
    <s v="MARCOS DE PAULA PRADO"/>
    <s v="VARREDOR"/>
    <n v="0"/>
    <x v="0"/>
  </r>
  <r>
    <n v="113298"/>
    <s v="GILVAN DE JESUS ROSA"/>
    <s v="COLETOR"/>
    <n v="0"/>
    <x v="0"/>
  </r>
  <r>
    <n v="113302"/>
    <s v="ANDRE SOARES PADILHA LIMA"/>
    <s v="VARREDOR"/>
    <n v="0"/>
    <x v="0"/>
  </r>
  <r>
    <n v="113303"/>
    <s v="JEFFERSON SILVA ROSA"/>
    <s v="COLETOR"/>
    <n v="0"/>
    <x v="0"/>
  </r>
  <r>
    <n v="113305"/>
    <s v="CHARLES DEIVIDSON DE CARVALHO"/>
    <s v="VARREDOR"/>
    <n v="0"/>
    <x v="0"/>
  </r>
  <r>
    <n v="113308"/>
    <s v="GILVANIA VIEIRA DOS SANTOS"/>
    <s v="FAXINEIRO(A)"/>
    <n v="0"/>
    <x v="0"/>
  </r>
  <r>
    <n v="113309"/>
    <s v="DIEGO AUGUSTO DA PAIXAO"/>
    <s v="VARREDOR"/>
    <n v="0"/>
    <x v="0"/>
  </r>
  <r>
    <n v="113310"/>
    <s v="ANILTON RIBEIRO SOUZA"/>
    <s v="MOTORISTA CAMINHAO"/>
    <n v="0"/>
    <x v="0"/>
  </r>
  <r>
    <n v="113313"/>
    <s v="MARCOS FRANCISCO DA SILVA"/>
    <s v="AJUDANTE EQ SERVICOS DIVERSOS"/>
    <n v="1"/>
    <x v="0"/>
  </r>
  <r>
    <n v="113317"/>
    <s v="GIRLANIO CAVALCANTE DE ALMEIDA"/>
    <s v="VARREDOR"/>
    <n v="0"/>
    <x v="0"/>
  </r>
  <r>
    <n v="113318"/>
    <s v="DIEGO DOS SANTOS SOUZA"/>
    <s v="VARREDOR"/>
    <n v="0"/>
    <x v="0"/>
  </r>
  <r>
    <n v="113320"/>
    <s v="JOSE FERNANDO DA SILVA"/>
    <s v="COLETOR"/>
    <n v="0"/>
    <x v="0"/>
  </r>
  <r>
    <n v="113323"/>
    <s v="GISLAINE ALMEIDA DE JESUS"/>
    <s v="AJUDANTE EQ SERVICOS DIVERSOS"/>
    <n v="0"/>
    <x v="0"/>
  </r>
  <r>
    <n v="113324"/>
    <s v="MARCOS PEREIRA MARINHO"/>
    <s v="VARREDOR"/>
    <n v="0"/>
    <x v="0"/>
  </r>
  <r>
    <n v="113325"/>
    <s v="JOSE LUCINALDO DA SILVA"/>
    <s v="COLETOR"/>
    <n v="2"/>
    <x v="0"/>
  </r>
  <r>
    <n v="113327"/>
    <s v="JOSE MARIA DE MOURA"/>
    <s v="COLETOR"/>
    <n v="0"/>
    <x v="0"/>
  </r>
  <r>
    <n v="113328"/>
    <s v="GIULIANO HENRIQUE DA SILVA"/>
    <s v="VARREDOR"/>
    <n v="0"/>
    <x v="0"/>
  </r>
  <r>
    <n v="113329"/>
    <s v="MARCOS ROBERTO DE CARVALHO"/>
    <s v="VARREDOR"/>
    <n v="0"/>
    <x v="0"/>
  </r>
  <r>
    <n v="113331"/>
    <s v="DIJALMA OLIVEIRA SOUZA"/>
    <s v="AJUDANTE EQ SERVICOS DIVERSOS"/>
    <n v="0"/>
    <x v="0"/>
  </r>
  <r>
    <n v="113334"/>
    <s v="ANTENOR VIEIRA LIMA"/>
    <s v="MOTORISTA DE CAMINHAO"/>
    <n v="0"/>
    <x v="0"/>
  </r>
  <r>
    <n v="113335"/>
    <s v="JOSE APARECIDO ALVES DA SILVA"/>
    <s v="FISCAL DE TURMA PLENO"/>
    <n v="0"/>
    <x v="0"/>
  </r>
  <r>
    <n v="113337"/>
    <s v="MARCOS SANTOS DA SILVA"/>
    <s v="AJUDANTE EQ SERVICOS DIVERSOS"/>
    <n v="0"/>
    <x v="0"/>
  </r>
  <r>
    <n v="113339"/>
    <s v="JORGE ANTONIO PEREIRA DOS REIS"/>
    <s v="MECANICO II"/>
    <n v="0"/>
    <x v="0"/>
  </r>
  <r>
    <n v="113341"/>
    <s v="DIMAS XAVIER DE JESUS"/>
    <s v="VARREDOR"/>
    <n v="0"/>
    <x v="0"/>
  </r>
  <r>
    <n v="113342"/>
    <s v="MARCOS TADEU NERI"/>
    <s v="AJUDANTE EQ SERVICOS DIVERSOS"/>
    <n v="0"/>
    <x v="0"/>
  </r>
  <r>
    <n v="113344"/>
    <s v="JOSE DILSON SILVA"/>
    <s v="OPERADOR DE MAQUINA SENIOR"/>
    <n v="0"/>
    <x v="1"/>
  </r>
  <r>
    <n v="113349"/>
    <s v="DIOGENES CARDOSO BARBOSA"/>
    <s v="MOTORISTA CAMINHAO"/>
    <n v="0"/>
    <x v="0"/>
  </r>
  <r>
    <n v="113350"/>
    <s v="PAULO ROBERO MUNIZ MOREIRA"/>
    <s v="AJUDANTE EQ SERVICOS DIVERSOS"/>
    <n v="0"/>
    <x v="0"/>
  </r>
  <r>
    <n v="113353"/>
    <s v="GIVANILDO FREIRE DE NOVAES"/>
    <s v="MOTORISTA DE CAMINHAO"/>
    <n v="0"/>
    <x v="0"/>
  </r>
  <r>
    <n v="113354"/>
    <s v="DIOGO DA CRUZ SILVEIRA"/>
    <s v="AJUDANTE EQ SERVICOS DIVERSOS"/>
    <n v="0"/>
    <x v="0"/>
  </r>
  <r>
    <n v="113355"/>
    <s v="ANTONIO AIRTON BARBOSA ALEXANDRE"/>
    <s v="AJUDANTE EQ SERVICOS DIVERSOS"/>
    <n v="0"/>
    <x v="0"/>
  </r>
  <r>
    <n v="113356"/>
    <s v="PAULO ROBERTO DA SILVA"/>
    <s v="AJUDANTE EQ SERVICOS DIVERSOS"/>
    <n v="0"/>
    <x v="0"/>
  </r>
  <r>
    <n v="113357"/>
    <s v="GLEIDSTON BANDEIRA DA SILVA"/>
    <s v="VARREDOR"/>
    <n v="0"/>
    <x v="0"/>
  </r>
  <r>
    <n v="113358"/>
    <s v="JOSE ANTONIO COSTA"/>
    <s v="VARREDOR"/>
    <n v="0"/>
    <x v="0"/>
  </r>
  <r>
    <n v="113361"/>
    <s v="DOMINGOS DA CRUZ DOS SANTOS"/>
    <s v="MOTORISTA CAMINHAO"/>
    <n v="0"/>
    <x v="0"/>
  </r>
  <r>
    <n v="113362"/>
    <s v="JOSE FONSECA DE SOUZA"/>
    <s v="VARREDOR"/>
    <n v="0"/>
    <x v="0"/>
  </r>
  <r>
    <n v="113363"/>
    <s v="JOAO MANOEL DA SILVA"/>
    <s v="VARREDOR"/>
    <n v="0"/>
    <x v="0"/>
  </r>
  <r>
    <n v="113364"/>
    <s v="DOMINGOS MENEZES DANTAS"/>
    <s v="VARREDOR"/>
    <n v="0"/>
    <x v="0"/>
  </r>
  <r>
    <n v="113365"/>
    <s v="PAULO ROBERTO DA SILVA"/>
    <s v="MOTORISTA CAMINHAO"/>
    <n v="0"/>
    <x v="0"/>
  </r>
  <r>
    <n v="113366"/>
    <s v="JOSE GILBERTO DA SILVA"/>
    <s v="VARREDOR"/>
    <n v="0"/>
    <x v="0"/>
  </r>
  <r>
    <n v="113367"/>
    <s v="GLEISON ALAN DOS SANTOS"/>
    <s v="COLETOR"/>
    <n v="0"/>
    <x v="0"/>
  </r>
  <r>
    <n v="113368"/>
    <s v="DOMINGOS NORBERTO RODRIGUES"/>
    <s v="VARREDOR"/>
    <n v="0"/>
    <x v="0"/>
  </r>
  <r>
    <n v="113369"/>
    <s v="ANTONIO CARLOS ALVES RAMOS"/>
    <s v="VARREDOR"/>
    <n v="0"/>
    <x v="0"/>
  </r>
  <r>
    <n v="113370"/>
    <s v="JO ROSA RODRIGUES"/>
    <s v="VARREDOR"/>
    <n v="0"/>
    <x v="0"/>
  </r>
  <r>
    <n v="113373"/>
    <s v="JOAO BATISTA DA SILVA"/>
    <s v="VARREDOR"/>
    <n v="0"/>
    <x v="0"/>
  </r>
  <r>
    <n v="113374"/>
    <s v="DOMINGOS SOUZA DE OLIVEIRA"/>
    <s v="VARREDOR"/>
    <n v="0"/>
    <x v="0"/>
  </r>
  <r>
    <n v="113375"/>
    <s v="JOAO DA COSTA NUNES"/>
    <s v="VARREDOR"/>
    <n v="0"/>
    <x v="0"/>
  </r>
  <r>
    <n v="113376"/>
    <s v="GRACIMAR MARIA PASSOS"/>
    <s v="VARREDOR"/>
    <n v="0"/>
    <x v="0"/>
  </r>
  <r>
    <n v="113377"/>
    <s v="JOAQUIM BATISTA DE OLIVEIRA"/>
    <s v="VARREDOR"/>
    <n v="0"/>
    <x v="1"/>
  </r>
  <r>
    <n v="113378"/>
    <s v="PAULO SERGIO ALVES JOAQUIM"/>
    <s v="VARREDOR"/>
    <n v="0"/>
    <x v="3"/>
  </r>
  <r>
    <n v="113379"/>
    <s v="ANTONIO CARLOS GOMES DE PAULA"/>
    <s v="BUEIRISTA"/>
    <n v="0"/>
    <x v="0"/>
  </r>
  <r>
    <n v="113381"/>
    <s v="JOSE ALUISIO DA SILVA"/>
    <s v="VARREDOR"/>
    <n v="0"/>
    <x v="0"/>
  </r>
  <r>
    <n v="113384"/>
    <s v="JOSE BATISTA DOS SANTOS"/>
    <s v="VARREDOR"/>
    <n v="0"/>
    <x v="0"/>
  </r>
  <r>
    <n v="113385"/>
    <s v="JOSE FRANCISCO VARELA"/>
    <s v="VARREDOR"/>
    <n v="0"/>
    <x v="0"/>
  </r>
  <r>
    <n v="113387"/>
    <s v="JOSE GEAN FERNANDES DA SILVA ARAUJO"/>
    <s v="VARREDOR"/>
    <n v="0"/>
    <x v="0"/>
  </r>
  <r>
    <n v="113388"/>
    <s v="ANTONIO CARLOS RIBEIRO"/>
    <s v="VARREDOR"/>
    <n v="0"/>
    <x v="0"/>
  </r>
  <r>
    <n v="113389"/>
    <s v="PAULO SERGIO DA SILVA"/>
    <s v="COLETOR"/>
    <n v="0"/>
    <x v="0"/>
  </r>
  <r>
    <n v="113390"/>
    <s v="DOUGLAS SABINO SILVA DOS SANTOS"/>
    <s v="AUXILIAR ADMINISTRATIVO"/>
    <n v="0"/>
    <x v="0"/>
  </r>
  <r>
    <n v="113391"/>
    <s v="GUSTAVO DIAS TOMAZ"/>
    <s v="VARREDOR"/>
    <n v="0"/>
    <x v="0"/>
  </r>
  <r>
    <n v="113392"/>
    <s v="DURCINO SILVA DE BRITO"/>
    <s v="VARREDOR"/>
    <n v="0"/>
    <x v="0"/>
  </r>
  <r>
    <n v="113394"/>
    <s v="GUSTAVO OLIVEIRA SOUZA"/>
    <s v="BUEIRISTA"/>
    <n v="0"/>
    <x v="0"/>
  </r>
  <r>
    <n v="113395"/>
    <s v="JOSE JORGE DOS SANTOS"/>
    <s v="VARREDOR"/>
    <n v="0"/>
    <x v="0"/>
  </r>
  <r>
    <n v="113396"/>
    <s v="ANTONIO CARLOS SOUSA DOS SANTOS"/>
    <s v="AJUDANTE EQ SERVICOS DIVERSOS"/>
    <n v="0"/>
    <x v="0"/>
  </r>
  <r>
    <n v="113399"/>
    <s v="PAULO VIEIRA DOS SANTOS"/>
    <s v="AJUDANTE EQ SERVICOS DIVERSOS"/>
    <n v="0"/>
    <x v="0"/>
  </r>
  <r>
    <n v="113400"/>
    <s v="ANTONIO COSME FILHO"/>
    <s v="COLETOR"/>
    <n v="0"/>
    <x v="1"/>
  </r>
  <r>
    <n v="113403"/>
    <s v="JOSE LUIS ALVES DA SILVA"/>
    <s v="VARREDOR"/>
    <n v="0"/>
    <x v="3"/>
  </r>
  <r>
    <n v="113404"/>
    <s v="DURVAL SABINO DOS SANTOS"/>
    <s v="ENCARREGADO DE TURMA"/>
    <n v="0"/>
    <x v="0"/>
  </r>
  <r>
    <n v="113405"/>
    <s v="HELCIO SOARES SARAIVA"/>
    <s v="VARREDOR"/>
    <n v="0"/>
    <x v="0"/>
  </r>
  <r>
    <n v="113406"/>
    <s v="JACKSON PIRES NASCIMENTO"/>
    <s v="VARREDOR"/>
    <n v="0"/>
    <x v="0"/>
  </r>
  <r>
    <n v="113407"/>
    <s v="PEDRO AMARO DA SILVA"/>
    <s v="MOTORISTA CAMINHAO"/>
    <n v="0"/>
    <x v="0"/>
  </r>
  <r>
    <n v="113410"/>
    <s v="JAIR SOARES DE OLIVEIRA"/>
    <s v="VARREDOR"/>
    <n v="0"/>
    <x v="0"/>
  </r>
  <r>
    <n v="113412"/>
    <s v="JOSE CLAUDIO BARBOSA"/>
    <s v="VARREDOR"/>
    <n v="0"/>
    <x v="0"/>
  </r>
  <r>
    <n v="113413"/>
    <s v="HELIO ALVES DE OLIVEIRA"/>
    <s v="VARREDOR"/>
    <n v="0"/>
    <x v="0"/>
  </r>
  <r>
    <n v="113414"/>
    <s v="JOSE DE SANTANA DIAS"/>
    <s v="VARREDOR"/>
    <n v="0"/>
    <x v="0"/>
  </r>
  <r>
    <n v="113415"/>
    <s v="ANGELO JOSE DOS SANTOS"/>
    <s v="VARREDOR"/>
    <n v="0"/>
    <x v="0"/>
  </r>
  <r>
    <n v="113416"/>
    <s v="EDINELIA PEREIRA DOS SANTOS"/>
    <s v="VARREDOR"/>
    <n v="0"/>
    <x v="0"/>
  </r>
  <r>
    <n v="113417"/>
    <s v="JOSE GERALDO SILVA"/>
    <s v="VARREDOR"/>
    <n v="0"/>
    <x v="0"/>
  </r>
  <r>
    <n v="113418"/>
    <s v="HELIO DE OLIVEIRA"/>
    <s v="VARREDOR"/>
    <n v="0"/>
    <x v="0"/>
  </r>
  <r>
    <n v="113419"/>
    <s v="ANNA KAROLINIE GALDINO DOS SANTOS"/>
    <s v="AUXILIAR DE SEGURANCA DO TRABALHO"/>
    <n v="0"/>
    <x v="0"/>
  </r>
  <r>
    <n v="113420"/>
    <s v="JOAO BATISTA DA SILVA"/>
    <s v="VARREDOR"/>
    <n v="0"/>
    <x v="0"/>
  </r>
  <r>
    <n v="113421"/>
    <s v="HELIO FRANCISCO DE OLIVEIRA"/>
    <s v="MOTORISTA CAMINHAO"/>
    <n v="0"/>
    <x v="0"/>
  </r>
  <r>
    <n v="113422"/>
    <s v="JOAO DA COSTA MOREIRA"/>
    <s v="VARREDOR"/>
    <n v="0"/>
    <x v="0"/>
  </r>
  <r>
    <n v="113426"/>
    <s v="ITAMAR NOVAIS SANTOS"/>
    <s v="VARREDOR"/>
    <n v="0"/>
    <x v="0"/>
  </r>
  <r>
    <n v="113429"/>
    <s v="PEDRO BATISTA SANTIAGO"/>
    <s v="VARREDOR"/>
    <n v="0"/>
    <x v="0"/>
  </r>
  <r>
    <n v="113431"/>
    <s v="ANTONIO AMORIM DA SILVA"/>
    <s v="VARREDOR"/>
    <n v="0"/>
    <x v="1"/>
  </r>
  <r>
    <n v="113432"/>
    <s v="JERONIMO LEITE DOS SANTOS"/>
    <s v="VARREDOR"/>
    <n v="0"/>
    <x v="1"/>
  </r>
  <r>
    <n v="113433"/>
    <s v="HENRIQUE BARBOSA DE SOUSA CORDEIRO"/>
    <s v="FISCAL DE TRAFEGO PLENO"/>
    <n v="0"/>
    <x v="0"/>
  </r>
  <r>
    <n v="113435"/>
    <s v="JORGE RUBENS MORENO SOARES"/>
    <s v="VARREDOR"/>
    <n v="0"/>
    <x v="0"/>
  </r>
  <r>
    <n v="113436"/>
    <s v="PEDRO FLAVIO FERREIRA DA SILVA"/>
    <s v="VARREDOR"/>
    <n v="0"/>
    <x v="0"/>
  </r>
  <r>
    <n v="113437"/>
    <s v="JOSE ANTONIO DA SILVA"/>
    <s v="VARREDOR"/>
    <n v="0"/>
    <x v="0"/>
  </r>
  <r>
    <n v="113438"/>
    <s v="ANTONIO CARLOS DE OLIVEIRA"/>
    <s v="AJUDANTE EQ SERVICOS DIVERSOS"/>
    <n v="0"/>
    <x v="0"/>
  </r>
  <r>
    <n v="113441"/>
    <s v="HENRIQUE DOS SANTOS LANA"/>
    <s v="MOTORISTA CAMINHAO"/>
    <n v="0"/>
    <x v="0"/>
  </r>
  <r>
    <n v="113442"/>
    <s v="EDIVALDO VALERIANO DA SILVA"/>
    <s v="VARREDOR"/>
    <n v="0"/>
    <x v="0"/>
  </r>
  <r>
    <n v="113443"/>
    <s v="PEDRO GOMES CARDOZO"/>
    <s v="VARREDOR"/>
    <n v="0"/>
    <x v="0"/>
  </r>
  <r>
    <n v="113445"/>
    <s v="ANTONIO CARLOS PEREIRA"/>
    <s v="AJUDANTE EQ SERVICOS DIVERSOS"/>
    <n v="0"/>
    <x v="0"/>
  </r>
  <r>
    <n v="113447"/>
    <s v="EDIVAN MOURA DOS SANTOS"/>
    <s v="TECNICO EM SEGURANCA DO TRABALHO PLENO"/>
    <n v="0"/>
    <x v="0"/>
  </r>
  <r>
    <n v="113448"/>
    <s v="JOSE ERMESSON LOPES DA SILVA"/>
    <s v="VARREDOR"/>
    <n v="0"/>
    <x v="0"/>
  </r>
  <r>
    <n v="113449"/>
    <s v="PEDRO HELI DE CASTRO"/>
    <s v="AJUDANTE EQ SERVICOS DIVERSOS"/>
    <n v="0"/>
    <x v="0"/>
  </r>
  <r>
    <n v="113455"/>
    <s v="HERCULANO CONCEICAO DE ARAUJO"/>
    <s v="AJUDANTE EQ SERVICOS DIVERSOS"/>
    <n v="0"/>
    <x v="0"/>
  </r>
  <r>
    <n v="113457"/>
    <s v="EDJOVANE PALMA PALMITO"/>
    <s v="VARREDOR"/>
    <n v="0"/>
    <x v="0"/>
  </r>
  <r>
    <n v="113458"/>
    <s v="JOSE LINALDO PIMENTEL SANTANA"/>
    <s v="VARREDOR"/>
    <n v="0"/>
    <x v="0"/>
  </r>
  <r>
    <n v="113459"/>
    <s v="HIGOR SABINO"/>
    <s v="AJUDANTE EQ SERVICOS DIVERSOS"/>
    <n v="0"/>
    <x v="0"/>
  </r>
  <r>
    <n v="113460"/>
    <s v="EDMAR DE FREITAS"/>
    <s v="COLETOR"/>
    <n v="0"/>
    <x v="0"/>
  </r>
  <r>
    <n v="113461"/>
    <s v="JOSE LINS DA SILVA FILHO"/>
    <s v="VARREDOR"/>
    <n v="0"/>
    <x v="0"/>
  </r>
  <r>
    <n v="113463"/>
    <s v="PEDRO LUIZ DA SILVA"/>
    <s v="VARREDOR"/>
    <n v="0"/>
    <x v="0"/>
  </r>
  <r>
    <n v="113464"/>
    <s v="HUGO CESAR CANUTO"/>
    <s v="BUEIRISTA"/>
    <n v="0"/>
    <x v="0"/>
  </r>
  <r>
    <n v="113467"/>
    <s v="JOSE MARIA PEREIRA DOS SANTOS"/>
    <s v="VARREDOR"/>
    <n v="0"/>
    <x v="0"/>
  </r>
  <r>
    <n v="113469"/>
    <s v="EDMILSO ALVES DA SILVA"/>
    <s v="AJUDANTE EQ SERVICOS DIVERSOS"/>
    <n v="0"/>
    <x v="0"/>
  </r>
  <r>
    <n v="113470"/>
    <s v="PEDRO PAULO DE ASSIS"/>
    <s v="VARREDOR"/>
    <n v="0"/>
    <x v="1"/>
  </r>
  <r>
    <n v="113471"/>
    <s v="HUMBERTO JOSE DA SILVA"/>
    <s v="AJUDANTE EQ SERVICOS DIVERSOS"/>
    <n v="0"/>
    <x v="0"/>
  </r>
  <r>
    <n v="113474"/>
    <s v="IDENILSON PAURA RIBEIRO"/>
    <s v="AJUDANTE EQ SERVICOS DIVERSOS"/>
    <n v="0"/>
    <x v="0"/>
  </r>
  <r>
    <n v="113477"/>
    <s v="RAFAEL DE MELO"/>
    <s v="AJUDANTE EQ SERVICOS DIVERSOS"/>
    <n v="0"/>
    <x v="0"/>
  </r>
  <r>
    <n v="113478"/>
    <s v="IGOR SANTOS PALMEIRA"/>
    <s v="OPERADOR DE PA CARREGADEIRA"/>
    <n v="0"/>
    <x v="0"/>
  </r>
  <r>
    <n v="113480"/>
    <s v="ILDETE ARAUJO COELHO"/>
    <s v="VARREDOR"/>
    <n v="0"/>
    <x v="0"/>
  </r>
  <r>
    <n v="113482"/>
    <s v="ANTONIO DA CONCEICAO SANTOS"/>
    <s v="ELETRICISTA"/>
    <n v="0"/>
    <x v="0"/>
  </r>
  <r>
    <n v="113486"/>
    <s v="IRAM MOREIRA DOS SANTOS"/>
    <s v="MOTORISTA CAMINHAO"/>
    <n v="0"/>
    <x v="0"/>
  </r>
  <r>
    <n v="113487"/>
    <s v="IRENO DE JESUS SOUZA"/>
    <s v="COLETOR"/>
    <n v="0"/>
    <x v="3"/>
  </r>
  <r>
    <n v="113489"/>
    <s v="IRINEU DE LIMA ASSUMPCAO"/>
    <s v="VARREDOR"/>
    <n v="0"/>
    <x v="0"/>
  </r>
  <r>
    <n v="113490"/>
    <s v="ANTONIO DE LIMA RIBEIRO"/>
    <s v="MECANICO II"/>
    <n v="0"/>
    <x v="0"/>
  </r>
  <r>
    <n v="113491"/>
    <s v="EDMILSON BATISTA DO NASCIMENTO"/>
    <s v="AJUDANTE EQ SERVICOS DIVERSOS"/>
    <n v="0"/>
    <x v="0"/>
  </r>
  <r>
    <n v="113493"/>
    <s v="RAFAEL DOS SANTOS PALMEIRA DA SILVA"/>
    <s v="VARREDOR"/>
    <n v="22"/>
    <x v="0"/>
  </r>
  <r>
    <n v="113495"/>
    <s v="EDMILSON DA SILVA"/>
    <s v="AJUDANTE EQ SERVICOS DIVERSOS"/>
    <n v="0"/>
    <x v="4"/>
  </r>
  <r>
    <n v="113496"/>
    <s v="RAFAEL LIMA CARDOSO"/>
    <s v="VARREDOR"/>
    <n v="0"/>
    <x v="0"/>
  </r>
  <r>
    <n v="113498"/>
    <s v="EDMILSON LOPES SALES"/>
    <s v="AJUDANTE EQ SERVICOS DIVERSOS"/>
    <n v="0"/>
    <x v="0"/>
  </r>
  <r>
    <n v="113499"/>
    <s v="IRISMAR BARBOSA SILVA"/>
    <s v="VARREDOR"/>
    <n v="0"/>
    <x v="0"/>
  </r>
  <r>
    <n v="113500"/>
    <s v="RAFAEL OLIVEIRA MATOS"/>
    <s v="AJUDANTE EQ SERVICOS DIVERSOS"/>
    <n v="0"/>
    <x v="0"/>
  </r>
  <r>
    <n v="113504"/>
    <s v="RAFAEL RODRIGUES DA SILVA"/>
    <s v="VARREDOR"/>
    <n v="0"/>
    <x v="0"/>
  </r>
  <r>
    <n v="113505"/>
    <s v="ISAIA DE ANDRADE CRUZ DUARTE"/>
    <s v="VARREDOR"/>
    <n v="0"/>
    <x v="0"/>
  </r>
  <r>
    <n v="113508"/>
    <s v="ANTONIO FERREIRA FILHO"/>
    <s v="MOTORISTA CAMINHAO"/>
    <n v="0"/>
    <x v="0"/>
  </r>
  <r>
    <n v="113510"/>
    <s v="EDMILSON TAVARES RAMOS"/>
    <s v="MOTORISTA CAMINHAO"/>
    <n v="0"/>
    <x v="0"/>
  </r>
  <r>
    <n v="113512"/>
    <s v="EDMUNDO DE OLIVEIRA SOUZA"/>
    <s v="AJUDANTE EQ SERVICOS DIVERSOS"/>
    <n v="0"/>
    <x v="0"/>
  </r>
  <r>
    <n v="113515"/>
    <s v="ANTONIO GOMES DA MOTA"/>
    <s v="VARREDOR"/>
    <n v="0"/>
    <x v="1"/>
  </r>
  <r>
    <n v="113516"/>
    <s v="EDNA MONTEIRO DE TOLEDO"/>
    <s v="VARREDOR"/>
    <n v="0"/>
    <x v="0"/>
  </r>
  <r>
    <n v="113519"/>
    <s v="ISAQUIEL OLIMPIO BERNARDO"/>
    <s v="BUEIRISTA"/>
    <n v="0"/>
    <x v="0"/>
  </r>
  <r>
    <n v="113520"/>
    <s v="RAFAEL THEODORO LEITE OLIVEIRA"/>
    <s v="FISCAL DE TURMA PLENO"/>
    <n v="0"/>
    <x v="0"/>
  </r>
  <r>
    <n v="113521"/>
    <s v="EDNALDO DE LIMA SILVA"/>
    <s v="VARREDOR"/>
    <n v="0"/>
    <x v="0"/>
  </r>
  <r>
    <n v="113524"/>
    <s v="EDNILSON CARLOS ARCANJO DE JESUS"/>
    <s v="AJUDANTE EQ SERVICOS DIVERSOS"/>
    <n v="0"/>
    <x v="0"/>
  </r>
  <r>
    <n v="113526"/>
    <s v="RAILDO PEREIRA DE OLIVEIRA"/>
    <s v="AJUDANTE EQ SERVICOS DIVERSOS"/>
    <n v="0"/>
    <x v="0"/>
  </r>
  <r>
    <n v="113529"/>
    <s v="ANTONIO JOSE DE OLIVEIRA"/>
    <s v="MOTORISTA CAMINHAO"/>
    <n v="0"/>
    <x v="0"/>
  </r>
  <r>
    <n v="113530"/>
    <s v="EDSON ALBERTINO DA COSTA SILVA"/>
    <s v="VARREDOR"/>
    <n v="0"/>
    <x v="0"/>
  </r>
  <r>
    <n v="113531"/>
    <s v="RAIMUNDA MARIA DE FREITAS SOUZA"/>
    <s v="VARREDOR"/>
    <n v="0"/>
    <x v="0"/>
  </r>
  <r>
    <n v="113532"/>
    <s v="EDSON ALMEIDA BONFIM"/>
    <s v="AJUDANTE EQ SERVICOS DIVERSOS"/>
    <n v="0"/>
    <x v="0"/>
  </r>
  <r>
    <n v="113533"/>
    <s v="ANTONIO JOSE DOS SANTOS"/>
    <s v="VARREDOR"/>
    <n v="0"/>
    <x v="0"/>
  </r>
  <r>
    <n v="113535"/>
    <s v="EDSON ANTONIO DA SILVA"/>
    <s v="AJUDANTE DE MECANICO"/>
    <n v="0"/>
    <x v="0"/>
  </r>
  <r>
    <n v="113536"/>
    <s v="RAIMUNDA TELES DE ALMEIDA"/>
    <s v="VARREDOR"/>
    <n v="0"/>
    <x v="0"/>
  </r>
  <r>
    <n v="113537"/>
    <s v="EDSON BERNARDO DA SILVA"/>
    <s v="VARREDOR"/>
    <n v="0"/>
    <x v="0"/>
  </r>
  <r>
    <n v="113538"/>
    <s v="RAIMUNDO BARROS DO NASCIMENTO"/>
    <s v="VARREDOR"/>
    <n v="0"/>
    <x v="3"/>
  </r>
  <r>
    <n v="113540"/>
    <s v="CAIO PINHEIRO DE SOUSA"/>
    <s v="MOTORISTA CAMINHAO"/>
    <n v="0"/>
    <x v="0"/>
  </r>
  <r>
    <n v="113541"/>
    <s v="EDSON BEZERRA DO NASCIMENTO"/>
    <s v="FISCAL DE TRAFEGO PLENO"/>
    <n v="0"/>
    <x v="0"/>
  </r>
  <r>
    <n v="113543"/>
    <s v="ANTONIO LAERCIO DA SILVA"/>
    <s v="MOTORISTA CAMINHAO"/>
    <n v="0"/>
    <x v="0"/>
  </r>
  <r>
    <n v="113545"/>
    <s v="BRUNO SANTOS PINA"/>
    <s v="VARREDOR"/>
    <n v="0"/>
    <x v="0"/>
  </r>
  <r>
    <n v="113546"/>
    <s v="BRUNO SANTANA DE SA"/>
    <s v="COLETOR"/>
    <n v="0"/>
    <x v="1"/>
  </r>
  <r>
    <n v="113547"/>
    <s v="RAIMUNDO JOSE DA SILVA"/>
    <s v="FISCAL DE TURMA PLENO"/>
    <n v="0"/>
    <x v="0"/>
  </r>
  <r>
    <n v="113548"/>
    <s v="EDSON BRAZ DA SILVA FILHO"/>
    <s v="AJUDANTE EQ SERVICOS DIVERSOS"/>
    <n v="0"/>
    <x v="0"/>
  </r>
  <r>
    <n v="113549"/>
    <s v="ANTONIO LIMA DE LACERDA"/>
    <s v="AJUDANTE EQ SERVICOS DIVERSOS"/>
    <n v="3"/>
    <x v="0"/>
  </r>
  <r>
    <n v="113550"/>
    <s v="BRUNO PIZOLI DE MORAIS"/>
    <s v="AJUDANTE EQ SERVICOS DIVERSOS"/>
    <n v="0"/>
    <x v="0"/>
  </r>
  <r>
    <n v="113551"/>
    <s v="EDSON CARLOS DA SILVA"/>
    <s v="VARREDOR"/>
    <n v="0"/>
    <x v="0"/>
  </r>
  <r>
    <n v="113552"/>
    <s v="RAIMUNDO JOSE DE SANTANA"/>
    <s v="COLETOR"/>
    <n v="0"/>
    <x v="0"/>
  </r>
  <r>
    <n v="113553"/>
    <s v="ANTONIO LUIS SEVERO"/>
    <s v="VARREDOR"/>
    <n v="0"/>
    <x v="1"/>
  </r>
  <r>
    <n v="113555"/>
    <s v="RAIMUNDO NONATO FILHO"/>
    <s v="VARREDOR"/>
    <n v="0"/>
    <x v="0"/>
  </r>
  <r>
    <n v="113557"/>
    <s v="RAIMUNDO RODRIGUES DOS SANTOS"/>
    <s v="VARREDOR"/>
    <n v="0"/>
    <x v="0"/>
  </r>
  <r>
    <n v="113558"/>
    <s v="ANTONIO MARCOS MARQUES"/>
    <s v="VARREDOR"/>
    <n v="0"/>
    <x v="0"/>
  </r>
  <r>
    <n v="113559"/>
    <s v="RAMON RICHARD DA SILVA"/>
    <s v="VARREDOR"/>
    <n v="0"/>
    <x v="0"/>
  </r>
  <r>
    <n v="113560"/>
    <s v="BRUNO LOPES DA SILVA"/>
    <s v="AJUDANTE EQ SERVICOS DIVERSOS"/>
    <n v="0"/>
    <x v="0"/>
  </r>
  <r>
    <n v="113561"/>
    <s v="ANTONIO MARTINS DA SILVA"/>
    <s v="VARREDOR"/>
    <n v="0"/>
    <x v="0"/>
  </r>
  <r>
    <n v="113565"/>
    <s v="RANIERE GOMES DA SILVA"/>
    <s v="MOTORISTA CAMINHAO"/>
    <n v="0"/>
    <x v="0"/>
  </r>
  <r>
    <n v="113566"/>
    <s v="EDSON FERREIRA DA SILVA"/>
    <s v="VARREDOR"/>
    <n v="0"/>
    <x v="0"/>
  </r>
  <r>
    <n v="113568"/>
    <s v="BRUNO FERNANDES DA SILVA"/>
    <s v="MOTORISTA CAMINHAO"/>
    <n v="0"/>
    <x v="0"/>
  </r>
  <r>
    <n v="113573"/>
    <s v="RAUL APARECIDO LADISLAU"/>
    <s v="VARREDOR"/>
    <n v="0"/>
    <x v="0"/>
  </r>
  <r>
    <n v="113577"/>
    <s v="REGINALDO ASSUMPCAO GARCIA"/>
    <s v="COLETOR"/>
    <n v="0"/>
    <x v="0"/>
  </r>
  <r>
    <n v="113579"/>
    <s v="EDSON NASCIMENTO DA SILVA"/>
    <s v="VARREDOR"/>
    <n v="0"/>
    <x v="0"/>
  </r>
  <r>
    <n v="113582"/>
    <s v="NACISIO JANUARIO DOS SANTOS"/>
    <s v="VARREDOR"/>
    <n v="0"/>
    <x v="0"/>
  </r>
  <r>
    <n v="113584"/>
    <s v="EDUARDO AMAURI ALVES DA SILVA"/>
    <s v="BUEIRISTA"/>
    <n v="0"/>
    <x v="0"/>
  </r>
  <r>
    <n v="113585"/>
    <s v="BENEDITO SOARES DA SILVA"/>
    <s v="VARREDOR"/>
    <n v="0"/>
    <x v="0"/>
  </r>
  <r>
    <n v="113586"/>
    <s v="EDUARDO ANDRADE DE SANTANA"/>
    <s v="VARREDOR"/>
    <n v="0"/>
    <x v="0"/>
  </r>
  <r>
    <n v="113587"/>
    <s v="REGINALDO DA SILVA"/>
    <s v="VARREDOR"/>
    <n v="0"/>
    <x v="0"/>
  </r>
  <r>
    <n v="113588"/>
    <s v="ANTONIO TEIXEIRA VASCONCELOS"/>
    <s v="VARREDOR"/>
    <n v="0"/>
    <x v="1"/>
  </r>
  <r>
    <n v="113589"/>
    <s v="EDUARDO APARECIDO DE MORAES"/>
    <s v="AJUDANTE EQ SERVICOS DIVERSOS"/>
    <n v="0"/>
    <x v="0"/>
  </r>
  <r>
    <n v="113590"/>
    <s v="EDUARDO FELIPE LIRA PACHECO"/>
    <s v="AJUDANTE EQ SERVICOS DIVERSOS"/>
    <n v="0"/>
    <x v="0"/>
  </r>
  <r>
    <n v="113592"/>
    <s v="EDUARDO LOPES DA COSTA"/>
    <s v="MOTORISTA CAMINHAO"/>
    <n v="0"/>
    <x v="0"/>
  </r>
  <r>
    <n v="113594"/>
    <s v="EDSON DE JESUS GUERRA"/>
    <s v="AJUDANTE EQ SERVICOS DIVERSOS"/>
    <n v="0"/>
    <x v="0"/>
  </r>
  <r>
    <n v="113597"/>
    <s v="EDSON LINO DE JESUS"/>
    <s v="VARREDOR"/>
    <n v="0"/>
    <x v="0"/>
  </r>
  <r>
    <n v="113599"/>
    <s v="JACO LAURIANO DA SILVA"/>
    <s v="MOTORISTA CAMINHAO"/>
    <n v="0"/>
    <x v="1"/>
  </r>
  <r>
    <n v="113602"/>
    <s v="JEOVA SULPINO COSTA"/>
    <s v="MOTORISTA CAMINHAO"/>
    <n v="0"/>
    <x v="0"/>
  </r>
  <r>
    <n v="113603"/>
    <s v="EDVALDO ALVES"/>
    <s v="BUEIRISTA"/>
    <n v="1"/>
    <x v="0"/>
  </r>
  <r>
    <n v="113607"/>
    <s v="EDVALDO ARAUJO DO NASCIMENTO"/>
    <s v="MOTORISTA CAMINHAO"/>
    <n v="0"/>
    <x v="0"/>
  </r>
  <r>
    <n v="113608"/>
    <s v="REGINALDO FLORENCIO DA SILVA"/>
    <s v="VARREDOR"/>
    <n v="0"/>
    <x v="0"/>
  </r>
  <r>
    <n v="113609"/>
    <s v="EDVALDO DA SILVA FERREIRA"/>
    <s v="AJUDANTE EQ SERVICOS DIVERSOS"/>
    <n v="0"/>
    <x v="0"/>
  </r>
  <r>
    <n v="113611"/>
    <s v="RICARDO RODRIGUES DAS NEVES"/>
    <s v="FISCAL DE TURMA PLENO"/>
    <n v="0"/>
    <x v="0"/>
  </r>
  <r>
    <n v="113612"/>
    <s v="EDVALDO NASCIMENTO SILVA"/>
    <s v="VARREDOR"/>
    <n v="0"/>
    <x v="0"/>
  </r>
  <r>
    <n v="113614"/>
    <s v="JOSE ANTONIO DA SILVA"/>
    <s v="MOTORISTA CAMINHAO"/>
    <n v="0"/>
    <x v="0"/>
  </r>
  <r>
    <n v="113617"/>
    <s v="JOSE ANTONIO DA SILVA FILHO"/>
    <s v="MOTORISTA CAMINHAO"/>
    <n v="0"/>
    <x v="0"/>
  </r>
  <r>
    <n v="113618"/>
    <s v="JOSE APARECIDO BARBOSA DE SOUZA"/>
    <s v="OPERADOR DE PA CARREGADEIRA"/>
    <n v="0"/>
    <x v="0"/>
  </r>
  <r>
    <n v="113619"/>
    <s v="EDVALDO ROCHA DE LIMA"/>
    <s v="AJUDANTE EQ SERVICOS DIVERSOS"/>
    <n v="0"/>
    <x v="0"/>
  </r>
  <r>
    <n v="113623"/>
    <s v="EDVALDO RUFINO PEREIRA"/>
    <s v="VARREDOR"/>
    <n v="0"/>
    <x v="0"/>
  </r>
  <r>
    <n v="113625"/>
    <s v="APARECIDA DE FATIMA RODRIGUES DE CASTRO"/>
    <s v="AJUDANTE EQ SERVICOS DIVERSOS"/>
    <n v="0"/>
    <x v="0"/>
  </r>
  <r>
    <n v="113626"/>
    <s v="EDVAN ALVES PINHEIRO"/>
    <s v="BORRACHEIRO II"/>
    <n v="0"/>
    <x v="0"/>
  </r>
  <r>
    <n v="113627"/>
    <s v="RENATO LUIZ PEREIRA"/>
    <s v="AJUDANTE EQ SERVICOS DIVERSOS"/>
    <n v="0"/>
    <x v="0"/>
  </r>
  <r>
    <n v="113628"/>
    <s v="JOSE CARLOS HENRIQUE DA SILVA"/>
    <s v="MOTORISTA CAMINHAO"/>
    <n v="0"/>
    <x v="0"/>
  </r>
  <r>
    <n v="113630"/>
    <s v="RENATO LUIZ DOS SANTOS"/>
    <s v="VARREDOR"/>
    <n v="0"/>
    <x v="0"/>
  </r>
  <r>
    <n v="113631"/>
    <s v="APARECIDO DA SILVA"/>
    <s v="VARREDOR"/>
    <n v="0"/>
    <x v="0"/>
  </r>
  <r>
    <n v="113633"/>
    <s v="JOSE NILTON BASTOS DE OLIVEIRA"/>
    <s v="MOTORISTA CAMINHAO"/>
    <n v="0"/>
    <x v="0"/>
  </r>
  <r>
    <n v="113634"/>
    <s v="RENATO FELICIANO"/>
    <s v="COLETOR"/>
    <n v="0"/>
    <x v="0"/>
  </r>
  <r>
    <n v="113635"/>
    <s v="JOSE RAIMUNDO DAS CHAGAS"/>
    <s v="MOTORISTA CAMINHAO"/>
    <n v="0"/>
    <x v="0"/>
  </r>
  <r>
    <n v="113636"/>
    <s v="EDVAN RIBEIRO DOS SANTOS"/>
    <s v="AJUDANTE EQ SERVICOS DIVERSOS"/>
    <n v="0"/>
    <x v="0"/>
  </r>
  <r>
    <n v="113637"/>
    <s v="JOSE EDELSON REIS"/>
    <s v="MOTORISTA CAMINHAO"/>
    <n v="0"/>
    <x v="0"/>
  </r>
  <r>
    <n v="113638"/>
    <s v="RENATO DA SILVA PIRES"/>
    <s v="FISCAL DE TURMA PLENO"/>
    <n v="0"/>
    <x v="0"/>
  </r>
  <r>
    <n v="113643"/>
    <s v="RENATO DA CONCEICAO LUIZ"/>
    <s v="AJUDANTE EQ SERVICOS DIVERSOS"/>
    <n v="0"/>
    <x v="0"/>
  </r>
  <r>
    <n v="113645"/>
    <s v="JONAS FERREIRA DA SILVA"/>
    <s v="MOTORISTA CAMINHAO"/>
    <n v="0"/>
    <x v="1"/>
  </r>
  <r>
    <n v="113646"/>
    <s v="ELIANE CICERA DUARTE CARDOZO"/>
    <s v="VARREDOR"/>
    <n v="0"/>
    <x v="1"/>
  </r>
  <r>
    <n v="113648"/>
    <s v="RENATO CALIXTO DE GOUVEIA"/>
    <s v="VARREDOR"/>
    <n v="0"/>
    <x v="0"/>
  </r>
  <r>
    <n v="113649"/>
    <s v="JONATAS BARBOSA DE OLIVEIRA"/>
    <s v="OPERADOR DE MAQUINA SENIOR"/>
    <n v="0"/>
    <x v="0"/>
  </r>
  <r>
    <n v="113650"/>
    <s v="MARCO ANTONIO DA SILVA"/>
    <s v="COLETOR"/>
    <n v="0"/>
    <x v="0"/>
  </r>
  <r>
    <n v="113651"/>
    <s v="JOSE ANTONIO DA SILVA"/>
    <s v="MOTORISTA CAMINHAO"/>
    <n v="0"/>
    <x v="1"/>
  </r>
  <r>
    <n v="113654"/>
    <s v="REMI GONCALVES DOS SANTOS"/>
    <s v="COLETOR"/>
    <n v="0"/>
    <x v="0"/>
  </r>
  <r>
    <n v="113655"/>
    <s v="JOSE JEDSON NICACIO DOS SANTOS"/>
    <s v="MOTORISTA CAMINHAO"/>
    <n v="0"/>
    <x v="0"/>
  </r>
  <r>
    <n v="113656"/>
    <s v="ELIAS FERREIRA DOS SANTOS"/>
    <s v="VARREDOR"/>
    <n v="0"/>
    <x v="1"/>
  </r>
  <r>
    <n v="113658"/>
    <s v="REINALDO MARINHO DO NASCIMENTO"/>
    <s v="FISCAL DE TURMA PLENO"/>
    <n v="0"/>
    <x v="0"/>
  </r>
  <r>
    <n v="113661"/>
    <s v="EDVALDO FORTUNATO DA SILVA"/>
    <s v="VARREDOR"/>
    <n v="0"/>
    <x v="0"/>
  </r>
  <r>
    <n v="113663"/>
    <s v="REGIVAN FERNANDES DOS SANTOS"/>
    <s v="MOTORISTA CAMINHAO"/>
    <n v="0"/>
    <x v="0"/>
  </r>
  <r>
    <n v="113666"/>
    <s v="APARECIDO PEDRO DA SILVA"/>
    <s v="ENCARREGADO DE MANUTENCAO OFICINA"/>
    <n v="0"/>
    <x v="0"/>
  </r>
  <r>
    <n v="113667"/>
    <s v="REGINALDO GOMES DE LIMA"/>
    <s v="VARREDOR"/>
    <n v="0"/>
    <x v="0"/>
  </r>
  <r>
    <n v="113668"/>
    <s v="REGINALDO QUERINO DE SOUZA"/>
    <s v="MOTORISTA CAMINHAO"/>
    <n v="0"/>
    <x v="0"/>
  </r>
  <r>
    <n v="113669"/>
    <s v="OZEIAS ROSA BARBOSA"/>
    <s v="VARREDOR"/>
    <n v="0"/>
    <x v="1"/>
  </r>
  <r>
    <n v="113671"/>
    <s v="OZEILDO CONCEICAO NASCIMENTO"/>
    <s v="AJUDANTE EQ SERVICOS DIVERSOS"/>
    <n v="0"/>
    <x v="0"/>
  </r>
  <r>
    <n v="113674"/>
    <s v="EGUINALDO ULISSES DO NASCIMENTO"/>
    <s v="VARREDOR"/>
    <n v="0"/>
    <x v="0"/>
  </r>
  <r>
    <n v="113675"/>
    <s v="MARIVALDO DOS SANTOS DA PAIXAO"/>
    <s v="AJUDANTE EQ SERVICOS DIVERSOS"/>
    <n v="0"/>
    <x v="0"/>
  </r>
  <r>
    <n v="113677"/>
    <s v="ARIACILDO BARROS VIEIRA"/>
    <s v="VARREDOR"/>
    <n v="0"/>
    <x v="0"/>
  </r>
  <r>
    <n v="113678"/>
    <s v="AURELINO DE ALMEIDA SANTOS"/>
    <s v="AJUDANTE EQ SERVICOS DIVERSOS"/>
    <n v="1"/>
    <x v="0"/>
  </r>
  <r>
    <n v="113679"/>
    <s v="ANTONIO GOMES DA SILVA"/>
    <s v="VARREDOR"/>
    <n v="0"/>
    <x v="0"/>
  </r>
  <r>
    <n v="113681"/>
    <s v="ARMANDO IZIDIO DOS SANTOS"/>
    <s v="VARREDOR"/>
    <n v="0"/>
    <x v="0"/>
  </r>
  <r>
    <n v="113682"/>
    <s v="AURELIANO MATIAS MARTINS"/>
    <s v="AJUDANTE EQ SERVICOS DIVERSOS"/>
    <n v="0"/>
    <x v="0"/>
  </r>
  <r>
    <n v="113683"/>
    <s v="BENEDITO AMORIM DA SILVA"/>
    <s v="VARREDOR"/>
    <n v="0"/>
    <x v="1"/>
  </r>
  <r>
    <n v="113686"/>
    <s v="ARLETE CRISTINA DOS SANTOS AMORIM"/>
    <s v="VARREDOR"/>
    <n v="0"/>
    <x v="0"/>
  </r>
  <r>
    <n v="113687"/>
    <s v="REGINALDO CANDIDO DOS SANTOS"/>
    <s v="VARREDOR"/>
    <n v="0"/>
    <x v="0"/>
  </r>
  <r>
    <n v="113689"/>
    <s v="RICARDO APARECIDO FERNANDO DE OLIVEIRA"/>
    <s v="VARREDOR"/>
    <n v="0"/>
    <x v="0"/>
  </r>
  <r>
    <n v="113690"/>
    <s v="ARNALDO FREITAS DO NASCIMENTO"/>
    <s v="VARREDOR"/>
    <n v="0"/>
    <x v="0"/>
  </r>
  <r>
    <n v="113692"/>
    <s v="BARTOLOMEU SEBASTIAO FELICIANO"/>
    <s v="MOTORISTA DE CAMINHAO"/>
    <n v="0"/>
    <x v="0"/>
  </r>
  <r>
    <n v="113693"/>
    <s v="ARIVALDO DIAS DE ANDRADE"/>
    <s v="VARREDOR"/>
    <n v="0"/>
    <x v="0"/>
  </r>
  <r>
    <n v="113694"/>
    <s v="ARISVALDO DE OLIVEIRA"/>
    <s v="MOTORISTA CAMINHAO"/>
    <n v="0"/>
    <x v="0"/>
  </r>
  <r>
    <n v="113696"/>
    <s v="ARISVALDO LARANJEIRA DA SILVA NASCIMENTO"/>
    <s v="AJUDANTE EQ SERVICOS DIVERSOS"/>
    <n v="0"/>
    <x v="0"/>
  </r>
  <r>
    <n v="113698"/>
    <s v="ARNALDO ALVES DE JESUS"/>
    <s v="AJUDANTE EQ SERVICOS DIVERSOS"/>
    <n v="0"/>
    <x v="0"/>
  </r>
  <r>
    <n v="113699"/>
    <s v="ANTONIO FRANCISCO GUIMARAES FEITOSA"/>
    <s v="VARREDOR"/>
    <n v="0"/>
    <x v="0"/>
  </r>
  <r>
    <n v="113704"/>
    <s v="ARNALDO DA SILVA"/>
    <s v="VARREDOR"/>
    <n v="0"/>
    <x v="1"/>
  </r>
  <r>
    <n v="113708"/>
    <s v="PETRONILIO MACARIO DOS SANTOS"/>
    <s v="AJUDANTE EQ SERVICOS DIVERSOS"/>
    <n v="0"/>
    <x v="0"/>
  </r>
  <r>
    <n v="113710"/>
    <s v="ALAN SILVA DE OLIVEIRA"/>
    <s v="TECNICO EM SEGURANCA DO TRABALHO PLENO"/>
    <n v="0"/>
    <x v="3"/>
  </r>
  <r>
    <n v="113711"/>
    <s v="ANTONIO DE SOUSA NETO"/>
    <s v="ASSISTENTE DE DEPARTAMENTO PESSOAL"/>
    <n v="0"/>
    <x v="0"/>
  </r>
  <r>
    <n v="113712"/>
    <s v="DEVAIR MOREIRA ARAUJO"/>
    <s v="AJUDANTE EQ SERVICOS DIVERSOS"/>
    <n v="0"/>
    <x v="0"/>
  </r>
  <r>
    <n v="113714"/>
    <s v="FILIPE NASCIMENTO DE PAULA"/>
    <s v="ASSISTENTE ADMINISTRATIVO"/>
    <n v="0"/>
    <x v="0"/>
  </r>
  <r>
    <n v="113715"/>
    <s v="JOAO ANDRE GALVAO"/>
    <s v="PEDREIRO PLENO"/>
    <n v="0"/>
    <x v="0"/>
  </r>
  <r>
    <n v="113720"/>
    <s v="MARCELO CANDIDO DOS SANTOS"/>
    <s v="ASSISTENTE DE DEPARTAMENTO PESSOAL"/>
    <n v="0"/>
    <x v="0"/>
  </r>
  <r>
    <n v="113721"/>
    <s v="MARCUS VINICIUS PIRES"/>
    <s v="AUXILIAR ADMINISTRATIVO"/>
    <n v="0"/>
    <x v="0"/>
  </r>
  <r>
    <n v="113722"/>
    <s v="PATRICK DOS SANTOS DANTAS"/>
    <s v="AJUDANTE EQ SERVICOS DIVERSOS"/>
    <n v="0"/>
    <x v="0"/>
  </r>
  <r>
    <n v="113723"/>
    <s v="ROBSON AMORIM DOS SANTOS"/>
    <s v="SERVENTE"/>
    <n v="0"/>
    <x v="0"/>
  </r>
  <r>
    <n v="113725"/>
    <s v="VANDECIR GOMES DA SILVA"/>
    <s v="SUPERVISOR OPERACIONAL"/>
    <n v="0"/>
    <x v="0"/>
  </r>
  <r>
    <n v="113726"/>
    <s v="EDILEUMA DE SOUZA CAETANO"/>
    <s v="AJUDANTE EQ SERVICOS DIVERSOS"/>
    <n v="0"/>
    <x v="0"/>
  </r>
  <r>
    <n v="113728"/>
    <s v="ELIANA GONCALVES DA SILVA"/>
    <s v="AJUDANTE EQ SERVICOS DIVERSOS"/>
    <n v="0"/>
    <x v="0"/>
  </r>
  <r>
    <n v="113729"/>
    <s v="JOICE MARIA DO NASCIMENTO"/>
    <s v="FAXINEIRO(A)"/>
    <n v="0"/>
    <x v="0"/>
  </r>
  <r>
    <n v="113732"/>
    <s v="SANDRO HARUO AGUENA"/>
    <s v="ENCARREGADO DE TURMA"/>
    <n v="0"/>
    <x v="0"/>
  </r>
  <r>
    <n v="113733"/>
    <s v="ROBERTO CARLOS DA SILVA"/>
    <s v="SUPERVISOR DE TRAFEGO"/>
    <n v="0"/>
    <x v="0"/>
  </r>
  <r>
    <n v="113734"/>
    <s v="RENATO PAULINO DOS ANJOS"/>
    <s v="ENCARREGADO DE CONTROLE DE MANUTENCAO"/>
    <n v="0"/>
    <x v="0"/>
  </r>
  <r>
    <n v="113735"/>
    <s v="FABIO DA COSTA FERNANDES"/>
    <s v="ENCARREGADO DE PLANEJAMENTO"/>
    <n v="0"/>
    <x v="0"/>
  </r>
  <r>
    <n v="113739"/>
    <s v="DJAIR PATRICIO DA SILVA"/>
    <s v="COORDENADOR DE DEPARTAMENTO PESSOAL"/>
    <n v="0"/>
    <x v="0"/>
  </r>
  <r>
    <n v="113741"/>
    <s v="MONICA PAULA DA SILVA"/>
    <s v="COORDENADOR(A) DE COMUNICACAO"/>
    <n v="0"/>
    <x v="0"/>
  </r>
  <r>
    <n v="113742"/>
    <s v="PRISCILA ALVES DE LIMA SILVA"/>
    <s v="ANALISTA ADM/FINANCEIRO"/>
    <n v="0"/>
    <x v="0"/>
  </r>
  <r>
    <n v="113743"/>
    <s v="PAMELA SUELEN FIORENTINI"/>
    <s v="COORDENADOR(A) ADM / FINANCEIRO"/>
    <n v="0"/>
    <x v="0"/>
  </r>
  <r>
    <n v="113760"/>
    <s v="ANA PAULA STIGLIANI"/>
    <s v="AUXILIAR DE PLANEJAMENTO OPERACIONAL"/>
    <n v="0"/>
    <x v="1"/>
  </r>
  <r>
    <n v="113762"/>
    <s v="JULIANA CORREA DE BARROS"/>
    <s v="AUXILIAR ADMINISTRATIVO"/>
    <n v="0"/>
    <x v="0"/>
  </r>
  <r>
    <n v="113763"/>
    <s v="BILLY JOE ZAKARIAN"/>
    <s v="ENCARREGADO DE TRAFEGO II"/>
    <n v="0"/>
    <x v="0"/>
  </r>
  <r>
    <n v="113764"/>
    <s v="RAFAEL COSTA BORGES PEREIRA"/>
    <s v="ASSISTENTE DE PLANEJAMENTO OPERACIONAL"/>
    <n v="0"/>
    <x v="0"/>
  </r>
  <r>
    <n v="113766"/>
    <s v="CRISTIANO DA SILVA OLIVEIRA"/>
    <s v="TECNICO EM SEGURANCA DO TRABALHO PLENO"/>
    <n v="0"/>
    <x v="0"/>
  </r>
  <r>
    <n v="113768"/>
    <s v="LEONARDO FRANCISCO DOS SANTOS"/>
    <s v="FISCAL DE TURMA PLENO"/>
    <n v="0"/>
    <x v="0"/>
  </r>
  <r>
    <n v="113769"/>
    <s v="CRISTIANO APARECIDO VIEIRA LUZ"/>
    <s v="ASSISTENTE DE ALMOXARIFADO"/>
    <n v="0"/>
    <x v="0"/>
  </r>
  <r>
    <n v="113774"/>
    <s v="DANIEL SOUZA SANTOS ALEXANDRE"/>
    <s v="FISCAL DE TURMA PLENO"/>
    <n v="0"/>
    <x v="0"/>
  </r>
  <r>
    <n v="113775"/>
    <s v="DANIEL ALEXANDRE DA COSTA MARQUES"/>
    <s v="MECANICO III"/>
    <n v="0"/>
    <x v="0"/>
  </r>
  <r>
    <n v="113776"/>
    <s v="ERIVALDO TIBURCIO DE MELO"/>
    <s v="MECANICO III"/>
    <n v="0"/>
    <x v="1"/>
  </r>
  <r>
    <n v="113778"/>
    <s v="MARIA DE FATIMA CORREIA DA SILVA"/>
    <s v="FISCAL DE TRAFEGO PLENO"/>
    <n v="0"/>
    <x v="0"/>
  </r>
  <r>
    <n v="113782"/>
    <s v="KARINA CRISTINA BORGES DOS SANTOS"/>
    <s v="ENGENHEIRO COORDENADOR QSMS"/>
    <n v="0"/>
    <x v="0"/>
  </r>
  <r>
    <n v="113783"/>
    <s v="MARIA APARECIDA NOBRE CAVALCANTE"/>
    <s v="AUXILIAR DE PLANEJAMENTO OPERACIONAL"/>
    <n v="0"/>
    <x v="0"/>
  </r>
  <r>
    <n v="113785"/>
    <s v="ELEN CRISTINA GOMES"/>
    <s v="MOTORISTA CAMINHAO"/>
    <n v="0"/>
    <x v="0"/>
  </r>
  <r>
    <n v="113792"/>
    <s v="ANDERSON SOUZA DE OLIVEIRA"/>
    <s v="MECANICO II"/>
    <n v="0"/>
    <x v="0"/>
  </r>
  <r>
    <n v="113795"/>
    <s v="ALEX DE SOUZA SILVA"/>
    <s v="ASSISTENTE DE RECURSOS HUMANOS"/>
    <n v="0"/>
    <x v="0"/>
  </r>
  <r>
    <n v="113803"/>
    <s v="PAULO BATISTA FERNANDES"/>
    <s v="MOTORISTA CAMINHAO"/>
    <n v="0"/>
    <x v="1"/>
  </r>
  <r>
    <n v="113846"/>
    <s v="WILLIAM LUIZ DA SILVA"/>
    <s v="COMPRADOR"/>
    <n v="0"/>
    <x v="0"/>
  </r>
  <r>
    <n v="113883"/>
    <s v="WILSON ROBERTO DE OLIVEIRA"/>
    <s v="GERENTE ADMINISTRATIVO"/>
    <n v="0"/>
    <x v="0"/>
  </r>
  <r>
    <n v="113884"/>
    <s v="RENAN SOUZA OLIVEIRA ANDRADE"/>
    <s v="SUPERINTENDENTE OPERACIONAL"/>
    <n v="0"/>
    <x v="0"/>
  </r>
  <r>
    <n v="113899"/>
    <s v="ANDRE LUIZ MOTTA"/>
    <s v="MOTORISTA CAMINHAO"/>
    <n v="0"/>
    <x v="0"/>
  </r>
  <r>
    <n v="113921"/>
    <s v="JOSE ROBERTO MARQUES DE LIMA"/>
    <s v="FISCAL DE TURMA PLENO"/>
    <n v="0"/>
    <x v="0"/>
  </r>
  <r>
    <n v="113922"/>
    <s v="ANTONIO DOMINGOS MILANO"/>
    <s v="MEDICO DO TRABALHO"/>
    <n v="0"/>
    <x v="0"/>
  </r>
  <r>
    <n v="113929"/>
    <s v="RENALDO VIEIRA SANTOS"/>
    <s v="VARREDOR"/>
    <n v="0"/>
    <x v="0"/>
  </r>
  <r>
    <n v="113930"/>
    <s v="BARBARA BAUSCHERT"/>
    <s v="ANALISTA JURIDICO"/>
    <n v="0"/>
    <x v="0"/>
  </r>
  <r>
    <n v="113932"/>
    <s v="WILLIAN DOS SANTOS LOPES"/>
    <s v="TECNICO EM SEGURANCA DO TRABALHO JUNIOR"/>
    <n v="0"/>
    <x v="0"/>
  </r>
  <r>
    <n v="114004"/>
    <s v="VANILTON DOS SANTOS"/>
    <s v="SOLDADOR"/>
    <n v="0"/>
    <x v="0"/>
  </r>
  <r>
    <n v="114030"/>
    <s v="LILIANE ROSA FURTADO DA SILVA"/>
    <s v="AJUDANTE EQ SERVICOS DIVERSOS"/>
    <n v="0"/>
    <x v="0"/>
  </r>
  <r>
    <n v="114031"/>
    <s v="RICARDO APARECIDO DA CONCEICAO"/>
    <s v="FISCAL DE TURMA PLENO"/>
    <n v="0"/>
    <x v="0"/>
  </r>
  <r>
    <n v="114034"/>
    <s v="MARCELO SILVA DE OLIVEIRA"/>
    <s v="FISCAL DE TURMA PLENO"/>
    <n v="0"/>
    <x v="0"/>
  </r>
  <r>
    <n v="114039"/>
    <s v="VITOR BARRETO DOS SANTOS"/>
    <s v="AJUDANTE EQ SERVICOS DIVERSOS"/>
    <n v="0"/>
    <x v="0"/>
  </r>
  <r>
    <n v="114088"/>
    <s v="PAULO CESAR SILVA SANTOS"/>
    <s v="AJUDANTE EQ SERVICOS DIVERSOS"/>
    <n v="0"/>
    <x v="0"/>
  </r>
  <r>
    <n v="114092"/>
    <s v="WILLI CORREIA DOS SANTOS"/>
    <s v="AJUDANTE EQ SERVICOS DIVERSOS"/>
    <n v="0"/>
    <x v="0"/>
  </r>
  <r>
    <n v="114093"/>
    <s v="ROBERSON DOS SANTOS ALVES"/>
    <s v="AJUDANTE EQ SERVICOS DIVERSOS"/>
    <n v="0"/>
    <x v="0"/>
  </r>
  <r>
    <n v="114094"/>
    <s v="PAULO CARLOS PRADO LOURENCO"/>
    <s v="AJUDANTE EQ SERVICOS DIVERSOS"/>
    <n v="0"/>
    <x v="0"/>
  </r>
  <r>
    <n v="114099"/>
    <s v="REGIS RODRIGUES DE OLIVEIRA"/>
    <s v="AJUDANTE EQ SERVICOS DIVERSOS"/>
    <n v="0"/>
    <x v="0"/>
  </r>
  <r>
    <n v="114101"/>
    <s v="ALEX JUNIOR FERREIRA DE MELO"/>
    <s v="AJUDANTE EQ SERVICOS DIVERSOS"/>
    <n v="0"/>
    <x v="3"/>
  </r>
  <r>
    <n v="114105"/>
    <s v="NATANAEL ALBINO DE OLIVEIRA"/>
    <s v="AJUDANTE EQ SERVICOS DIVERSOS"/>
    <n v="0"/>
    <x v="0"/>
  </r>
  <r>
    <n v="114106"/>
    <s v="MARIA ISABEL DA SILVA NUNES"/>
    <s v="AJUDANTE EQ SERVICOS DIVERSOS"/>
    <n v="0"/>
    <x v="0"/>
  </r>
  <r>
    <n v="114107"/>
    <s v="GUILHERME DA SILVA FIM"/>
    <s v="VARREDOR"/>
    <n v="0"/>
    <x v="0"/>
  </r>
  <r>
    <n v="114108"/>
    <s v="EDNALDO BARBOSA SILVA"/>
    <s v="AJUDANTE EQ SERVICOS DIVERSOS"/>
    <n v="0"/>
    <x v="0"/>
  </r>
  <r>
    <n v="114110"/>
    <s v="JOSE RIBEIRO DE MOURA"/>
    <s v="AJUDANTE EQ SERVICOS DIVERSOS"/>
    <n v="0"/>
    <x v="0"/>
  </r>
  <r>
    <n v="114120"/>
    <s v="FABIO ROBERTO DOS SANTOS"/>
    <s v="OPERADOR DE MAQUINA SENIOR"/>
    <n v="0"/>
    <x v="0"/>
  </r>
  <r>
    <n v="114124"/>
    <s v="VALDIR ROCHSTROCH BATISTA"/>
    <s v="MOTORISTA CAMINHAO"/>
    <n v="0"/>
    <x v="0"/>
  </r>
  <r>
    <n v="114125"/>
    <s v="RONALDO ROCHA DA SILVA"/>
    <s v="VARREDOR"/>
    <n v="0"/>
    <x v="0"/>
  </r>
  <r>
    <n v="114127"/>
    <s v="VAGNER VIANA"/>
    <s v="MOTORISTA CAMINHAO"/>
    <n v="0"/>
    <x v="0"/>
  </r>
  <r>
    <n v="114128"/>
    <s v="JOVELINO MANOEL DA SILVA"/>
    <s v="MOTORISTA CAMINHAO"/>
    <n v="0"/>
    <x v="0"/>
  </r>
  <r>
    <n v="114231"/>
    <s v="MOISES MENDES DE QUEIROZ"/>
    <s v="FISCAL DE TURMA PLENO"/>
    <n v="0"/>
    <x v="0"/>
  </r>
  <r>
    <n v="114239"/>
    <s v="ADINALDO MORAIS"/>
    <s v="FISCAL DE TURMA PLENO"/>
    <n v="0"/>
    <x v="0"/>
  </r>
  <r>
    <n v="114253"/>
    <s v="CARLOS EDUARDO DOS REIS"/>
    <s v="AJUDANTE EQ SERVICOS DIVERSOS"/>
    <n v="0"/>
    <x v="0"/>
  </r>
  <r>
    <n v="114254"/>
    <s v="MARCOS PAIVA DA SILVA"/>
    <s v="VARREDOR"/>
    <n v="0"/>
    <x v="0"/>
  </r>
  <r>
    <n v="114255"/>
    <s v="ERDILENE RODRIGUES DE SOUSA"/>
    <s v="AJUDANTE EQ SERVICOS DIVERSOS"/>
    <n v="0"/>
    <x v="0"/>
  </r>
  <r>
    <n v="114256"/>
    <s v="ROGERIO SILVA PEREIRA"/>
    <s v="AUXILIAR DE TRAFEGO"/>
    <n v="0"/>
    <x v="1"/>
  </r>
  <r>
    <n v="114258"/>
    <s v="RICARDO PINTO DA CONCEICAO"/>
    <s v="AJUDANTE EQ SERVICOS DIVERSOS"/>
    <n v="0"/>
    <x v="0"/>
  </r>
  <r>
    <n v="114259"/>
    <s v="REGINALDO DE OLIVEIRA COUTO"/>
    <s v="AJUDANTE EQ SERVICOS DIVERSOS"/>
    <n v="0"/>
    <x v="0"/>
  </r>
  <r>
    <n v="114260"/>
    <s v="FABIO ALVES DE LIMA"/>
    <s v="AJUDANTE EQ SERVICOS DIVERSOS"/>
    <n v="0"/>
    <x v="0"/>
  </r>
  <r>
    <n v="114262"/>
    <s v="THIAGO RANGEL DA SILVA"/>
    <s v="AJUDANTE EQ SERVICOS DIVERSOS"/>
    <n v="1"/>
    <x v="0"/>
  </r>
  <r>
    <n v="114263"/>
    <s v="JANAUCI LUIZ DOS SANTOS"/>
    <s v="VARREDOR"/>
    <n v="0"/>
    <x v="0"/>
  </r>
  <r>
    <n v="114265"/>
    <s v="WILLINS RODRIGO TEODORO"/>
    <s v="AJUDANTE EQ SERVICOS DIVERSOS"/>
    <n v="0"/>
    <x v="0"/>
  </r>
  <r>
    <n v="114266"/>
    <s v="BRUNO DOS SANTOS SILVA"/>
    <s v="VARREDOR"/>
    <n v="0"/>
    <x v="0"/>
  </r>
  <r>
    <n v="114267"/>
    <s v="MARCOS CAIQUE DE SOUZA SANTOS"/>
    <s v="AJUDANTE EQ SERVICOS DIVERSOS"/>
    <n v="0"/>
    <x v="0"/>
  </r>
  <r>
    <n v="114269"/>
    <s v="GABRIELA FERREIRA DE JESUS"/>
    <s v="AJUDANTE EQ SERVICOS DIVERSOS"/>
    <n v="0"/>
    <x v="0"/>
  </r>
  <r>
    <n v="114272"/>
    <s v="MAURICIO CAMPOS DOS SANTOS"/>
    <s v="VARREDOR"/>
    <n v="0"/>
    <x v="0"/>
  </r>
  <r>
    <n v="114273"/>
    <s v="ALEX SANDRO DA SILVA XAVIER"/>
    <s v="AJUDANTE EQ SERVICOS DIVERSOS"/>
    <n v="0"/>
    <x v="0"/>
  </r>
  <r>
    <n v="114315"/>
    <s v="EMANOEL GOMES DA SILVA"/>
    <s v="AJUDANTE EQ SERVICOS DIVERSOS"/>
    <n v="0"/>
    <x v="1"/>
  </r>
  <r>
    <n v="114316"/>
    <s v="FELIPE GOMES DA SILVA"/>
    <s v="AJUDANTE EQ SERVICOS DIVERSOS"/>
    <n v="2"/>
    <x v="0"/>
  </r>
  <r>
    <n v="114360"/>
    <s v="WESLEY SILVA COSTA"/>
    <s v="AJUDANTE EQ SERVICOS DIVERSOS"/>
    <n v="0"/>
    <x v="0"/>
  </r>
  <r>
    <n v="114385"/>
    <s v="ELISANGELA VIEIRA DE SOUZA CORREIA"/>
    <s v="AGENTE AMBIENTAL"/>
    <n v="0"/>
    <x v="0"/>
  </r>
  <r>
    <n v="114404"/>
    <s v="VITOR DA CRUZ SANTOS"/>
    <s v="AJUDANTE EQ SERVICOS DIVERSOS"/>
    <n v="0"/>
    <x v="0"/>
  </r>
  <r>
    <n v="114418"/>
    <s v="DANIEL MARCOS DA SILVA"/>
    <s v="VARREDOR"/>
    <n v="0"/>
    <x v="0"/>
  </r>
  <r>
    <n v="114454"/>
    <s v="RODRIGO SOARES"/>
    <s v="AJUDANTE EQ SERVICOS DIVERSOS"/>
    <n v="0"/>
    <x v="0"/>
  </r>
  <r>
    <n v="114490"/>
    <s v="JOSE JOELTON DOS SANTOS"/>
    <s v="AJUDANTE EQ SERVICOS DIVERSOS"/>
    <n v="0"/>
    <x v="1"/>
  </r>
  <r>
    <n v="114493"/>
    <s v="JOSE ALBERTO DE CASTRO BESERRA"/>
    <s v="VARREDOR"/>
    <n v="3"/>
    <x v="0"/>
  </r>
  <r>
    <n v="114500"/>
    <s v="DAVID BARBOSA EVANGELISTA"/>
    <s v="AJUDANTE EQ SERVICOS DIVERSOS"/>
    <n v="2"/>
    <x v="0"/>
  </r>
  <r>
    <n v="114504"/>
    <s v="CARLOS RICARDO RAMOS DOS SANTOS"/>
    <s v="VARREDOR"/>
    <n v="0"/>
    <x v="0"/>
  </r>
  <r>
    <n v="114506"/>
    <s v="FABIO JOSE DOS SANTOS"/>
    <s v="PEDREIRO"/>
    <n v="0"/>
    <x v="0"/>
  </r>
  <r>
    <n v="114509"/>
    <s v="WAGNER BARBOSA DA SILVA"/>
    <s v="AJUDANTE EQ SERVICOS DIVERSOS"/>
    <n v="0"/>
    <x v="0"/>
  </r>
  <r>
    <n v="114523"/>
    <s v="ARNALDO BATISTA DE SOUSA"/>
    <s v="MOTORISTA CAMINHAO"/>
    <n v="0"/>
    <x v="0"/>
  </r>
  <r>
    <n v="114525"/>
    <s v="EDUARDO EVANGELISTA DE CARVALHO"/>
    <s v="MOTORISTA CAMINHAO"/>
    <n v="0"/>
    <x v="0"/>
  </r>
  <r>
    <n v="114526"/>
    <s v="CLEBSMAR ROCHA DE ALMEIDA"/>
    <s v="MOTORISTA CAMINHAO"/>
    <n v="0"/>
    <x v="0"/>
  </r>
  <r>
    <n v="114527"/>
    <s v="LUCIANO FRANCISCO DOS SANTOS"/>
    <s v="VARREDOR"/>
    <n v="0"/>
    <x v="0"/>
  </r>
  <r>
    <n v="114529"/>
    <s v="ANDERSON SILVA PEREIRA"/>
    <s v="AJUDANTE EQ SERVICOS DIVERSOS"/>
    <n v="0"/>
    <x v="0"/>
  </r>
  <r>
    <n v="114537"/>
    <s v="CICERO DIAS FERREIRA"/>
    <s v="AJUDANTE EQ SERVICOS DIVERSOS"/>
    <n v="0"/>
    <x v="1"/>
  </r>
  <r>
    <n v="114538"/>
    <s v="FABIANO ANSALDI DOMINGOS"/>
    <s v="ENCARREGADO DE TURMA"/>
    <n v="0"/>
    <x v="0"/>
  </r>
  <r>
    <n v="114539"/>
    <s v="REINALDO ARAUJO DOS SANTOS"/>
    <s v="VARREDOR"/>
    <n v="0"/>
    <x v="0"/>
  </r>
  <r>
    <n v="114541"/>
    <s v="JOAO JOAQUIM DOS SANTOS FILHO"/>
    <s v="AJUDANTE EQ SERVICOS DIVERSOS"/>
    <n v="1"/>
    <x v="0"/>
  </r>
  <r>
    <n v="114546"/>
    <s v="ANDRE GONCALVES CRUZ"/>
    <s v="VARREDOR"/>
    <n v="0"/>
    <x v="0"/>
  </r>
  <r>
    <n v="114547"/>
    <s v="GLEYSSON NASCIMENTO DOS SANTOS"/>
    <s v="VARREDOR"/>
    <n v="6"/>
    <x v="0"/>
  </r>
  <r>
    <n v="114548"/>
    <s v="EMERSON JESUS DO CARMO"/>
    <s v="VARREDOR"/>
    <n v="1"/>
    <x v="0"/>
  </r>
  <r>
    <n v="114549"/>
    <s v="CARLOS ALBERTO ALVES"/>
    <s v="VARREDOR"/>
    <n v="0"/>
    <x v="0"/>
  </r>
  <r>
    <n v="114554"/>
    <s v="RAFAEL LIMA SOUZA"/>
    <s v="AJUDANTE EQ SERVICOS DIVERSOS"/>
    <n v="1"/>
    <x v="1"/>
  </r>
  <r>
    <n v="114606"/>
    <s v="FABRICIO REGIS DO REGO"/>
    <s v="VARREDOR"/>
    <n v="0"/>
    <x v="0"/>
  </r>
  <r>
    <n v="114607"/>
    <s v="ADRIANO OLIVEIRA DOS SANTOS"/>
    <s v="AUXILIAR DE TRAFEGO"/>
    <n v="0"/>
    <x v="0"/>
  </r>
  <r>
    <n v="114616"/>
    <s v="ANDERSON FERNANDES DA SILVA"/>
    <s v="MOTORISTA CAMINHAO"/>
    <n v="0"/>
    <x v="5"/>
  </r>
  <r>
    <n v="114641"/>
    <s v="MARCOS ANTONIO BERNARDINO DE SENA"/>
    <s v="MOTORISTA DE CAMINHAO"/>
    <n v="0"/>
    <x v="0"/>
  </r>
  <r>
    <n v="114679"/>
    <s v="ADINALDO DE OLIVEIRA BASTOS"/>
    <s v="VARREDOR"/>
    <n v="0"/>
    <x v="0"/>
  </r>
  <r>
    <n v="114682"/>
    <s v="ANALCASSIS LAMBIAZZI"/>
    <s v="AJUDANTE EQ SERVICOS DIVERSOS"/>
    <n v="0"/>
    <x v="0"/>
  </r>
  <r>
    <n v="114683"/>
    <s v="ANDERSON DE ALMEIDA SILVA"/>
    <s v="VARREDOR"/>
    <n v="0"/>
    <x v="0"/>
  </r>
  <r>
    <n v="114684"/>
    <s v="ANDRE DA SILVA LIVERO"/>
    <s v="VARREDOR"/>
    <n v="0"/>
    <x v="0"/>
  </r>
  <r>
    <n v="114685"/>
    <s v="ANDRE LOPES DE SOUZA"/>
    <s v="VARREDOR"/>
    <n v="0"/>
    <x v="0"/>
  </r>
  <r>
    <n v="114687"/>
    <s v="ANDRE LUIZ MIGUEL"/>
    <s v="VARREDOR"/>
    <n v="0"/>
    <x v="0"/>
  </r>
  <r>
    <n v="114691"/>
    <s v="CARLOS EDUARDO MACHADO SANTOS"/>
    <s v="AJUDANTE EQ SERVICOS DIVERSOS"/>
    <n v="4"/>
    <x v="1"/>
  </r>
  <r>
    <n v="114693"/>
    <s v="CLENILSON REIS SANTOS"/>
    <s v="AJUDANTE EQ SERVICOS DIVERSOS"/>
    <n v="0"/>
    <x v="0"/>
  </r>
  <r>
    <n v="114695"/>
    <s v="DANILO DE ALMEIDA"/>
    <s v="VARREDOR"/>
    <n v="0"/>
    <x v="0"/>
  </r>
  <r>
    <n v="114697"/>
    <s v="EDSON CARLOS DOS SANTOS"/>
    <s v="BUEIRISTA"/>
    <n v="0"/>
    <x v="0"/>
  </r>
  <r>
    <n v="114698"/>
    <s v="ELISANGELA BARRETO OLIVEIRA"/>
    <s v="AJUDANTE EQ SERVICOS DIVERSOS"/>
    <n v="0"/>
    <x v="1"/>
  </r>
  <r>
    <n v="114699"/>
    <s v="ERIK RIBEIRO DA SILVA"/>
    <s v="AJUDANTE EQ SERVICOS DIVERSOS"/>
    <n v="0"/>
    <x v="0"/>
  </r>
  <r>
    <n v="114700"/>
    <s v="FABIO DOS SANTOS SOUZA"/>
    <s v="VARREDOR"/>
    <n v="2"/>
    <x v="0"/>
  </r>
  <r>
    <n v="114702"/>
    <s v="FABIANO SILVA LEITAO"/>
    <s v="VARREDOR"/>
    <n v="1"/>
    <x v="0"/>
  </r>
  <r>
    <n v="114711"/>
    <s v="NILVAN CHARLES NUNES LOPES"/>
    <s v="AJUDANTE EQ SERVICOS DIVERSOS"/>
    <n v="0"/>
    <x v="1"/>
  </r>
  <r>
    <n v="114712"/>
    <s v="JOSE REGINALDO DA SILVA"/>
    <s v="VARREDOR"/>
    <n v="0"/>
    <x v="0"/>
  </r>
  <r>
    <n v="114726"/>
    <s v="MARCELO DE OLIVEIRA FELIPE"/>
    <s v="AJUDANTE EQ SERVICOS DIVERSOS"/>
    <n v="0"/>
    <x v="1"/>
  </r>
  <r>
    <n v="114729"/>
    <s v="FELIPE DOS SANTOS"/>
    <s v="VARREDOR"/>
    <n v="0"/>
    <x v="0"/>
  </r>
  <r>
    <n v="114732"/>
    <s v="ROBERTO DA CRUZ RIBEIRO DA SILVA"/>
    <s v="VARREDOR"/>
    <n v="0"/>
    <x v="0"/>
  </r>
  <r>
    <n v="114733"/>
    <s v="MAURO MIGUEL SATO DE LIMA"/>
    <s v="AJUDANTE EQ SERVICOS DIVERSOS"/>
    <n v="1"/>
    <x v="0"/>
  </r>
  <r>
    <n v="114734"/>
    <s v="RENATO MARQUES DE SOUSA"/>
    <s v="AJUDANTE EQ SERVICOS DIVERSOS"/>
    <n v="0"/>
    <x v="0"/>
  </r>
  <r>
    <n v="114736"/>
    <s v="LEANDRO SILVA DE SOUZA"/>
    <s v="AJUDANTE EQ SERVICOS DIVERSOS"/>
    <n v="1"/>
    <x v="0"/>
  </r>
  <r>
    <n v="114742"/>
    <s v="PAULO RICARDO SOARES SILVA DOS SANTOS"/>
    <s v="AJUDANTE EQ SERVICOS DIVERSOS"/>
    <n v="5"/>
    <x v="0"/>
  </r>
  <r>
    <n v="114744"/>
    <s v="JOSE ADALBERTO CORREIA"/>
    <s v="AJUDANTE EQ SERVICOS DIVERSOS"/>
    <n v="0"/>
    <x v="1"/>
  </r>
  <r>
    <n v="114746"/>
    <s v="RONILDO MENDES SOUZA"/>
    <s v="VARREDOR"/>
    <n v="0"/>
    <x v="0"/>
  </r>
  <r>
    <n v="114748"/>
    <s v="WILSON CAMARGO DE AMANCIO"/>
    <s v="AJUDANTE EQ SERVICOS DIVERSOS"/>
    <n v="0"/>
    <x v="0"/>
  </r>
  <r>
    <n v="114749"/>
    <s v="LEONARDO JOSE DA SILVA"/>
    <s v="AJUDANTE EQ SERVICOS DIVERSOS"/>
    <n v="0"/>
    <x v="0"/>
  </r>
  <r>
    <n v="114750"/>
    <s v="MILTON MILET DE JESUS CASSEMIRO"/>
    <s v="AJUDANTE EQ SERVICOS DIVERSOS"/>
    <n v="1"/>
    <x v="0"/>
  </r>
  <r>
    <n v="114751"/>
    <s v="VALDEIR SILVA LEITAO"/>
    <s v="VARREDOR"/>
    <n v="0"/>
    <x v="0"/>
  </r>
  <r>
    <n v="114757"/>
    <s v="MARCOS BRITO DA SILVA"/>
    <s v="MOTORISTA CAMINHAO"/>
    <n v="0"/>
    <x v="0"/>
  </r>
  <r>
    <n v="114760"/>
    <s v="ANDERSON TAVARES OLIVEIRA"/>
    <s v="MOTORISTA DE CAMINHAO"/>
    <n v="0"/>
    <x v="0"/>
  </r>
  <r>
    <n v="114761"/>
    <s v="NIVALDO MARQUES DOS SANTOS"/>
    <s v="MOTORISTA CAMINHAO"/>
    <n v="0"/>
    <x v="0"/>
  </r>
  <r>
    <n v="114763"/>
    <s v="ADEILTON GOMES DA SILVA"/>
    <s v="MOTORISTA DE CAMINHAO"/>
    <n v="0"/>
    <x v="0"/>
  </r>
  <r>
    <n v="114765"/>
    <s v="FLAVIO DOS SANTOS MALAQUIAS"/>
    <s v="MOTORISTA DE CAMINHAO"/>
    <n v="0"/>
    <x v="0"/>
  </r>
  <r>
    <n v="114770"/>
    <s v="FRANCISCO GEAN PEREIRA DE ARAUJO"/>
    <s v="MOTORISTA DE CAMINHAO"/>
    <n v="0"/>
    <x v="0"/>
  </r>
  <r>
    <n v="114774"/>
    <s v="ODAIR DA SILVA HESSEL"/>
    <s v="AJUDANTE EQ SERVICOS DIVERSOS"/>
    <n v="0"/>
    <x v="0"/>
  </r>
  <r>
    <n v="114800"/>
    <s v="JAIR VIEIRA DA COSTA"/>
    <s v="MOTORISTA CAMINHAO"/>
    <n v="0"/>
    <x v="0"/>
  </r>
  <r>
    <n v="114805"/>
    <s v="CLEBIO SOUZA SANTOS"/>
    <s v="MOTORISTA CAMINHAO"/>
    <n v="0"/>
    <x v="0"/>
  </r>
  <r>
    <n v="114907"/>
    <s v="DANIEL CARDOSO DA SILVA"/>
    <s v="AJUDANTE EQ SERVICOS DIVERSOS"/>
    <n v="0"/>
    <x v="0"/>
  </r>
  <r>
    <n v="114910"/>
    <s v="ADEMIR HENRIQUE DO NASCIMENTO"/>
    <s v="AJUDANTE EQ SERVICOS DIVERSOS"/>
    <n v="0"/>
    <x v="0"/>
  </r>
  <r>
    <n v="114913"/>
    <s v="DAMIAO COSTA PEREIRA DOS SANTOS"/>
    <s v="AUXILIAR DE CHECK LIST"/>
    <n v="0"/>
    <x v="0"/>
  </r>
  <r>
    <n v="114916"/>
    <s v="ELVIS DOS SANTOS BATISTA"/>
    <s v="AUXILIAR DE TRAFEGO"/>
    <n v="0"/>
    <x v="0"/>
  </r>
  <r>
    <n v="114918"/>
    <s v="FELIPE CESAR SATO AZEVEDO"/>
    <s v="AJUDANTE EQ SERVICOS DIVERSOS"/>
    <n v="0"/>
    <x v="0"/>
  </r>
  <r>
    <n v="114922"/>
    <s v="JOELIO DE OLIVEIRA NASCIMENTO"/>
    <s v="COLETOR"/>
    <n v="0"/>
    <x v="0"/>
  </r>
  <r>
    <n v="114923"/>
    <s v="JOSE CARLOS PEREIRA DOS SANTOS"/>
    <s v="AJUDANTE EQ SERVICOS DIVERSOS"/>
    <n v="0"/>
    <x v="0"/>
  </r>
  <r>
    <n v="114924"/>
    <s v="JOSE DE JESUS SANTOS"/>
    <s v="AJUDANTE EQ SERVICOS DIVERSOS"/>
    <n v="0"/>
    <x v="0"/>
  </r>
  <r>
    <n v="114925"/>
    <s v="JHONATAN SILVIO RODRIGUES"/>
    <s v="AUXILIAR DE CHECK LIST"/>
    <n v="0"/>
    <x v="0"/>
  </r>
  <r>
    <n v="114926"/>
    <s v="JOSE RAIMUNDO DA SILVA"/>
    <s v="AJUDANTE EQ SERVICOS DIVERSOS"/>
    <n v="0"/>
    <x v="0"/>
  </r>
  <r>
    <n v="114927"/>
    <s v="KELVIN CARLOS DE SOUSA AMORIM"/>
    <s v="AJUDANTE EQ SERVICOS DIVERSOS"/>
    <n v="0"/>
    <x v="0"/>
  </r>
  <r>
    <n v="114928"/>
    <s v="MATHEUS SILVA DA CUNHA"/>
    <s v="AJUDANTE EQ SERVICOS DIVERSOS"/>
    <n v="0"/>
    <x v="1"/>
  </r>
  <r>
    <n v="114930"/>
    <s v="NATHALIA APARECIDA OLIVEIRA MENDES"/>
    <s v="AJUDANTE EQ SERVICOS DIVERSOS"/>
    <n v="0"/>
    <x v="1"/>
  </r>
  <r>
    <n v="114933"/>
    <s v="RENAN BARBOSA SILVA"/>
    <s v="COLETOR"/>
    <n v="0"/>
    <x v="0"/>
  </r>
  <r>
    <n v="114934"/>
    <s v="MARCOS SANTANA DE JESUS"/>
    <s v="AUXILIAR DE CHECK LIST"/>
    <n v="0"/>
    <x v="0"/>
  </r>
  <r>
    <n v="114937"/>
    <s v="ROGERIO ALEXANDRE DE SOUZA"/>
    <s v="AJUDANTE EQ SERVICOS DIVERSOS"/>
    <n v="3"/>
    <x v="0"/>
  </r>
  <r>
    <n v="114938"/>
    <s v="RUBENS DA ROCHA"/>
    <s v="AJUDANTE EQ SERVICOS DIVERSOS"/>
    <n v="0"/>
    <x v="0"/>
  </r>
  <r>
    <n v="114939"/>
    <s v="VALCI OLIVEIRA DOS SANTOS"/>
    <s v="AJUDANTE EQ SERVICOS DIVERSOS"/>
    <n v="0"/>
    <x v="0"/>
  </r>
  <r>
    <n v="114940"/>
    <s v="JOSE SILVA DE CARVALHO"/>
    <s v="AJUDANTE EQ SERVICOS DIVERSOS"/>
    <n v="0"/>
    <x v="0"/>
  </r>
  <r>
    <n v="114941"/>
    <s v="VANDERSON WILIAN CASTRO BATISTA"/>
    <s v="AJUDANTE EQ SERVICOS DIVERSOS"/>
    <n v="0"/>
    <x v="0"/>
  </r>
  <r>
    <n v="114942"/>
    <s v="IGOR SANTOS SILVA"/>
    <s v="COLETOR"/>
    <n v="0"/>
    <x v="0"/>
  </r>
  <r>
    <n v="114943"/>
    <s v="WAGNER VARGENS DE ALMEIDA"/>
    <s v="AJUDANTE EQ SERVICOS DIVERSOS"/>
    <n v="0"/>
    <x v="0"/>
  </r>
  <r>
    <n v="114944"/>
    <s v="ILSON ROBERTO FONSECA"/>
    <s v="AJUDANTE EQ SERVICOS DIVERSOS"/>
    <n v="0"/>
    <x v="0"/>
  </r>
  <r>
    <n v="114948"/>
    <s v="HELIO CORDEIRO LUCIO"/>
    <s v="MOTORISTA CAMINHAO"/>
    <n v="0"/>
    <x v="0"/>
  </r>
  <r>
    <n v="114949"/>
    <s v="WILSON CARDOSO BARBOSA"/>
    <s v="MOTORISTA CAMINHAO"/>
    <n v="0"/>
    <x v="0"/>
  </r>
  <r>
    <n v="114953"/>
    <s v="JOSE ROSA DE LIMA"/>
    <s v="MOTORISTA DE CAMINHAO"/>
    <n v="0"/>
    <x v="0"/>
  </r>
  <r>
    <n v="114954"/>
    <s v="FRANCISCO DE ASSIS SOUZA"/>
    <s v="MOTORISTA CAMINHAO"/>
    <n v="0"/>
    <x v="0"/>
  </r>
  <r>
    <n v="114955"/>
    <s v="RONIE FERREIRA DOS SANTOS"/>
    <s v="MOTORISTA DE CAMINHAO"/>
    <n v="0"/>
    <x v="0"/>
  </r>
  <r>
    <n v="114958"/>
    <s v="ROMILDO DOS SANTOS SILVA"/>
    <s v="MOTORISTA DE CAMINHAO"/>
    <n v="0"/>
    <x v="0"/>
  </r>
  <r>
    <n v="114963"/>
    <s v="ISRAEL DO NASCIMENTO SILVA"/>
    <s v="AJUDANTE EQ SERVICOS DIVERSOS"/>
    <n v="0"/>
    <x v="0"/>
  </r>
  <r>
    <n v="114966"/>
    <s v="AIRTON DE JESUS SANTOS"/>
    <s v="AJUDANTE EQ SERVICOS DIVERSOS"/>
    <n v="0"/>
    <x v="0"/>
  </r>
  <r>
    <n v="114968"/>
    <s v="ANDERSON BARROS DA SILVA"/>
    <s v="AJUDANTE EQ SERVICOS DIVERSOS"/>
    <n v="0"/>
    <x v="0"/>
  </r>
  <r>
    <n v="114973"/>
    <s v="ANTONIO RODRIGUES DA SILVA"/>
    <s v="MOTORISTA DE CAMINHAO"/>
    <n v="0"/>
    <x v="0"/>
  </r>
  <r>
    <n v="114976"/>
    <s v="ALECIO CARVALHO DA SILVA"/>
    <s v="MOTORISTA DE CAMINHAO"/>
    <n v="0"/>
    <x v="0"/>
  </r>
  <r>
    <n v="114977"/>
    <s v="EDIVALDO SILVA DA COSTA"/>
    <s v="AJUDANTE EQ SERVICOS DIVERSOS"/>
    <n v="0"/>
    <x v="0"/>
  </r>
  <r>
    <n v="114980"/>
    <s v="PAULO FRANCISCO DO PRADO SILVA"/>
    <s v="AJUDANTE EQ SERVICOS DIVERSOS"/>
    <n v="0"/>
    <x v="0"/>
  </r>
  <r>
    <n v="114981"/>
    <s v="WAGNER SANTANA XAVIER"/>
    <s v="MOTORISTA DE CAMINHAO"/>
    <n v="0"/>
    <x v="0"/>
  </r>
  <r>
    <n v="114988"/>
    <s v="CRISTIANO BASTOS DE OLIVEIRA"/>
    <s v="MOTORISTA DE CAMINHAO"/>
    <n v="0"/>
    <x v="0"/>
  </r>
  <r>
    <n v="114990"/>
    <s v="HUMBERTO CARLOS DA SILVA"/>
    <s v="MOTORISTA DE CAMINHAO"/>
    <n v="0"/>
    <x v="0"/>
  </r>
  <r>
    <n v="114991"/>
    <s v="JOSE LOURENCO DE SOUSA"/>
    <s v="AJUDANTE EQ SERVICOS DIVERSOS"/>
    <n v="0"/>
    <x v="0"/>
  </r>
  <r>
    <n v="115008"/>
    <s v="JAMES RODRIGUES DA SILVA"/>
    <s v="AJUDANTE EQ SERVICOS DIVERSOS"/>
    <n v="0"/>
    <x v="0"/>
  </r>
  <r>
    <n v="115012"/>
    <s v="MAURO JOSE DE JESUS SILVA"/>
    <s v="AJUDANTE EQ SERVICOS DIVERSOS"/>
    <n v="5"/>
    <x v="0"/>
  </r>
  <r>
    <n v="115214"/>
    <s v="FELIPE CUSTODIO DA SILVA"/>
    <s v="AJUDANTE EQ SERVICOS DIVERSOS"/>
    <n v="0"/>
    <x v="0"/>
  </r>
  <r>
    <n v="115216"/>
    <s v="EDIVAN FERREIRA DA SILVA"/>
    <s v="AJUDANTE EQ SERVICOS DIVERSOS"/>
    <n v="0"/>
    <x v="0"/>
  </r>
  <r>
    <n v="115218"/>
    <s v="CICERO FERREIRA DA SILVA"/>
    <s v="AJUDANTE EQ SERVICOS DIVERSOS"/>
    <n v="0"/>
    <x v="0"/>
  </r>
  <r>
    <n v="115220"/>
    <s v="MARCELO ROBERTO DE OLIVEIRA"/>
    <s v="AJUDANTE EQ SERVICOS DIVERSOS"/>
    <n v="0"/>
    <x v="0"/>
  </r>
  <r>
    <n v="115223"/>
    <s v="ADEMILSON DE JESUS"/>
    <s v="AJUDANTE EQ SERVICOS DIVERSOS"/>
    <n v="0"/>
    <x v="0"/>
  </r>
  <r>
    <n v="115225"/>
    <s v="ANTONIO DEODATO DE ALBUQUERQUE"/>
    <s v="AJUDANTE EQ SERVICOS DIVERSOS"/>
    <n v="0"/>
    <x v="0"/>
  </r>
  <r>
    <n v="115229"/>
    <s v="ORLANDO DE SOUZA BATISTA"/>
    <s v="SERRALHEIRO"/>
    <n v="0"/>
    <x v="0"/>
  </r>
  <r>
    <n v="115231"/>
    <s v="EDINEI RAMOS DE LIMA"/>
    <s v="AJUDANTE EQ SERVICOS DIVERSOS"/>
    <n v="0"/>
    <x v="0"/>
  </r>
  <r>
    <n v="115371"/>
    <s v="KATIA CONCEICAO ROCHA"/>
    <s v="AJUDANTE EQ SERVICOS DIVERSOS"/>
    <n v="0"/>
    <x v="0"/>
  </r>
  <r>
    <n v="115378"/>
    <s v="FELIPE DE SOUZA TELES"/>
    <s v="AJUDANTE EQ SERVICOS DIVERSOS"/>
    <n v="1"/>
    <x v="0"/>
  </r>
  <r>
    <n v="115379"/>
    <s v="RODRIGO LISO DOS SANTOS"/>
    <s v="AJUDANTE EQ SERVICOS DIVERSOS"/>
    <n v="0"/>
    <x v="0"/>
  </r>
  <r>
    <n v="115397"/>
    <s v="FELIPE DE JESUS"/>
    <s v="AJUDANTE EQ SERVICOS DIVERSOS"/>
    <n v="0"/>
    <x v="0"/>
  </r>
  <r>
    <n v="115399"/>
    <s v="MARCELO DE SOUZA JACO DOS SANTOS"/>
    <s v="AJUDANTE EQ SERVICOS DIVERSOS"/>
    <n v="0"/>
    <x v="0"/>
  </r>
  <r>
    <n v="115400"/>
    <s v="SILVIO SOARES VIEIRA"/>
    <s v="AJUDANTE EQ SERVICOS DIVERSOS"/>
    <n v="0"/>
    <x v="0"/>
  </r>
  <r>
    <n v="115403"/>
    <s v="KELLINGTON ALVES PEREIRA"/>
    <s v="AJUDANTE EQ SERVICOS DIVERSOS"/>
    <n v="0"/>
    <x v="3"/>
  </r>
  <r>
    <n v="115404"/>
    <s v="LEANDRO GOMES DA SILVA"/>
    <s v="VARREDOR"/>
    <n v="0"/>
    <x v="0"/>
  </r>
  <r>
    <n v="115406"/>
    <s v="CLAUDIONOR PROCOPIO DE OLIVEIRA"/>
    <s v="AJUDANTE EQ SERVICOS DIVERSOS"/>
    <n v="0"/>
    <x v="0"/>
  </r>
  <r>
    <n v="115408"/>
    <s v="JORNANDES JOSE BATISTA"/>
    <s v="AJUDANTE EQ SERVICOS DIVERSOS"/>
    <n v="0"/>
    <x v="0"/>
  </r>
  <r>
    <n v="115409"/>
    <s v="FLAVIO MANOEL DUARTE"/>
    <s v="AJUDANTE EQ SERVICOS DIVERSOS"/>
    <n v="4"/>
    <x v="0"/>
  </r>
  <r>
    <n v="115413"/>
    <s v="CARLOS ALBERTO VIEIRA"/>
    <s v="AJUDANTE EQ SERVICOS DIVERSOS"/>
    <n v="0"/>
    <x v="0"/>
  </r>
  <r>
    <n v="115415"/>
    <s v="CLAUDEMIR APARECIDO DE FREITAS"/>
    <s v="AJUDANTE EQ SERVICOS DIVERSOS"/>
    <n v="0"/>
    <x v="0"/>
  </r>
  <r>
    <n v="115447"/>
    <s v="NELSON NASCIMENTO DE OLIVEIRA JUNIOR"/>
    <s v="FISCAL DE TURMA PLENO"/>
    <n v="0"/>
    <x v="0"/>
  </r>
  <r>
    <n v="115796"/>
    <s v="JULIA KATHLEEN OLIVEIRA DOS SANTOS"/>
    <s v="ASSISTENTE DE PLANEJAMENTO OPERACIONAL"/>
    <n v="0"/>
    <x v="0"/>
  </r>
  <r>
    <n v="115814"/>
    <s v="LIGIA GOMES DA CRUZ"/>
    <s v="AGENTE AMBIENTAL"/>
    <n v="0"/>
    <x v="3"/>
  </r>
  <r>
    <n v="115818"/>
    <s v="FELIPE MENDES DO AMARANTE SOUSA"/>
    <s v="AJUDANTE EQ SERVICOS DIVERSOS"/>
    <n v="0"/>
    <x v="0"/>
  </r>
  <r>
    <n v="116001"/>
    <s v="DENSON RIBEIRO DA SILVA"/>
    <s v="VARREDOR"/>
    <n v="0"/>
    <x v="0"/>
  </r>
  <r>
    <n v="116002"/>
    <s v="JAQUELINE DE ANDRADE GARCIA"/>
    <s v="AJUDANTE EQ SERVICOS DIVERSOS"/>
    <n v="0"/>
    <x v="0"/>
  </r>
  <r>
    <n v="116003"/>
    <s v="GABRIEL DA SILVA PRADO"/>
    <s v="AJUDANTE EQ SERVICOS DIVERSOS"/>
    <n v="0"/>
    <x v="0"/>
  </r>
  <r>
    <n v="116004"/>
    <s v="JOSE ROBSON DA SILVA"/>
    <s v="AJUDANTE EQ SERVICOS DIVERSOS"/>
    <n v="0"/>
    <x v="0"/>
  </r>
  <r>
    <n v="116006"/>
    <s v="LUIZ HENRIQUE SANTOS DE OLIVEIRA"/>
    <s v="AJUDANTE EQ SERVICOS DIVERSOS"/>
    <n v="0"/>
    <x v="1"/>
  </r>
  <r>
    <n v="116008"/>
    <s v="CARLOS APARIZ BARBOSA"/>
    <s v="AJUDANTE EQ SERVICOS DIVERSOS"/>
    <n v="0"/>
    <x v="0"/>
  </r>
  <r>
    <n v="116009"/>
    <s v="ROSENIL FIM JUNIOR"/>
    <s v="VARREDOR"/>
    <n v="0"/>
    <x v="0"/>
  </r>
  <r>
    <n v="116010"/>
    <s v="JACIRA DA SILVA ALBANO"/>
    <s v="AJUDANTE EQ SERVICOS DIVERSOS"/>
    <n v="0"/>
    <x v="0"/>
  </r>
  <r>
    <n v="116020"/>
    <s v="ALEX JULIO SILVA PEREIRA"/>
    <s v="AJUDANTE EQ SERVICOS DIVERSOS"/>
    <n v="0"/>
    <x v="1"/>
  </r>
  <r>
    <n v="116021"/>
    <s v="SIMONE MORAIS DOS SANTOS"/>
    <s v="AJUDANTE EQ SERVICOS DIVERSOS"/>
    <n v="1"/>
    <x v="0"/>
  </r>
  <r>
    <n v="116024"/>
    <s v="LEANDRO SOARES DA CRUZ"/>
    <s v="AJUDANTE EQ SERVICOS DIVERSOS"/>
    <n v="0"/>
    <x v="0"/>
  </r>
  <r>
    <n v="116026"/>
    <s v="CARLOS ALBERTO BISPO DA CRUZ"/>
    <s v="AJUDANTE EQ SERVICOS DIVERSOS"/>
    <n v="0"/>
    <x v="3"/>
  </r>
  <r>
    <n v="116027"/>
    <s v="EVERTON FREITAS DA SILVA"/>
    <s v="AJUDANTE EQ SERVICOS DIVERSOS"/>
    <n v="2"/>
    <x v="0"/>
  </r>
  <r>
    <n v="116031"/>
    <s v="MAURO SERGIO DOS SANTOS MENDES"/>
    <s v="AJUDANTE EQ SERVICOS DIVERSOS"/>
    <n v="0"/>
    <x v="1"/>
  </r>
  <r>
    <n v="116072"/>
    <s v="CICERO SILVA FRANCO"/>
    <s v="TECNICO EM SEGURANCA DO TRABALHO JUNIOR"/>
    <n v="0"/>
    <x v="0"/>
  </r>
  <r>
    <n v="116076"/>
    <s v="ALAN ROCHA DA SILVA"/>
    <s v="LAVADOR"/>
    <n v="0"/>
    <x v="0"/>
  </r>
  <r>
    <n v="116085"/>
    <s v="DIEGO SANTOS MUNIZ ALMEIDA"/>
    <s v="MOTORISTA CAMINHAO"/>
    <n v="0"/>
    <x v="0"/>
  </r>
  <r>
    <n v="116087"/>
    <s v="ADRIANO MARCELO DOS SANTOS"/>
    <s v="MOTORISTA CAMINHAO"/>
    <n v="0"/>
    <x v="0"/>
  </r>
  <r>
    <n v="116109"/>
    <s v="THIAGO PEREIRA DA COSTA"/>
    <s v="MOTORISTA CAMINHAO"/>
    <n v="0"/>
    <x v="0"/>
  </r>
  <r>
    <n v="116110"/>
    <s v="RODRIGO PEREIRA BARROS"/>
    <s v="MOTORISTA CAMINHAO"/>
    <n v="0"/>
    <x v="0"/>
  </r>
  <r>
    <n v="116111"/>
    <s v="VALTER PEREIRA"/>
    <s v="MOTORISTA DE CAMINHAO"/>
    <n v="0"/>
    <x v="0"/>
  </r>
  <r>
    <n v="116112"/>
    <s v="SIDNEY APARECIDO FERREIRA"/>
    <s v="MOTORISTA DE CAMINHAO"/>
    <n v="0"/>
    <x v="0"/>
  </r>
  <r>
    <n v="116132"/>
    <s v="ROBERTO SOARES CARDOSO"/>
    <s v="MOTORISTA CAMINHAO"/>
    <n v="0"/>
    <x v="0"/>
  </r>
  <r>
    <n v="116133"/>
    <s v="VALDINEI GONCALVES DOS SANTOS"/>
    <s v="AUXILIAR DE ALMOXARIFADO PLENO"/>
    <n v="0"/>
    <x v="0"/>
  </r>
  <r>
    <n v="116224"/>
    <s v="ADRIANO DE PAIVA BOTELHO"/>
    <s v="AJUDANTE EQ SERVICOS DIVERSOS"/>
    <n v="0"/>
    <x v="0"/>
  </r>
  <r>
    <n v="116225"/>
    <s v="DIEGO SANTOS NASCIMENTO"/>
    <s v="AJUDANTE EQ SERVICOS DIVERSOS"/>
    <n v="0"/>
    <x v="3"/>
  </r>
  <r>
    <n v="116226"/>
    <s v="DOUGLAS BARRETO DE SOUSA"/>
    <s v="AJUDANTE EQ SERVICOS DIVERSOS"/>
    <n v="4"/>
    <x v="0"/>
  </r>
  <r>
    <n v="116228"/>
    <s v="MARCIO JOSE DE LIMA BARBOSA"/>
    <s v="AJUDANTE EQ SERVICOS DIVERSOS"/>
    <n v="0"/>
    <x v="0"/>
  </r>
  <r>
    <n v="116229"/>
    <s v="ISAQUE DE LIMA"/>
    <s v="AJUDANTE EQ SERVICOS DIVERSOS"/>
    <n v="0"/>
    <x v="0"/>
  </r>
  <r>
    <n v="116232"/>
    <s v="RENAN RODRIGUES DE FREITAS"/>
    <s v="AJUDANTE EQ SERVICOS DIVERSOS"/>
    <n v="0"/>
    <x v="0"/>
  </r>
  <r>
    <n v="116234"/>
    <s v="JULIANA DA SILVA ANDREOLI"/>
    <s v="VARREDOR"/>
    <n v="0"/>
    <x v="0"/>
  </r>
  <r>
    <n v="116235"/>
    <s v="GERALDO CORREA"/>
    <s v="VARREDOR"/>
    <n v="0"/>
    <x v="0"/>
  </r>
  <r>
    <n v="116236"/>
    <s v="IVANILDO SANTOS NOVAIS"/>
    <s v="VARREDOR"/>
    <n v="0"/>
    <x v="0"/>
  </r>
  <r>
    <n v="116237"/>
    <s v="RUDINEI SILVA FERREIRA DA CRUZ"/>
    <s v="VARREDOR"/>
    <n v="0"/>
    <x v="0"/>
  </r>
  <r>
    <n v="116238"/>
    <s v="HENRIQUE LISBOA DA SILVA"/>
    <s v="VARREDOR"/>
    <n v="0"/>
    <x v="0"/>
  </r>
  <r>
    <n v="116315"/>
    <s v="CLAUDIO HENRIQUE RUFINO RODRIGUES"/>
    <s v="AJUDANTE EQ SERVICOS DIVERSOS"/>
    <n v="0"/>
    <x v="0"/>
  </r>
  <r>
    <n v="116316"/>
    <s v="GUILHERME MARINHO DOS SANTOS"/>
    <s v="AJUDANTE EQ SERVICOS DIVERSOS"/>
    <n v="0"/>
    <x v="1"/>
  </r>
  <r>
    <n v="116320"/>
    <s v="RICARDO GOMES"/>
    <s v="AJUDANTE EQ SERVICOS DIVERSOS"/>
    <n v="0"/>
    <x v="1"/>
  </r>
  <r>
    <n v="116321"/>
    <s v="LUIZ PAULO WANDERLEY DE CARVALHO"/>
    <s v="AJUDANTE EQ SERVICOS DIVERSOS"/>
    <n v="0"/>
    <x v="0"/>
  </r>
  <r>
    <n v="116322"/>
    <s v="VICTOR GUILHERME DE PAULA"/>
    <s v="AJUDANTE EQ SERVICOS DIVERSOS"/>
    <n v="0"/>
    <x v="0"/>
  </r>
  <r>
    <n v="116323"/>
    <s v="GABRIEL BARBOSA SOUZA"/>
    <s v="AJUDANTE EQ SERVICOS DIVERSOS"/>
    <n v="0"/>
    <x v="0"/>
  </r>
  <r>
    <n v="116326"/>
    <s v="DAVID DA SILVA QUIRINO"/>
    <s v="AJUDANTE EQ SERVICOS DIVERSOS"/>
    <n v="0"/>
    <x v="0"/>
  </r>
  <r>
    <n v="116327"/>
    <s v="EDNILSON ALVES FERREIRA"/>
    <s v="AJUDANTE EQ SERVICOS DIVERSOS"/>
    <n v="0"/>
    <x v="0"/>
  </r>
  <r>
    <n v="116329"/>
    <s v="RHUAN MATHEUS PEREIRA BARRETO"/>
    <s v="AJUDANTE EQ SERVICOS DIVERSOS"/>
    <n v="1"/>
    <x v="0"/>
  </r>
  <r>
    <n v="116330"/>
    <s v="AMARILDO LOPES SANTANA"/>
    <s v="AJUDANTE EQ SERVICOS DIVERSOS"/>
    <n v="0"/>
    <x v="1"/>
  </r>
  <r>
    <n v="116331"/>
    <s v="DANIEL LIMA CARVALHO"/>
    <s v="AJUDANTE EQ SERVICOS DIVERSOS"/>
    <n v="22"/>
    <x v="0"/>
  </r>
  <r>
    <n v="116384"/>
    <s v="TIAGO ALVES CORREIA"/>
    <s v="AJUDANTE EQ SERVICOS DIVERSOS"/>
    <n v="0"/>
    <x v="0"/>
  </r>
  <r>
    <n v="116385"/>
    <s v="KEVIN DANNIEL CARDOSO DA SILVA"/>
    <s v="AJUDANTE EQ SERVICOS DIVERSOS"/>
    <n v="0"/>
    <x v="1"/>
  </r>
  <r>
    <n v="116386"/>
    <s v="LORIVAL LOPES"/>
    <s v="MOTORISTA CAMINHAO"/>
    <n v="0"/>
    <x v="1"/>
  </r>
  <r>
    <n v="116388"/>
    <s v="JOSE IVANALDO DA SILVA"/>
    <s v="MOTORISTA DE CAMINHAO"/>
    <n v="0"/>
    <x v="0"/>
  </r>
  <r>
    <n v="116389"/>
    <s v="GILSON MUNIZ SILVA"/>
    <s v="VARREDOR"/>
    <n v="0"/>
    <x v="0"/>
  </r>
  <r>
    <n v="116652"/>
    <s v="GUSTAVO VALZACHI BENATTI"/>
    <s v="GERENTE OPERACIONAL"/>
    <n v="0"/>
    <x v="0"/>
  </r>
  <r>
    <n v="116653"/>
    <s v="VICTOR ROLOFF MARQUES"/>
    <s v="GERENTE DE FROTA"/>
    <n v="0"/>
    <x v="0"/>
  </r>
  <r>
    <n v="116654"/>
    <s v="JOAO PAULO SALES DE PAULA"/>
    <s v="GERENTE DE PLANEJAMENTO"/>
    <n v="0"/>
    <x v="0"/>
  </r>
  <r>
    <n v="116712"/>
    <s v="COSME COSTA FERREIRA DA SILVA"/>
    <s v="AJUDANTE EQ SERVICOS DIVERSOS"/>
    <n v="0"/>
    <x v="0"/>
  </r>
  <r>
    <n v="116713"/>
    <s v="MAURICIO DA LUZ SARDINHA"/>
    <s v="VARREDOR"/>
    <n v="0"/>
    <x v="0"/>
  </r>
  <r>
    <n v="116716"/>
    <s v="DANIELE CRISTINA PEDRO"/>
    <s v="VARREDOR"/>
    <n v="0"/>
    <x v="0"/>
  </r>
  <r>
    <n v="116718"/>
    <s v="NADIO BORBA DOS SANTOS"/>
    <s v="VARREDOR"/>
    <n v="0"/>
    <x v="0"/>
  </r>
  <r>
    <n v="116719"/>
    <s v="MATHEUS BATISTA CELSO"/>
    <s v="VARREDOR"/>
    <n v="3"/>
    <x v="0"/>
  </r>
  <r>
    <n v="116720"/>
    <s v="PAULO HENRIQUE SILVA LEAL"/>
    <s v="VARREDOR"/>
    <n v="0"/>
    <x v="0"/>
  </r>
  <r>
    <n v="116726"/>
    <s v="ERIC DOS SANTOS PINTO"/>
    <s v="VARREDOR"/>
    <n v="5"/>
    <x v="1"/>
  </r>
  <r>
    <n v="116728"/>
    <s v="GUILHERME PIOVESAN CUSTODIO"/>
    <s v="AJUDANTE EQ SERVICOS DIVERSOS"/>
    <n v="2"/>
    <x v="0"/>
  </r>
  <r>
    <n v="116729"/>
    <s v="ADILSON FERREIRA DO NASCIMENTO"/>
    <s v="MOTORISTA CAMINHAO"/>
    <n v="0"/>
    <x v="0"/>
  </r>
  <r>
    <n v="116730"/>
    <s v="PAULO CESAR RODRIGUES"/>
    <s v="MOTORISTA CAMINHAO"/>
    <n v="0"/>
    <x v="0"/>
  </r>
  <r>
    <n v="116731"/>
    <s v="CLAUDIO DA SILVA GOMES"/>
    <s v="MOTORISTA CAMINHAO"/>
    <n v="0"/>
    <x v="0"/>
  </r>
  <r>
    <n v="116738"/>
    <s v="FERNANDO SARDINHA MIGUEL DE LIMA"/>
    <s v="AUXILIAR DE PLANEJAMENTO OPERACIONAL"/>
    <n v="0"/>
    <x v="0"/>
  </r>
  <r>
    <n v="116804"/>
    <s v="GERRI ALVES DOS SANTOS"/>
    <s v="AGENTE AMBIENTAL"/>
    <n v="1"/>
    <x v="0"/>
  </r>
  <r>
    <n v="116968"/>
    <s v="AILTON CLAUDINO DA SILVA"/>
    <s v="AJUDANTE EQ SERVICOS DIVERSOS"/>
    <n v="0"/>
    <x v="0"/>
  </r>
  <r>
    <n v="116969"/>
    <s v="ANTONIO ALVES CONCEICAO FILHO"/>
    <s v="AJUDANTE EQ SERVICOS DIVERSOS"/>
    <n v="0"/>
    <x v="0"/>
  </r>
  <r>
    <n v="116970"/>
    <s v="ANTONIO DA SILVA MENDES"/>
    <s v="AJUDANTE EQ SERVICOS DIVERSOS"/>
    <n v="0"/>
    <x v="0"/>
  </r>
  <r>
    <n v="116972"/>
    <s v="BIANCA ALMEIDA BIAGIONI"/>
    <s v="AJUDANTE EQ SERVICOS DIVERSOS"/>
    <n v="0"/>
    <x v="0"/>
  </r>
  <r>
    <n v="116973"/>
    <s v="COSME COSTA PEREIRA DOS SANTOS"/>
    <s v="AJUDANTE EQ SERVICOS DIVERSOS"/>
    <n v="2"/>
    <x v="0"/>
  </r>
  <r>
    <n v="116974"/>
    <s v="DIVA BRANDINO DE MORAES GONCALVES"/>
    <s v="AJUDANTE EQ SERVICOS DIVERSOS"/>
    <n v="0"/>
    <x v="0"/>
  </r>
  <r>
    <n v="116976"/>
    <s v="JOSE ROBERTO DE LIMA FERREIRA"/>
    <s v="AJUDANTE EQ SERVICOS DIVERSOS"/>
    <n v="0"/>
    <x v="0"/>
  </r>
  <r>
    <n v="116977"/>
    <s v="MAYCON KEVEN BRITO SILVA"/>
    <s v="AJUDANTE EQ SERVICOS DIVERSOS"/>
    <n v="0"/>
    <x v="0"/>
  </r>
  <r>
    <n v="116978"/>
    <s v="KARINA MARIA LIMA"/>
    <s v="AJUDANTE EQ SERVICOS DIVERSOS"/>
    <n v="2"/>
    <x v="0"/>
  </r>
  <r>
    <n v="116980"/>
    <s v="LUCIANO ROBERTO DE OLIVEIRA"/>
    <s v="MOTORISTA CAMINHAO"/>
    <n v="0"/>
    <x v="0"/>
  </r>
  <r>
    <n v="116981"/>
    <s v="MICHELE APARECIDA GOMES"/>
    <s v="AJUDANTE EQ SERVICOS DIVERSOS"/>
    <n v="0"/>
    <x v="0"/>
  </r>
  <r>
    <n v="116983"/>
    <s v="PAULO HENRIQUE DOS ANJOS"/>
    <s v="AJUDANTE EQ SERVICOS DIVERSOS"/>
    <n v="0"/>
    <x v="0"/>
  </r>
  <r>
    <n v="116985"/>
    <s v="RAFAEL RODRIGUES DE FREITAS"/>
    <s v="AJUDANTE EQ SERVICOS DIVERSOS"/>
    <n v="0"/>
    <x v="0"/>
  </r>
  <r>
    <n v="116988"/>
    <s v="THIAGO FERREIRA DA SILVA"/>
    <s v="AJUDANTE EQ SERVICOS DIVERSOS"/>
    <n v="3"/>
    <x v="0"/>
  </r>
  <r>
    <n v="117234"/>
    <s v="IOLANDA MARIA DA SILVA"/>
    <s v="AJUDANTE EQ SERVICOS DIVERSOS"/>
    <n v="0"/>
    <x v="0"/>
  </r>
  <r>
    <n v="117235"/>
    <s v="GLEICE FERNANDES DA SILVA"/>
    <s v="AJUDANTE EQ SERVICOS DIVERSOS"/>
    <n v="1"/>
    <x v="0"/>
  </r>
  <r>
    <n v="117236"/>
    <s v="JULIE DA SILVA PEREIRA"/>
    <s v="VARREDOR"/>
    <n v="0"/>
    <x v="0"/>
  </r>
  <r>
    <n v="117238"/>
    <s v="BRUNO ANDRADE DA COSTA"/>
    <s v="AJUDANTE EQ SERVICOS DIVERSOS"/>
    <n v="0"/>
    <x v="0"/>
  </r>
  <r>
    <n v="117239"/>
    <s v="JOAO VITOR GOMES RIBEIRO"/>
    <s v="AJUDANTE EQ SERVICOS DIVERSOS"/>
    <n v="0"/>
    <x v="0"/>
  </r>
  <r>
    <n v="117240"/>
    <s v="RICARDO APARECIDO LEANDRO"/>
    <s v="AJUDANTE EQ SERVICOS DIVERSOS"/>
    <n v="0"/>
    <x v="0"/>
  </r>
  <r>
    <n v="117241"/>
    <s v="ROBSON NUNES MACARIO"/>
    <s v="AJUDANTE EQ SERVICOS DIVERSOS"/>
    <n v="0"/>
    <x v="0"/>
  </r>
  <r>
    <n v="117244"/>
    <s v="JOSE DE ASSIS DA SILVA"/>
    <s v="AJUDANTE EQ SERVICOS DIVERSOS"/>
    <n v="0"/>
    <x v="0"/>
  </r>
  <r>
    <n v="117245"/>
    <s v="GUSTAVO DO NASCIMENTO BATISTA"/>
    <s v="AJUDANTE EQ SERVICOS DIVERSOS"/>
    <n v="0"/>
    <x v="0"/>
  </r>
  <r>
    <n v="117247"/>
    <s v="LUIZ MORGADO"/>
    <s v="ENCARREGADO DE TURMA"/>
    <n v="0"/>
    <x v="1"/>
  </r>
  <r>
    <n v="117290"/>
    <s v="ALBINO ISIDORO"/>
    <s v="ELETRICISTA ADM"/>
    <n v="0"/>
    <x v="0"/>
  </r>
  <r>
    <n v="117358"/>
    <s v="DONIAS DO NASCIMENTO"/>
    <s v="MOTORISTA CAMINHAO"/>
    <n v="0"/>
    <x v="0"/>
  </r>
  <r>
    <n v="117359"/>
    <s v="EDIVALDO NEVES DA MATA"/>
    <s v="MOTORISTA CAMINHAO"/>
    <n v="0"/>
    <x v="0"/>
  </r>
  <r>
    <n v="117362"/>
    <s v="MARCELO FEITOZA SANTOS"/>
    <s v="MOTORISTA DE CAMINHAO"/>
    <n v="0"/>
    <x v="0"/>
  </r>
  <r>
    <n v="117398"/>
    <s v="FABIANA ARIANE TEIXEIRA DOS REIS"/>
    <s v="ANALISTA DE PLANEJAMENTO OPERACIONAL"/>
    <n v="0"/>
    <x v="0"/>
  </r>
  <r>
    <n v="117406"/>
    <s v="THIAGO CELESTINO DE SOUZA"/>
    <s v="VARREDOR"/>
    <n v="0"/>
    <x v="0"/>
  </r>
  <r>
    <n v="117407"/>
    <s v="GABRIEL ANTONIO COSTA DA SILVA"/>
    <s v="VARREDOR"/>
    <n v="0"/>
    <x v="0"/>
  </r>
  <r>
    <n v="117408"/>
    <s v="RONALDO PEREIRA LOPES"/>
    <s v="VARREDOR"/>
    <n v="0"/>
    <x v="0"/>
  </r>
  <r>
    <n v="117409"/>
    <s v="JACSON VALENTIM"/>
    <s v="VARREDOR"/>
    <n v="0"/>
    <x v="0"/>
  </r>
  <r>
    <n v="117410"/>
    <s v="ALEXANDRE GEAN DA SILVA SANTOS"/>
    <s v="AUXILIAR DE ALMOXARIFADO PLENO"/>
    <n v="0"/>
    <x v="0"/>
  </r>
  <r>
    <n v="117412"/>
    <s v="GABRIEL SILVA MARQUES TRAJANO"/>
    <s v="VARREDOR"/>
    <n v="0"/>
    <x v="0"/>
  </r>
  <r>
    <n v="117414"/>
    <s v="MARIA CELIA DE JESUS PEREIRA"/>
    <s v="VARREDOR"/>
    <n v="0"/>
    <x v="0"/>
  </r>
  <r>
    <n v="118049"/>
    <s v="ALEXSSANDRO MORAES DO NASCIMENTO"/>
    <s v="AJUDANTE EQ SERVICOS DIVERSOS"/>
    <n v="0"/>
    <x v="0"/>
  </r>
  <r>
    <n v="118050"/>
    <s v="MARCELO VINICIUS SILVA SANTOS"/>
    <s v="AJUDANTE EQ SERVICOS DIVERSOS"/>
    <n v="0"/>
    <x v="0"/>
  </r>
  <r>
    <n v="118051"/>
    <s v="ELISSANDRA FERREIRA LIMA DOS SANTOS"/>
    <s v="AJUDANTE EQ SERVICOS DIVERSOS"/>
    <n v="0"/>
    <x v="0"/>
  </r>
  <r>
    <n v="118053"/>
    <s v="WELLINGTON PONTES FONSECA"/>
    <s v="AJUDANTE EQ SERVICOS DIVERSOS"/>
    <n v="0"/>
    <x v="0"/>
  </r>
  <r>
    <n v="118054"/>
    <s v="PATRICIO AUGUSTO ARAUJO DA SILVA"/>
    <s v="AJUDANTE EQ SERVICOS DIVERSOS"/>
    <n v="0"/>
    <x v="0"/>
  </r>
  <r>
    <n v="118055"/>
    <s v="RENALTY LEITE DE JESUS"/>
    <s v="AJUDANTE EQ SERVICOS DIVERSOS"/>
    <n v="1"/>
    <x v="1"/>
  </r>
  <r>
    <n v="118056"/>
    <s v="ATAIDE BERNARDO RODRIGUES"/>
    <s v="AJUDANTE EQ SERVICOS DIVERSOS"/>
    <n v="0"/>
    <x v="0"/>
  </r>
  <r>
    <n v="118057"/>
    <s v="GILBERTO BENTO RODRIGUES"/>
    <s v="AJUDANTE EQ SERVICOS DIVERSOS"/>
    <n v="1"/>
    <x v="0"/>
  </r>
  <r>
    <n v="118058"/>
    <s v="JOELSON CAROLINO DOS SANTOS"/>
    <s v="AJUDANTE EQ SERVICOS DIVERSOS"/>
    <n v="0"/>
    <x v="0"/>
  </r>
  <r>
    <n v="118059"/>
    <s v="JACKSON WENDELL FIRMINO DE ARAUJO"/>
    <s v="AJUDANTE EQ SERVICOS DIVERSOS"/>
    <n v="1"/>
    <x v="0"/>
  </r>
  <r>
    <n v="118060"/>
    <s v="LUCAS AMORIM DA SILVA DONIZETE"/>
    <s v="AJUDANTE EQ SERVICOS DIVERSOS"/>
    <n v="1"/>
    <x v="1"/>
  </r>
  <r>
    <n v="118633"/>
    <s v="ANTONIO DOS SANTOS"/>
    <s v="AJUDANTE EQ SERVICOS DIVERSOS"/>
    <n v="0"/>
    <x v="0"/>
  </r>
  <r>
    <n v="118635"/>
    <s v="WAGNER FERREIRA DE OLIVEIRA"/>
    <s v="AJUDANTE EQ SERVICOS DIVERSOS"/>
    <n v="0"/>
    <x v="0"/>
  </r>
  <r>
    <n v="118641"/>
    <s v="MARCELO SILVA"/>
    <s v="AJUDANTE EQ SERVICOS DIVERSOS"/>
    <n v="0"/>
    <x v="0"/>
  </r>
  <r>
    <n v="118642"/>
    <s v="RICARDO ALEXANDRE DE OLIVEIRA"/>
    <s v="SERVENTE"/>
    <n v="0"/>
    <x v="0"/>
  </r>
  <r>
    <n v="118646"/>
    <s v="ANDRE LUIZ DELMIRO"/>
    <s v="AJUDANTE EQ SERVICOS DIVERSOS"/>
    <n v="1"/>
    <x v="0"/>
  </r>
  <r>
    <n v="118649"/>
    <s v="LACIEL CARLOS DE SENA"/>
    <s v="AJUDANTE EQ SERVICOS DIVERSOS"/>
    <n v="0"/>
    <x v="0"/>
  </r>
  <r>
    <n v="118650"/>
    <s v="CARLOS EDUARDO DE SOUZA"/>
    <s v="AJUDANTE EQ SERVICOS DIVERSOS"/>
    <n v="0"/>
    <x v="0"/>
  </r>
  <r>
    <n v="118993"/>
    <s v="MARCOS MARCIO ROCHA SANTOS"/>
    <s v="SOLDADOR"/>
    <n v="0"/>
    <x v="0"/>
  </r>
  <r>
    <n v="118994"/>
    <s v="SIDNEY ALVES DE JESUS"/>
    <s v="MOTORISTA CAMINHAO"/>
    <n v="0"/>
    <x v="0"/>
  </r>
  <r>
    <n v="118995"/>
    <s v="MARCUS HENRIQUE PLACIDO LISBOA"/>
    <s v="MOTORISTA CAMINHAO"/>
    <n v="0"/>
    <x v="0"/>
  </r>
  <r>
    <n v="119107"/>
    <s v="OCELIO LIMA BARBOSA"/>
    <s v="AJUDANTE EQ SERVICOS DIVERSOS"/>
    <n v="0"/>
    <x v="0"/>
  </r>
  <r>
    <n v="119109"/>
    <s v="CLAUDIO DIAS FERREIRA"/>
    <s v="AJUDANTE EQ SERVICOS DIVERSOS"/>
    <n v="0"/>
    <x v="0"/>
  </r>
  <r>
    <n v="119110"/>
    <s v="WILLIANS MAXIMINO DOS SANTOS"/>
    <s v="AJUDANTE EQ SERVICOS DIVERSOS"/>
    <n v="0"/>
    <x v="1"/>
  </r>
  <r>
    <n v="119111"/>
    <s v="JOSE AUGUSTO DOS SANTOS"/>
    <s v="FISCAL DE TURMA PLENO"/>
    <n v="0"/>
    <x v="0"/>
  </r>
  <r>
    <n v="119112"/>
    <s v="JOSE BARBOSA FILHO"/>
    <s v="AJUDANTE EQ SERVICOS DIVERSOS"/>
    <n v="0"/>
    <x v="0"/>
  </r>
  <r>
    <n v="119113"/>
    <s v="IDAEL LOPES RODRIGUES"/>
    <s v="AJUDANTE EQ SERVICOS DIVERSOS"/>
    <n v="0"/>
    <x v="0"/>
  </r>
  <r>
    <n v="119114"/>
    <s v="JOSE ITAMAR DE LIMA"/>
    <s v="VARREDOR"/>
    <n v="0"/>
    <x v="1"/>
  </r>
  <r>
    <n v="119117"/>
    <s v="RODRIGO MUNIZ FERNANDES"/>
    <s v="AJUDANTE EQ SERVICOS DIVERSOS"/>
    <n v="0"/>
    <x v="0"/>
  </r>
  <r>
    <n v="119118"/>
    <s v="VICTOR HUGO ALVES DE OLIVEIRA"/>
    <s v="AJUDANTE EQ SERVICOS DIVERSOS"/>
    <n v="0"/>
    <x v="1"/>
  </r>
  <r>
    <n v="119124"/>
    <s v="JOSE JOSIAS DA SILVA"/>
    <s v="MOTORISTA CAMINHAO"/>
    <n v="0"/>
    <x v="0"/>
  </r>
  <r>
    <n v="119125"/>
    <s v="PAULO CESAR PEREIRA DA SILVA"/>
    <s v="MOTORISTA CAMINHAO"/>
    <n v="0"/>
    <x v="0"/>
  </r>
  <r>
    <n v="119126"/>
    <s v="MARCOS JOSE DA SILVA"/>
    <s v="MOTORISTA CAMINHAO"/>
    <n v="0"/>
    <x v="0"/>
  </r>
  <r>
    <n v="119241"/>
    <s v="SABRINA APARECIDA LIMA DA SILVA"/>
    <s v="AUXILIAR DE DEPARTAMENTO PESSOAL"/>
    <n v="0"/>
    <x v="0"/>
  </r>
  <r>
    <n v="119242"/>
    <s v="LUCIANA RODRIGUES DE ANDRADE"/>
    <s v="AUXILIAR DE DEPARTAMENTO PESSOAL"/>
    <n v="0"/>
    <x v="0"/>
  </r>
  <r>
    <n v="119342"/>
    <s v="VANESSA OLIVEIRA MACEDO VIDAL"/>
    <s v="TECNICA DE ENFERMAGEM DO TRABALHO"/>
    <n v="0"/>
    <x v="0"/>
  </r>
  <r>
    <n v="119632"/>
    <s v="FRANCISCO FIRMINO ALVES JUNIOR"/>
    <s v="MOTORISTA CAMINHAO"/>
    <n v="0"/>
    <x v="0"/>
  </r>
  <r>
    <n v="119641"/>
    <s v="JOSE GILBERTO PEREIRA"/>
    <s v="AJUDANTE EQ SERVICOS DIVERSOS"/>
    <n v="0"/>
    <x v="0"/>
  </r>
  <r>
    <n v="119642"/>
    <s v="FABIANO FRANCISCO LOPES"/>
    <s v="AJUDANTE EQ SERVICOS DIVERSOS"/>
    <n v="0"/>
    <x v="0"/>
  </r>
  <r>
    <n v="119643"/>
    <s v="LINDOMAR MOISES DA SILVA"/>
    <s v="AJUDANTE EQ SERVICOS DIVERSOS"/>
    <n v="0"/>
    <x v="0"/>
  </r>
  <r>
    <n v="119644"/>
    <s v="ANTONIO LUZIA DOS SANTOS"/>
    <s v="AJUDANTE EQ SERVICOS DIVERSOS"/>
    <n v="0"/>
    <x v="0"/>
  </r>
  <r>
    <n v="119645"/>
    <s v="DORVALINO BRUIANI"/>
    <s v="AJUDANTE EQ SERVICOS DIVERSOS"/>
    <n v="0"/>
    <x v="0"/>
  </r>
  <r>
    <n v="119646"/>
    <s v="PAULO SERGIO DA SILVA MACHADO"/>
    <s v="AJUDANTE EQ SERVICOS DIVERSOS"/>
    <n v="0"/>
    <x v="0"/>
  </r>
  <r>
    <n v="119647"/>
    <s v="JULIO VICTOR OHARA SANCHEZ"/>
    <s v="AUXILIAR DE PLANEJAMENTO OPERACIONAL"/>
    <n v="0"/>
    <x v="0"/>
  </r>
  <r>
    <n v="119649"/>
    <s v="ELVIS MATHEUS BORBA DA CRUZ"/>
    <s v="AJUDANTE EQ SERVICOS DIVERSOS"/>
    <n v="1"/>
    <x v="0"/>
  </r>
  <r>
    <n v="119652"/>
    <s v="ERIKA DOS SANTOS OLIVEIRA"/>
    <s v="VARREDOR"/>
    <n v="0"/>
    <x v="0"/>
  </r>
  <r>
    <n v="119662"/>
    <s v="EDINALDO PEREIRA DE SOUZA"/>
    <s v="MOTORISTA CAMINHAO"/>
    <n v="0"/>
    <x v="0"/>
  </r>
  <r>
    <n v="119665"/>
    <s v="FELIPE FERREIRA PINTO"/>
    <s v="VARREDOR"/>
    <n v="0"/>
    <x v="0"/>
  </r>
  <r>
    <n v="119672"/>
    <s v="MARIA JOSE DA SILVA NASCIMENTO"/>
    <s v="VARREDOR"/>
    <n v="0"/>
    <x v="0"/>
  </r>
  <r>
    <n v="119675"/>
    <s v="REINALDO DA SILVA MOTA"/>
    <s v="AJUDANTE EQ SERVICOS DIVERSOS"/>
    <n v="0"/>
    <x v="0"/>
  </r>
  <r>
    <n v="119678"/>
    <s v="WESLEY LUCAS AGUIAR DOS ANJOS"/>
    <s v="AJUDANTE EQ SERVICOS DIVERSOS"/>
    <n v="0"/>
    <x v="0"/>
  </r>
  <r>
    <n v="119679"/>
    <s v="GABRIEL JOSE DA SILVA"/>
    <s v="AJUDANTE EQ SERVICOS DIVERSOS"/>
    <n v="0"/>
    <x v="0"/>
  </r>
  <r>
    <n v="119681"/>
    <s v="RICARDO PEDRO DA SILVA"/>
    <s v="AJUDANTE EQ SERVICOS DIVERSOS"/>
    <n v="0"/>
    <x v="0"/>
  </r>
  <r>
    <n v="119742"/>
    <s v="MARIANA OLIVEIRA"/>
    <s v="AGENTE AMBIENTAL"/>
    <n v="0"/>
    <x v="0"/>
  </r>
  <r>
    <n v="119752"/>
    <s v="LEONARDO CESAR SOUZA DE OLIVEIRA"/>
    <s v="MENOR/JOVEM APRENDIZ"/>
    <n v="0"/>
    <x v="0"/>
  </r>
  <r>
    <n v="119753"/>
    <s v="TATTIANE ANDRADE RUFINO DOS SANTOS"/>
    <s v="MENOR/JOVEM APRENDIZ"/>
    <n v="0"/>
    <x v="0"/>
  </r>
  <r>
    <n v="119754"/>
    <s v="ARYANNE OLIVEIRA REIS"/>
    <s v="MENOR/JOVEM APRENDIZ"/>
    <n v="0"/>
    <x v="0"/>
  </r>
  <r>
    <n v="119920"/>
    <s v="JONATAS MOREIRA LOPES DO AMARAL"/>
    <s v="MOTORISTA CAMINHAO"/>
    <n v="0"/>
    <x v="1"/>
  </r>
  <r>
    <n v="119921"/>
    <s v="JOSELINE ALVES DOS SANTOS"/>
    <s v="AJUDANTE EQ SERVICOS DIVERSOS"/>
    <n v="0"/>
    <x v="0"/>
  </r>
  <r>
    <n v="119922"/>
    <s v="LUAN DE OLIVEIRA"/>
    <s v="AJUDANTE EQ SERVICOS DIVERSOS"/>
    <n v="1"/>
    <x v="1"/>
  </r>
  <r>
    <n v="119924"/>
    <s v="LUIZ FELIPE DA SILVA"/>
    <s v="AJUDANTE EQ SERVICOS DIVERSOS"/>
    <n v="1"/>
    <x v="0"/>
  </r>
  <r>
    <n v="119925"/>
    <s v="MICHAEL LUIS PEIXOTO DOS SANTOS"/>
    <s v="AJUDANTE EQ SERVICOS DIVERSOS"/>
    <n v="0"/>
    <x v="0"/>
  </r>
  <r>
    <n v="119928"/>
    <s v="NELZELITO EDEN DE SOUZA"/>
    <s v="AJUDANTE EQ SERVICOS DIVERSOS"/>
    <n v="0"/>
    <x v="1"/>
  </r>
  <r>
    <n v="119929"/>
    <s v="RONALDO RAIMUNDO DA SILVA"/>
    <s v="AJUDANTE EQ SERVICOS DIVERSOS"/>
    <n v="1"/>
    <x v="0"/>
  </r>
  <r>
    <n v="119930"/>
    <s v="MARCIO ROBERTO CORREA"/>
    <s v="AJUDANTE EQ SERVICOS DIVERSOS"/>
    <n v="0"/>
    <x v="0"/>
  </r>
  <r>
    <n v="119933"/>
    <s v="RODRIGO ALENCAR LINO DOS ANJOS"/>
    <s v="AJUDANTE EQ SERVICOS DIVERSOS"/>
    <n v="0"/>
    <x v="0"/>
  </r>
  <r>
    <n v="119936"/>
    <s v="WELLINGTON FERREIRA DA COSTA"/>
    <s v="AJUDANTE EQ SERVICOS DIVERSOS"/>
    <n v="0"/>
    <x v="0"/>
  </r>
  <r>
    <n v="120163"/>
    <s v="ANDRE LUIS ALMEIDA MARQUES"/>
    <s v="BUEIRISTA"/>
    <n v="0"/>
    <x v="0"/>
  </r>
  <r>
    <n v="120172"/>
    <s v="FRANCISCO SANTOS FERNANDES DE LIMA"/>
    <s v="AJUDANTE EQ SERVICOS DIVERSOS"/>
    <n v="0"/>
    <x v="0"/>
  </r>
  <r>
    <n v="120176"/>
    <s v="JOSE MILTON DOS SANTOS"/>
    <s v="AJUDANTE EQ SERVICOS DIVERSOS"/>
    <n v="0"/>
    <x v="0"/>
  </r>
  <r>
    <n v="120178"/>
    <s v="RAFAEL BARBOSA DOS SANTOS"/>
    <s v="AJUDANTE EQ SERVICOS DIVERSOS"/>
    <n v="0"/>
    <x v="0"/>
  </r>
  <r>
    <n v="120180"/>
    <s v="JOSE LUCAS ALVES DE OLIVEIRA"/>
    <s v="ELETRICISTA"/>
    <n v="0"/>
    <x v="0"/>
  </r>
  <r>
    <n v="120186"/>
    <s v="ADILSON DA CUNHA ALENCAR"/>
    <s v="MOTORISTA CAMINHAO"/>
    <n v="0"/>
    <x v="0"/>
  </r>
  <r>
    <n v="120187"/>
    <s v="ANDERSON SOUZA DA SILVA"/>
    <s v="AJUDANTE EQ SERVICOS DIVERSOS"/>
    <n v="0"/>
    <x v="0"/>
  </r>
  <r>
    <n v="120188"/>
    <s v="ROGERIO LUIS RODRIGUES"/>
    <s v="AJUDANTE EQ SERVICOS DIVERSOS"/>
    <n v="0"/>
    <x v="0"/>
  </r>
  <r>
    <n v="120191"/>
    <s v="HUMBERTO RAIMUNDO DE JESUS"/>
    <s v="MOTORISTA CAMINHAO"/>
    <n v="0"/>
    <x v="0"/>
  </r>
  <r>
    <n v="120192"/>
    <s v="RICARDO DE ALMEIDA LAURENTINO"/>
    <s v="AJUDANTE EQ SERVICOS DIVERSOS"/>
    <n v="0"/>
    <x v="0"/>
  </r>
  <r>
    <n v="120355"/>
    <s v="ROBSON TADEU DA COSTA"/>
    <s v="AJUDANTE EQ SERVICOS DIVERSOS"/>
    <n v="0"/>
    <x v="0"/>
  </r>
  <r>
    <n v="120356"/>
    <s v="CAIO WENDELL ASSIS ROCHA SANTOS"/>
    <s v="AJUDANTE EQ SERVICOS DIVERSOS"/>
    <n v="0"/>
    <x v="0"/>
  </r>
  <r>
    <n v="120357"/>
    <s v="GUILHERME PEREIRA MENDES"/>
    <s v="AJUDANTE EQ SERVICOS DIVERSOS"/>
    <n v="0"/>
    <x v="0"/>
  </r>
  <r>
    <n v="120623"/>
    <s v="PAULO OTAVIO ALEXANDRE VIANA"/>
    <s v="AUXILIAR DE ALMOXARIFADO PLENO"/>
    <n v="0"/>
    <x v="0"/>
  </r>
  <r>
    <n v="121024"/>
    <s v="GUSTAVO RODRIGUES DOS SANTOS"/>
    <s v="VARREDOR"/>
    <n v="0"/>
    <x v="0"/>
  </r>
  <r>
    <n v="121025"/>
    <s v="NILSON CUSTODIO DE ALCANTARA"/>
    <s v="VARREDOR"/>
    <n v="0"/>
    <x v="0"/>
  </r>
  <r>
    <n v="121028"/>
    <s v="PAULO THIAGO SOBRAL RIBEIRO DE SOUZA"/>
    <s v="VARREDOR"/>
    <n v="0"/>
    <x v="0"/>
  </r>
  <r>
    <n v="121030"/>
    <s v="DAYANE APARECIDA ABREU DA SILVA"/>
    <s v="VARREDOR"/>
    <n v="0"/>
    <x v="0"/>
  </r>
  <r>
    <n v="121314"/>
    <s v="ALESSANDRO RAMALHO DIAS"/>
    <s v="AJUDANTE EQ SERVICOS DIVERSOS"/>
    <n v="0"/>
    <x v="0"/>
  </r>
  <r>
    <n v="121315"/>
    <s v="MARCOS AURELIO LUIZ"/>
    <s v="VARREDOR"/>
    <n v="0"/>
    <x v="0"/>
  </r>
  <r>
    <n v="121316"/>
    <s v="JOSE DILMA JUSTINO DE OLIVEIRA"/>
    <s v="AJUDANTE EQ SERVICOS DIVERSOS"/>
    <n v="0"/>
    <x v="0"/>
  </r>
  <r>
    <n v="121317"/>
    <s v="LUCIANO RODRIGUES DE SOUZA"/>
    <s v="AJUDANTE EQ SERVICOS DIVERSOS"/>
    <n v="0"/>
    <x v="0"/>
  </r>
  <r>
    <n v="121318"/>
    <s v="STEVSON SANTOS GOMES"/>
    <s v="VARREDOR"/>
    <n v="0"/>
    <x v="0"/>
  </r>
  <r>
    <n v="121319"/>
    <s v="NICOLAS RIBEIRO CIDRAL"/>
    <s v="AJUDANTE EQ SERVICOS DIVERSOS"/>
    <n v="0"/>
    <x v="0"/>
  </r>
  <r>
    <n v="121320"/>
    <s v="BRUNO BEZERRA DOS SANTOS"/>
    <s v="VARREDOR"/>
    <n v="0"/>
    <x v="0"/>
  </r>
  <r>
    <n v="121321"/>
    <s v="JEFFERSON DA SILVA"/>
    <s v="VARREDOR"/>
    <n v="0"/>
    <x v="0"/>
  </r>
  <r>
    <n v="121322"/>
    <s v="IAGO HENRIQUE PEREIRA OLIVEIRA"/>
    <s v="AJUDANTE EQ SERVICOS DIVERSOS"/>
    <n v="1"/>
    <x v="0"/>
  </r>
  <r>
    <n v="121323"/>
    <s v="IGOR RENATO SOARES MARTINS"/>
    <s v="AJUDANTE EQ SERVICOS DIVERSOS"/>
    <n v="0"/>
    <x v="0"/>
  </r>
  <r>
    <n v="121324"/>
    <s v="WALTER CARINHANHA SOARES"/>
    <s v="VARREDOR"/>
    <n v="0"/>
    <x v="0"/>
  </r>
  <r>
    <n v="121325"/>
    <s v="RAILTON GOMES DOS SANTOS"/>
    <s v="VARREDOR"/>
    <n v="1"/>
    <x v="0"/>
  </r>
  <r>
    <n v="121326"/>
    <s v="JEFERSON DE JESUS DA SILVA"/>
    <s v="AJUDANTE EQ SERVICOS DIVERSOS"/>
    <n v="0"/>
    <x v="0"/>
  </r>
  <r>
    <n v="121327"/>
    <s v="ROSELI FERREIRA DA SILVA"/>
    <s v="AJUDANTE EQ SERVICOS DIVERSOS"/>
    <n v="0"/>
    <x v="0"/>
  </r>
  <r>
    <n v="121328"/>
    <s v="CLEITON APARECIDO MIGUEL"/>
    <s v="AJUDANTE EQ SERVICOS DIVERSOS"/>
    <n v="0"/>
    <x v="0"/>
  </r>
  <r>
    <n v="121330"/>
    <s v="ITAMAR DOS SANTOS COSTA"/>
    <s v="VARREDOR"/>
    <n v="0"/>
    <x v="0"/>
  </r>
  <r>
    <n v="121403"/>
    <s v="ADAIL AUGUSTO VIEIRA"/>
    <s v="AJUDANTE EQ SERVICOS DIVERSOS"/>
    <n v="0"/>
    <x v="0"/>
  </r>
  <r>
    <n v="121404"/>
    <s v="ELI PINHEIRO DE ALCANTARA"/>
    <s v="AJUDANTE EQ SERVICOS DIVERSOS"/>
    <n v="0"/>
    <x v="0"/>
  </r>
  <r>
    <n v="121414"/>
    <s v="JACKSON GAMA DIAS"/>
    <s v="AJUDANTE EQ SERVICOS DIVERSOS"/>
    <n v="0"/>
    <x v="0"/>
  </r>
  <r>
    <n v="121428"/>
    <s v="EDUARDO PINHEIRO DA SILVA"/>
    <s v="AJUDANTE EQ SERVICOS DIVERSOS"/>
    <n v="0"/>
    <x v="0"/>
  </r>
  <r>
    <n v="121436"/>
    <s v="CARLOS EDUARDO DA SILVA"/>
    <s v="AJUDANTE EQ SERVICOS DIVERSOS"/>
    <n v="0"/>
    <x v="0"/>
  </r>
  <r>
    <n v="121449"/>
    <s v="ANDRE DE SOUZA RAMOS"/>
    <s v="AJUDANTE EQ SERVICOS DIVERSOS"/>
    <n v="0"/>
    <x v="0"/>
  </r>
  <r>
    <n v="121458"/>
    <s v="SOLANGE SILVA LEITAO"/>
    <s v="AJUDANTE EQ SERVICOS DIVERSOS"/>
    <n v="0"/>
    <x v="0"/>
  </r>
  <r>
    <n v="121460"/>
    <s v="TIAGO SANTOS DA CONCEICAO"/>
    <s v="AJUDANTE EQ SERVICOS DIVERSOS"/>
    <n v="1"/>
    <x v="0"/>
  </r>
  <r>
    <n v="121476"/>
    <s v="LEANDRO APARECIDO VIEIRA DE SOUZA"/>
    <s v="AJUDANTE EQ SERVICOS DIVERSOS"/>
    <n v="0"/>
    <x v="0"/>
  </r>
  <r>
    <n v="121480"/>
    <s v="WENDELL OLIVEIRA DA SILVA"/>
    <s v="AJUDANTE EQ SERVICOS DIVERSOS"/>
    <n v="0"/>
    <x v="0"/>
  </r>
  <r>
    <n v="121482"/>
    <s v="ALEXSANDRO AUGUSTO RIBEIRO RUFINO"/>
    <s v="MOTORISTA CAMINHAO"/>
    <n v="0"/>
    <x v="0"/>
  </r>
  <r>
    <n v="121486"/>
    <s v="DIEGO AQUINO DOS SANTOS"/>
    <s v="MOTORISTA CAMINHAO"/>
    <n v="0"/>
    <x v="0"/>
  </r>
  <r>
    <n v="121525"/>
    <s v="EVERTON SOUZA DA SILVA"/>
    <s v="AJUDANTE EQ SERVICOS DIVERSOS"/>
    <n v="1"/>
    <x v="0"/>
  </r>
  <r>
    <n v="121531"/>
    <s v="ADAILTON SOUZA SANTOS"/>
    <s v="MOTORISTA CAMINHAO"/>
    <n v="0"/>
    <x v="0"/>
  </r>
  <r>
    <n v="121672"/>
    <s v="ANA CRISTINA DA SILVA"/>
    <s v="AJUDANTE EQ SERVICOS DIVERSOS"/>
    <n v="0"/>
    <x v="0"/>
  </r>
  <r>
    <n v="121673"/>
    <s v="ANTONIO CARLOS COSTA DA SILVA"/>
    <s v="AJUDANTE EQ SERVICOS DIVERSOS"/>
    <n v="0"/>
    <x v="3"/>
  </r>
  <r>
    <n v="121674"/>
    <s v="CARLOS LUIS LIMA MATOS"/>
    <s v="AJUDANTE EQ SERVICOS DIVERSOS"/>
    <n v="0"/>
    <x v="0"/>
  </r>
  <r>
    <n v="121675"/>
    <s v="DONIZETE VENANCIO"/>
    <s v="AJUDANTE EQ SERVICOS DIVERSOS"/>
    <n v="0"/>
    <x v="0"/>
  </r>
  <r>
    <n v="121677"/>
    <s v="IRANILDO DOS SANTOS"/>
    <s v="AJUDANTE EQ SERVICOS DIVERSOS"/>
    <n v="0"/>
    <x v="0"/>
  </r>
  <r>
    <n v="121684"/>
    <s v="WALKER MINANCIAM DA SILVA"/>
    <s v="AUXILIAR DE CONTROLE OPERACIONAL"/>
    <n v="0"/>
    <x v="0"/>
  </r>
  <r>
    <n v="121685"/>
    <s v="JARSON BENTES LUCENA DOS SANTOS"/>
    <s v="AJUDANTE EQ SERVICOS DIVERSOS"/>
    <n v="0"/>
    <x v="0"/>
  </r>
  <r>
    <n v="121686"/>
    <s v="MICHEL ALVES PESSOA"/>
    <s v="AJUDANTE EQ SERVICOS DIVERSOS"/>
    <n v="4"/>
    <x v="0"/>
  </r>
  <r>
    <n v="121687"/>
    <s v="LUCILENE MONTEIRO RODRIGUES"/>
    <s v="AJUDANTE EQ SERVICOS DIVERSOS"/>
    <n v="0"/>
    <x v="0"/>
  </r>
  <r>
    <n v="121689"/>
    <s v="ITALO FERNANDO SILVA COSTA"/>
    <s v="AJUDANTE EQ SERVICOS DIVERSOS"/>
    <n v="0"/>
    <x v="0"/>
  </r>
  <r>
    <n v="121690"/>
    <s v="MAURICIO ALVES SOUZA"/>
    <s v="AUXILIAR ADMINISTRATIVO"/>
    <n v="0"/>
    <x v="0"/>
  </r>
  <r>
    <n v="121802"/>
    <s v="ADIJANILDO MONTEIRO BATISTA"/>
    <s v="ASSISTENTE DE COMPRAS"/>
    <n v="0"/>
    <x v="0"/>
  </r>
  <r>
    <n v="121815"/>
    <s v="SABRINA VITORIA SILVA DA COSTA"/>
    <s v="MENOR/JOVEM APRENDIZ"/>
    <n v="0"/>
    <x v="0"/>
  </r>
  <r>
    <n v="121816"/>
    <s v="RAQUEL LARISSA DA SILVA DIAS"/>
    <s v="MENOR/JOVEM APRENDIZ"/>
    <n v="0"/>
    <x v="0"/>
  </r>
  <r>
    <n v="121817"/>
    <s v="ANA CAROLINA MARINHO DA SILVA"/>
    <s v="MENOR/JOVEM APRENDIZ"/>
    <n v="0"/>
    <x v="0"/>
  </r>
  <r>
    <n v="121847"/>
    <s v="TIAGO NOVAES"/>
    <s v="AJUDANTE EQ SERVICOS DIVERSOS"/>
    <n v="0"/>
    <x v="0"/>
  </r>
  <r>
    <n v="121848"/>
    <s v="CARLINDO DA SILVA BARROS"/>
    <s v="AJUDANTE EQ SERVICOS DIVERSOS"/>
    <n v="0"/>
    <x v="0"/>
  </r>
  <r>
    <n v="121849"/>
    <s v="ARTHUR ROGERIO DA SILVA"/>
    <s v="AJUDANTE EQ SERVICOS DIVERSOS"/>
    <n v="1"/>
    <x v="0"/>
  </r>
  <r>
    <n v="121850"/>
    <s v="THAISSA RAQUEL MARCELINO DE OLIVEIRA"/>
    <s v="AJUDANTE EQ SERVICOS DIVERSOS"/>
    <n v="0"/>
    <x v="0"/>
  </r>
  <r>
    <n v="121851"/>
    <s v="ADAO BARBOZA DOS SANTOS"/>
    <s v="AJUDANTE EQ SERVICOS DIVERSOS"/>
    <n v="0"/>
    <x v="0"/>
  </r>
  <r>
    <n v="121853"/>
    <s v="VITOR SILVA DE SOUZA"/>
    <s v="AJUDANTE EQ SERVICOS DIVERSOS"/>
    <n v="7"/>
    <x v="0"/>
  </r>
  <r>
    <n v="121855"/>
    <s v="MAIKE SANTOS NASCIMENTO"/>
    <s v="AJUDANTE EQ SERVICOS DIVERSOS"/>
    <n v="0"/>
    <x v="0"/>
  </r>
  <r>
    <n v="121857"/>
    <s v="BRUNO HENRIQUE DE SOUZA E SILVA"/>
    <s v="AJUDANTE EQ SERVICOS DIVERSOS"/>
    <n v="0"/>
    <x v="0"/>
  </r>
  <r>
    <n v="121939"/>
    <s v="KARINA PEREIRA DA SILVA"/>
    <s v="MENOR/JOVEM APRENDIZ"/>
    <n v="0"/>
    <x v="0"/>
  </r>
  <r>
    <n v="121941"/>
    <s v="ADRIAN CAUE DE SOUZA ANJOS"/>
    <s v="MENOR/JOVEM APRENDIZ"/>
    <n v="0"/>
    <x v="0"/>
  </r>
  <r>
    <n v="121946"/>
    <s v="RYAN FERREIRA CABRAL"/>
    <s v="MENOR/JOVEM APRENDIZ"/>
    <n v="0"/>
    <x v="0"/>
  </r>
  <r>
    <n v="121947"/>
    <s v="CAIO GONCALVES DOS SANTOS"/>
    <s v="MENOR/JOVEM APRENDIZ"/>
    <n v="0"/>
    <x v="0"/>
  </r>
  <r>
    <n v="121948"/>
    <s v="DANIELY LEANDRO DOS SANTOS"/>
    <s v="MENOR/JOVEM APRENDIZ"/>
    <n v="0"/>
    <x v="0"/>
  </r>
  <r>
    <n v="121949"/>
    <s v="LOHANA ARAUJO FIDELES"/>
    <s v="MENOR/JOVEM APRENDIZ"/>
    <n v="0"/>
    <x v="0"/>
  </r>
  <r>
    <n v="121950"/>
    <s v="IAGO ALVES DA SILVA"/>
    <s v="MENOR/JOVEM APRENDIZ"/>
    <n v="0"/>
    <x v="0"/>
  </r>
  <r>
    <n v="121951"/>
    <s v="THIAGO ORILHANA DE JESUS"/>
    <s v="MENOR/JOVEM APRENDIZ"/>
    <n v="0"/>
    <x v="0"/>
  </r>
  <r>
    <n v="121952"/>
    <s v="VINICIUS DE JESUS MARQUES"/>
    <s v="MENOR/JOVEM APRENDIZ"/>
    <n v="0"/>
    <x v="0"/>
  </r>
  <r>
    <n v="121953"/>
    <s v="IZAQUE JUSTINO CANDIDO"/>
    <s v="AJUDANTE EQ SERVICOS DIVERSOS"/>
    <n v="0"/>
    <x v="0"/>
  </r>
  <r>
    <n v="121954"/>
    <s v="ALBERTO ALENCAR DE JESUS"/>
    <s v="AJUDANTE EQ SERVICOS DIVERSOS"/>
    <n v="2"/>
    <x v="0"/>
  </r>
  <r>
    <n v="121955"/>
    <s v="LUIS HENRIQUE JERONIMO VIEIRA"/>
    <s v="AJUDANTE EQ SERVICOS DIVERSOS"/>
    <n v="0"/>
    <x v="0"/>
  </r>
  <r>
    <n v="121956"/>
    <s v="FABRIANO SOUSA LIMA"/>
    <s v="AJUDANTE EQ SERVICOS DIVERSOS"/>
    <n v="0"/>
    <x v="0"/>
  </r>
  <r>
    <n v="121957"/>
    <s v="JOSEMAR DE PAULA MACEDO"/>
    <s v="AJUDANTE EQ SERVICOS DIVERSOS"/>
    <n v="0"/>
    <x v="0"/>
  </r>
  <r>
    <n v="122028"/>
    <s v="BRUNNA FARIAS SANT ANA"/>
    <s v="AGENTE AMBIENTAL"/>
    <n v="0"/>
    <x v="0"/>
  </r>
  <r>
    <n v="122029"/>
    <s v="WESLEY PEREIRA DE SOUZA"/>
    <s v="AGENTE AMBIENTAL"/>
    <n v="0"/>
    <x v="0"/>
  </r>
  <r>
    <n v="122030"/>
    <s v="SABRINA FIGUEIREDO DE SOUSA"/>
    <s v="AUXILIAR DE CONTROLE OPERACIONAL"/>
    <n v="0"/>
    <x v="0"/>
  </r>
  <r>
    <n v="122078"/>
    <s v="THIAGO SENA DA SILVA"/>
    <s v="AJUDANTE EQ SERVICOS DIVERSOS"/>
    <n v="7"/>
    <x v="3"/>
  </r>
  <r>
    <n v="122079"/>
    <s v="GILSON SILVA DIAS"/>
    <s v="AJUDANTE EQ SERVICOS DIVERSOS"/>
    <n v="0"/>
    <x v="0"/>
  </r>
  <r>
    <n v="122080"/>
    <s v="JOSE ALBINO DE JESUS"/>
    <s v="AJUDANTE EQ SERVICOS DIVERSOS"/>
    <n v="0"/>
    <x v="0"/>
  </r>
  <r>
    <n v="122081"/>
    <s v="ELAINE SOUZA DAMACENO DE JESUS"/>
    <s v="AJUDANTE EQ SERVICOS DIVERSOS"/>
    <n v="0"/>
    <x v="0"/>
  </r>
  <r>
    <n v="122082"/>
    <s v="MARCIA DORNELES"/>
    <s v="AJUDANTE EQ SERVICOS DIVERSOS"/>
    <n v="0"/>
    <x v="0"/>
  </r>
  <r>
    <n v="122083"/>
    <s v="TAYNARA MIGUEL SILVA"/>
    <s v="AJUDANTE EQ SERVICOS DIVERSOS"/>
    <n v="0"/>
    <x v="0"/>
  </r>
  <r>
    <n v="122085"/>
    <s v="EDUARDO FELIX DA SILVA"/>
    <s v="AJUDANTE EQ SERVICOS DIVERSOS"/>
    <n v="26"/>
    <x v="0"/>
  </r>
  <r>
    <n v="122086"/>
    <s v="PEDRO FLOR DE LIMA"/>
    <s v="AJUDANTE EQ SERVICOS DIVERSOS"/>
    <n v="0"/>
    <x v="0"/>
  </r>
  <r>
    <n v="122087"/>
    <s v="SOLANGE APARECIDA DE ALENCAR CARVALHO"/>
    <s v="AJUDANTE EQ SERVICOS DIVERSOS"/>
    <n v="0"/>
    <x v="0"/>
  </r>
  <r>
    <n v="122088"/>
    <s v="LEONARDO APARECIDO DA SILVA"/>
    <s v="AJUDANTE EQ SERVICOS DIVERSOS"/>
    <n v="0"/>
    <x v="0"/>
  </r>
  <r>
    <n v="122089"/>
    <s v="FLAVIO RABELO DE MORAIS"/>
    <s v="AJUDANTE EQ SERVICOS DIVERSOS"/>
    <n v="0"/>
    <x v="0"/>
  </r>
  <r>
    <n v="122090"/>
    <s v="LUCIELMA DOS SANTOS SILVA"/>
    <s v="AJUDANTE EQ SERVICOS DIVERSOS"/>
    <n v="0"/>
    <x v="3"/>
  </r>
  <r>
    <n v="122234"/>
    <s v="WALDIR ANTONIO MARTINS"/>
    <s v="MOTORISTA CAMINHAO"/>
    <n v="0"/>
    <x v="0"/>
  </r>
  <r>
    <n v="122235"/>
    <s v="LUIZ CARLOS DE OLIVEIRA"/>
    <s v="MOTORISTA CAMINHAO"/>
    <n v="0"/>
    <x v="0"/>
  </r>
  <r>
    <n v="122240"/>
    <s v="VIVIAN BRITO MOTA COTIAS"/>
    <s v="MOTORISTA CAMINHAO"/>
    <n v="0"/>
    <x v="0"/>
  </r>
  <r>
    <n v="122247"/>
    <s v="PAULO DE OLIVEIRA SOUZA"/>
    <s v="AJUDANTE EQ SERVICOS DIVERSOS"/>
    <n v="2"/>
    <x v="0"/>
  </r>
  <r>
    <n v="122250"/>
    <s v="MICHEL ROGERIO SANTOS"/>
    <s v="AJUDANTE EQ SERVICOS DIVERSOS"/>
    <n v="10"/>
    <x v="0"/>
  </r>
  <r>
    <n v="122251"/>
    <s v="JOAO LUIS STACHUK"/>
    <s v="AJUDANTE EQ SERVICOS DIVERSOS"/>
    <n v="0"/>
    <x v="0"/>
  </r>
  <r>
    <n v="122252"/>
    <s v="JOAO QUEIROZ DOS SANTOS"/>
    <s v="AJUDANTE EQ SERVICOS DIVERSOS"/>
    <n v="0"/>
    <x v="0"/>
  </r>
  <r>
    <n v="122254"/>
    <s v="MARIA APARECIDA VIEIRA ALEXANDRE"/>
    <s v="AUXILIAR DE CONTROLE OPERACIONAL"/>
    <n v="0"/>
    <x v="0"/>
  </r>
  <r>
    <n v="122333"/>
    <s v="WASHINGTON SILVA LOPES"/>
    <s v="VARREDOR"/>
    <n v="0"/>
    <x v="0"/>
  </r>
  <r>
    <n v="122334"/>
    <s v="DIEGO JOSE RIBEIRO ARAUJO"/>
    <s v="MOTORISTA CAMINHAO"/>
    <n v="0"/>
    <x v="0"/>
  </r>
  <r>
    <n v="122343"/>
    <s v="CARLOS WENDELL DE SOUSA AMORIM"/>
    <s v="VARREDOR"/>
    <n v="0"/>
    <x v="0"/>
  </r>
  <r>
    <n v="122346"/>
    <s v="WAGNER AUGUSTO DAGLIO PEIKOW"/>
    <s v="VARREDOR"/>
    <n v="0"/>
    <x v="0"/>
  </r>
  <r>
    <n v="122348"/>
    <s v="RAFAEL CAMPOS BEZERRA"/>
    <s v="VARREDOR"/>
    <n v="0"/>
    <x v="0"/>
  </r>
  <r>
    <n v="122403"/>
    <s v="RENELSON VALLIERE"/>
    <s v="AJUDANTE EQ SERVICOS DIVERSOS"/>
    <n v="0"/>
    <x v="0"/>
  </r>
  <r>
    <n v="122404"/>
    <s v="ADEILTON PEREIRA DE MELO"/>
    <s v="AJUDANTE EQ SERVICOS DIVERSOS"/>
    <n v="0"/>
    <x v="0"/>
  </r>
  <r>
    <n v="122405"/>
    <s v="JOSE GERALDO XAVIER DE ARAUJO"/>
    <s v="MOTORISTA CAMINHAO"/>
    <n v="0"/>
    <x v="0"/>
  </r>
  <r>
    <n v="122406"/>
    <s v="TIAGO FERNANDES DO NASCIMENTO"/>
    <s v="AJUDANTE EQ SERVICOS DIVERSOS"/>
    <n v="0"/>
    <x v="0"/>
  </r>
  <r>
    <n v="122409"/>
    <s v="JOSE DE OLIVEIRA COELHO"/>
    <s v="MOTORISTA CAMINHAO"/>
    <n v="0"/>
    <x v="0"/>
  </r>
  <r>
    <n v="122410"/>
    <s v="CAIQUE RIBEIRO SILVA VALADARES"/>
    <s v="AJUDANTE EQ SERVICOS DIVERSOS"/>
    <n v="0"/>
    <x v="0"/>
  </r>
  <r>
    <n v="122411"/>
    <s v="ADRIANO PASTOR DA SILVA"/>
    <s v="AJUDANTE EQ SERVICOS DIVERSOS"/>
    <n v="0"/>
    <x v="0"/>
  </r>
  <r>
    <n v="122415"/>
    <s v="EMERSON CLAYTON DA SILVA FILHO"/>
    <s v="AJUDANTE EQ SERVICOS DIVERSOS"/>
    <n v="0"/>
    <x v="0"/>
  </r>
  <r>
    <n v="122418"/>
    <s v="MARCOS ROBERTO DA SILVA"/>
    <s v="MOTORISTA CAMINHAO"/>
    <n v="0"/>
    <x v="0"/>
  </r>
  <r>
    <n v="122424"/>
    <s v="PAULO ROGERIO MATIAS DOMINGUES"/>
    <s v="AJUDANTE EQ SERVICOS DIVERSOS"/>
    <n v="3"/>
    <x v="0"/>
  </r>
  <r>
    <n v="122425"/>
    <s v="HUGO VINICIUS DOS SANTOS"/>
    <s v="AJUDANTE EQ SERVICOS DIVERSOS"/>
    <n v="0"/>
    <x v="0"/>
  </r>
  <r>
    <n v="122437"/>
    <s v="ALEX MESSIAS ALMEIDA OLIVIO"/>
    <s v="AJUDANTE EQ SERVICOS DIVERSOS"/>
    <n v="0"/>
    <x v="0"/>
  </r>
  <r>
    <n v="122438"/>
    <s v="ANDERSON SILVA DE SOUZA"/>
    <s v="AJUDANTE EQ SERVICOS DIVERSOS"/>
    <n v="0"/>
    <x v="0"/>
  </r>
  <r>
    <n v="122439"/>
    <s v="JEFERSON XAVIER"/>
    <s v="AJUDANTE EQ SERVICOS DIVERSOS"/>
    <n v="0"/>
    <x v="0"/>
  </r>
  <r>
    <n v="122440"/>
    <s v="ANDERSON APARECIDO DE ALMEIDA"/>
    <s v="AJUDANTE EQ SERVICOS DIVERSOS"/>
    <n v="0"/>
    <x v="0"/>
  </r>
  <r>
    <n v="122553"/>
    <s v="WESLEY VIRGINIO DA SILVA"/>
    <s v="AJUDANTE EQ SERVICOS DIVERSOS"/>
    <n v="0"/>
    <x v="0"/>
  </r>
  <r>
    <n v="122554"/>
    <s v="WESLEY SOARES DA SILVA OLIVEIRA"/>
    <s v="AJUDANTE EQ SERVICOS DIVERSOS"/>
    <n v="0"/>
    <x v="0"/>
  </r>
  <r>
    <n v="122555"/>
    <s v="PATRICIA ALMEIDA DE LIMA"/>
    <s v="AJUDANTE EQ SERVICOS DIVERSOS"/>
    <n v="0"/>
    <x v="0"/>
  </r>
  <r>
    <n v="122559"/>
    <s v="ISRAEL MARTINS DA SILVA"/>
    <s v="AJUDANTE EQ SERVICOS DIVERSOS"/>
    <n v="0"/>
    <x v="0"/>
  </r>
  <r>
    <n v="122560"/>
    <s v="KAIQUE DOS SANTOS ALMEIDA"/>
    <s v="AJUDANTE EQ SERVICOS DIVERSOS"/>
    <n v="1"/>
    <x v="0"/>
  </r>
  <r>
    <n v="122561"/>
    <s v="JORGE LUIZ LIMA DA COSTA"/>
    <s v="AJUDANTE EQ SERVICOS DIVERSOS"/>
    <n v="0"/>
    <x v="0"/>
  </r>
  <r>
    <n v="122570"/>
    <s v="GILSON ARAUJO DE LIMA"/>
    <s v="MOTORISTA CAMINHAO"/>
    <n v="0"/>
    <x v="0"/>
  </r>
  <r>
    <n v="122571"/>
    <s v="LAERCIO MARIANO DE ABREU"/>
    <s v="MOTORISTA CAMINHAO"/>
    <n v="0"/>
    <x v="0"/>
  </r>
  <r>
    <n v="122573"/>
    <s v="DANIEL ALVES DANTAS PEIXINHO"/>
    <s v="MOTORISTA CAMINHAO"/>
    <n v="0"/>
    <x v="0"/>
  </r>
  <r>
    <n v="122574"/>
    <s v="EDMAR CESAR DA SILVA"/>
    <s v="MOTORISTA CAMINHAO"/>
    <n v="0"/>
    <x v="0"/>
  </r>
  <r>
    <n v="122575"/>
    <s v="JEMIMA JOSEPH LOUIS"/>
    <s v="AJUDANTE EQ SERVICOS DIVERSOS"/>
    <n v="0"/>
    <x v="0"/>
  </r>
  <r>
    <n v="122632"/>
    <s v="LUCIANO DE SOUSA AMORIM"/>
    <s v="MOTORISTA CAMINHAO"/>
    <n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5">
  <r>
    <n v="112194"/>
    <s v="ABELITO FERREIRA DOS SANTOS"/>
    <s v="VARREDOR"/>
    <x v="0"/>
    <d v="2019-06-01T00:00:00"/>
    <x v="0"/>
    <x v="0"/>
    <n v="0"/>
    <x v="0"/>
  </r>
  <r>
    <n v="112198"/>
    <s v="ADAELSON ADAUTO SENA DE SIQUEIRA"/>
    <s v="VARREDOR"/>
    <x v="1"/>
    <d v="2019-06-01T00:00:00"/>
    <x v="0"/>
    <x v="0"/>
    <n v="0"/>
    <x v="0"/>
  </r>
  <r>
    <n v="121403"/>
    <s v="ADAIL AUGUSTO VIEIRA"/>
    <s v="AJUDANTE EQ SERVICOS DIVERSOS"/>
    <x v="2"/>
    <d v="2023-02-10T00:00:00"/>
    <x v="0"/>
    <x v="0"/>
    <n v="0"/>
    <x v="0"/>
  </r>
  <r>
    <n v="112225"/>
    <s v="ADAILTON RODRIGUES SANTOS"/>
    <s v="AJUDANTE EQ SERVICOS DIVERSOS"/>
    <x v="2"/>
    <d v="2019-06-01T00:00:00"/>
    <x v="0"/>
    <x v="1"/>
    <n v="-657.5"/>
    <x v="1"/>
  </r>
  <r>
    <n v="121531"/>
    <s v="ADAILTON SOUZA SANTOS"/>
    <s v="MOTORISTA CAMINHAO"/>
    <x v="2"/>
    <d v="2023-02-15T00:00:00"/>
    <x v="0"/>
    <x v="0"/>
    <n v="0"/>
    <x v="0"/>
  </r>
  <r>
    <n v="121851"/>
    <s v="ADAO BARBOZA DOS SANTOS"/>
    <s v="AJUDANTE EQ SERVICOS DIVERSOS"/>
    <x v="1"/>
    <d v="2023-04-06T00:00:00"/>
    <x v="0"/>
    <x v="0"/>
    <n v="0"/>
    <x v="0"/>
  </r>
  <r>
    <n v="114763"/>
    <s v="ADEILTON GOMES DA SILVA"/>
    <s v="MOTORISTA DE CAMINHAO"/>
    <x v="2"/>
    <d v="2020-02-13T00:00:00"/>
    <x v="0"/>
    <x v="0"/>
    <n v="0"/>
    <x v="0"/>
  </r>
  <r>
    <n v="122404"/>
    <s v="ADEILTON PEREIRA DE MELO"/>
    <s v="AJUDANTE EQ SERVICOS DIVERSOS"/>
    <x v="2"/>
    <d v="2023-07-10T00:00:00"/>
    <x v="0"/>
    <x v="0"/>
    <n v="0"/>
    <x v="0"/>
  </r>
  <r>
    <n v="112254"/>
    <s v="ADELCIO PIMENTEL DOS SANTOS"/>
    <s v="COLETOR"/>
    <x v="2"/>
    <d v="2019-06-01T00:00:00"/>
    <x v="0"/>
    <x v="0"/>
    <n v="0"/>
    <x v="0"/>
  </r>
  <r>
    <n v="112258"/>
    <s v="ADELSON BEZERRA DA SILVA"/>
    <s v="VARREDOR"/>
    <x v="3"/>
    <d v="2019-06-07T00:00:00"/>
    <x v="0"/>
    <x v="0"/>
    <n v="0"/>
    <x v="0"/>
  </r>
  <r>
    <n v="112265"/>
    <s v="ADELSON DOS SANTOS TEIXEIRA"/>
    <s v="AJUDANTE EQ SERVICOS DIVERSOS"/>
    <x v="0"/>
    <d v="2019-06-01T00:00:00"/>
    <x v="0"/>
    <x v="0"/>
    <n v="0"/>
    <x v="0"/>
  </r>
  <r>
    <n v="112271"/>
    <s v="ADELSON FRANCISCO FREITAS"/>
    <s v="AJUDANTE EQ SERVICOS DIVERSOS"/>
    <x v="4"/>
    <d v="2019-06-01T00:00:00"/>
    <x v="0"/>
    <x v="0"/>
    <n v="0"/>
    <x v="0"/>
  </r>
  <r>
    <n v="115223"/>
    <s v="ADEMILSON DE JESUS"/>
    <s v="AJUDANTE EQ SERVICOS DIVERSOS"/>
    <x v="5"/>
    <d v="2020-07-06T00:00:00"/>
    <x v="0"/>
    <x v="0"/>
    <n v="0"/>
    <x v="0"/>
  </r>
  <r>
    <n v="114910"/>
    <s v="ADEMIR HENRIQUE DO NASCIMENTO"/>
    <s v="AJUDANTE EQ SERVICOS DIVERSOS"/>
    <x v="2"/>
    <d v="2020-03-26T00:00:00"/>
    <x v="0"/>
    <x v="0"/>
    <n v="0"/>
    <x v="0"/>
  </r>
  <r>
    <n v="112279"/>
    <s v="ADEMIR MANOEL DA SILVA"/>
    <s v="VARREDOR"/>
    <x v="1"/>
    <d v="2019-06-01T00:00:00"/>
    <x v="0"/>
    <x v="0"/>
    <n v="0"/>
    <x v="0"/>
  </r>
  <r>
    <n v="112299"/>
    <s v="ADEMIR SILVA LIMA"/>
    <s v="VARREDOR"/>
    <x v="3"/>
    <d v="2019-06-01T00:00:00"/>
    <x v="0"/>
    <x v="0"/>
    <n v="0"/>
    <x v="0"/>
  </r>
  <r>
    <n v="121802"/>
    <s v="ADIJANILDO MONTEIRO BATISTA"/>
    <s v="ASSISTENTE DE COMPRAS"/>
    <x v="6"/>
    <d v="2023-03-23T00:00:00"/>
    <x v="0"/>
    <x v="0"/>
    <n v="0"/>
    <x v="0"/>
  </r>
  <r>
    <n v="120186"/>
    <s v="ADILSON DA CUNHA ALENCAR"/>
    <s v="MOTORISTA CAMINHAO"/>
    <x v="2"/>
    <d v="2022-08-18T00:00:00"/>
    <x v="0"/>
    <x v="0"/>
    <n v="0"/>
    <x v="0"/>
  </r>
  <r>
    <n v="112319"/>
    <s v="ADILSON DE MATOS FERREIRA JUNIOR"/>
    <s v="AJUDANTE EQ SERVICOS DIVERSOS"/>
    <x v="0"/>
    <d v="2019-06-01T00:00:00"/>
    <x v="0"/>
    <x v="0"/>
    <n v="0"/>
    <x v="0"/>
  </r>
  <r>
    <n v="116729"/>
    <s v="ADILSON FERREIRA DO NASCIMENTO"/>
    <s v="MOTORISTA CAMINHAO"/>
    <x v="2"/>
    <d v="2021-06-21T00:00:00"/>
    <x v="0"/>
    <x v="0"/>
    <n v="0"/>
    <x v="0"/>
  </r>
  <r>
    <n v="112171"/>
    <s v="ADILSON FLORES DE LIMA"/>
    <s v="AJUDANTE EQ SERVICOS DIVERSOS"/>
    <x v="1"/>
    <d v="2019-06-01T00:00:00"/>
    <x v="0"/>
    <x v="2"/>
    <n v="-38.289999999999964"/>
    <x v="0"/>
  </r>
  <r>
    <n v="112355"/>
    <s v="ADILSON GOMES EMIDIO"/>
    <s v="VARREDOR"/>
    <x v="5"/>
    <d v="2019-06-01T00:00:00"/>
    <x v="0"/>
    <x v="0"/>
    <n v="0"/>
    <x v="2"/>
  </r>
  <r>
    <n v="112358"/>
    <s v="ADILSON GONCALVES DA SILVA"/>
    <s v="AJUDANTE EQ SERVICOS DIVERSOS"/>
    <x v="0"/>
    <d v="2019-06-01T00:00:00"/>
    <x v="0"/>
    <x v="0"/>
    <n v="0"/>
    <x v="2"/>
  </r>
  <r>
    <n v="114679"/>
    <s v="ADINALDO DE OLIVEIRA BASTOS"/>
    <s v="VARREDOR"/>
    <x v="5"/>
    <d v="2020-02-13T00:00:00"/>
    <x v="0"/>
    <x v="0"/>
    <n v="0"/>
    <x v="0"/>
  </r>
  <r>
    <n v="114239"/>
    <s v="ADINALDO MORAIS"/>
    <s v="FISCAL DE TURMA PLENO"/>
    <x v="4"/>
    <d v="2019-11-21T00:00:00"/>
    <x v="0"/>
    <x v="0"/>
    <n v="0"/>
    <x v="0"/>
  </r>
  <r>
    <n v="121941"/>
    <s v="ADRIAN CAUE DE SOUZA ANJOS"/>
    <s v="MENOR/JOVEM APRENDIZ"/>
    <x v="6"/>
    <d v="2023-04-24T00:00:00"/>
    <x v="1"/>
    <x v="3"/>
    <n v="0"/>
    <x v="0"/>
  </r>
  <r>
    <n v="112173"/>
    <s v="ADRIANA MARIA REGIS DA SILVA"/>
    <s v="AJUDANTE EQ SERVICOS DIVERSOS"/>
    <x v="3"/>
    <d v="2019-06-01T00:00:00"/>
    <x v="0"/>
    <x v="0"/>
    <n v="0"/>
    <x v="0"/>
  </r>
  <r>
    <n v="112377"/>
    <s v="ADRIANO DA SILVA PEREIRA"/>
    <s v="BUEIRISTA"/>
    <x v="5"/>
    <d v="2019-06-01T00:00:00"/>
    <x v="0"/>
    <x v="0"/>
    <n v="0"/>
    <x v="0"/>
  </r>
  <r>
    <n v="116224"/>
    <s v="ADRIANO DE PAIVA BOTELHO"/>
    <s v="AJUDANTE EQ SERVICOS DIVERSOS"/>
    <x v="1"/>
    <d v="2021-03-18T00:00:00"/>
    <x v="0"/>
    <x v="0"/>
    <n v="0"/>
    <x v="0"/>
  </r>
  <r>
    <n v="116087"/>
    <s v="ADRIANO MARCELO DOS SANTOS"/>
    <s v="MOTORISTA CAMINHAO"/>
    <x v="2"/>
    <d v="2021-02-08T00:00:00"/>
    <x v="0"/>
    <x v="0"/>
    <n v="0"/>
    <x v="0"/>
  </r>
  <r>
    <n v="112389"/>
    <s v="ADRIANO MONTEIRO DOS SANTOS"/>
    <s v="VARREDOR"/>
    <x v="3"/>
    <d v="2019-06-01T00:00:00"/>
    <x v="0"/>
    <x v="0"/>
    <n v="0"/>
    <x v="0"/>
  </r>
  <r>
    <n v="112393"/>
    <s v="ADRIANO NEVES DE MATOS"/>
    <s v="AJUDANTE EQ SERVICOS DIVERSOS"/>
    <x v="0"/>
    <d v="2019-06-01T00:00:00"/>
    <x v="0"/>
    <x v="0"/>
    <n v="0"/>
    <x v="2"/>
  </r>
  <r>
    <n v="114607"/>
    <s v="ADRIANO OLIVEIRA DOS SANTOS"/>
    <s v="AUXILIAR DE TRAFEGO"/>
    <x v="2"/>
    <d v="2020-01-06T00:00:00"/>
    <x v="0"/>
    <x v="0"/>
    <n v="0"/>
    <x v="0"/>
  </r>
  <r>
    <n v="122411"/>
    <s v="ADRIANO PASTOR DA SILVA"/>
    <s v="AJUDANTE EQ SERVICOS DIVERSOS"/>
    <x v="2"/>
    <d v="2023-07-10T00:00:00"/>
    <x v="0"/>
    <x v="0"/>
    <n v="0"/>
    <x v="0"/>
  </r>
  <r>
    <n v="112399"/>
    <s v="ADRIANO RAMOS DOS SANTOS"/>
    <s v="VARREDOR"/>
    <x v="5"/>
    <d v="2019-06-01T00:00:00"/>
    <x v="0"/>
    <x v="0"/>
    <n v="0"/>
    <x v="0"/>
  </r>
  <r>
    <n v="112419"/>
    <s v="AFONSO CIMINIO"/>
    <s v="VARREDOR"/>
    <x v="0"/>
    <d v="2019-06-01T00:00:00"/>
    <x v="0"/>
    <x v="0"/>
    <n v="0"/>
    <x v="0"/>
  </r>
  <r>
    <n v="112422"/>
    <s v="AGNALDO BISPO DOS SANTOS"/>
    <s v="VARREDOR"/>
    <x v="5"/>
    <d v="2019-06-01T00:00:00"/>
    <x v="0"/>
    <x v="0"/>
    <n v="0"/>
    <x v="0"/>
  </r>
  <r>
    <n v="112174"/>
    <s v="AGNALDO DA SILVA ARAUJO"/>
    <s v="AJUDANTE EQ SERVICOS DIVERSOS"/>
    <x v="5"/>
    <d v="2019-06-01T00:00:00"/>
    <x v="0"/>
    <x v="0"/>
    <n v="0"/>
    <x v="0"/>
  </r>
  <r>
    <n v="112430"/>
    <s v="AGNELO MARTINS DE SOUZA"/>
    <s v="AJUDANTE EQ SERVICOS DIVERSOS"/>
    <x v="2"/>
    <d v="2019-06-01T00:00:00"/>
    <x v="0"/>
    <x v="0"/>
    <n v="0"/>
    <x v="0"/>
  </r>
  <r>
    <n v="112433"/>
    <s v="AGRIPINO BRANDAO DE SOUZA SOBRINHO"/>
    <s v="COLETOR"/>
    <x v="2"/>
    <d v="2019-06-01T00:00:00"/>
    <x v="0"/>
    <x v="0"/>
    <n v="0"/>
    <x v="0"/>
  </r>
  <r>
    <n v="112436"/>
    <s v="AGUINALDO NASCIMENTO"/>
    <s v="BUEIRISTA"/>
    <x v="5"/>
    <d v="2019-06-01T00:00:00"/>
    <x v="0"/>
    <x v="0"/>
    <n v="0"/>
    <x v="0"/>
  </r>
  <r>
    <n v="112462"/>
    <s v="AILTON ALVES DA SILVA"/>
    <s v="MOTORISTA CAMINHAO"/>
    <x v="2"/>
    <d v="2019-06-01T00:00:00"/>
    <x v="0"/>
    <x v="0"/>
    <n v="0"/>
    <x v="0"/>
  </r>
  <r>
    <n v="116968"/>
    <s v="AILTON CLAUDINO DA SILVA"/>
    <s v="AJUDANTE EQ SERVICOS DIVERSOS"/>
    <x v="3"/>
    <d v="2021-08-11T00:00:00"/>
    <x v="0"/>
    <x v="0"/>
    <n v="0"/>
    <x v="0"/>
  </r>
  <r>
    <n v="112547"/>
    <s v="AILTON CONCEICAO DA SILVA"/>
    <s v="VARREDOR"/>
    <x v="5"/>
    <d v="2019-06-01T00:00:00"/>
    <x v="0"/>
    <x v="0"/>
    <n v="0"/>
    <x v="0"/>
  </r>
  <r>
    <n v="112632"/>
    <s v="AILTON DE JESUS"/>
    <s v="VARREDOR"/>
    <x v="5"/>
    <d v="2019-06-01T00:00:00"/>
    <x v="0"/>
    <x v="0"/>
    <n v="0"/>
    <x v="2"/>
  </r>
  <r>
    <n v="112549"/>
    <s v="AILTON JOSE DO NASCIMENTO"/>
    <s v="VARREDOR"/>
    <x v="5"/>
    <d v="2019-06-01T00:00:00"/>
    <x v="0"/>
    <x v="0"/>
    <n v="0"/>
    <x v="2"/>
  </r>
  <r>
    <n v="112641"/>
    <s v="AIRTON COSTA"/>
    <s v="VARREDOR"/>
    <x v="5"/>
    <d v="2019-06-01T00:00:00"/>
    <x v="0"/>
    <x v="0"/>
    <n v="0"/>
    <x v="2"/>
  </r>
  <r>
    <n v="114966"/>
    <s v="AIRTON DE JESUS SANTOS"/>
    <s v="AJUDANTE EQ SERVICOS DIVERSOS"/>
    <x v="2"/>
    <d v="2020-03-27T00:00:00"/>
    <x v="0"/>
    <x v="0"/>
    <n v="0"/>
    <x v="0"/>
  </r>
  <r>
    <n v="116076"/>
    <s v="ALAN ROCHA DA SILVA"/>
    <s v="LAVADOR"/>
    <x v="2"/>
    <d v="2021-01-22T00:00:00"/>
    <x v="0"/>
    <x v="0"/>
    <n v="0"/>
    <x v="0"/>
  </r>
  <r>
    <n v="112646"/>
    <s v="ALBERICO DA SILVA BRANDAO"/>
    <s v="AJUDANTE EQ SERVICOS DIVERSOS"/>
    <x v="0"/>
    <d v="2019-06-01T00:00:00"/>
    <x v="0"/>
    <x v="0"/>
    <n v="0"/>
    <x v="2"/>
  </r>
  <r>
    <n v="121954"/>
    <s v="ALBERTO ALENCAR DE JESUS"/>
    <s v="AJUDANTE EQ SERVICOS DIVERSOS"/>
    <x v="2"/>
    <d v="2023-04-24T00:00:00"/>
    <x v="2"/>
    <x v="4"/>
    <n v="0"/>
    <x v="0"/>
  </r>
  <r>
    <n v="117290"/>
    <s v="ALBINO ISIDORO"/>
    <s v="ELETRICISTA ADM"/>
    <x v="2"/>
    <d v="2021-10-25T00:00:00"/>
    <x v="0"/>
    <x v="0"/>
    <n v="0"/>
    <x v="0"/>
  </r>
  <r>
    <n v="112652"/>
    <s v="ALCIDES JOSE DOS SANTOS"/>
    <s v="AJUDANTE EQ SERVICOS DIVERSOS"/>
    <x v="4"/>
    <d v="2019-06-01T00:00:00"/>
    <x v="0"/>
    <x v="0"/>
    <n v="0"/>
    <x v="0"/>
  </r>
  <r>
    <n v="112567"/>
    <s v="ALCIDES NEI JAIR INEZ"/>
    <s v="AJUDANTE EQ SERVICOS DIVERSOS"/>
    <x v="3"/>
    <d v="2019-06-01T00:00:00"/>
    <x v="0"/>
    <x v="0"/>
    <n v="0"/>
    <x v="0"/>
  </r>
  <r>
    <n v="112656"/>
    <s v="ALDO DOS SANTOS ORESTES"/>
    <s v="COLETOR"/>
    <x v="2"/>
    <d v="2019-06-01T00:00:00"/>
    <x v="0"/>
    <x v="0"/>
    <n v="0"/>
    <x v="0"/>
  </r>
  <r>
    <n v="114976"/>
    <s v="ALECIO CARVALHO DA SILVA"/>
    <s v="MOTORISTA DE CAMINHAO"/>
    <x v="2"/>
    <d v="2020-03-27T00:00:00"/>
    <x v="0"/>
    <x v="0"/>
    <n v="0"/>
    <x v="0"/>
  </r>
  <r>
    <n v="112664"/>
    <s v="ALESSANDRA SANTOSTASI TEIXEIRA"/>
    <s v="VARREDOR"/>
    <x v="1"/>
    <d v="2019-06-01T00:00:00"/>
    <x v="0"/>
    <x v="2"/>
    <n v="-38.289999999999964"/>
    <x v="0"/>
  </r>
  <r>
    <n v="112691"/>
    <s v="ALESSANDRE DE OLIVEIRA SILVA"/>
    <s v="COLETOR"/>
    <x v="2"/>
    <d v="2019-06-01T00:00:00"/>
    <x v="0"/>
    <x v="0"/>
    <n v="0"/>
    <x v="0"/>
  </r>
  <r>
    <n v="112697"/>
    <s v="ALESSANDRO ARRUDA DE OLIVEIRA"/>
    <s v="VARREDOR"/>
    <x v="3"/>
    <d v="2019-06-01T00:00:00"/>
    <x v="3"/>
    <x v="0"/>
    <n v="38.289999999999964"/>
    <x v="0"/>
  </r>
  <r>
    <n v="112700"/>
    <s v="ALESSANDRO DE JESUS SILVA"/>
    <s v="VARREDOR"/>
    <x v="3"/>
    <d v="2019-06-01T00:00:00"/>
    <x v="0"/>
    <x v="0"/>
    <n v="0"/>
    <x v="0"/>
  </r>
  <r>
    <n v="112175"/>
    <s v="ALESSANDRO DOS SANTOS MARTINS"/>
    <s v="AJUDANTE EQ SERVICOS DIVERSOS"/>
    <x v="5"/>
    <d v="2019-06-01T00:00:00"/>
    <x v="0"/>
    <x v="0"/>
    <n v="0"/>
    <x v="0"/>
  </r>
  <r>
    <n v="121314"/>
    <s v="ALESSANDRO RAMALHO DIAS"/>
    <s v="AJUDANTE EQ SERVICOS DIVERSOS"/>
    <x v="5"/>
    <d v="2023-01-19T00:00:00"/>
    <x v="0"/>
    <x v="0"/>
    <n v="0"/>
    <x v="0"/>
  </r>
  <r>
    <n v="112719"/>
    <s v="ALEX APARECIDO DOS SANTOS"/>
    <s v="MOTORISTA CAMINHAO"/>
    <x v="2"/>
    <d v="2019-06-01T00:00:00"/>
    <x v="0"/>
    <x v="0"/>
    <n v="0"/>
    <x v="0"/>
  </r>
  <r>
    <n v="112726"/>
    <s v="ALEX DE FIGUEIREDO COSTA"/>
    <s v="COLETOR"/>
    <x v="2"/>
    <d v="2019-06-01T00:00:00"/>
    <x v="0"/>
    <x v="0"/>
    <n v="0"/>
    <x v="0"/>
  </r>
  <r>
    <n v="113795"/>
    <s v="ALEX DE SOUZA SILVA"/>
    <s v="ASSISTENTE DE RECURSOS HUMANOS"/>
    <x v="6"/>
    <d v="2019-06-12T00:00:00"/>
    <x v="0"/>
    <x v="0"/>
    <n v="0"/>
    <x v="0"/>
  </r>
  <r>
    <n v="116020"/>
    <s v="ALEX JULIO SILVA PEREIRA"/>
    <s v="AJUDANTE EQ SERVICOS DIVERSOS"/>
    <x v="1"/>
    <d v="2021-01-11T00:00:00"/>
    <x v="0"/>
    <x v="0"/>
    <n v="0"/>
    <x v="2"/>
  </r>
  <r>
    <n v="114101"/>
    <s v="ALEX JUNIOR FERREIRA DE MELO"/>
    <s v="AJUDANTE EQ SERVICOS DIVERSOS"/>
    <x v="0"/>
    <d v="2019-09-20T00:00:00"/>
    <x v="0"/>
    <x v="1"/>
    <n v="-657.5"/>
    <x v="1"/>
  </r>
  <r>
    <n v="122437"/>
    <s v="ALEX MESSIAS ALMEIDA OLIVIO"/>
    <s v="AJUDANTE EQ SERVICOS DIVERSOS"/>
    <x v="2"/>
    <d v="2023-07-10T00:00:00"/>
    <x v="0"/>
    <x v="0"/>
    <n v="0"/>
    <x v="0"/>
  </r>
  <r>
    <n v="114273"/>
    <s v="ALEX SANDRO DA SILVA XAVIER"/>
    <s v="AJUDANTE EQ SERVICOS DIVERSOS"/>
    <x v="1"/>
    <d v="2019-12-05T00:00:00"/>
    <x v="0"/>
    <x v="0"/>
    <n v="0"/>
    <x v="0"/>
  </r>
  <r>
    <n v="112763"/>
    <s v="ALEX SANDRO PEREIRA DOS SANTOS"/>
    <s v="MOTORISTA CAMINHAO"/>
    <x v="2"/>
    <d v="2019-06-11T00:00:00"/>
    <x v="0"/>
    <x v="0"/>
    <n v="0"/>
    <x v="0"/>
  </r>
  <r>
    <n v="113000"/>
    <s v="ALEXANDRE DAS NEVES NETO"/>
    <s v="MOTORISTA CAMINHAO"/>
    <x v="2"/>
    <d v="2019-06-01T00:00:00"/>
    <x v="0"/>
    <x v="0"/>
    <n v="0"/>
    <x v="0"/>
  </r>
  <r>
    <n v="112793"/>
    <s v="ALEXANDRE FERREIRA DA SILVA"/>
    <s v="VARREDOR"/>
    <x v="5"/>
    <d v="2019-06-01T00:00:00"/>
    <x v="0"/>
    <x v="0"/>
    <n v="0"/>
    <x v="0"/>
  </r>
  <r>
    <n v="117410"/>
    <s v="ALEXANDRE GEAN DA SILVA SANTOS"/>
    <s v="AUXILIAR DE ALMOXARIFADO PLENO"/>
    <x v="2"/>
    <d v="2021-11-22T00:00:00"/>
    <x v="0"/>
    <x v="0"/>
    <n v="0"/>
    <x v="0"/>
  </r>
  <r>
    <n v="112798"/>
    <s v="ALEXANDRE PEREIRA DA SILVA"/>
    <s v="VARREDOR"/>
    <x v="3"/>
    <d v="2019-06-01T00:00:00"/>
    <x v="0"/>
    <x v="0"/>
    <n v="0"/>
    <x v="0"/>
  </r>
  <r>
    <n v="113028"/>
    <s v="ALEXANDRE REINALDO DE SOUZA"/>
    <s v="ENCARREGADO DE TURMA"/>
    <x v="0"/>
    <d v="2019-06-01T00:00:00"/>
    <x v="0"/>
    <x v="0"/>
    <n v="0"/>
    <x v="2"/>
  </r>
  <r>
    <n v="112804"/>
    <s v="ALEXANDRE SILVA RAMOS"/>
    <s v="VARREDOR"/>
    <x v="4"/>
    <d v="2019-06-01T00:00:00"/>
    <x v="0"/>
    <x v="0"/>
    <n v="0"/>
    <x v="0"/>
  </r>
  <r>
    <n v="113043"/>
    <s v="ALEXANDRE XAVIER DA SILVA"/>
    <s v="AJUDANTE EQ SERVICOS DIVERSOS"/>
    <x v="5"/>
    <d v="2019-06-01T00:00:00"/>
    <x v="0"/>
    <x v="0"/>
    <n v="0"/>
    <x v="0"/>
  </r>
  <r>
    <n v="121482"/>
    <s v="ALEXSANDRO AUGUSTO RIBEIRO RUFINO"/>
    <s v="MOTORISTA CAMINHAO"/>
    <x v="2"/>
    <d v="2023-02-10T00:00:00"/>
    <x v="0"/>
    <x v="0"/>
    <n v="0"/>
    <x v="0"/>
  </r>
  <r>
    <n v="112812"/>
    <s v="ALEXSANDRO NOGUEIRA DE SANTANA"/>
    <s v="FISCAL DE TURMA PLENO"/>
    <x v="0"/>
    <d v="2019-06-01T00:00:00"/>
    <x v="0"/>
    <x v="0"/>
    <n v="0"/>
    <x v="0"/>
  </r>
  <r>
    <n v="112815"/>
    <s v="ALEXSANDRO SOARES CORREA"/>
    <s v="AJUDANTE EQ SERVICOS DIVERSOS"/>
    <x v="5"/>
    <d v="2019-06-01T00:00:00"/>
    <x v="0"/>
    <x v="0"/>
    <n v="0"/>
    <x v="0"/>
  </r>
  <r>
    <n v="118049"/>
    <s v="ALEXSSANDRO MORAES DO NASCIMENTO"/>
    <s v="AJUDANTE EQ SERVICOS DIVERSOS"/>
    <x v="1"/>
    <d v="2022-01-06T00:00:00"/>
    <x v="0"/>
    <x v="0"/>
    <n v="0"/>
    <x v="0"/>
  </r>
  <r>
    <n v="113058"/>
    <s v="ALFREDO SEIFERT"/>
    <s v="VARREDOR"/>
    <x v="3"/>
    <d v="2019-06-01T00:00:00"/>
    <x v="0"/>
    <x v="0"/>
    <n v="0"/>
    <x v="0"/>
  </r>
  <r>
    <n v="112824"/>
    <s v="ALICIO SILVA DE ADORNO"/>
    <s v="VARREDOR"/>
    <x v="5"/>
    <d v="2019-06-01T00:00:00"/>
    <x v="0"/>
    <x v="0"/>
    <n v="0"/>
    <x v="2"/>
  </r>
  <r>
    <n v="113086"/>
    <s v="ALTAMIR REIS LUIZ"/>
    <s v="MOTORISTA CAMINHAO"/>
    <x v="2"/>
    <d v="2019-06-01T00:00:00"/>
    <x v="0"/>
    <x v="0"/>
    <n v="0"/>
    <x v="0"/>
  </r>
  <r>
    <n v="112995"/>
    <s v="ALTINO COSTA"/>
    <s v="VARREDOR"/>
    <x v="0"/>
    <d v="2019-06-01T00:00:00"/>
    <x v="0"/>
    <x v="0"/>
    <n v="0"/>
    <x v="0"/>
  </r>
  <r>
    <n v="116330"/>
    <s v="AMARILDO LOPES SANTANA"/>
    <s v="AJUDANTE EQ SERVICOS DIVERSOS"/>
    <x v="1"/>
    <d v="2021-04-22T00:00:00"/>
    <x v="0"/>
    <x v="0"/>
    <n v="0"/>
    <x v="2"/>
  </r>
  <r>
    <n v="113103"/>
    <s v="AMARILDO MAMEDE DA SILVA"/>
    <s v="AJUDANTE EQ SERVICOS DIVERSOS"/>
    <x v="3"/>
    <d v="2019-06-01T00:00:00"/>
    <x v="0"/>
    <x v="0"/>
    <n v="0"/>
    <x v="2"/>
  </r>
  <r>
    <n v="113109"/>
    <s v="AMARO NIVALDO PLINIO"/>
    <s v="BUEIRISTA"/>
    <x v="3"/>
    <d v="2019-06-01T00:00:00"/>
    <x v="0"/>
    <x v="0"/>
    <n v="0"/>
    <x v="0"/>
  </r>
  <r>
    <n v="113117"/>
    <s v="AMAURI FERREIRA DA SILVA"/>
    <s v="AJUDANTE EQ SERVICOS DIVERSOS"/>
    <x v="4"/>
    <d v="2019-06-01T00:00:00"/>
    <x v="0"/>
    <x v="0"/>
    <n v="0"/>
    <x v="0"/>
  </r>
  <r>
    <n v="122352"/>
    <s v="AMBROSILENE MARIA DA SILVA SANTOS"/>
    <s v="AUXILIAR DE CONTROLE OPERACIONAL"/>
    <x v="2"/>
    <d v="2023-06-21T00:00:00"/>
    <x v="0"/>
    <x v="5"/>
    <n v="-1016.96"/>
    <x v="3"/>
  </r>
  <r>
    <n v="113124"/>
    <s v="AMILTON PEREIRA SANTOS"/>
    <s v="COLETOR"/>
    <x v="2"/>
    <d v="2019-06-01T00:00:00"/>
    <x v="0"/>
    <x v="0"/>
    <n v="0"/>
    <x v="0"/>
  </r>
  <r>
    <n v="121817"/>
    <s v="ANA CAROLINA MARINHO DA SILVA"/>
    <s v="MENOR/JOVEM APRENDIZ"/>
    <x v="6"/>
    <d v="2023-04-03T00:00:00"/>
    <x v="1"/>
    <x v="3"/>
    <n v="0"/>
    <x v="0"/>
  </r>
  <r>
    <n v="113135"/>
    <s v="ANA CLAUDIA RODRIGUES BRITO"/>
    <s v="VARREDOR"/>
    <x v="0"/>
    <d v="2019-06-01T00:00:00"/>
    <x v="0"/>
    <x v="0"/>
    <n v="0"/>
    <x v="0"/>
  </r>
  <r>
    <n v="121672"/>
    <s v="ANA CRISTINA DA SILVA"/>
    <s v="AJUDANTE EQ SERVICOS DIVERSOS"/>
    <x v="4"/>
    <d v="2023-03-09T00:00:00"/>
    <x v="0"/>
    <x v="0"/>
    <n v="0"/>
    <x v="0"/>
  </r>
  <r>
    <n v="113139"/>
    <s v="ANA LUCIA GONZAGA DE SOUZA"/>
    <s v="VARREDOR"/>
    <x v="5"/>
    <d v="2019-06-01T00:00:00"/>
    <x v="0"/>
    <x v="0"/>
    <n v="0"/>
    <x v="2"/>
  </r>
  <r>
    <n v="113760"/>
    <s v="ANA PAULA STIGLIANI"/>
    <s v="AUXILIAR DE PLANEJAMENTO OPERACIONAL"/>
    <x v="2"/>
    <d v="2019-06-05T00:00:00"/>
    <x v="0"/>
    <x v="0"/>
    <n v="0"/>
    <x v="2"/>
  </r>
  <r>
    <n v="114682"/>
    <s v="ANALCASSIS LAMBIAZZI"/>
    <s v="AJUDANTE EQ SERVICOS DIVERSOS"/>
    <x v="5"/>
    <d v="2020-02-13T00:00:00"/>
    <x v="0"/>
    <x v="0"/>
    <n v="0"/>
    <x v="0"/>
  </r>
  <r>
    <n v="113151"/>
    <s v="ANDERSON ALBERTO LAPIETRA"/>
    <s v="AJUDANTE EQ SERVICOS DIVERSOS"/>
    <x v="4"/>
    <d v="2019-06-01T00:00:00"/>
    <x v="0"/>
    <x v="0"/>
    <n v="0"/>
    <x v="0"/>
  </r>
  <r>
    <n v="122440"/>
    <s v="ANDERSON APARECIDO DE ALMEIDA"/>
    <s v="AJUDANTE EQ SERVICOS DIVERSOS"/>
    <x v="2"/>
    <d v="2023-07-10T00:00:00"/>
    <x v="0"/>
    <x v="0"/>
    <n v="0"/>
    <x v="0"/>
  </r>
  <r>
    <n v="114968"/>
    <s v="ANDERSON BARROS DA SILVA"/>
    <s v="AJUDANTE EQ SERVICOS DIVERSOS"/>
    <x v="2"/>
    <d v="2020-03-27T00:00:00"/>
    <x v="0"/>
    <x v="0"/>
    <n v="0"/>
    <x v="0"/>
  </r>
  <r>
    <n v="113171"/>
    <s v="ANDERSON BUENO TAVARES"/>
    <s v="AJUDANTE EQ SERVICOS DIVERSOS"/>
    <x v="2"/>
    <d v="2019-06-01T00:00:00"/>
    <x v="0"/>
    <x v="0"/>
    <n v="0"/>
    <x v="0"/>
  </r>
  <r>
    <n v="114683"/>
    <s v="ANDERSON DE ALMEIDA SILVA"/>
    <s v="VARREDOR"/>
    <x v="0"/>
    <d v="2020-02-13T00:00:00"/>
    <x v="0"/>
    <x v="0"/>
    <n v="0"/>
    <x v="0"/>
  </r>
  <r>
    <n v="113173"/>
    <s v="ANDERSON DOS SANTOS ALVES"/>
    <s v="AJUDANTE EQ SERVICOS DIVERSOS"/>
    <x v="0"/>
    <d v="2019-06-01T00:00:00"/>
    <x v="3"/>
    <x v="0"/>
    <n v="38.289999999999964"/>
    <x v="2"/>
  </r>
  <r>
    <n v="114616"/>
    <s v="ANDERSON FERNANDES DA SILVA"/>
    <s v="MOTORISTA CAMINHAO"/>
    <x v="2"/>
    <d v="2020-01-10T00:00:00"/>
    <x v="0"/>
    <x v="1"/>
    <n v="-657.5"/>
    <x v="1"/>
  </r>
  <r>
    <n v="122438"/>
    <s v="ANDERSON SILVA DE SOUZA"/>
    <s v="AJUDANTE EQ SERVICOS DIVERSOS"/>
    <x v="2"/>
    <d v="2023-07-10T00:00:00"/>
    <x v="0"/>
    <x v="0"/>
    <n v="0"/>
    <x v="0"/>
  </r>
  <r>
    <n v="114529"/>
    <s v="ANDERSON SILVA PEREIRA"/>
    <s v="AJUDANTE EQ SERVICOS DIVERSOS"/>
    <x v="2"/>
    <d v="2019-12-14T00:00:00"/>
    <x v="0"/>
    <x v="0"/>
    <n v="0"/>
    <x v="0"/>
  </r>
  <r>
    <n v="113186"/>
    <s v="ANDERSON SOARES CARDOSO"/>
    <s v="VARREDOR"/>
    <x v="3"/>
    <d v="2019-06-01T00:00:00"/>
    <x v="0"/>
    <x v="0"/>
    <n v="0"/>
    <x v="0"/>
  </r>
  <r>
    <n v="120187"/>
    <s v="ANDERSON SOUZA DA SILVA"/>
    <s v="AJUDANTE EQ SERVICOS DIVERSOS"/>
    <x v="2"/>
    <d v="2022-08-18T00:00:00"/>
    <x v="0"/>
    <x v="0"/>
    <n v="0"/>
    <x v="0"/>
  </r>
  <r>
    <n v="113792"/>
    <s v="ANDERSON SOUZA DE OLIVEIRA"/>
    <s v="MECANICO II"/>
    <x v="2"/>
    <d v="2019-06-11T00:00:00"/>
    <x v="0"/>
    <x v="0"/>
    <n v="0"/>
    <x v="0"/>
  </r>
  <r>
    <n v="114760"/>
    <s v="ANDERSON TAVARES OLIVEIRA"/>
    <s v="MOTORISTA DE CAMINHAO"/>
    <x v="2"/>
    <d v="2020-02-13T00:00:00"/>
    <x v="0"/>
    <x v="0"/>
    <n v="0"/>
    <x v="0"/>
  </r>
  <r>
    <n v="113213"/>
    <s v="ANDRE BARBOSA DE PAULA"/>
    <s v="MOTORISTA CAMINHAO"/>
    <x v="2"/>
    <d v="2019-06-01T00:00:00"/>
    <x v="0"/>
    <x v="0"/>
    <n v="0"/>
    <x v="0"/>
  </r>
  <r>
    <n v="113219"/>
    <s v="ANDRE BARBOSA MATIAS"/>
    <s v="MOTORISTA CAMINHAO"/>
    <x v="2"/>
    <d v="2019-06-01T00:00:00"/>
    <x v="0"/>
    <x v="0"/>
    <n v="0"/>
    <x v="0"/>
  </r>
  <r>
    <n v="113223"/>
    <s v="ANDRE BORGES SOUZA"/>
    <s v="AJUDANTE EQ SERVICOS DIVERSOS"/>
    <x v="3"/>
    <d v="2019-06-01T00:00:00"/>
    <x v="0"/>
    <x v="0"/>
    <n v="0"/>
    <x v="0"/>
  </r>
  <r>
    <n v="114684"/>
    <s v="ANDRE DA SILVA LIVERO"/>
    <s v="VARREDOR"/>
    <x v="1"/>
    <d v="2020-02-13T00:00:00"/>
    <x v="0"/>
    <x v="0"/>
    <n v="0"/>
    <x v="0"/>
  </r>
  <r>
    <n v="121449"/>
    <s v="ANDRE DE SOUZA RAMOS"/>
    <s v="AJUDANTE EQ SERVICOS DIVERSOS"/>
    <x v="2"/>
    <d v="2023-02-10T00:00:00"/>
    <x v="0"/>
    <x v="0"/>
    <n v="0"/>
    <x v="0"/>
  </r>
  <r>
    <n v="113226"/>
    <s v="ANDRE FERREIRA DA SILVA"/>
    <s v="VARREDOR"/>
    <x v="1"/>
    <d v="2019-06-01T00:00:00"/>
    <x v="0"/>
    <x v="0"/>
    <n v="0"/>
    <x v="0"/>
  </r>
  <r>
    <n v="114546"/>
    <s v="ANDRE GONCALVES CRUZ"/>
    <s v="VARREDOR"/>
    <x v="3"/>
    <d v="2019-12-18T00:00:00"/>
    <x v="0"/>
    <x v="0"/>
    <n v="0"/>
    <x v="0"/>
  </r>
  <r>
    <n v="113232"/>
    <s v="ANDRE GUSTAVO DOS SANTOS"/>
    <s v="FISCAL DE TRAFEGO PLENO"/>
    <x v="2"/>
    <d v="2019-06-01T00:00:00"/>
    <x v="0"/>
    <x v="0"/>
    <n v="0"/>
    <x v="0"/>
  </r>
  <r>
    <n v="114685"/>
    <s v="ANDRE LOPES DE SOUZA"/>
    <s v="VARREDOR"/>
    <x v="5"/>
    <d v="2020-02-13T00:00:00"/>
    <x v="0"/>
    <x v="0"/>
    <n v="0"/>
    <x v="0"/>
  </r>
  <r>
    <n v="120163"/>
    <s v="ANDRE LUIS ALMEIDA MARQUES"/>
    <s v="BUEIRISTA"/>
    <x v="3"/>
    <d v="2022-08-18T00:00:00"/>
    <x v="0"/>
    <x v="0"/>
    <n v="0"/>
    <x v="0"/>
  </r>
  <r>
    <n v="113251"/>
    <s v="ANDRE LUIZ ALMEIDA PEREIRA"/>
    <s v="MOTORISTA CAMINHAO"/>
    <x v="2"/>
    <d v="2019-06-01T00:00:00"/>
    <x v="0"/>
    <x v="0"/>
    <n v="0"/>
    <x v="0"/>
  </r>
  <r>
    <n v="118646"/>
    <s v="ANDRE LUIZ DELMIRO"/>
    <s v="AJUDANTE EQ SERVICOS DIVERSOS"/>
    <x v="1"/>
    <d v="2022-01-21T00:00:00"/>
    <x v="3"/>
    <x v="2"/>
    <n v="0"/>
    <x v="0"/>
  </r>
  <r>
    <n v="113253"/>
    <s v="ANDRE LUIZ LEITE DE JESUS"/>
    <s v="FISCAL DE TURMA PLENO"/>
    <x v="3"/>
    <d v="2019-06-01T00:00:00"/>
    <x v="0"/>
    <x v="0"/>
    <n v="0"/>
    <x v="0"/>
  </r>
  <r>
    <n v="114687"/>
    <s v="ANDRE LUIZ MIGUEL"/>
    <s v="VARREDOR"/>
    <x v="0"/>
    <d v="2020-02-13T00:00:00"/>
    <x v="0"/>
    <x v="0"/>
    <n v="0"/>
    <x v="0"/>
  </r>
  <r>
    <n v="113899"/>
    <s v="ANDRE LUIZ MOTTA"/>
    <s v="MOTORISTA CAMINHAO"/>
    <x v="2"/>
    <d v="2019-07-22T00:00:00"/>
    <x v="0"/>
    <x v="0"/>
    <n v="0"/>
    <x v="0"/>
  </r>
  <r>
    <n v="113258"/>
    <s v="ANDRE MISSIAS AMOROSO"/>
    <s v="AJUDANTE EQ SERVICOS DIVERSOS"/>
    <x v="3"/>
    <d v="2019-06-01T00:00:00"/>
    <x v="0"/>
    <x v="0"/>
    <n v="0"/>
    <x v="0"/>
  </r>
  <r>
    <n v="113302"/>
    <s v="ANDRE SOARES PADILHA LIMA"/>
    <s v="VARREDOR"/>
    <x v="3"/>
    <d v="2019-06-01T00:00:00"/>
    <x v="0"/>
    <x v="0"/>
    <n v="0"/>
    <x v="0"/>
  </r>
  <r>
    <n v="113415"/>
    <s v="ANGELO JOSE DOS SANTOS"/>
    <s v="VARREDOR"/>
    <x v="1"/>
    <d v="2019-06-01T00:00:00"/>
    <x v="0"/>
    <x v="0"/>
    <n v="0"/>
    <x v="0"/>
  </r>
  <r>
    <n v="113310"/>
    <s v="ANILTON RIBEIRO SOUZA"/>
    <s v="MOTORISTA CAMINHAO"/>
    <x v="2"/>
    <d v="2019-06-01T00:00:00"/>
    <x v="0"/>
    <x v="0"/>
    <n v="0"/>
    <x v="0"/>
  </r>
  <r>
    <n v="113419"/>
    <s v="ANNA KAROLINIE GALDINO DOS SANTOS"/>
    <s v="AUXILIAR DE SEGURANCA DO TRABALHO"/>
    <x v="2"/>
    <d v="2019-06-01T00:00:00"/>
    <x v="0"/>
    <x v="0"/>
    <n v="0"/>
    <x v="0"/>
  </r>
  <r>
    <n v="113334"/>
    <s v="ANTENOR VIEIRA LIMA"/>
    <s v="MOTORISTA DE CAMINHAO"/>
    <x v="2"/>
    <d v="2019-06-01T00:00:00"/>
    <x v="0"/>
    <x v="0"/>
    <n v="0"/>
    <x v="0"/>
  </r>
  <r>
    <n v="113355"/>
    <s v="ANTONIO AIRTON BARBOSA ALEXANDRE"/>
    <s v="AJUDANTE EQ SERVICOS DIVERSOS"/>
    <x v="1"/>
    <d v="2019-06-01T00:00:00"/>
    <x v="0"/>
    <x v="0"/>
    <n v="0"/>
    <x v="0"/>
  </r>
  <r>
    <n v="116969"/>
    <s v="ANTONIO ALVES CONCEICAO FILHO"/>
    <s v="AJUDANTE EQ SERVICOS DIVERSOS"/>
    <x v="3"/>
    <d v="2021-08-11T00:00:00"/>
    <x v="0"/>
    <x v="0"/>
    <n v="0"/>
    <x v="0"/>
  </r>
  <r>
    <n v="113431"/>
    <s v="ANTONIO AMORIM DA SILVA"/>
    <s v="VARREDOR"/>
    <x v="1"/>
    <d v="2019-06-01T00:00:00"/>
    <x v="0"/>
    <x v="0"/>
    <n v="0"/>
    <x v="2"/>
  </r>
  <r>
    <n v="113369"/>
    <s v="ANTONIO CARLOS ALVES RAMOS"/>
    <s v="VARREDOR"/>
    <x v="5"/>
    <d v="2019-06-01T00:00:00"/>
    <x v="0"/>
    <x v="0"/>
    <n v="0"/>
    <x v="0"/>
  </r>
  <r>
    <n v="121673"/>
    <s v="ANTONIO CARLOS COSTA DA SILVA"/>
    <s v="AJUDANTE EQ SERVICOS DIVERSOS"/>
    <x v="1"/>
    <d v="2023-03-09T00:00:00"/>
    <x v="0"/>
    <x v="1"/>
    <n v="-657.5"/>
    <x v="1"/>
  </r>
  <r>
    <n v="113438"/>
    <s v="ANTONIO CARLOS DE OLIVEIRA"/>
    <s v="AJUDANTE EQ SERVICOS DIVERSOS"/>
    <x v="0"/>
    <d v="2019-06-01T00:00:00"/>
    <x v="0"/>
    <x v="0"/>
    <n v="0"/>
    <x v="0"/>
  </r>
  <r>
    <n v="113379"/>
    <s v="ANTONIO CARLOS GOMES DE PAULA"/>
    <s v="BUEIRISTA"/>
    <x v="3"/>
    <d v="2019-06-01T00:00:00"/>
    <x v="0"/>
    <x v="0"/>
    <n v="0"/>
    <x v="0"/>
  </r>
  <r>
    <n v="113445"/>
    <s v="ANTONIO CARLOS PEREIRA"/>
    <s v="AJUDANTE EQ SERVICOS DIVERSOS"/>
    <x v="3"/>
    <d v="2019-06-01T00:00:00"/>
    <x v="0"/>
    <x v="0"/>
    <n v="0"/>
    <x v="0"/>
  </r>
  <r>
    <n v="113388"/>
    <s v="ANTONIO CARLOS RIBEIRO"/>
    <s v="VARREDOR"/>
    <x v="1"/>
    <d v="2019-06-01T00:00:00"/>
    <x v="0"/>
    <x v="0"/>
    <n v="0"/>
    <x v="0"/>
  </r>
  <r>
    <n v="113396"/>
    <s v="ANTONIO CARLOS SOUSA DOS SANTOS"/>
    <s v="AJUDANTE EQ SERVICOS DIVERSOS"/>
    <x v="0"/>
    <d v="2019-06-01T00:00:00"/>
    <x v="0"/>
    <x v="0"/>
    <n v="0"/>
    <x v="0"/>
  </r>
  <r>
    <n v="113400"/>
    <s v="ANTONIO COSME FILHO"/>
    <s v="COLETOR"/>
    <x v="2"/>
    <d v="2019-06-01T00:00:00"/>
    <x v="0"/>
    <x v="0"/>
    <n v="0"/>
    <x v="2"/>
  </r>
  <r>
    <n v="113482"/>
    <s v="ANTONIO DA CONCEICAO SANTOS"/>
    <s v="ELETRICISTA"/>
    <x v="2"/>
    <d v="2019-06-01T00:00:00"/>
    <x v="0"/>
    <x v="0"/>
    <n v="0"/>
    <x v="0"/>
  </r>
  <r>
    <n v="116970"/>
    <s v="ANTONIO DA SILVA MENDES"/>
    <s v="AJUDANTE EQ SERVICOS DIVERSOS"/>
    <x v="4"/>
    <d v="2021-08-11T00:00:00"/>
    <x v="0"/>
    <x v="0"/>
    <n v="0"/>
    <x v="0"/>
  </r>
  <r>
    <n v="113490"/>
    <s v="ANTONIO DE LIMA RIBEIRO"/>
    <s v="MECANICO II"/>
    <x v="2"/>
    <d v="2019-06-01T00:00:00"/>
    <x v="0"/>
    <x v="0"/>
    <n v="0"/>
    <x v="0"/>
  </r>
  <r>
    <n v="113711"/>
    <s v="ANTONIO DE SOUSA NETO"/>
    <s v="ASSISTENTE DE DEPARTAMENTO PESSOAL"/>
    <x v="6"/>
    <d v="2019-06-03T00:00:00"/>
    <x v="0"/>
    <x v="0"/>
    <n v="0"/>
    <x v="0"/>
  </r>
  <r>
    <n v="115225"/>
    <s v="ANTONIO DEODATO DE ALBUQUERQUE"/>
    <s v="AJUDANTE EQ SERVICOS DIVERSOS"/>
    <x v="0"/>
    <d v="2020-07-06T00:00:00"/>
    <x v="0"/>
    <x v="0"/>
    <n v="0"/>
    <x v="0"/>
  </r>
  <r>
    <n v="113922"/>
    <s v="ANTONIO DOMINGOS MILANO"/>
    <s v="MEDICO DO TRABALHO"/>
    <x v="2"/>
    <d v="2019-08-05T00:00:00"/>
    <x v="0"/>
    <x v="0"/>
    <n v="0"/>
    <x v="0"/>
  </r>
  <r>
    <n v="118633"/>
    <s v="ANTONIO DOS SANTOS"/>
    <s v="AJUDANTE EQ SERVICOS DIVERSOS"/>
    <x v="1"/>
    <d v="2022-01-21T00:00:00"/>
    <x v="0"/>
    <x v="0"/>
    <n v="0"/>
    <x v="0"/>
  </r>
  <r>
    <n v="113508"/>
    <s v="ANTONIO FERREIRA FILHO"/>
    <s v="MOTORISTA CAMINHAO"/>
    <x v="2"/>
    <d v="2019-06-01T00:00:00"/>
    <x v="0"/>
    <x v="0"/>
    <n v="0"/>
    <x v="0"/>
  </r>
  <r>
    <n v="113699"/>
    <s v="ANTONIO FRANCISCO GUIMARAES FEITOSA"/>
    <s v="VARREDOR"/>
    <x v="3"/>
    <d v="2019-06-01T00:00:00"/>
    <x v="0"/>
    <x v="0"/>
    <n v="0"/>
    <x v="0"/>
  </r>
  <r>
    <n v="113515"/>
    <s v="ANTONIO GOMES DA MOTA"/>
    <s v="VARREDOR"/>
    <x v="5"/>
    <d v="2019-06-01T00:00:00"/>
    <x v="0"/>
    <x v="0"/>
    <n v="0"/>
    <x v="2"/>
  </r>
  <r>
    <n v="113679"/>
    <s v="ANTONIO GOMES DA SILVA"/>
    <s v="VARREDOR"/>
    <x v="1"/>
    <d v="2019-06-01T00:00:00"/>
    <x v="0"/>
    <x v="0"/>
    <n v="0"/>
    <x v="0"/>
  </r>
  <r>
    <n v="113529"/>
    <s v="ANTONIO JOSE DE OLIVEIRA"/>
    <s v="MOTORISTA CAMINHAO"/>
    <x v="2"/>
    <d v="2019-06-01T00:00:00"/>
    <x v="0"/>
    <x v="0"/>
    <n v="0"/>
    <x v="0"/>
  </r>
  <r>
    <n v="113533"/>
    <s v="ANTONIO JOSE DOS SANTOS"/>
    <s v="VARREDOR"/>
    <x v="5"/>
    <d v="2019-06-01T00:00:00"/>
    <x v="0"/>
    <x v="0"/>
    <n v="0"/>
    <x v="0"/>
  </r>
  <r>
    <n v="113543"/>
    <s v="ANTONIO LAERCIO DA SILVA"/>
    <s v="MOTORISTA CAMINHAO"/>
    <x v="2"/>
    <d v="2019-06-01T00:00:00"/>
    <x v="0"/>
    <x v="0"/>
    <n v="0"/>
    <x v="0"/>
  </r>
  <r>
    <n v="113549"/>
    <s v="ANTONIO LIMA DE LACERDA"/>
    <s v="AJUDANTE EQ SERVICOS DIVERSOS"/>
    <x v="1"/>
    <d v="2019-06-01T00:00:00"/>
    <x v="3"/>
    <x v="6"/>
    <n v="-76.560000000000059"/>
    <x v="0"/>
  </r>
  <r>
    <n v="113553"/>
    <s v="ANTONIO LUIS SEVERO"/>
    <s v="VARREDOR"/>
    <x v="3"/>
    <d v="2019-06-01T00:00:00"/>
    <x v="0"/>
    <x v="0"/>
    <n v="0"/>
    <x v="2"/>
  </r>
  <r>
    <n v="119644"/>
    <s v="ANTONIO LUZIA DOS SANTOS"/>
    <s v="AJUDANTE EQ SERVICOS DIVERSOS"/>
    <x v="0"/>
    <d v="2022-06-13T00:00:00"/>
    <x v="0"/>
    <x v="0"/>
    <n v="0"/>
    <x v="0"/>
  </r>
  <r>
    <n v="113558"/>
    <s v="ANTONIO MARCOS MARQUES"/>
    <s v="VARREDOR"/>
    <x v="1"/>
    <d v="2019-06-01T00:00:00"/>
    <x v="0"/>
    <x v="0"/>
    <n v="0"/>
    <x v="0"/>
  </r>
  <r>
    <n v="113561"/>
    <s v="ANTONIO MARTINS DA SILVA"/>
    <s v="VARREDOR"/>
    <x v="5"/>
    <d v="2019-06-01T00:00:00"/>
    <x v="0"/>
    <x v="0"/>
    <n v="0"/>
    <x v="0"/>
  </r>
  <r>
    <n v="114973"/>
    <s v="ANTONIO RODRIGUES DA SILVA"/>
    <s v="MOTORISTA DE CAMINHAO"/>
    <x v="2"/>
    <d v="2020-03-27T00:00:00"/>
    <x v="0"/>
    <x v="0"/>
    <n v="0"/>
    <x v="0"/>
  </r>
  <r>
    <n v="113588"/>
    <s v="ANTONIO TEIXEIRA VASCONCELOS"/>
    <s v="VARREDOR"/>
    <x v="3"/>
    <d v="2019-06-01T00:00:00"/>
    <x v="0"/>
    <x v="0"/>
    <n v="0"/>
    <x v="2"/>
  </r>
  <r>
    <n v="113625"/>
    <s v="APARECIDA DE FATIMA RODRIGUES DE CASTRO"/>
    <s v="AJUDANTE EQ SERVICOS DIVERSOS"/>
    <x v="1"/>
    <d v="2019-06-01T00:00:00"/>
    <x v="0"/>
    <x v="0"/>
    <n v="0"/>
    <x v="0"/>
  </r>
  <r>
    <n v="113631"/>
    <s v="APARECIDO DA SILVA"/>
    <s v="VARREDOR"/>
    <x v="5"/>
    <d v="2019-06-01T00:00:00"/>
    <x v="0"/>
    <x v="0"/>
    <n v="0"/>
    <x v="0"/>
  </r>
  <r>
    <n v="113666"/>
    <s v="APARECIDO PEDRO DA SILVA"/>
    <s v="ENCARREGADO DE MANUTENCAO OFICINA"/>
    <x v="2"/>
    <d v="2019-06-01T00:00:00"/>
    <x v="0"/>
    <x v="0"/>
    <n v="0"/>
    <x v="0"/>
  </r>
  <r>
    <n v="113677"/>
    <s v="ARIACILDO BARROS VIEIRA"/>
    <s v="VARREDOR"/>
    <x v="5"/>
    <d v="2019-06-01T00:00:00"/>
    <x v="0"/>
    <x v="0"/>
    <n v="0"/>
    <x v="0"/>
  </r>
  <r>
    <n v="113694"/>
    <s v="ARISVALDO DE OLIVEIRA"/>
    <s v="MOTORISTA CAMINHAO"/>
    <x v="2"/>
    <d v="2019-06-01T00:00:00"/>
    <x v="0"/>
    <x v="0"/>
    <n v="0"/>
    <x v="0"/>
  </r>
  <r>
    <n v="113696"/>
    <s v="ARISVALDO LARANJEIRA DA SILVA NASCIMENTO"/>
    <s v="AJUDANTE EQ SERVICOS DIVERSOS"/>
    <x v="0"/>
    <d v="2019-06-01T00:00:00"/>
    <x v="0"/>
    <x v="0"/>
    <n v="0"/>
    <x v="0"/>
  </r>
  <r>
    <n v="113693"/>
    <s v="ARIVALDO DIAS DE ANDRADE"/>
    <s v="VARREDOR"/>
    <x v="1"/>
    <d v="2019-06-01T00:00:00"/>
    <x v="0"/>
    <x v="0"/>
    <n v="0"/>
    <x v="0"/>
  </r>
  <r>
    <n v="113686"/>
    <s v="ARLETE CRISTINA DOS SANTOS AMORIM"/>
    <s v="VARREDOR"/>
    <x v="4"/>
    <d v="2019-06-01T00:00:00"/>
    <x v="0"/>
    <x v="0"/>
    <n v="0"/>
    <x v="0"/>
  </r>
  <r>
    <n v="113681"/>
    <s v="ARMANDO IZIDIO DOS SANTOS"/>
    <s v="VARREDOR"/>
    <x v="1"/>
    <d v="2019-06-01T00:00:00"/>
    <x v="0"/>
    <x v="0"/>
    <n v="0"/>
    <x v="0"/>
  </r>
  <r>
    <n v="113698"/>
    <s v="ARNALDO ALVES DE JESUS"/>
    <s v="AJUDANTE EQ SERVICOS DIVERSOS"/>
    <x v="2"/>
    <d v="2019-06-01T00:00:00"/>
    <x v="0"/>
    <x v="0"/>
    <n v="0"/>
    <x v="0"/>
  </r>
  <r>
    <n v="114523"/>
    <s v="ARNALDO BATISTA DE SOUSA"/>
    <s v="MOTORISTA CAMINHAO"/>
    <x v="2"/>
    <d v="2019-12-14T00:00:00"/>
    <x v="0"/>
    <x v="0"/>
    <n v="0"/>
    <x v="0"/>
  </r>
  <r>
    <n v="113704"/>
    <s v="ARNALDO DA SILVA"/>
    <s v="VARREDOR"/>
    <x v="3"/>
    <d v="2019-06-01T00:00:00"/>
    <x v="0"/>
    <x v="0"/>
    <n v="0"/>
    <x v="2"/>
  </r>
  <r>
    <n v="113690"/>
    <s v="ARNALDO FREITAS DO NASCIMENTO"/>
    <s v="VARREDOR"/>
    <x v="3"/>
    <d v="2019-06-01T00:00:00"/>
    <x v="0"/>
    <x v="0"/>
    <n v="0"/>
    <x v="0"/>
  </r>
  <r>
    <n v="121849"/>
    <s v="ARTHUR ROGERIO DA SILVA"/>
    <s v="AJUDANTE EQ SERVICOS DIVERSOS"/>
    <x v="1"/>
    <d v="2023-04-06T00:00:00"/>
    <x v="0"/>
    <x v="2"/>
    <n v="-38.289999999999964"/>
    <x v="0"/>
  </r>
  <r>
    <n v="119754"/>
    <s v="ARYANNE OLIVEIRA REIS"/>
    <s v="MENOR/JOVEM APRENDIZ"/>
    <x v="6"/>
    <d v="2022-06-22T00:00:00"/>
    <x v="1"/>
    <x v="3"/>
    <n v="0"/>
    <x v="0"/>
  </r>
  <r>
    <n v="118056"/>
    <s v="ATAIDE BERNARDO RODRIGUES"/>
    <s v="AJUDANTE EQ SERVICOS DIVERSOS"/>
    <x v="1"/>
    <d v="2022-01-06T00:00:00"/>
    <x v="0"/>
    <x v="0"/>
    <n v="0"/>
    <x v="0"/>
  </r>
  <r>
    <n v="113682"/>
    <s v="AURELIANO MATIAS MARTINS"/>
    <s v="AJUDANTE EQ SERVICOS DIVERSOS"/>
    <x v="2"/>
    <d v="2019-06-01T00:00:00"/>
    <x v="0"/>
    <x v="0"/>
    <n v="0"/>
    <x v="0"/>
  </r>
  <r>
    <n v="113678"/>
    <s v="AURELINO DE ALMEIDA SANTOS"/>
    <s v="AJUDANTE EQ SERVICOS DIVERSOS"/>
    <x v="1"/>
    <d v="2019-06-01T00:00:00"/>
    <x v="0"/>
    <x v="2"/>
    <n v="-38.289999999999964"/>
    <x v="0"/>
  </r>
  <r>
    <n v="113930"/>
    <s v="BARBARA BAUSCHERT"/>
    <s v="ANALISTA JURIDICO"/>
    <x v="6"/>
    <d v="2019-08-05T00:00:00"/>
    <x v="0"/>
    <x v="0"/>
    <n v="0"/>
    <x v="0"/>
  </r>
  <r>
    <n v="113692"/>
    <s v="BARTOLOMEU SEBASTIAO FELICIANO"/>
    <s v="MOTORISTA DE CAMINHAO"/>
    <x v="2"/>
    <d v="2019-06-01T00:00:00"/>
    <x v="0"/>
    <x v="0"/>
    <n v="0"/>
    <x v="0"/>
  </r>
  <r>
    <n v="113683"/>
    <s v="BENEDITO AMORIM DA SILVA"/>
    <s v="VARREDOR"/>
    <x v="1"/>
    <d v="2019-06-01T00:00:00"/>
    <x v="0"/>
    <x v="0"/>
    <n v="0"/>
    <x v="2"/>
  </r>
  <r>
    <n v="113585"/>
    <s v="BENEDITO SOARES DA SILVA"/>
    <s v="VARREDOR"/>
    <x v="0"/>
    <d v="2019-06-01T00:00:00"/>
    <x v="0"/>
    <x v="0"/>
    <n v="0"/>
    <x v="0"/>
  </r>
  <r>
    <n v="116972"/>
    <s v="BIANCA ALMEIDA BIAGIONI"/>
    <s v="AJUDANTE EQ SERVICOS DIVERSOS"/>
    <x v="1"/>
    <d v="2021-08-11T00:00:00"/>
    <x v="0"/>
    <x v="0"/>
    <n v="0"/>
    <x v="0"/>
  </r>
  <r>
    <n v="113763"/>
    <s v="BILLY JOE ZAKARIAN"/>
    <s v="ENCARREGADO DE TRAFEGO II"/>
    <x v="2"/>
    <d v="2019-06-05T00:00:00"/>
    <x v="0"/>
    <x v="0"/>
    <n v="0"/>
    <x v="0"/>
  </r>
  <r>
    <n v="122028"/>
    <s v="BRUNNA FARIAS SANT ANA"/>
    <s v="AGENTE AMBIENTAL"/>
    <x v="2"/>
    <d v="2023-05-08T00:00:00"/>
    <x v="0"/>
    <x v="0"/>
    <n v="0"/>
    <x v="0"/>
  </r>
  <r>
    <n v="117238"/>
    <s v="BRUNO ANDRADE DA COSTA"/>
    <s v="AJUDANTE EQ SERVICOS DIVERSOS"/>
    <x v="2"/>
    <d v="2021-10-18T00:00:00"/>
    <x v="0"/>
    <x v="0"/>
    <n v="0"/>
    <x v="0"/>
  </r>
  <r>
    <n v="121320"/>
    <s v="BRUNO BEZERRA DOS SANTOS"/>
    <s v="VARREDOR"/>
    <x v="5"/>
    <d v="2023-01-19T00:00:00"/>
    <x v="0"/>
    <x v="0"/>
    <n v="0"/>
    <x v="0"/>
  </r>
  <r>
    <n v="114266"/>
    <s v="BRUNO DOS SANTOS SILVA"/>
    <s v="VARREDOR"/>
    <x v="1"/>
    <d v="2019-12-05T00:00:00"/>
    <x v="0"/>
    <x v="0"/>
    <n v="0"/>
    <x v="0"/>
  </r>
  <r>
    <n v="113568"/>
    <s v="BRUNO FERNANDES DA SILVA"/>
    <s v="MOTORISTA CAMINHAO"/>
    <x v="2"/>
    <d v="2019-06-01T00:00:00"/>
    <x v="0"/>
    <x v="0"/>
    <n v="0"/>
    <x v="0"/>
  </r>
  <r>
    <n v="121857"/>
    <s v="BRUNO HENRIQUE DE SOUZA E SILVA"/>
    <s v="AJUDANTE EQ SERVICOS DIVERSOS"/>
    <x v="1"/>
    <d v="2023-04-06T00:00:00"/>
    <x v="3"/>
    <x v="0"/>
    <n v="38.289999999999964"/>
    <x v="0"/>
  </r>
  <r>
    <n v="113560"/>
    <s v="BRUNO LOPES DA SILVA"/>
    <s v="AJUDANTE EQ SERVICOS DIVERSOS"/>
    <x v="5"/>
    <d v="2019-06-01T00:00:00"/>
    <x v="3"/>
    <x v="0"/>
    <n v="38.289999999999964"/>
    <x v="0"/>
  </r>
  <r>
    <n v="113550"/>
    <s v="BRUNO PIZOLI DE MORAIS"/>
    <s v="AJUDANTE EQ SERVICOS DIVERSOS"/>
    <x v="5"/>
    <d v="2019-06-01T00:00:00"/>
    <x v="0"/>
    <x v="0"/>
    <n v="0"/>
    <x v="0"/>
  </r>
  <r>
    <n v="113546"/>
    <s v="BRUNO SANTANA DE SA"/>
    <s v="COLETOR"/>
    <x v="2"/>
    <d v="2019-06-01T00:00:00"/>
    <x v="0"/>
    <x v="0"/>
    <n v="0"/>
    <x v="2"/>
  </r>
  <r>
    <n v="113545"/>
    <s v="BRUNO SANTOS PINA"/>
    <s v="VARREDOR"/>
    <x v="3"/>
    <d v="2019-06-01T00:00:00"/>
    <x v="0"/>
    <x v="0"/>
    <n v="0"/>
    <x v="0"/>
  </r>
  <r>
    <n v="121947"/>
    <s v="CAIO GONCALVES DOS SANTOS"/>
    <s v="MENOR/JOVEM APRENDIZ"/>
    <x v="6"/>
    <d v="2023-04-24T00:00:00"/>
    <x v="1"/>
    <x v="3"/>
    <n v="0"/>
    <x v="0"/>
  </r>
  <r>
    <n v="113540"/>
    <s v="CAIO PINHEIRO DE SOUSA"/>
    <s v="MOTORISTA CAMINHAO"/>
    <x v="2"/>
    <d v="2019-06-01T00:00:00"/>
    <x v="0"/>
    <x v="0"/>
    <n v="0"/>
    <x v="0"/>
  </r>
  <r>
    <n v="120356"/>
    <s v="CAIO WENDELL ASSIS ROCHA SANTOS"/>
    <s v="AJUDANTE EQ SERVICOS DIVERSOS"/>
    <x v="4"/>
    <d v="2022-09-16T00:00:00"/>
    <x v="0"/>
    <x v="0"/>
    <n v="0"/>
    <x v="0"/>
  </r>
  <r>
    <n v="122410"/>
    <s v="CAIQUE RIBEIRO SILVA VALADARES"/>
    <s v="AJUDANTE EQ SERVICOS DIVERSOS"/>
    <x v="2"/>
    <d v="2023-07-10T00:00:00"/>
    <x v="0"/>
    <x v="0"/>
    <n v="0"/>
    <x v="0"/>
  </r>
  <r>
    <n v="113740"/>
    <s v="CARLA JANAINY BATISTA OLIVEIRA"/>
    <s v="COORDENADOR DE RH/DHO"/>
    <x v="6"/>
    <d v="2019-06-03T00:00:00"/>
    <x v="0"/>
    <x v="5"/>
    <n v="-1016.96"/>
    <x v="3"/>
  </r>
  <r>
    <n v="121848"/>
    <s v="CARLINDO DA SILVA BARROS"/>
    <s v="AJUDANTE EQ SERVICOS DIVERSOS"/>
    <x v="3"/>
    <d v="2023-04-06T00:00:00"/>
    <x v="0"/>
    <x v="0"/>
    <n v="0"/>
    <x v="0"/>
  </r>
  <r>
    <n v="112169"/>
    <s v="CARLIONEI HOLANDA DE SOUSA"/>
    <s v="VARREDOR"/>
    <x v="1"/>
    <d v="2019-06-01T00:00:00"/>
    <x v="0"/>
    <x v="0"/>
    <n v="0"/>
    <x v="0"/>
  </r>
  <r>
    <n v="112170"/>
    <s v="CARLITO PASTOR DA SILVA"/>
    <s v="VARREDOR"/>
    <x v="1"/>
    <d v="2019-06-01T00:00:00"/>
    <x v="0"/>
    <x v="0"/>
    <n v="0"/>
    <x v="0"/>
  </r>
  <r>
    <n v="114549"/>
    <s v="CARLOS ALBERTO ALVES"/>
    <s v="VARREDOR"/>
    <x v="1"/>
    <d v="2019-12-18T00:00:00"/>
    <x v="0"/>
    <x v="0"/>
    <n v="0"/>
    <x v="0"/>
  </r>
  <r>
    <n v="116026"/>
    <s v="CARLOS ALBERTO BISPO DA CRUZ"/>
    <s v="AJUDANTE EQ SERVICOS DIVERSOS"/>
    <x v="1"/>
    <d v="2021-01-11T00:00:00"/>
    <x v="4"/>
    <x v="7"/>
    <n v="-109.90999999999997"/>
    <x v="1"/>
  </r>
  <r>
    <n v="112177"/>
    <s v="CARLOS ALBERTO QUEIROZ DE OLIVEIRA"/>
    <s v="MOTORISTA CAMINHAO"/>
    <x v="2"/>
    <d v="2019-06-01T00:00:00"/>
    <x v="0"/>
    <x v="0"/>
    <n v="0"/>
    <x v="0"/>
  </r>
  <r>
    <n v="112179"/>
    <s v="CARLOS ALBERTO TEIXEIRA RAMOS"/>
    <s v="AJUDANTE EQ SERVICOS DIVERSOS"/>
    <x v="5"/>
    <d v="2019-06-01T00:00:00"/>
    <x v="0"/>
    <x v="0"/>
    <n v="0"/>
    <x v="0"/>
  </r>
  <r>
    <n v="115413"/>
    <s v="CARLOS ALBERTO VIEIRA"/>
    <s v="AJUDANTE EQ SERVICOS DIVERSOS"/>
    <x v="0"/>
    <d v="2020-08-05T00:00:00"/>
    <x v="0"/>
    <x v="0"/>
    <n v="0"/>
    <x v="0"/>
  </r>
  <r>
    <n v="116008"/>
    <s v="CARLOS APARIZ BARBOSA"/>
    <s v="AJUDANTE EQ SERVICOS DIVERSOS"/>
    <x v="1"/>
    <d v="2021-01-11T00:00:00"/>
    <x v="3"/>
    <x v="0"/>
    <n v="38.289999999999964"/>
    <x v="0"/>
  </r>
  <r>
    <n v="112183"/>
    <s v="CARLOS DE OLIVEIRA BORGES"/>
    <s v="AJUDANTE EQ SERVICOS DIVERSOS"/>
    <x v="5"/>
    <d v="2019-06-01T00:00:00"/>
    <x v="0"/>
    <x v="0"/>
    <n v="0"/>
    <x v="0"/>
  </r>
  <r>
    <n v="112184"/>
    <s v="CARLOS DOS SANTOS"/>
    <s v="VARREDOR"/>
    <x v="0"/>
    <d v="2019-06-01T00:00:00"/>
    <x v="0"/>
    <x v="0"/>
    <n v="0"/>
    <x v="0"/>
  </r>
  <r>
    <n v="121436"/>
    <s v="CARLOS EDUARDO DA SILVA"/>
    <s v="AJUDANTE EQ SERVICOS DIVERSOS"/>
    <x v="2"/>
    <d v="2023-02-10T00:00:00"/>
    <x v="0"/>
    <x v="0"/>
    <n v="0"/>
    <x v="0"/>
  </r>
  <r>
    <n v="118650"/>
    <s v="CARLOS EDUARDO DE SOUZA"/>
    <s v="AJUDANTE EQ SERVICOS DIVERSOS"/>
    <x v="2"/>
    <d v="2022-01-21T00:00:00"/>
    <x v="0"/>
    <x v="0"/>
    <n v="0"/>
    <x v="0"/>
  </r>
  <r>
    <n v="114253"/>
    <s v="CARLOS EDUARDO DOS REIS"/>
    <s v="AJUDANTE EQ SERVICOS DIVERSOS"/>
    <x v="1"/>
    <d v="2019-12-05T00:00:00"/>
    <x v="0"/>
    <x v="0"/>
    <n v="0"/>
    <x v="0"/>
  </r>
  <r>
    <n v="114691"/>
    <s v="CARLOS EDUARDO MACHADO SANTOS"/>
    <s v="AJUDANTE EQ SERVICOS DIVERSOS"/>
    <x v="1"/>
    <d v="2020-02-13T00:00:00"/>
    <x v="5"/>
    <x v="8"/>
    <n v="526.29999999999995"/>
    <x v="2"/>
  </r>
  <r>
    <n v="112186"/>
    <s v="CARLOS HENRIQUE BASTOS DE OLIVEIRA"/>
    <s v="AJUDANTE EQ SERVICOS DIVERSOS"/>
    <x v="2"/>
    <d v="2019-06-04T00:00:00"/>
    <x v="0"/>
    <x v="0"/>
    <n v="0"/>
    <x v="0"/>
  </r>
  <r>
    <n v="112187"/>
    <s v="CARLOS HENRIQUE TEIXEIRA DE JESUS"/>
    <s v="COLETOR"/>
    <x v="2"/>
    <d v="2019-06-01T00:00:00"/>
    <x v="0"/>
    <x v="0"/>
    <n v="0"/>
    <x v="0"/>
  </r>
  <r>
    <n v="121674"/>
    <s v="CARLOS LUIS LIMA MATOS"/>
    <s v="AJUDANTE EQ SERVICOS DIVERSOS"/>
    <x v="2"/>
    <d v="2023-03-09T00:00:00"/>
    <x v="0"/>
    <x v="0"/>
    <n v="0"/>
    <x v="0"/>
  </r>
  <r>
    <n v="114504"/>
    <s v="CARLOS RICARDO RAMOS DOS SANTOS"/>
    <s v="VARREDOR"/>
    <x v="1"/>
    <d v="2019-12-12T00:00:00"/>
    <x v="0"/>
    <x v="0"/>
    <n v="0"/>
    <x v="0"/>
  </r>
  <r>
    <n v="112318"/>
    <s v="CARLOS ROBERTO BARBOSA SALES"/>
    <s v="VARREDOR"/>
    <x v="3"/>
    <d v="2019-06-01T00:00:00"/>
    <x v="0"/>
    <x v="0"/>
    <n v="0"/>
    <x v="2"/>
  </r>
  <r>
    <n v="112324"/>
    <s v="CARLOS ROBERTO DA SILVA"/>
    <s v="VARREDOR"/>
    <x v="1"/>
    <d v="2019-06-01T00:00:00"/>
    <x v="0"/>
    <x v="0"/>
    <n v="0"/>
    <x v="2"/>
  </r>
  <r>
    <n v="112327"/>
    <s v="CARLOS ROBERTO DA SILVA JESUS"/>
    <s v="AJUDANTE EQ SERVICOS DIVERSOS"/>
    <x v="0"/>
    <d v="2019-06-01T00:00:00"/>
    <x v="0"/>
    <x v="0"/>
    <n v="0"/>
    <x v="0"/>
  </r>
  <r>
    <n v="112334"/>
    <s v="CARLOS ROBERTO ROCHA DA SILVA"/>
    <s v="VARREDOR"/>
    <x v="0"/>
    <d v="2019-06-01T00:00:00"/>
    <x v="0"/>
    <x v="0"/>
    <n v="0"/>
    <x v="2"/>
  </r>
  <r>
    <n v="112340"/>
    <s v="CARLOS ROGER DE SOUZA JESUS"/>
    <s v="FISCAL DE TURMA PLENO"/>
    <x v="1"/>
    <d v="2019-06-01T00:00:00"/>
    <x v="0"/>
    <x v="0"/>
    <n v="0"/>
    <x v="0"/>
  </r>
  <r>
    <n v="112348"/>
    <s v="CARLOS SIMON SELIS DE OLIVEIRA"/>
    <s v="VARREDOR"/>
    <x v="3"/>
    <d v="2019-06-01T00:00:00"/>
    <x v="0"/>
    <x v="0"/>
    <n v="0"/>
    <x v="2"/>
  </r>
  <r>
    <n v="122343"/>
    <s v="CARLOS WENDELL DE SOUSA AMORIM"/>
    <s v="VARREDOR"/>
    <x v="3"/>
    <d v="2023-06-21T00:00:00"/>
    <x v="0"/>
    <x v="0"/>
    <n v="0"/>
    <x v="0"/>
  </r>
  <r>
    <n v="112443"/>
    <s v="CASSIA GOMES DA SILVA"/>
    <s v="AJUDANTE EQ SERVICOS DIVERSOS"/>
    <x v="0"/>
    <d v="2019-06-01T00:00:00"/>
    <x v="0"/>
    <x v="0"/>
    <n v="0"/>
    <x v="2"/>
  </r>
  <r>
    <n v="112490"/>
    <s v="CELSO APARECIDO AVELINO"/>
    <s v="COLETOR"/>
    <x v="2"/>
    <d v="2019-06-01T00:00:00"/>
    <x v="0"/>
    <x v="0"/>
    <n v="0"/>
    <x v="0"/>
  </r>
  <r>
    <n v="112502"/>
    <s v="CELSO RICARDO DE JESUS"/>
    <s v="MOTORISTA CAMINHAO"/>
    <x v="2"/>
    <d v="2019-06-01T00:00:00"/>
    <x v="0"/>
    <x v="0"/>
    <n v="0"/>
    <x v="2"/>
  </r>
  <r>
    <n v="112521"/>
    <s v="CELSON DUARTE"/>
    <s v="VARREDOR"/>
    <x v="3"/>
    <d v="2019-06-01T00:00:00"/>
    <x v="0"/>
    <x v="0"/>
    <n v="0"/>
    <x v="0"/>
  </r>
  <r>
    <n v="113305"/>
    <s v="CHARLES DEIVIDSON DE CARVALHO"/>
    <s v="VARREDOR"/>
    <x v="1"/>
    <d v="2019-06-01T00:00:00"/>
    <x v="0"/>
    <x v="0"/>
    <n v="0"/>
    <x v="0"/>
  </r>
  <r>
    <n v="112525"/>
    <s v="CHARLES MOREIRA DOS SANTOS"/>
    <s v="MOTORISTA CAMINHAO"/>
    <x v="2"/>
    <d v="2019-06-01T00:00:00"/>
    <x v="0"/>
    <x v="0"/>
    <n v="0"/>
    <x v="0"/>
  </r>
  <r>
    <n v="112527"/>
    <s v="CHRISTIAN ALVES SIQUEIRA DE OLIVEIRA"/>
    <s v="MOTORISTA CAMINHAO"/>
    <x v="2"/>
    <d v="2019-06-01T00:00:00"/>
    <x v="0"/>
    <x v="0"/>
    <n v="0"/>
    <x v="0"/>
  </r>
  <r>
    <n v="112530"/>
    <s v="CICERO ALVES DE MARIO"/>
    <s v="MOTORISTA CAMINHAO"/>
    <x v="2"/>
    <d v="2019-06-01T00:00:00"/>
    <x v="0"/>
    <x v="0"/>
    <n v="0"/>
    <x v="0"/>
  </r>
  <r>
    <n v="112532"/>
    <s v="CICERO ANTONIO FAUSTINO"/>
    <s v="VARREDOR"/>
    <x v="5"/>
    <d v="2019-06-01T00:00:00"/>
    <x v="0"/>
    <x v="0"/>
    <n v="0"/>
    <x v="0"/>
  </r>
  <r>
    <n v="112533"/>
    <s v="CICERO APARECIDO DOS SANTOS"/>
    <s v="VARREDOR"/>
    <x v="1"/>
    <d v="2019-06-01T00:00:00"/>
    <x v="0"/>
    <x v="0"/>
    <n v="0"/>
    <x v="0"/>
  </r>
  <r>
    <n v="112535"/>
    <s v="CICERO BENEDITO DA SILVA"/>
    <s v="VARREDOR"/>
    <x v="3"/>
    <d v="2019-06-01T00:00:00"/>
    <x v="0"/>
    <x v="0"/>
    <n v="0"/>
    <x v="2"/>
  </r>
  <r>
    <n v="112538"/>
    <s v="CICERO DA SILVA COSTA"/>
    <s v="VARREDOR"/>
    <x v="5"/>
    <d v="2019-06-01T00:00:00"/>
    <x v="0"/>
    <x v="0"/>
    <n v="0"/>
    <x v="0"/>
  </r>
  <r>
    <n v="114537"/>
    <s v="CICERO DIAS FERREIRA"/>
    <s v="AJUDANTE EQ SERVICOS DIVERSOS"/>
    <x v="3"/>
    <d v="2019-12-18T00:00:00"/>
    <x v="0"/>
    <x v="0"/>
    <n v="0"/>
    <x v="2"/>
  </r>
  <r>
    <n v="115218"/>
    <s v="CICERO FERREIRA DA SILVA"/>
    <s v="AJUDANTE EQ SERVICOS DIVERSOS"/>
    <x v="0"/>
    <d v="2020-07-06T00:00:00"/>
    <x v="0"/>
    <x v="0"/>
    <n v="0"/>
    <x v="0"/>
  </r>
  <r>
    <n v="112548"/>
    <s v="CICERO LUIZ DA SILVA"/>
    <s v="BUEIRISTA"/>
    <x v="4"/>
    <d v="2019-06-01T00:00:00"/>
    <x v="0"/>
    <x v="0"/>
    <n v="0"/>
    <x v="0"/>
  </r>
  <r>
    <n v="116072"/>
    <s v="CICERO SILVA FRANCO"/>
    <s v="TECNICO EM SEGURANCA DO TRABALHO JUNIOR"/>
    <x v="2"/>
    <d v="2021-01-20T00:00:00"/>
    <x v="0"/>
    <x v="0"/>
    <n v="0"/>
    <x v="0"/>
  </r>
  <r>
    <n v="112551"/>
    <s v="CICERO VIEIRA"/>
    <s v="BUEIRISTA"/>
    <x v="0"/>
    <d v="2019-06-01T00:00:00"/>
    <x v="0"/>
    <x v="0"/>
    <n v="0"/>
    <x v="0"/>
  </r>
  <r>
    <n v="115415"/>
    <s v="CLAUDEMIR APARECIDO DE FREITAS"/>
    <s v="AJUDANTE EQ SERVICOS DIVERSOS"/>
    <x v="1"/>
    <d v="2020-08-05T00:00:00"/>
    <x v="0"/>
    <x v="0"/>
    <n v="0"/>
    <x v="0"/>
  </r>
  <r>
    <n v="112553"/>
    <s v="CLAUDEMIR DE ANDRADE FELICIANO"/>
    <s v="VARREDOR"/>
    <x v="3"/>
    <d v="2019-06-01T00:00:00"/>
    <x v="0"/>
    <x v="0"/>
    <n v="0"/>
    <x v="2"/>
  </r>
  <r>
    <n v="112555"/>
    <s v="CLAUDEMIRO PRATA DE ALMEIDA"/>
    <s v="VARREDOR"/>
    <x v="3"/>
    <d v="2019-06-01T00:00:00"/>
    <x v="0"/>
    <x v="0"/>
    <n v="0"/>
    <x v="2"/>
  </r>
  <r>
    <n v="112557"/>
    <s v="CLAUDINEI MENDES DA SILVA"/>
    <s v="COLETOR"/>
    <x v="2"/>
    <d v="2019-06-01T00:00:00"/>
    <x v="0"/>
    <x v="0"/>
    <n v="0"/>
    <x v="0"/>
  </r>
  <r>
    <n v="112559"/>
    <s v="CLAUDINEI OLIVEIRA E SILVA"/>
    <s v="VARREDOR"/>
    <x v="1"/>
    <d v="2019-06-01T00:00:00"/>
    <x v="0"/>
    <x v="0"/>
    <n v="0"/>
    <x v="0"/>
  </r>
  <r>
    <n v="112561"/>
    <s v="CLAUDIO DA SILVA ALVINO"/>
    <s v="VARREDOR"/>
    <x v="5"/>
    <d v="2019-06-01T00:00:00"/>
    <x v="0"/>
    <x v="0"/>
    <n v="0"/>
    <x v="0"/>
  </r>
  <r>
    <n v="116731"/>
    <s v="CLAUDIO DA SILVA GOMES"/>
    <s v="MOTORISTA CAMINHAO"/>
    <x v="2"/>
    <d v="2021-06-21T00:00:00"/>
    <x v="0"/>
    <x v="0"/>
    <n v="0"/>
    <x v="0"/>
  </r>
  <r>
    <n v="112563"/>
    <s v="CLAUDIO DE SOUZA"/>
    <s v="VARREDOR"/>
    <x v="1"/>
    <d v="2019-06-01T00:00:00"/>
    <x v="0"/>
    <x v="0"/>
    <n v="0"/>
    <x v="0"/>
  </r>
  <r>
    <n v="119109"/>
    <s v="CLAUDIO DIAS FERREIRA"/>
    <s v="AJUDANTE EQ SERVICOS DIVERSOS"/>
    <x v="2"/>
    <d v="2022-03-10T00:00:00"/>
    <x v="3"/>
    <x v="0"/>
    <n v="38.289999999999964"/>
    <x v="0"/>
  </r>
  <r>
    <n v="116315"/>
    <s v="CLAUDIO HENRIQUE RUFINO RODRIGUES"/>
    <s v="AJUDANTE EQ SERVICOS DIVERSOS"/>
    <x v="4"/>
    <d v="2021-04-22T00:00:00"/>
    <x v="0"/>
    <x v="0"/>
    <n v="0"/>
    <x v="0"/>
  </r>
  <r>
    <n v="112568"/>
    <s v="CLAUDIO MOREIRA DA SILVA"/>
    <s v="MOTORISTA CAMINHAO"/>
    <x v="2"/>
    <d v="2019-06-01T00:00:00"/>
    <x v="0"/>
    <x v="0"/>
    <n v="0"/>
    <x v="0"/>
  </r>
  <r>
    <n v="115406"/>
    <s v="CLAUDIONOR PROCOPIO DE OLIVEIRA"/>
    <s v="AJUDANTE EQ SERVICOS DIVERSOS"/>
    <x v="1"/>
    <d v="2020-08-05T00:00:00"/>
    <x v="0"/>
    <x v="0"/>
    <n v="0"/>
    <x v="0"/>
  </r>
  <r>
    <n v="112576"/>
    <s v="CLAYTON FERREIRA DE MELO"/>
    <s v="VARREDOR"/>
    <x v="3"/>
    <d v="2019-06-01T00:00:00"/>
    <x v="0"/>
    <x v="0"/>
    <n v="0"/>
    <x v="2"/>
  </r>
  <r>
    <n v="112581"/>
    <s v="CLAYVES CRISTIANO DE JESUS"/>
    <s v="AJUDANTE EQ SERVICOS DIVERSOS"/>
    <x v="2"/>
    <d v="2019-06-01T00:00:00"/>
    <x v="0"/>
    <x v="0"/>
    <n v="0"/>
    <x v="0"/>
  </r>
  <r>
    <n v="112587"/>
    <s v="CLEBER GONCALVES DOS SANTOS"/>
    <s v="VARREDOR"/>
    <x v="1"/>
    <d v="2019-06-01T00:00:00"/>
    <x v="0"/>
    <x v="0"/>
    <n v="0"/>
    <x v="0"/>
  </r>
  <r>
    <n v="114805"/>
    <s v="CLEBIO SOUZA SANTOS"/>
    <s v="MOTORISTA CAMINHAO"/>
    <x v="2"/>
    <d v="2020-02-20T00:00:00"/>
    <x v="0"/>
    <x v="0"/>
    <n v="0"/>
    <x v="0"/>
  </r>
  <r>
    <n v="114526"/>
    <s v="CLEBSMAR ROCHA DE ALMEIDA"/>
    <s v="MOTORISTA CAMINHAO"/>
    <x v="2"/>
    <d v="2019-12-14T00:00:00"/>
    <x v="0"/>
    <x v="0"/>
    <n v="0"/>
    <x v="0"/>
  </r>
  <r>
    <n v="121328"/>
    <s v="CLEITON APARECIDO MIGUEL"/>
    <s v="AJUDANTE EQ SERVICOS DIVERSOS"/>
    <x v="3"/>
    <d v="2023-01-19T00:00:00"/>
    <x v="0"/>
    <x v="0"/>
    <n v="0"/>
    <x v="0"/>
  </r>
  <r>
    <n v="112594"/>
    <s v="CLELIO ANDRADE ARAUJO"/>
    <s v="VARREDOR"/>
    <x v="4"/>
    <d v="2019-06-01T00:00:00"/>
    <x v="0"/>
    <x v="0"/>
    <n v="0"/>
    <x v="0"/>
  </r>
  <r>
    <n v="114693"/>
    <s v="CLENILSON REIS SANTOS"/>
    <s v="AJUDANTE EQ SERVICOS DIVERSOS"/>
    <x v="1"/>
    <d v="2020-02-13T00:00:00"/>
    <x v="0"/>
    <x v="0"/>
    <n v="0"/>
    <x v="0"/>
  </r>
  <r>
    <n v="112610"/>
    <s v="CLERISTON BELAU DOS SANTOS CRUZ"/>
    <s v="AJUDANTE EQ SERVICOS DIVERSOS"/>
    <x v="0"/>
    <d v="2019-06-01T00:00:00"/>
    <x v="0"/>
    <x v="0"/>
    <n v="0"/>
    <x v="0"/>
  </r>
  <r>
    <n v="112613"/>
    <s v="CLEYTON DIAS MACHADO"/>
    <s v="AJUDANTE EQ SERVICOS DIVERSOS"/>
    <x v="3"/>
    <d v="2019-06-01T00:00:00"/>
    <x v="0"/>
    <x v="0"/>
    <n v="0"/>
    <x v="0"/>
  </r>
  <r>
    <n v="112620"/>
    <s v="CLOVES TAVARES DIAS"/>
    <s v="AJUDANTE EQ SERVICOS DIVERSOS"/>
    <x v="5"/>
    <d v="2019-06-01T00:00:00"/>
    <x v="0"/>
    <x v="0"/>
    <n v="0"/>
    <x v="0"/>
  </r>
  <r>
    <n v="112634"/>
    <s v="COSMA LIBERATO DE OLIVEIRA"/>
    <s v="VARREDOR"/>
    <x v="1"/>
    <d v="2019-06-01T00:00:00"/>
    <x v="6"/>
    <x v="0"/>
    <n v="9.9999999999909051E-3"/>
    <x v="0"/>
  </r>
  <r>
    <n v="116712"/>
    <s v="COSME COSTA FERREIRA DA SILVA"/>
    <s v="AJUDANTE EQ SERVICOS DIVERSOS"/>
    <x v="5"/>
    <d v="2021-06-21T00:00:00"/>
    <x v="0"/>
    <x v="0"/>
    <n v="0"/>
    <x v="0"/>
  </r>
  <r>
    <n v="116973"/>
    <s v="COSME COSTA PEREIRA DOS SANTOS"/>
    <s v="AJUDANTE EQ SERVICOS DIVERSOS"/>
    <x v="1"/>
    <d v="2021-08-11T00:00:00"/>
    <x v="3"/>
    <x v="4"/>
    <n v="-38.280000000000086"/>
    <x v="0"/>
  </r>
  <r>
    <n v="112797"/>
    <s v="COSME GALDINO DA SILVA"/>
    <s v="VARREDOR"/>
    <x v="1"/>
    <d v="2019-06-01T00:00:00"/>
    <x v="0"/>
    <x v="0"/>
    <n v="0"/>
    <x v="0"/>
  </r>
  <r>
    <n v="112851"/>
    <s v="COSMO DOMINGOS DE SOUSA"/>
    <s v="AJUDANTE EQ SERVICOS DIVERSOS"/>
    <x v="3"/>
    <d v="2019-06-01T00:00:00"/>
    <x v="0"/>
    <x v="0"/>
    <n v="0"/>
    <x v="0"/>
  </r>
  <r>
    <n v="112855"/>
    <s v="COSMO FERNANDES PEREIRA"/>
    <s v="AJUDANTE EQ SERVICOS DIVERSOS"/>
    <x v="1"/>
    <d v="2019-06-01T00:00:00"/>
    <x v="0"/>
    <x v="0"/>
    <n v="0"/>
    <x v="0"/>
  </r>
  <r>
    <n v="112860"/>
    <s v="COSMO JOSE DE OLIVEIRA"/>
    <s v="AJUDANTE EQ SERVICOS DIVERSOS"/>
    <x v="2"/>
    <d v="2019-06-01T00:00:00"/>
    <x v="0"/>
    <x v="0"/>
    <n v="0"/>
    <x v="0"/>
  </r>
  <r>
    <n v="112865"/>
    <s v="CRISTIANE BARBOSA DA SILVA"/>
    <s v="VARREDOR"/>
    <x v="0"/>
    <d v="2019-06-01T00:00:00"/>
    <x v="0"/>
    <x v="0"/>
    <n v="0"/>
    <x v="0"/>
  </r>
  <r>
    <n v="113769"/>
    <s v="CRISTIANO APARECIDO VIEIRA LUZ"/>
    <s v="ASSISTENTE DE ALMOXARIFADO"/>
    <x v="2"/>
    <d v="2019-06-06T00:00:00"/>
    <x v="0"/>
    <x v="0"/>
    <n v="0"/>
    <x v="0"/>
  </r>
  <r>
    <n v="114988"/>
    <s v="CRISTIANO BASTOS DE OLIVEIRA"/>
    <s v="MOTORISTA DE CAMINHAO"/>
    <x v="2"/>
    <d v="2020-03-28T00:00:00"/>
    <x v="0"/>
    <x v="0"/>
    <n v="0"/>
    <x v="0"/>
  </r>
  <r>
    <n v="112875"/>
    <s v="CRISTIANO DA SILVA GOMES"/>
    <s v="MOTORISTA CAMINHAO"/>
    <x v="2"/>
    <d v="2019-06-04T00:00:00"/>
    <x v="0"/>
    <x v="0"/>
    <n v="0"/>
    <x v="0"/>
  </r>
  <r>
    <n v="113766"/>
    <s v="CRISTIANO DA SILVA OLIVEIRA"/>
    <s v="TECNICO EM SEGURANCA DO TRABALHO PLENO"/>
    <x v="2"/>
    <d v="2019-06-06T00:00:00"/>
    <x v="0"/>
    <x v="0"/>
    <n v="0"/>
    <x v="0"/>
  </r>
  <r>
    <n v="112883"/>
    <s v="CRISTIANO SENA SILVA"/>
    <s v="AJUDANTE EQ SERVICOS DIVERSOS"/>
    <x v="1"/>
    <d v="2019-06-01T00:00:00"/>
    <x v="0"/>
    <x v="0"/>
    <n v="0"/>
    <x v="0"/>
  </r>
  <r>
    <n v="112891"/>
    <s v="CRISTIANO SILVA BEZERRA"/>
    <s v="VARREDOR"/>
    <x v="0"/>
    <d v="2019-06-01T00:00:00"/>
    <x v="0"/>
    <x v="0"/>
    <n v="0"/>
    <x v="2"/>
  </r>
  <r>
    <n v="112900"/>
    <s v="CRISTIANO TEIXEIRA DA SILVA"/>
    <s v="AJUDANTE EQ SERVICOS DIVERSOS"/>
    <x v="5"/>
    <d v="2019-06-01T00:00:00"/>
    <x v="0"/>
    <x v="0"/>
    <n v="0"/>
    <x v="0"/>
  </r>
  <r>
    <n v="112916"/>
    <s v="CRISTOVAO DE SOUSA"/>
    <s v="VARREDOR"/>
    <x v="0"/>
    <d v="2019-06-01T00:00:00"/>
    <x v="0"/>
    <x v="0"/>
    <n v="0"/>
    <x v="2"/>
  </r>
  <r>
    <n v="112534"/>
    <s v="DAMIAO BEZERRA DE OLIVEIRA"/>
    <s v="AJUDANTE EQ SERVICOS DIVERSOS"/>
    <x v="2"/>
    <d v="2019-06-01T00:00:00"/>
    <x v="0"/>
    <x v="0"/>
    <n v="0"/>
    <x v="0"/>
  </r>
  <r>
    <n v="114913"/>
    <s v="DAMIAO COSTA PEREIRA DOS SANTOS"/>
    <s v="AUXILIAR DE CHECK LIST"/>
    <x v="2"/>
    <d v="2020-03-26T00:00:00"/>
    <x v="0"/>
    <x v="0"/>
    <n v="0"/>
    <x v="0"/>
  </r>
  <r>
    <n v="112537"/>
    <s v="DAMIAO JOSE DA SILVA"/>
    <s v="AJUDANTE EQ SERVICOS DIVERSOS"/>
    <x v="5"/>
    <d v="2019-06-01T00:00:00"/>
    <x v="0"/>
    <x v="0"/>
    <n v="0"/>
    <x v="0"/>
  </r>
  <r>
    <n v="112539"/>
    <s v="DAMIAO LIMA BISPO"/>
    <s v="VARREDOR"/>
    <x v="1"/>
    <d v="2019-06-01T00:00:00"/>
    <x v="0"/>
    <x v="0"/>
    <n v="0"/>
    <x v="0"/>
  </r>
  <r>
    <n v="112540"/>
    <s v="DAMIAO RODRIGUES PITA"/>
    <s v="AJUDANTE EQ SERVICOS DIVERSOS"/>
    <x v="1"/>
    <d v="2019-06-01T00:00:00"/>
    <x v="0"/>
    <x v="0"/>
    <n v="0"/>
    <x v="0"/>
  </r>
  <r>
    <n v="113775"/>
    <s v="DANIEL ALEXANDRE DA COSTA MARQUES"/>
    <s v="MECANICO III"/>
    <x v="2"/>
    <d v="2019-06-07T00:00:00"/>
    <x v="0"/>
    <x v="0"/>
    <n v="0"/>
    <x v="0"/>
  </r>
  <r>
    <n v="122573"/>
    <s v="DANIEL ALVES DANTAS PEIXINHO"/>
    <s v="MOTORISTA CAMINHAO"/>
    <x v="2"/>
    <d v="2023-07-24T00:00:00"/>
    <x v="7"/>
    <x v="0"/>
    <n v="-273.79999999999995"/>
    <x v="0"/>
  </r>
  <r>
    <n v="112821"/>
    <s v="DANIEL BONIFACIO"/>
    <s v="MOTORISTA CAMINHAO"/>
    <x v="2"/>
    <d v="2019-06-01T00:00:00"/>
    <x v="0"/>
    <x v="0"/>
    <n v="0"/>
    <x v="0"/>
  </r>
  <r>
    <n v="114907"/>
    <s v="DANIEL CARDOSO DA SILVA"/>
    <s v="AJUDANTE EQ SERVICOS DIVERSOS"/>
    <x v="2"/>
    <d v="2020-03-26T00:00:00"/>
    <x v="0"/>
    <x v="0"/>
    <n v="0"/>
    <x v="0"/>
  </r>
  <r>
    <n v="112827"/>
    <s v="DANIEL DA CUNHA PUPO"/>
    <s v="COLETOR"/>
    <x v="2"/>
    <d v="2019-06-01T00:00:00"/>
    <x v="0"/>
    <x v="0"/>
    <n v="0"/>
    <x v="0"/>
  </r>
  <r>
    <n v="112834"/>
    <s v="DANIEL DE PAULA CUNHA"/>
    <s v="VARREDOR"/>
    <x v="3"/>
    <d v="2019-06-01T00:00:00"/>
    <x v="0"/>
    <x v="0"/>
    <n v="0"/>
    <x v="0"/>
  </r>
  <r>
    <n v="112843"/>
    <s v="DANIEL DOS REIS CARVALHO"/>
    <s v="AJUDANTE EQ SERVICOS DIVERSOS"/>
    <x v="1"/>
    <d v="2019-06-01T00:00:00"/>
    <x v="0"/>
    <x v="2"/>
    <n v="-38.289999999999964"/>
    <x v="2"/>
  </r>
  <r>
    <n v="112922"/>
    <s v="DANIEL GOMES DA SILVA"/>
    <s v="COLETOR"/>
    <x v="2"/>
    <d v="2019-06-01T00:00:00"/>
    <x v="0"/>
    <x v="0"/>
    <n v="0"/>
    <x v="2"/>
  </r>
  <r>
    <n v="112930"/>
    <s v="DANIEL JACINTO DA SILVA"/>
    <s v="AJUDANTE EQ SERVICOS DIVERSOS"/>
    <x v="5"/>
    <d v="2019-06-01T00:00:00"/>
    <x v="4"/>
    <x v="1"/>
    <n v="0"/>
    <x v="1"/>
  </r>
  <r>
    <n v="116331"/>
    <s v="DANIEL LIMA CARVALHO"/>
    <s v="AJUDANTE EQ SERVICOS DIVERSOS"/>
    <x v="1"/>
    <d v="2021-04-22T00:00:00"/>
    <x v="8"/>
    <x v="9"/>
    <n v="-459.39"/>
    <x v="0"/>
  </r>
  <r>
    <n v="114418"/>
    <s v="DANIEL MARCOS DA SILVA"/>
    <s v="VARREDOR"/>
    <x v="1"/>
    <d v="2019-12-12T00:00:00"/>
    <x v="0"/>
    <x v="0"/>
    <n v="0"/>
    <x v="0"/>
  </r>
  <r>
    <n v="112936"/>
    <s v="DANIEL MARQUES ALVES"/>
    <s v="VARREDOR"/>
    <x v="0"/>
    <d v="2019-06-01T00:00:00"/>
    <x v="0"/>
    <x v="0"/>
    <n v="0"/>
    <x v="2"/>
  </r>
  <r>
    <n v="112942"/>
    <s v="DANIEL PAULO DOS SANTOS"/>
    <s v="MOTORISTA CAMINHAO"/>
    <x v="2"/>
    <d v="2019-06-04T00:00:00"/>
    <x v="0"/>
    <x v="0"/>
    <n v="0"/>
    <x v="0"/>
  </r>
  <r>
    <n v="113774"/>
    <s v="DANIEL SOUZA SANTOS ALEXANDRE"/>
    <s v="FISCAL DE TURMA PLENO"/>
    <x v="5"/>
    <d v="2019-06-07T00:00:00"/>
    <x v="0"/>
    <x v="0"/>
    <n v="0"/>
    <x v="0"/>
  </r>
  <r>
    <n v="116716"/>
    <s v="DANIELE CRISTINA PEDRO"/>
    <s v="VARREDOR"/>
    <x v="3"/>
    <d v="2021-06-21T00:00:00"/>
    <x v="0"/>
    <x v="0"/>
    <n v="0"/>
    <x v="0"/>
  </r>
  <r>
    <n v="121948"/>
    <s v="DANIELY LEANDRO DOS SANTOS"/>
    <s v="MENOR/JOVEM APRENDIZ"/>
    <x v="6"/>
    <d v="2023-04-24T00:00:00"/>
    <x v="1"/>
    <x v="3"/>
    <n v="0"/>
    <x v="0"/>
  </r>
  <r>
    <n v="112950"/>
    <s v="DANILO CARDOSO DA SILVA"/>
    <s v="VARREDOR"/>
    <x v="1"/>
    <d v="2019-06-01T00:00:00"/>
    <x v="0"/>
    <x v="0"/>
    <n v="0"/>
    <x v="0"/>
  </r>
  <r>
    <n v="114695"/>
    <s v="DANILO DE ALMEIDA"/>
    <s v="VARREDOR"/>
    <x v="0"/>
    <d v="2020-02-13T00:00:00"/>
    <x v="0"/>
    <x v="0"/>
    <n v="0"/>
    <x v="0"/>
  </r>
  <r>
    <n v="112954"/>
    <s v="DANILO SOARES OLIVEIRA"/>
    <s v="VARREDOR"/>
    <x v="3"/>
    <d v="2019-06-01T00:00:00"/>
    <x v="0"/>
    <x v="0"/>
    <n v="0"/>
    <x v="0"/>
  </r>
  <r>
    <n v="112956"/>
    <s v="DANLEY SILVA SANTOS"/>
    <s v="AJUDANTE EQ SERVICOS DIVERSOS"/>
    <x v="0"/>
    <d v="2019-06-01T00:00:00"/>
    <x v="0"/>
    <x v="0"/>
    <n v="0"/>
    <x v="0"/>
  </r>
  <r>
    <n v="118052"/>
    <s v="DAVI FERREIRA DE LIMA"/>
    <s v="AJUDANTE EQ SERVICOS DIVERSOS"/>
    <x v="1"/>
    <d v="2022-01-06T00:00:00"/>
    <x v="0"/>
    <x v="5"/>
    <n v="-1016.96"/>
    <x v="3"/>
  </r>
  <r>
    <n v="112961"/>
    <s v="DAVI FERREIRA DOS SANTOS RODRIGUES"/>
    <s v="MOTORISTA CAMINHAO"/>
    <x v="2"/>
    <d v="2019-06-01T00:00:00"/>
    <x v="0"/>
    <x v="0"/>
    <n v="0"/>
    <x v="0"/>
  </r>
  <r>
    <n v="114500"/>
    <s v="DAVID BARBOSA EVANGELISTA"/>
    <s v="AJUDANTE EQ SERVICOS DIVERSOS"/>
    <x v="1"/>
    <d v="2019-12-12T00:00:00"/>
    <x v="9"/>
    <x v="4"/>
    <n v="76.559999999999945"/>
    <x v="0"/>
  </r>
  <r>
    <n v="116326"/>
    <s v="DAVID DA SILVA QUIRINO"/>
    <s v="AJUDANTE EQ SERVICOS DIVERSOS"/>
    <x v="5"/>
    <d v="2021-04-22T00:00:00"/>
    <x v="0"/>
    <x v="0"/>
    <n v="0"/>
    <x v="0"/>
  </r>
  <r>
    <n v="113023"/>
    <s v="DAVID EDUARDO DA SILVA"/>
    <s v="MOTORISTA CAMINHAO"/>
    <x v="2"/>
    <d v="2019-06-01T00:00:00"/>
    <x v="0"/>
    <x v="0"/>
    <n v="0"/>
    <x v="0"/>
  </r>
  <r>
    <n v="113068"/>
    <s v="DAVID PEREIRA LIMA"/>
    <s v="COLETOR"/>
    <x v="2"/>
    <d v="2019-06-01T00:00:00"/>
    <x v="0"/>
    <x v="0"/>
    <n v="0"/>
    <x v="0"/>
  </r>
  <r>
    <n v="121030"/>
    <s v="DAYANE APARECIDA ABREU DA SILVA"/>
    <s v="VARREDOR"/>
    <x v="5"/>
    <d v="2022-12-05T00:00:00"/>
    <x v="0"/>
    <x v="0"/>
    <n v="0"/>
    <x v="0"/>
  </r>
  <r>
    <n v="113107"/>
    <s v="DENES GABRIEL COSTA SILVA"/>
    <s v="VARREDOR"/>
    <x v="3"/>
    <d v="2019-06-01T00:00:00"/>
    <x v="0"/>
    <x v="0"/>
    <n v="0"/>
    <x v="0"/>
  </r>
  <r>
    <n v="113119"/>
    <s v="DENILSON SOARES BATISTA"/>
    <s v="COLETOR"/>
    <x v="2"/>
    <d v="2019-06-01T00:00:00"/>
    <x v="0"/>
    <x v="0"/>
    <n v="0"/>
    <x v="0"/>
  </r>
  <r>
    <n v="113157"/>
    <s v="DENIS RODRIGUES DE ALMEIDA"/>
    <s v="VARREDOR"/>
    <x v="4"/>
    <d v="2019-06-01T00:00:00"/>
    <x v="0"/>
    <x v="0"/>
    <n v="0"/>
    <x v="0"/>
  </r>
  <r>
    <n v="113204"/>
    <s v="DENIS SANTOS DA SILVA"/>
    <s v="AJUDANTE EQ SERVICOS DIVERSOS"/>
    <x v="1"/>
    <d v="2019-06-01T00:00:00"/>
    <x v="0"/>
    <x v="0"/>
    <n v="0"/>
    <x v="0"/>
  </r>
  <r>
    <n v="116001"/>
    <s v="DENSON RIBEIRO DA SILVA"/>
    <s v="VARREDOR"/>
    <x v="1"/>
    <d v="2021-01-11T00:00:00"/>
    <x v="0"/>
    <x v="0"/>
    <n v="0"/>
    <x v="0"/>
  </r>
  <r>
    <n v="113712"/>
    <s v="DEVAIR MOREIRA ARAUJO"/>
    <s v="AJUDANTE EQ SERVICOS DIVERSOS"/>
    <x v="5"/>
    <d v="2019-06-03T00:00:00"/>
    <x v="0"/>
    <x v="0"/>
    <n v="0"/>
    <x v="0"/>
  </r>
  <r>
    <n v="121486"/>
    <s v="DIEGO AQUINO DOS SANTOS"/>
    <s v="MOTORISTA CAMINHAO"/>
    <x v="2"/>
    <d v="2023-02-10T00:00:00"/>
    <x v="0"/>
    <x v="0"/>
    <n v="0"/>
    <x v="0"/>
  </r>
  <r>
    <n v="113309"/>
    <s v="DIEGO AUGUSTO DA PAIXAO"/>
    <s v="VARREDOR"/>
    <x v="1"/>
    <d v="2019-06-01T00:00:00"/>
    <x v="0"/>
    <x v="0"/>
    <n v="0"/>
    <x v="0"/>
  </r>
  <r>
    <n v="113318"/>
    <s v="DIEGO DOS SANTOS SOUZA"/>
    <s v="VARREDOR"/>
    <x v="0"/>
    <d v="2019-06-01T00:00:00"/>
    <x v="0"/>
    <x v="0"/>
    <n v="0"/>
    <x v="0"/>
  </r>
  <r>
    <n v="122334"/>
    <s v="DIEGO JOSE RIBEIRO ARAUJO"/>
    <s v="MOTORISTA CAMINHAO"/>
    <x v="2"/>
    <d v="2023-06-21T00:00:00"/>
    <x v="0"/>
    <x v="0"/>
    <n v="0"/>
    <x v="0"/>
  </r>
  <r>
    <n v="116085"/>
    <s v="DIEGO SANTOS MUNIZ ALMEIDA"/>
    <s v="MOTORISTA CAMINHAO"/>
    <x v="2"/>
    <d v="2021-02-08T00:00:00"/>
    <x v="0"/>
    <x v="0"/>
    <n v="0"/>
    <x v="0"/>
  </r>
  <r>
    <n v="116225"/>
    <s v="DIEGO SANTOS NASCIMENTO"/>
    <s v="AJUDANTE EQ SERVICOS DIVERSOS"/>
    <x v="1"/>
    <d v="2021-03-18T00:00:00"/>
    <x v="4"/>
    <x v="1"/>
    <n v="0"/>
    <x v="1"/>
  </r>
  <r>
    <n v="113331"/>
    <s v="DIJALMA OLIVEIRA SOUZA"/>
    <s v="AJUDANTE EQ SERVICOS DIVERSOS"/>
    <x v="2"/>
    <d v="2019-06-01T00:00:00"/>
    <x v="0"/>
    <x v="0"/>
    <n v="0"/>
    <x v="0"/>
  </r>
  <r>
    <n v="113341"/>
    <s v="DIMAS XAVIER DE JESUS"/>
    <s v="VARREDOR"/>
    <x v="3"/>
    <d v="2019-06-01T00:00:00"/>
    <x v="0"/>
    <x v="0"/>
    <n v="0"/>
    <x v="0"/>
  </r>
  <r>
    <n v="113349"/>
    <s v="DIOGENES CARDOSO BARBOSA"/>
    <s v="MOTORISTA CAMINHAO"/>
    <x v="2"/>
    <d v="2019-06-01T00:00:00"/>
    <x v="0"/>
    <x v="0"/>
    <n v="0"/>
    <x v="0"/>
  </r>
  <r>
    <n v="113354"/>
    <s v="DIOGO DA CRUZ SILVEIRA"/>
    <s v="AJUDANTE EQ SERVICOS DIVERSOS"/>
    <x v="0"/>
    <d v="2019-06-01T00:00:00"/>
    <x v="0"/>
    <x v="0"/>
    <n v="0"/>
    <x v="0"/>
  </r>
  <r>
    <n v="116974"/>
    <s v="DIVA BRANDINO DE MORAES GONCALVES"/>
    <s v="AJUDANTE EQ SERVICOS DIVERSOS"/>
    <x v="5"/>
    <d v="2021-08-11T00:00:00"/>
    <x v="0"/>
    <x v="0"/>
    <n v="0"/>
    <x v="0"/>
  </r>
  <r>
    <n v="113739"/>
    <s v="DJAIR PATRICIO DA SILVA"/>
    <s v="COORDENADOR DE DEPARTAMENTO PESSOAL"/>
    <x v="6"/>
    <d v="2019-06-03T00:00:00"/>
    <x v="0"/>
    <x v="0"/>
    <n v="0"/>
    <x v="0"/>
  </r>
  <r>
    <n v="113361"/>
    <s v="DOMINGOS DA CRUZ DOS SANTOS"/>
    <s v="MOTORISTA CAMINHAO"/>
    <x v="2"/>
    <d v="2019-06-04T00:00:00"/>
    <x v="0"/>
    <x v="0"/>
    <n v="0"/>
    <x v="0"/>
  </r>
  <r>
    <n v="113364"/>
    <s v="DOMINGOS MENEZES DANTAS"/>
    <s v="VARREDOR"/>
    <x v="0"/>
    <d v="2019-06-01T00:00:00"/>
    <x v="0"/>
    <x v="0"/>
    <n v="0"/>
    <x v="0"/>
  </r>
  <r>
    <n v="113368"/>
    <s v="DOMINGOS NORBERTO RODRIGUES"/>
    <s v="VARREDOR"/>
    <x v="0"/>
    <d v="2019-06-01T00:00:00"/>
    <x v="0"/>
    <x v="0"/>
    <n v="0"/>
    <x v="0"/>
  </r>
  <r>
    <n v="113374"/>
    <s v="DOMINGOS SOUZA DE OLIVEIRA"/>
    <s v="VARREDOR"/>
    <x v="3"/>
    <d v="2019-06-01T00:00:00"/>
    <x v="0"/>
    <x v="0"/>
    <n v="0"/>
    <x v="0"/>
  </r>
  <r>
    <n v="117358"/>
    <s v="DONIAS DO NASCIMENTO"/>
    <s v="MOTORISTA CAMINHAO"/>
    <x v="2"/>
    <d v="2021-11-08T00:00:00"/>
    <x v="0"/>
    <x v="0"/>
    <n v="0"/>
    <x v="0"/>
  </r>
  <r>
    <n v="121675"/>
    <s v="DONIZETE VENANCIO"/>
    <s v="AJUDANTE EQ SERVICOS DIVERSOS"/>
    <x v="5"/>
    <d v="2023-03-09T00:00:00"/>
    <x v="0"/>
    <x v="0"/>
    <n v="0"/>
    <x v="0"/>
  </r>
  <r>
    <n v="119645"/>
    <s v="DORVALINO BRUIANI"/>
    <s v="AJUDANTE EQ SERVICOS DIVERSOS"/>
    <x v="1"/>
    <d v="2022-06-13T00:00:00"/>
    <x v="0"/>
    <x v="0"/>
    <n v="0"/>
    <x v="0"/>
  </r>
  <r>
    <n v="116226"/>
    <s v="DOUGLAS BARRETO DE SOUSA"/>
    <s v="AJUDANTE EQ SERVICOS DIVERSOS"/>
    <x v="1"/>
    <d v="2021-03-18T00:00:00"/>
    <x v="9"/>
    <x v="10"/>
    <n v="0"/>
    <x v="0"/>
  </r>
  <r>
    <n v="113390"/>
    <s v="DOUGLAS SABINO SILVA DOS SANTOS"/>
    <s v="AUXILIAR ADMINISTRATIVO"/>
    <x v="5"/>
    <d v="2019-06-01T00:00:00"/>
    <x v="0"/>
    <x v="0"/>
    <n v="0"/>
    <x v="0"/>
  </r>
  <r>
    <n v="113392"/>
    <s v="DURCINO SILVA DE BRITO"/>
    <s v="VARREDOR"/>
    <x v="5"/>
    <d v="2019-06-01T00:00:00"/>
    <x v="0"/>
    <x v="0"/>
    <n v="0"/>
    <x v="0"/>
  </r>
  <r>
    <n v="113404"/>
    <s v="DURVAL SABINO DOS SANTOS"/>
    <s v="ENCARREGADO DE TURMA"/>
    <x v="3"/>
    <d v="2019-06-01T00:00:00"/>
    <x v="0"/>
    <x v="0"/>
    <n v="0"/>
    <x v="0"/>
  </r>
  <r>
    <n v="112825"/>
    <s v="ECLYTON MYCAEL FERREIRA LOPES"/>
    <s v="MOTORISTA CAMINHAO"/>
    <x v="2"/>
    <d v="2019-06-01T00:00:00"/>
    <x v="10"/>
    <x v="0"/>
    <n v="114.85000000000002"/>
    <x v="0"/>
  </r>
  <r>
    <n v="112830"/>
    <s v="ED CARLOS BARBOSA ALVES"/>
    <s v="AJUDANTE EQ SERVICOS DIVERSOS"/>
    <x v="5"/>
    <d v="2019-06-01T00:00:00"/>
    <x v="0"/>
    <x v="0"/>
    <n v="0"/>
    <x v="0"/>
  </r>
  <r>
    <n v="112838"/>
    <s v="EDIEL ARAUJO SANTANA"/>
    <s v="MOTORISTA CAMINHAO"/>
    <x v="2"/>
    <d v="2019-06-01T00:00:00"/>
    <x v="0"/>
    <x v="0"/>
    <n v="0"/>
    <x v="0"/>
  </r>
  <r>
    <n v="113726"/>
    <s v="EDILEUMA DE SOUZA CAETANO"/>
    <s v="AJUDANTE EQ SERVICOS DIVERSOS"/>
    <x v="1"/>
    <d v="2019-06-03T00:00:00"/>
    <x v="0"/>
    <x v="0"/>
    <n v="0"/>
    <x v="0"/>
  </r>
  <r>
    <n v="112847"/>
    <s v="EDILSON APARECIDO DE SOUZA"/>
    <s v="BUEIRISTA"/>
    <x v="5"/>
    <d v="2019-06-01T00:00:00"/>
    <x v="0"/>
    <x v="0"/>
    <n v="0"/>
    <x v="2"/>
  </r>
  <r>
    <n v="112850"/>
    <s v="EDILSON GALDINO DA SILVA"/>
    <s v="MOTORISTA CAMINHAO"/>
    <x v="2"/>
    <d v="2019-06-01T00:00:00"/>
    <x v="0"/>
    <x v="0"/>
    <n v="0"/>
    <x v="0"/>
  </r>
  <r>
    <n v="112858"/>
    <s v="EDILSON MOREIRA DA COSTA"/>
    <s v="MOTORISTA CAMINHAO"/>
    <x v="2"/>
    <d v="2019-06-01T00:00:00"/>
    <x v="0"/>
    <x v="0"/>
    <n v="0"/>
    <x v="0"/>
  </r>
  <r>
    <n v="112866"/>
    <s v="EDILSON SANTOS DE JESUS"/>
    <s v="VARREDOR"/>
    <x v="3"/>
    <d v="2019-06-01T00:00:00"/>
    <x v="0"/>
    <x v="0"/>
    <n v="0"/>
    <x v="0"/>
  </r>
  <r>
    <n v="112867"/>
    <s v="EDIMILSON COSTA LIMA ROMANOS"/>
    <s v="VARREDOR"/>
    <x v="3"/>
    <d v="2019-06-01T00:00:00"/>
    <x v="0"/>
    <x v="0"/>
    <n v="0"/>
    <x v="0"/>
  </r>
  <r>
    <n v="112874"/>
    <s v="EDINALDO ALMEIDA DO NASCIMENTO"/>
    <s v="MOTORISTA CAMINHAO"/>
    <x v="2"/>
    <d v="2019-06-01T00:00:00"/>
    <x v="0"/>
    <x v="0"/>
    <n v="0"/>
    <x v="0"/>
  </r>
  <r>
    <n v="112881"/>
    <s v="EDINALDO DA SILVA"/>
    <s v="VARREDOR"/>
    <x v="1"/>
    <d v="2019-06-01T00:00:00"/>
    <x v="0"/>
    <x v="0"/>
    <n v="0"/>
    <x v="0"/>
  </r>
  <r>
    <n v="112878"/>
    <s v="EDINALDO FRANCISCO DA FONSECA"/>
    <s v="MOTORISTA CAMINHAO"/>
    <x v="2"/>
    <d v="2019-06-01T00:00:00"/>
    <x v="0"/>
    <x v="0"/>
    <n v="0"/>
    <x v="0"/>
  </r>
  <r>
    <n v="119662"/>
    <s v="EDINALDO PEREIRA DE SOUZA"/>
    <s v="MOTORISTA CAMINHAO"/>
    <x v="2"/>
    <d v="2022-06-13T00:00:00"/>
    <x v="0"/>
    <x v="0"/>
    <n v="0"/>
    <x v="0"/>
  </r>
  <r>
    <n v="115231"/>
    <s v="EDINEI RAMOS DE LIMA"/>
    <s v="AJUDANTE EQ SERVICOS DIVERSOS"/>
    <x v="2"/>
    <d v="2020-07-06T00:00:00"/>
    <x v="0"/>
    <x v="0"/>
    <n v="0"/>
    <x v="0"/>
  </r>
  <r>
    <n v="113416"/>
    <s v="EDINELIA PEREIRA DOS SANTOS"/>
    <s v="VARREDOR"/>
    <x v="1"/>
    <d v="2019-06-01T00:00:00"/>
    <x v="0"/>
    <x v="0"/>
    <n v="0"/>
    <x v="0"/>
  </r>
  <r>
    <n v="117359"/>
    <s v="EDIVALDO NEVES DA MATA"/>
    <s v="MOTORISTA CAMINHAO"/>
    <x v="2"/>
    <d v="2021-11-08T00:00:00"/>
    <x v="0"/>
    <x v="0"/>
    <n v="0"/>
    <x v="0"/>
  </r>
  <r>
    <n v="114977"/>
    <s v="EDIVALDO SILVA DA COSTA"/>
    <s v="AJUDANTE EQ SERVICOS DIVERSOS"/>
    <x v="2"/>
    <d v="2020-03-27T00:00:00"/>
    <x v="0"/>
    <x v="0"/>
    <n v="0"/>
    <x v="0"/>
  </r>
  <r>
    <n v="113442"/>
    <s v="EDIVALDO VALERIANO DA SILVA"/>
    <s v="VARREDOR"/>
    <x v="1"/>
    <d v="2019-06-01T00:00:00"/>
    <x v="0"/>
    <x v="0"/>
    <n v="0"/>
    <x v="0"/>
  </r>
  <r>
    <n v="115216"/>
    <s v="EDIVAN FERREIRA DA SILVA"/>
    <s v="AJUDANTE EQ SERVICOS DIVERSOS"/>
    <x v="3"/>
    <d v="2020-07-06T00:00:00"/>
    <x v="0"/>
    <x v="0"/>
    <n v="0"/>
    <x v="0"/>
  </r>
  <r>
    <n v="113447"/>
    <s v="EDIVAN MOURA DOS SANTOS"/>
    <s v="TECNICO EM SEGURANCA DO TRABALHO PLENO"/>
    <x v="2"/>
    <d v="2019-06-01T00:00:00"/>
    <x v="0"/>
    <x v="0"/>
    <n v="0"/>
    <x v="0"/>
  </r>
  <r>
    <n v="113457"/>
    <s v="EDJOVANE PALMA PALMITO"/>
    <s v="VARREDOR"/>
    <x v="4"/>
    <d v="2019-06-01T00:00:00"/>
    <x v="0"/>
    <x v="0"/>
    <n v="0"/>
    <x v="0"/>
  </r>
  <r>
    <n v="122574"/>
    <s v="EDMAR CESAR DA SILVA"/>
    <s v="MOTORISTA CAMINHAO"/>
    <x v="2"/>
    <d v="2023-07-24T00:00:00"/>
    <x v="7"/>
    <x v="0"/>
    <n v="-273.79999999999995"/>
    <x v="0"/>
  </r>
  <r>
    <n v="113460"/>
    <s v="EDMAR DE FREITAS"/>
    <s v="COLETOR"/>
    <x v="2"/>
    <d v="2019-06-01T00:00:00"/>
    <x v="0"/>
    <x v="0"/>
    <n v="0"/>
    <x v="0"/>
  </r>
  <r>
    <n v="113469"/>
    <s v="EDMILSO ALVES DA SILVA"/>
    <s v="AJUDANTE EQ SERVICOS DIVERSOS"/>
    <x v="1"/>
    <d v="2019-06-01T00:00:00"/>
    <x v="0"/>
    <x v="0"/>
    <n v="0"/>
    <x v="0"/>
  </r>
  <r>
    <n v="113491"/>
    <s v="EDMILSON BATISTA DO NASCIMENTO"/>
    <s v="AJUDANTE EQ SERVICOS DIVERSOS"/>
    <x v="4"/>
    <d v="2019-06-01T00:00:00"/>
    <x v="0"/>
    <x v="0"/>
    <n v="0"/>
    <x v="0"/>
  </r>
  <r>
    <n v="113498"/>
    <s v="EDMILSON LOPES SALES"/>
    <s v="AJUDANTE EQ SERVICOS DIVERSOS"/>
    <x v="0"/>
    <d v="2019-06-01T00:00:00"/>
    <x v="0"/>
    <x v="0"/>
    <n v="0"/>
    <x v="0"/>
  </r>
  <r>
    <n v="113510"/>
    <s v="EDMILSON TAVARES RAMOS"/>
    <s v="MOTORISTA CAMINHAO"/>
    <x v="2"/>
    <d v="2019-06-01T00:00:00"/>
    <x v="0"/>
    <x v="0"/>
    <n v="0"/>
    <x v="0"/>
  </r>
  <r>
    <n v="113512"/>
    <s v="EDMUNDO DE OLIVEIRA SOUZA"/>
    <s v="AJUDANTE EQ SERVICOS DIVERSOS"/>
    <x v="3"/>
    <d v="2019-06-01T00:00:00"/>
    <x v="0"/>
    <x v="0"/>
    <n v="0"/>
    <x v="0"/>
  </r>
  <r>
    <n v="113516"/>
    <s v="EDNA MONTEIRO DE TOLEDO"/>
    <s v="VARREDOR"/>
    <x v="5"/>
    <d v="2019-06-01T00:00:00"/>
    <x v="0"/>
    <x v="0"/>
    <n v="0"/>
    <x v="0"/>
  </r>
  <r>
    <n v="114108"/>
    <s v="EDNALDO BARBOSA SILVA"/>
    <s v="AJUDANTE EQ SERVICOS DIVERSOS"/>
    <x v="3"/>
    <d v="2019-09-20T00:00:00"/>
    <x v="0"/>
    <x v="0"/>
    <n v="0"/>
    <x v="0"/>
  </r>
  <r>
    <n v="113521"/>
    <s v="EDNALDO DE LIMA SILVA"/>
    <s v="VARREDOR"/>
    <x v="1"/>
    <d v="2019-06-01T00:00:00"/>
    <x v="0"/>
    <x v="0"/>
    <n v="0"/>
    <x v="0"/>
  </r>
  <r>
    <n v="116327"/>
    <s v="EDNILSON ALVES FERREIRA"/>
    <s v="AJUDANTE EQ SERVICOS DIVERSOS"/>
    <x v="1"/>
    <d v="2021-04-22T00:00:00"/>
    <x v="2"/>
    <x v="0"/>
    <n v="76.57000000000005"/>
    <x v="0"/>
  </r>
  <r>
    <n v="113524"/>
    <s v="EDNILSON CARLOS ARCANJO DE JESUS"/>
    <s v="AJUDANTE EQ SERVICOS DIVERSOS"/>
    <x v="0"/>
    <d v="2019-06-01T00:00:00"/>
    <x v="0"/>
    <x v="0"/>
    <n v="0"/>
    <x v="0"/>
  </r>
  <r>
    <n v="113530"/>
    <s v="EDSON ALBERTINO DA COSTA SILVA"/>
    <s v="VARREDOR"/>
    <x v="1"/>
    <d v="2019-06-01T00:00:00"/>
    <x v="0"/>
    <x v="0"/>
    <n v="0"/>
    <x v="0"/>
  </r>
  <r>
    <n v="113532"/>
    <s v="EDSON ALMEIDA BONFIM"/>
    <s v="AJUDANTE EQ SERVICOS DIVERSOS"/>
    <x v="5"/>
    <d v="2019-06-01T00:00:00"/>
    <x v="0"/>
    <x v="0"/>
    <n v="0"/>
    <x v="0"/>
  </r>
  <r>
    <n v="113535"/>
    <s v="EDSON ANTONIO DA SILVA"/>
    <s v="AJUDANTE DE MECANICO"/>
    <x v="2"/>
    <d v="2019-06-01T00:00:00"/>
    <x v="0"/>
    <x v="0"/>
    <n v="0"/>
    <x v="0"/>
  </r>
  <r>
    <n v="113537"/>
    <s v="EDSON BERNARDO DA SILVA"/>
    <s v="VARREDOR"/>
    <x v="1"/>
    <d v="2019-06-01T00:00:00"/>
    <x v="0"/>
    <x v="0"/>
    <n v="0"/>
    <x v="0"/>
  </r>
  <r>
    <n v="113541"/>
    <s v="EDSON BEZERRA DO NASCIMENTO"/>
    <s v="FISCAL DE TRAFEGO PLENO"/>
    <x v="2"/>
    <d v="2019-06-01T00:00:00"/>
    <x v="0"/>
    <x v="0"/>
    <n v="0"/>
    <x v="0"/>
  </r>
  <r>
    <n v="113548"/>
    <s v="EDSON BRAZ DA SILVA FILHO"/>
    <s v="AJUDANTE EQ SERVICOS DIVERSOS"/>
    <x v="1"/>
    <d v="2019-06-01T00:00:00"/>
    <x v="0"/>
    <x v="0"/>
    <n v="0"/>
    <x v="0"/>
  </r>
  <r>
    <n v="113551"/>
    <s v="EDSON CARLOS DA SILVA"/>
    <s v="VARREDOR"/>
    <x v="1"/>
    <d v="2019-06-01T00:00:00"/>
    <x v="0"/>
    <x v="0"/>
    <n v="0"/>
    <x v="0"/>
  </r>
  <r>
    <n v="114697"/>
    <s v="EDSON CARLOS DOS SANTOS"/>
    <s v="BUEIRISTA"/>
    <x v="4"/>
    <d v="2020-02-13T00:00:00"/>
    <x v="0"/>
    <x v="0"/>
    <n v="0"/>
    <x v="0"/>
  </r>
  <r>
    <n v="113594"/>
    <s v="EDSON DE JESUS GUERRA"/>
    <s v="AJUDANTE EQ SERVICOS DIVERSOS"/>
    <x v="1"/>
    <d v="2019-06-01T00:00:00"/>
    <x v="0"/>
    <x v="0"/>
    <n v="0"/>
    <x v="0"/>
  </r>
  <r>
    <n v="113566"/>
    <s v="EDSON FERREIRA DA SILVA"/>
    <s v="VARREDOR"/>
    <x v="1"/>
    <d v="2019-06-01T00:00:00"/>
    <x v="0"/>
    <x v="0"/>
    <n v="0"/>
    <x v="0"/>
  </r>
  <r>
    <n v="113597"/>
    <s v="EDSON LINO DE JESUS"/>
    <s v="VARREDOR"/>
    <x v="3"/>
    <d v="2019-06-01T00:00:00"/>
    <x v="0"/>
    <x v="0"/>
    <n v="0"/>
    <x v="0"/>
  </r>
  <r>
    <n v="113579"/>
    <s v="EDSON NASCIMENTO DA SILVA"/>
    <s v="VARREDOR"/>
    <x v="3"/>
    <d v="2019-06-01T00:00:00"/>
    <x v="0"/>
    <x v="0"/>
    <n v="0"/>
    <x v="0"/>
  </r>
  <r>
    <n v="114730"/>
    <s v="EDSON OLIVEIRA SOUSA"/>
    <s v="AJUDANTE EQ SERVICOS DIVERSOS"/>
    <x v="5"/>
    <d v="2020-02-13T00:00:00"/>
    <x v="3"/>
    <x v="5"/>
    <n v="-978.67000000000007"/>
    <x v="3"/>
  </r>
  <r>
    <n v="113584"/>
    <s v="EDUARDO AMAURI ALVES DA SILVA"/>
    <s v="BUEIRISTA"/>
    <x v="1"/>
    <d v="2019-06-01T00:00:00"/>
    <x v="0"/>
    <x v="0"/>
    <n v="0"/>
    <x v="0"/>
  </r>
  <r>
    <n v="113586"/>
    <s v="EDUARDO ANDRADE DE SANTANA"/>
    <s v="VARREDOR"/>
    <x v="5"/>
    <d v="2019-06-01T00:00:00"/>
    <x v="0"/>
    <x v="0"/>
    <n v="0"/>
    <x v="0"/>
  </r>
  <r>
    <n v="113589"/>
    <s v="EDUARDO APARECIDO DE MORAES"/>
    <s v="AJUDANTE EQ SERVICOS DIVERSOS"/>
    <x v="5"/>
    <d v="2019-06-01T00:00:00"/>
    <x v="0"/>
    <x v="0"/>
    <n v="0"/>
    <x v="0"/>
  </r>
  <r>
    <n v="120190"/>
    <s v="EDUARDO DA SILVA"/>
    <s v="AJUDANTE EQ SERVICOS DIVERSOS"/>
    <x v="1"/>
    <d v="2022-08-18T00:00:00"/>
    <x v="11"/>
    <x v="5"/>
    <n v="-519.29"/>
    <x v="3"/>
  </r>
  <r>
    <n v="114525"/>
    <s v="EDUARDO EVANGELISTA DE CARVALHO"/>
    <s v="MOTORISTA CAMINHAO"/>
    <x v="2"/>
    <d v="2019-12-14T00:00:00"/>
    <x v="3"/>
    <x v="0"/>
    <n v="38.289999999999964"/>
    <x v="0"/>
  </r>
  <r>
    <n v="113590"/>
    <s v="EDUARDO FELIPE LIRA PACHECO"/>
    <s v="AJUDANTE EQ SERVICOS DIVERSOS"/>
    <x v="5"/>
    <d v="2019-06-01T00:00:00"/>
    <x v="0"/>
    <x v="0"/>
    <n v="0"/>
    <x v="0"/>
  </r>
  <r>
    <n v="122085"/>
    <s v="EDUARDO FELIX DA SILVA"/>
    <s v="AJUDANTE EQ SERVICOS DIVERSOS"/>
    <x v="3"/>
    <d v="2023-05-15T00:00:00"/>
    <x v="12"/>
    <x v="5"/>
    <n v="-787.26"/>
    <x v="0"/>
  </r>
  <r>
    <n v="113592"/>
    <s v="EDUARDO LOPES DA COSTA"/>
    <s v="MOTORISTA CAMINHAO"/>
    <x v="2"/>
    <d v="2019-06-01T00:00:00"/>
    <x v="0"/>
    <x v="0"/>
    <n v="0"/>
    <x v="0"/>
  </r>
  <r>
    <n v="121428"/>
    <s v="EDUARDO PINHEIRO DA SILVA"/>
    <s v="AJUDANTE EQ SERVICOS DIVERSOS"/>
    <x v="2"/>
    <d v="2023-02-10T00:00:00"/>
    <x v="0"/>
    <x v="0"/>
    <n v="0"/>
    <x v="0"/>
  </r>
  <r>
    <n v="113603"/>
    <s v="EDVALDO ALVES"/>
    <s v="BUEIRISTA"/>
    <x v="3"/>
    <d v="2019-06-01T00:00:00"/>
    <x v="0"/>
    <x v="2"/>
    <n v="-38.289999999999964"/>
    <x v="0"/>
  </r>
  <r>
    <n v="113607"/>
    <s v="EDVALDO ARAUJO DO NASCIMENTO"/>
    <s v="MOTORISTA CAMINHAO"/>
    <x v="2"/>
    <d v="2019-06-01T00:00:00"/>
    <x v="0"/>
    <x v="0"/>
    <n v="0"/>
    <x v="0"/>
  </r>
  <r>
    <n v="113609"/>
    <s v="EDVALDO DA SILVA FERREIRA"/>
    <s v="AJUDANTE EQ SERVICOS DIVERSOS"/>
    <x v="5"/>
    <d v="2019-06-01T00:00:00"/>
    <x v="0"/>
    <x v="0"/>
    <n v="0"/>
    <x v="0"/>
  </r>
  <r>
    <n v="113661"/>
    <s v="EDVALDO FORTUNATO DA SILVA"/>
    <s v="VARREDOR"/>
    <x v="3"/>
    <d v="2019-06-01T00:00:00"/>
    <x v="0"/>
    <x v="0"/>
    <n v="0"/>
    <x v="0"/>
  </r>
  <r>
    <n v="113612"/>
    <s v="EDVALDO NASCIMENTO SILVA"/>
    <s v="VARREDOR"/>
    <x v="3"/>
    <d v="2019-06-01T00:00:00"/>
    <x v="0"/>
    <x v="0"/>
    <n v="0"/>
    <x v="0"/>
  </r>
  <r>
    <n v="113619"/>
    <s v="EDVALDO ROCHA DE LIMA"/>
    <s v="AJUDANTE EQ SERVICOS DIVERSOS"/>
    <x v="3"/>
    <d v="2019-06-01T00:00:00"/>
    <x v="0"/>
    <x v="0"/>
    <n v="0"/>
    <x v="0"/>
  </r>
  <r>
    <n v="113623"/>
    <s v="EDVALDO RUFINO PEREIRA"/>
    <s v="VARREDOR"/>
    <x v="0"/>
    <d v="2019-06-01T00:00:00"/>
    <x v="0"/>
    <x v="0"/>
    <n v="0"/>
    <x v="0"/>
  </r>
  <r>
    <n v="113626"/>
    <s v="EDVAN ALVES PINHEIRO"/>
    <s v="BORRACHEIRO II"/>
    <x v="2"/>
    <d v="2019-06-01T00:00:00"/>
    <x v="4"/>
    <x v="11"/>
    <n v="949.72"/>
    <x v="0"/>
  </r>
  <r>
    <n v="113636"/>
    <s v="EDVAN RIBEIRO DOS SANTOS"/>
    <s v="AJUDANTE EQ SERVICOS DIVERSOS"/>
    <x v="0"/>
    <d v="2019-06-01T00:00:00"/>
    <x v="0"/>
    <x v="0"/>
    <n v="0"/>
    <x v="0"/>
  </r>
  <r>
    <n v="113674"/>
    <s v="EGUINALDO ULISSES DO NASCIMENTO"/>
    <s v="VARREDOR"/>
    <x v="3"/>
    <d v="2019-06-01T00:00:00"/>
    <x v="0"/>
    <x v="0"/>
    <n v="0"/>
    <x v="0"/>
  </r>
  <r>
    <n v="122081"/>
    <s v="ELAINE SOUZA DAMACENO DE JESUS"/>
    <s v="AJUDANTE EQ SERVICOS DIVERSOS"/>
    <x v="5"/>
    <d v="2023-05-15T00:00:00"/>
    <x v="0"/>
    <x v="0"/>
    <n v="0"/>
    <x v="0"/>
  </r>
  <r>
    <n v="113785"/>
    <s v="ELEN CRISTINA GOMES"/>
    <s v="MOTORISTA CAMINHAO"/>
    <x v="2"/>
    <d v="2019-06-08T00:00:00"/>
    <x v="0"/>
    <x v="0"/>
    <n v="0"/>
    <x v="0"/>
  </r>
  <r>
    <n v="121404"/>
    <s v="ELI PINHEIRO DE ALCANTARA"/>
    <s v="AJUDANTE EQ SERVICOS DIVERSOS"/>
    <x v="2"/>
    <d v="2023-02-10T00:00:00"/>
    <x v="0"/>
    <x v="0"/>
    <n v="0"/>
    <x v="0"/>
  </r>
  <r>
    <n v="113728"/>
    <s v="ELIANA GONCALVES DA SILVA"/>
    <s v="AJUDANTE EQ SERVICOS DIVERSOS"/>
    <x v="0"/>
    <d v="2019-06-03T00:00:00"/>
    <x v="0"/>
    <x v="0"/>
    <n v="0"/>
    <x v="0"/>
  </r>
  <r>
    <n v="113646"/>
    <s v="ELIANE CICERA DUARTE CARDOZO"/>
    <s v="VARREDOR"/>
    <x v="4"/>
    <d v="2019-06-01T00:00:00"/>
    <x v="0"/>
    <x v="0"/>
    <n v="0"/>
    <x v="2"/>
  </r>
  <r>
    <n v="113656"/>
    <s v="ELIAS FERREIRA DOS SANTOS"/>
    <s v="VARREDOR"/>
    <x v="1"/>
    <d v="2019-06-01T00:00:00"/>
    <x v="0"/>
    <x v="0"/>
    <n v="0"/>
    <x v="2"/>
  </r>
  <r>
    <n v="114698"/>
    <s v="ELISANGELA BARRETO OLIVEIRA"/>
    <s v="AJUDANTE EQ SERVICOS DIVERSOS"/>
    <x v="1"/>
    <d v="2020-02-13T00:00:00"/>
    <x v="0"/>
    <x v="0"/>
    <n v="0"/>
    <x v="2"/>
  </r>
  <r>
    <n v="114385"/>
    <s v="ELISANGELA VIEIRA DE SOUZA CORREIA"/>
    <s v="AGENTE AMBIENTAL"/>
    <x v="2"/>
    <d v="2019-12-12T00:00:00"/>
    <x v="0"/>
    <x v="0"/>
    <n v="0"/>
    <x v="0"/>
  </r>
  <r>
    <n v="112288"/>
    <s v="ELISEU DE CARVALHO NETO"/>
    <s v="VARREDOR"/>
    <x v="0"/>
    <d v="2019-06-01T00:00:00"/>
    <x v="0"/>
    <x v="0"/>
    <n v="0"/>
    <x v="0"/>
  </r>
  <r>
    <n v="118051"/>
    <s v="ELISSANDRA FERREIRA LIMA DOS SANTOS"/>
    <s v="AJUDANTE EQ SERVICOS DIVERSOS"/>
    <x v="0"/>
    <d v="2022-01-06T00:00:00"/>
    <x v="0"/>
    <x v="0"/>
    <n v="0"/>
    <x v="0"/>
  </r>
  <r>
    <n v="112297"/>
    <s v="ELIVANIO BARBOSA SANTOS"/>
    <s v="MOTORISTA CAMINHAO"/>
    <x v="2"/>
    <d v="2019-06-01T00:00:00"/>
    <x v="0"/>
    <x v="0"/>
    <n v="0"/>
    <x v="0"/>
  </r>
  <r>
    <n v="112359"/>
    <s v="ELIZEU DA SILVA PEREIRA"/>
    <s v="VARREDOR"/>
    <x v="1"/>
    <d v="2019-06-01T00:00:00"/>
    <x v="0"/>
    <x v="0"/>
    <n v="0"/>
    <x v="0"/>
  </r>
  <r>
    <n v="112366"/>
    <s v="ELOI ALENCAR MATIAS"/>
    <s v="MOTORISTA CAMINHAO"/>
    <x v="2"/>
    <d v="2019-06-01T00:00:00"/>
    <x v="3"/>
    <x v="0"/>
    <n v="38.289999999999964"/>
    <x v="0"/>
  </r>
  <r>
    <n v="112372"/>
    <s v="ELOISA LOPES LARANJEIRA"/>
    <s v="VARREDOR"/>
    <x v="1"/>
    <d v="2019-06-01T00:00:00"/>
    <x v="0"/>
    <x v="0"/>
    <n v="0"/>
    <x v="0"/>
  </r>
  <r>
    <n v="112378"/>
    <s v="ELSON AMORIM DE SOUSA"/>
    <s v="VARREDOR"/>
    <x v="1"/>
    <d v="2019-06-01T00:00:00"/>
    <x v="0"/>
    <x v="0"/>
    <n v="0"/>
    <x v="0"/>
  </r>
  <r>
    <n v="112382"/>
    <s v="ELSON DOS SANTOS SILVA"/>
    <s v="FISCAL DE TURMA PLENO"/>
    <x v="0"/>
    <d v="2019-06-01T00:00:00"/>
    <x v="0"/>
    <x v="0"/>
    <n v="0"/>
    <x v="0"/>
  </r>
  <r>
    <n v="114916"/>
    <s v="ELVIS DOS SANTOS BATISTA"/>
    <s v="AUXILIAR DE TRAFEGO"/>
    <x v="2"/>
    <d v="2020-03-26T00:00:00"/>
    <x v="0"/>
    <x v="0"/>
    <n v="0"/>
    <x v="0"/>
  </r>
  <r>
    <n v="119649"/>
    <s v="ELVIS MATHEUS BORBA DA CRUZ"/>
    <s v="AJUDANTE EQ SERVICOS DIVERSOS"/>
    <x v="1"/>
    <d v="2022-06-13T00:00:00"/>
    <x v="3"/>
    <x v="2"/>
    <n v="0"/>
    <x v="0"/>
  </r>
  <r>
    <n v="114315"/>
    <s v="EMANOEL GOMES DA SILVA"/>
    <s v="AJUDANTE EQ SERVICOS DIVERSOS"/>
    <x v="1"/>
    <d v="2019-12-12T00:00:00"/>
    <x v="0"/>
    <x v="0"/>
    <n v="0"/>
    <x v="2"/>
  </r>
  <r>
    <n v="112400"/>
    <s v="EMERSON ARAUJO PEDROSO"/>
    <s v="AUXILIAR DE CONTROLE OPERACIONAL"/>
    <x v="2"/>
    <d v="2019-06-01T00:00:00"/>
    <x v="0"/>
    <x v="0"/>
    <n v="0"/>
    <x v="0"/>
  </r>
  <r>
    <n v="122415"/>
    <s v="EMERSON CLAYTON DA SILVA FILHO"/>
    <s v="AJUDANTE EQ SERVICOS DIVERSOS"/>
    <x v="2"/>
    <d v="2023-07-10T00:00:00"/>
    <x v="0"/>
    <x v="0"/>
    <n v="0"/>
    <x v="0"/>
  </r>
  <r>
    <n v="112410"/>
    <s v="EMERSON GOMES DA SILVA"/>
    <s v="MOTORISTA CAMINHAO"/>
    <x v="2"/>
    <d v="2019-06-01T00:00:00"/>
    <x v="0"/>
    <x v="0"/>
    <n v="0"/>
    <x v="0"/>
  </r>
  <r>
    <n v="114548"/>
    <s v="EMERSON JESUS DO CARMO"/>
    <s v="VARREDOR"/>
    <x v="0"/>
    <d v="2019-12-18T00:00:00"/>
    <x v="0"/>
    <x v="2"/>
    <n v="-38.289999999999964"/>
    <x v="0"/>
  </r>
  <r>
    <n v="112413"/>
    <s v="EMERSON NEVES COSTA"/>
    <s v="MOTORISTA CAMINHAO"/>
    <x v="2"/>
    <d v="2019-06-01T00:00:00"/>
    <x v="0"/>
    <x v="0"/>
    <n v="0"/>
    <x v="0"/>
  </r>
  <r>
    <n v="112417"/>
    <s v="EMERSON PAULO DA SILVA LIMA"/>
    <s v="VARREDOR"/>
    <x v="1"/>
    <d v="2019-06-01T00:00:00"/>
    <x v="0"/>
    <x v="0"/>
    <n v="0"/>
    <x v="0"/>
  </r>
  <r>
    <n v="112439"/>
    <s v="ERALDO COSME DA SILVA"/>
    <s v="COLETOR"/>
    <x v="2"/>
    <d v="2019-06-01T00:00:00"/>
    <x v="0"/>
    <x v="0"/>
    <n v="0"/>
    <x v="0"/>
  </r>
  <r>
    <n v="112449"/>
    <s v="ERALDO SILVA DE OLIVEIRA"/>
    <s v="VARREDOR"/>
    <x v="1"/>
    <d v="2019-06-01T00:00:00"/>
    <x v="0"/>
    <x v="0"/>
    <n v="0"/>
    <x v="0"/>
  </r>
  <r>
    <n v="112471"/>
    <s v="ERASMO MIRANDA DOS SANTOS"/>
    <s v="AJUDANTE EQ SERVICOS DIVERSOS"/>
    <x v="3"/>
    <d v="2019-06-01T00:00:00"/>
    <x v="0"/>
    <x v="0"/>
    <n v="0"/>
    <x v="0"/>
  </r>
  <r>
    <n v="114255"/>
    <s v="ERDILENE RODRIGUES DE SOUSA"/>
    <s v="AJUDANTE EQ SERVICOS DIVERSOS"/>
    <x v="2"/>
    <d v="2019-12-05T00:00:00"/>
    <x v="0"/>
    <x v="0"/>
    <n v="0"/>
    <x v="0"/>
  </r>
  <r>
    <n v="116726"/>
    <s v="ERIC DOS SANTOS PINTO"/>
    <s v="VARREDOR"/>
    <x v="0"/>
    <d v="2021-06-21T00:00:00"/>
    <x v="13"/>
    <x v="12"/>
    <n v="557.58000000000004"/>
    <x v="2"/>
  </r>
  <r>
    <n v="112473"/>
    <s v="ERICK WILLIAM BORGES ARAUJO"/>
    <s v="VARREDOR"/>
    <x v="1"/>
    <d v="2019-06-01T00:00:00"/>
    <x v="0"/>
    <x v="0"/>
    <n v="0"/>
    <x v="0"/>
  </r>
  <r>
    <n v="114699"/>
    <s v="ERIK RIBEIRO DA SILVA"/>
    <s v="AJUDANTE EQ SERVICOS DIVERSOS"/>
    <x v="1"/>
    <d v="2020-02-13T00:00:00"/>
    <x v="0"/>
    <x v="0"/>
    <n v="0"/>
    <x v="0"/>
  </r>
  <r>
    <n v="119652"/>
    <s v="ERIKA DOS SANTOS OLIVEIRA"/>
    <s v="VARREDOR"/>
    <x v="1"/>
    <d v="2022-06-13T00:00:00"/>
    <x v="0"/>
    <x v="0"/>
    <n v="0"/>
    <x v="0"/>
  </r>
  <r>
    <n v="112494"/>
    <s v="ERIVALDO PEREIRA DE GOUVEIA"/>
    <s v="BUEIRISTA"/>
    <x v="1"/>
    <d v="2019-06-01T00:00:00"/>
    <x v="0"/>
    <x v="0"/>
    <n v="0"/>
    <x v="0"/>
  </r>
  <r>
    <n v="113776"/>
    <s v="ERIVALDO TIBURCIO DE MELO"/>
    <s v="MECANICO III"/>
    <x v="2"/>
    <d v="2019-06-07T00:00:00"/>
    <x v="0"/>
    <x v="0"/>
    <n v="0"/>
    <x v="2"/>
  </r>
  <r>
    <n v="112500"/>
    <s v="ERIVAN SILVA ALVES"/>
    <s v="AJUDANTE EQ SERVICOS DIVERSOS"/>
    <x v="0"/>
    <d v="2019-06-01T00:00:00"/>
    <x v="0"/>
    <x v="0"/>
    <n v="0"/>
    <x v="0"/>
  </r>
  <r>
    <n v="112506"/>
    <s v="ERIVANILDO BATISTA LOPES"/>
    <s v="MOTORISTA CAMINHAO"/>
    <x v="2"/>
    <d v="2019-06-01T00:00:00"/>
    <x v="0"/>
    <x v="0"/>
    <n v="0"/>
    <x v="0"/>
  </r>
  <r>
    <n v="112510"/>
    <s v="ERNALDO SOUSA DE JESUS"/>
    <s v="AJUDANTE EQ SERVICOS DIVERSOS"/>
    <x v="5"/>
    <d v="2019-06-01T00:00:00"/>
    <x v="0"/>
    <x v="0"/>
    <n v="0"/>
    <x v="0"/>
  </r>
  <r>
    <n v="112514"/>
    <s v="ERNANDES FLORENTINO SOARES"/>
    <s v="BUEIRISTA"/>
    <x v="3"/>
    <d v="2019-06-01T00:00:00"/>
    <x v="0"/>
    <x v="0"/>
    <n v="0"/>
    <x v="2"/>
  </r>
  <r>
    <n v="112518"/>
    <s v="ERONILDO BATISTA DO NASCIMENTO"/>
    <s v="MOTORISTA CAMINHAO"/>
    <x v="2"/>
    <d v="2019-06-01T00:00:00"/>
    <x v="0"/>
    <x v="0"/>
    <n v="0"/>
    <x v="0"/>
  </r>
  <r>
    <n v="112520"/>
    <s v="ESPEDITO RODRIGUES DOS SANTOS"/>
    <s v="VARREDOR"/>
    <x v="1"/>
    <d v="2019-06-01T00:00:00"/>
    <x v="0"/>
    <x v="0"/>
    <n v="0"/>
    <x v="0"/>
  </r>
  <r>
    <n v="112522"/>
    <s v="ESPERIDIAO CORREIA DA SILVA"/>
    <s v="VARREDOR"/>
    <x v="5"/>
    <d v="2019-06-01T00:00:00"/>
    <x v="0"/>
    <x v="0"/>
    <n v="0"/>
    <x v="0"/>
  </r>
  <r>
    <n v="112586"/>
    <s v="EUZEMAR FRANCO DE LIMA"/>
    <s v="VARREDOR"/>
    <x v="5"/>
    <d v="2019-06-01T00:00:00"/>
    <x v="0"/>
    <x v="0"/>
    <n v="0"/>
    <x v="0"/>
  </r>
  <r>
    <n v="112590"/>
    <s v="EVACI FERREIRA DOS SANTOS"/>
    <s v="COLETOR"/>
    <x v="2"/>
    <d v="2019-06-01T00:00:00"/>
    <x v="0"/>
    <x v="0"/>
    <n v="0"/>
    <x v="0"/>
  </r>
  <r>
    <n v="112598"/>
    <s v="EVALDO MOREIRA SANTOS"/>
    <s v="MOTORISTA CAMINHAO"/>
    <x v="2"/>
    <d v="2019-06-01T00:00:00"/>
    <x v="0"/>
    <x v="0"/>
    <n v="0"/>
    <x v="0"/>
  </r>
  <r>
    <n v="112602"/>
    <s v="EVALDO SILVA"/>
    <s v="FISCAL DE TURMA PLENO"/>
    <x v="3"/>
    <d v="2019-06-01T00:00:00"/>
    <x v="0"/>
    <x v="0"/>
    <n v="0"/>
    <x v="0"/>
  </r>
  <r>
    <n v="112606"/>
    <s v="EVANDRO ANTONIO DA CUNHA"/>
    <s v="COLETOR"/>
    <x v="2"/>
    <d v="2019-06-01T00:00:00"/>
    <x v="0"/>
    <x v="0"/>
    <n v="0"/>
    <x v="0"/>
  </r>
  <r>
    <n v="112609"/>
    <s v="EVANDRO RAMOS DA SILVA"/>
    <s v="VARREDOR"/>
    <x v="3"/>
    <d v="2019-06-01T00:00:00"/>
    <x v="0"/>
    <x v="0"/>
    <n v="0"/>
    <x v="0"/>
  </r>
  <r>
    <n v="112619"/>
    <s v="EVERSSON HENRIQUE CIPRIANO"/>
    <s v="AJUDANTE EQ SERVICOS DIVERSOS"/>
    <x v="3"/>
    <d v="2019-06-01T00:00:00"/>
    <x v="3"/>
    <x v="0"/>
    <n v="38.289999999999964"/>
    <x v="0"/>
  </r>
  <r>
    <n v="116027"/>
    <s v="EVERTON FREITAS DA SILVA"/>
    <s v="AJUDANTE EQ SERVICOS DIVERSOS"/>
    <x v="5"/>
    <d v="2021-01-11T00:00:00"/>
    <x v="3"/>
    <x v="4"/>
    <n v="-38.280000000000086"/>
    <x v="0"/>
  </r>
  <r>
    <n v="121525"/>
    <s v="EVERTON SOUZA DA SILVA"/>
    <s v="AJUDANTE EQ SERVICOS DIVERSOS"/>
    <x v="0"/>
    <d v="2023-02-15T00:00:00"/>
    <x v="0"/>
    <x v="2"/>
    <n v="-38.289999999999964"/>
    <x v="0"/>
  </r>
  <r>
    <n v="112629"/>
    <s v="EXPEDITO FERREIRA DA SILVA"/>
    <s v="VARREDOR"/>
    <x v="1"/>
    <d v="2019-06-01T00:00:00"/>
    <x v="0"/>
    <x v="0"/>
    <n v="0"/>
    <x v="0"/>
  </r>
  <r>
    <n v="117398"/>
    <s v="FABIANA ARIANE TEIXEIRA DOS REIS"/>
    <s v="ANALISTA DE PLANEJAMENTO OPERACIONAL"/>
    <x v="2"/>
    <d v="2021-11-22T00:00:00"/>
    <x v="0"/>
    <x v="0"/>
    <n v="0"/>
    <x v="0"/>
  </r>
  <r>
    <n v="114538"/>
    <s v="FABIANO ANSALDI DOMINGOS"/>
    <s v="ENCARREGADO DE TURMA"/>
    <x v="1"/>
    <d v="2019-12-18T00:00:00"/>
    <x v="0"/>
    <x v="0"/>
    <n v="0"/>
    <x v="0"/>
  </r>
  <r>
    <n v="112638"/>
    <s v="FABIANO CHAGAS MACIEL"/>
    <s v="AJUDANTE EQ SERVICOS DIVERSOS"/>
    <x v="3"/>
    <d v="2019-06-01T00:00:00"/>
    <x v="0"/>
    <x v="0"/>
    <n v="0"/>
    <x v="0"/>
  </r>
  <r>
    <n v="119642"/>
    <s v="FABIANO FRANCISCO LOPES"/>
    <s v="AJUDANTE EQ SERVICOS DIVERSOS"/>
    <x v="0"/>
    <d v="2022-06-13T00:00:00"/>
    <x v="0"/>
    <x v="0"/>
    <n v="0"/>
    <x v="0"/>
  </r>
  <r>
    <n v="112643"/>
    <s v="FABIANO LANDIM DA ROCHA"/>
    <s v="FISCAL DE TURMA PLENO"/>
    <x v="4"/>
    <d v="2019-06-01T00:00:00"/>
    <x v="0"/>
    <x v="0"/>
    <n v="0"/>
    <x v="0"/>
  </r>
  <r>
    <n v="112650"/>
    <s v="FABIANO PEREIRA DE OLIVEIRA SANTOS"/>
    <s v="VARREDOR"/>
    <x v="3"/>
    <d v="2019-06-01T00:00:00"/>
    <x v="0"/>
    <x v="0"/>
    <n v="0"/>
    <x v="0"/>
  </r>
  <r>
    <n v="114702"/>
    <s v="FABIANO SILVA LEITAO"/>
    <s v="VARREDOR"/>
    <x v="5"/>
    <d v="2020-02-13T00:00:00"/>
    <x v="2"/>
    <x v="2"/>
    <n v="38.280000000000086"/>
    <x v="0"/>
  </r>
  <r>
    <n v="114260"/>
    <s v="FABIO ALVES DE LIMA"/>
    <s v="AJUDANTE EQ SERVICOS DIVERSOS"/>
    <x v="1"/>
    <d v="2019-12-05T00:00:00"/>
    <x v="0"/>
    <x v="0"/>
    <n v="0"/>
    <x v="0"/>
  </r>
  <r>
    <n v="112654"/>
    <s v="FABIO CESAR DE OLIVEIRA SOUZA"/>
    <s v="MOTORISTA CAMINHAO"/>
    <x v="2"/>
    <d v="2019-06-04T00:00:00"/>
    <x v="0"/>
    <x v="0"/>
    <n v="0"/>
    <x v="2"/>
  </r>
  <r>
    <n v="113735"/>
    <s v="FABIO DA COSTA FERNANDES"/>
    <s v="ENCARREGADO DE PLANEJAMENTO"/>
    <x v="2"/>
    <d v="2019-06-03T00:00:00"/>
    <x v="0"/>
    <x v="0"/>
    <n v="0"/>
    <x v="0"/>
  </r>
  <r>
    <n v="112661"/>
    <s v="FABIO DA SILVA ALVES ROLIM"/>
    <s v="MOTORISTA DE CAMINHAO"/>
    <x v="2"/>
    <d v="2019-06-01T00:00:00"/>
    <x v="0"/>
    <x v="0"/>
    <n v="0"/>
    <x v="0"/>
  </r>
  <r>
    <n v="112668"/>
    <s v="FABIO DA SILVA DUARTE"/>
    <s v="VARREDOR"/>
    <x v="0"/>
    <d v="2019-06-01T00:00:00"/>
    <x v="0"/>
    <x v="0"/>
    <n v="0"/>
    <x v="0"/>
  </r>
  <r>
    <n v="114700"/>
    <s v="FABIO DOS SANTOS SOUZA"/>
    <s v="VARREDOR"/>
    <x v="1"/>
    <d v="2020-02-13T00:00:00"/>
    <x v="9"/>
    <x v="4"/>
    <n v="76.559999999999945"/>
    <x v="0"/>
  </r>
  <r>
    <n v="112680"/>
    <s v="FABIO FERREIRA DO NASCIMENTO"/>
    <s v="FISCAL DE TURMA PLENO"/>
    <x v="1"/>
    <d v="2019-06-01T00:00:00"/>
    <x v="0"/>
    <x v="0"/>
    <n v="0"/>
    <x v="0"/>
  </r>
  <r>
    <n v="114506"/>
    <s v="FABIO JOSE DOS SANTOS"/>
    <s v="PEDREIRO"/>
    <x v="2"/>
    <d v="2019-12-12T00:00:00"/>
    <x v="0"/>
    <x v="0"/>
    <n v="0"/>
    <x v="0"/>
  </r>
  <r>
    <n v="112709"/>
    <s v="FABIO JULIO FRANCISCO LUZ DA SILVA"/>
    <s v="MOTORISTA CAMINHAO"/>
    <x v="2"/>
    <d v="2019-06-01T00:00:00"/>
    <x v="0"/>
    <x v="0"/>
    <n v="0"/>
    <x v="0"/>
  </r>
  <r>
    <n v="112713"/>
    <s v="FABIO JUNIOR DOS SANTOS COSTA"/>
    <s v="MOTORISTA DE CAMINHAO"/>
    <x v="2"/>
    <d v="2019-06-01T00:00:00"/>
    <x v="0"/>
    <x v="0"/>
    <n v="0"/>
    <x v="0"/>
  </r>
  <r>
    <n v="112716"/>
    <s v="FABIO MIRANDA SILVA"/>
    <s v="VARREDOR"/>
    <x v="5"/>
    <d v="2019-06-01T00:00:00"/>
    <x v="0"/>
    <x v="0"/>
    <n v="0"/>
    <x v="0"/>
  </r>
  <r>
    <n v="112720"/>
    <s v="FABIO OLIVEIRA DOS ANJOS"/>
    <s v="VARREDOR"/>
    <x v="1"/>
    <d v="2019-06-01T00:00:00"/>
    <x v="0"/>
    <x v="0"/>
    <n v="0"/>
    <x v="0"/>
  </r>
  <r>
    <n v="112724"/>
    <s v="FABIO PEREIRA BARROS"/>
    <s v="AJUDANTE EQ SERVICOS DIVERSOS"/>
    <x v="4"/>
    <d v="2019-06-01T00:00:00"/>
    <x v="0"/>
    <x v="0"/>
    <n v="0"/>
    <x v="0"/>
  </r>
  <r>
    <n v="114120"/>
    <s v="FABIO ROBERTO DOS SANTOS"/>
    <s v="OPERADOR DE MAQUINA SENIOR"/>
    <x v="2"/>
    <d v="2019-10-01T00:00:00"/>
    <x v="0"/>
    <x v="0"/>
    <n v="0"/>
    <x v="0"/>
  </r>
  <r>
    <n v="112737"/>
    <s v="FABIO ROBERTO SILVA"/>
    <s v="VARREDOR"/>
    <x v="1"/>
    <d v="2019-06-01T00:00:00"/>
    <x v="0"/>
    <x v="0"/>
    <n v="0"/>
    <x v="0"/>
  </r>
  <r>
    <n v="112742"/>
    <s v="FABIO SANTOS SALES"/>
    <s v="FISCAL DE TURMA PLENO"/>
    <x v="2"/>
    <d v="2019-06-01T00:00:00"/>
    <x v="0"/>
    <x v="0"/>
    <n v="0"/>
    <x v="0"/>
  </r>
  <r>
    <n v="121956"/>
    <s v="FABRIANO SOUSA LIMA"/>
    <s v="AJUDANTE EQ SERVICOS DIVERSOS"/>
    <x v="3"/>
    <d v="2023-04-24T00:00:00"/>
    <x v="0"/>
    <x v="0"/>
    <n v="0"/>
    <x v="0"/>
  </r>
  <r>
    <n v="112745"/>
    <s v="FABRICIO DA COSTA GOMES"/>
    <s v="LAVADOR"/>
    <x v="2"/>
    <d v="2019-06-01T00:00:00"/>
    <x v="3"/>
    <x v="0"/>
    <n v="38.289999999999964"/>
    <x v="0"/>
  </r>
  <r>
    <n v="114606"/>
    <s v="FABRICIO REGIS DO REGO"/>
    <s v="VARREDOR"/>
    <x v="1"/>
    <d v="2020-01-06T00:00:00"/>
    <x v="0"/>
    <x v="0"/>
    <n v="0"/>
    <x v="0"/>
  </r>
  <r>
    <n v="112749"/>
    <s v="FAUSTINIANO MONTEIRO MAGALHAES"/>
    <s v="VARREDOR"/>
    <x v="1"/>
    <d v="2019-06-01T00:00:00"/>
    <x v="0"/>
    <x v="0"/>
    <n v="0"/>
    <x v="0"/>
  </r>
  <r>
    <n v="112753"/>
    <s v="FAUSTINO ARNALDO DE LANA"/>
    <s v="MECANICO II"/>
    <x v="2"/>
    <d v="2019-06-01T00:00:00"/>
    <x v="0"/>
    <x v="0"/>
    <n v="0"/>
    <x v="0"/>
  </r>
  <r>
    <n v="112757"/>
    <s v="FAUSTO ALVES DE ALMEIDA"/>
    <s v="MOTORISTA CAMINHAO"/>
    <x v="2"/>
    <d v="2019-06-01T00:00:00"/>
    <x v="0"/>
    <x v="0"/>
    <n v="0"/>
    <x v="0"/>
  </r>
  <r>
    <n v="114918"/>
    <s v="FELIPE CESAR SATO AZEVEDO"/>
    <s v="AJUDANTE EQ SERVICOS DIVERSOS"/>
    <x v="2"/>
    <d v="2020-03-26T00:00:00"/>
    <x v="0"/>
    <x v="0"/>
    <n v="0"/>
    <x v="0"/>
  </r>
  <r>
    <n v="115214"/>
    <s v="FELIPE CUSTODIO DA SILVA"/>
    <s v="AJUDANTE EQ SERVICOS DIVERSOS"/>
    <x v="3"/>
    <d v="2020-07-06T00:00:00"/>
    <x v="0"/>
    <x v="0"/>
    <n v="0"/>
    <x v="0"/>
  </r>
  <r>
    <n v="115397"/>
    <s v="FELIPE DE JESUS"/>
    <s v="AJUDANTE EQ SERVICOS DIVERSOS"/>
    <x v="2"/>
    <d v="2020-08-05T00:00:00"/>
    <x v="3"/>
    <x v="0"/>
    <n v="38.289999999999964"/>
    <x v="0"/>
  </r>
  <r>
    <n v="115378"/>
    <s v="FELIPE DE SOUZA TELES"/>
    <s v="AJUDANTE EQ SERVICOS DIVERSOS"/>
    <x v="1"/>
    <d v="2020-08-03T00:00:00"/>
    <x v="0"/>
    <x v="2"/>
    <n v="-38.289999999999964"/>
    <x v="0"/>
  </r>
  <r>
    <n v="114729"/>
    <s v="FELIPE DOS SANTOS"/>
    <s v="VARREDOR"/>
    <x v="3"/>
    <d v="2020-02-13T00:00:00"/>
    <x v="0"/>
    <x v="0"/>
    <n v="0"/>
    <x v="0"/>
  </r>
  <r>
    <n v="119665"/>
    <s v="FELIPE FERREIRA PINTO"/>
    <s v="VARREDOR"/>
    <x v="5"/>
    <d v="2022-06-13T00:00:00"/>
    <x v="0"/>
    <x v="0"/>
    <n v="0"/>
    <x v="0"/>
  </r>
  <r>
    <n v="112764"/>
    <s v="FELIPE FIGUEIREDO DA SILVA"/>
    <s v="FISCAL DE TURMA PLENO"/>
    <x v="0"/>
    <d v="2019-06-01T00:00:00"/>
    <x v="0"/>
    <x v="0"/>
    <n v="0"/>
    <x v="0"/>
  </r>
  <r>
    <n v="114316"/>
    <s v="FELIPE GOMES DA SILVA"/>
    <s v="AJUDANTE EQ SERVICOS DIVERSOS"/>
    <x v="1"/>
    <d v="2019-12-12T00:00:00"/>
    <x v="0"/>
    <x v="4"/>
    <n v="-76.57000000000005"/>
    <x v="0"/>
  </r>
  <r>
    <n v="115818"/>
    <s v="FELIPE MENDES DO AMARANTE SOUSA"/>
    <s v="AJUDANTE EQ SERVICOS DIVERSOS"/>
    <x v="1"/>
    <d v="2020-11-19T00:00:00"/>
    <x v="0"/>
    <x v="0"/>
    <n v="0"/>
    <x v="0"/>
  </r>
  <r>
    <n v="112766"/>
    <s v="FERNANDO ALVES DE SOUSA"/>
    <s v="AJUDANTE EQ SERVICOS DIVERSOS"/>
    <x v="3"/>
    <d v="2019-06-01T00:00:00"/>
    <x v="0"/>
    <x v="2"/>
    <n v="-38.289999999999964"/>
    <x v="0"/>
  </r>
  <r>
    <n v="112768"/>
    <s v="FERNANDO ANTONIO DA SILVA"/>
    <s v="COLETOR"/>
    <x v="2"/>
    <d v="2019-06-01T00:00:00"/>
    <x v="0"/>
    <x v="0"/>
    <n v="0"/>
    <x v="0"/>
  </r>
  <r>
    <n v="112799"/>
    <s v="FERNANDO JESUS DO CARMO"/>
    <s v="AJUDANTE EQ SERVICOS DIVERSOS"/>
    <x v="4"/>
    <d v="2019-06-01T00:00:00"/>
    <x v="3"/>
    <x v="0"/>
    <n v="38.289999999999964"/>
    <x v="0"/>
  </r>
  <r>
    <n v="116738"/>
    <s v="FERNANDO SARDINHA MIGUEL DE LIMA"/>
    <s v="AUXILIAR DE PLANEJAMENTO OPERACIONAL"/>
    <x v="2"/>
    <d v="2021-06-23T00:00:00"/>
    <x v="0"/>
    <x v="0"/>
    <n v="0"/>
    <x v="0"/>
  </r>
  <r>
    <n v="113714"/>
    <s v="FILIPE NASCIMENTO DE PAULA"/>
    <s v="ASSISTENTE ADMINISTRATIVO"/>
    <x v="2"/>
    <d v="2019-06-03T00:00:00"/>
    <x v="0"/>
    <x v="0"/>
    <n v="0"/>
    <x v="0"/>
  </r>
  <r>
    <n v="114765"/>
    <s v="FLAVIO DOS SANTOS MALAQUIAS"/>
    <s v="MOTORISTA DE CAMINHAO"/>
    <x v="2"/>
    <d v="2020-02-13T00:00:00"/>
    <x v="0"/>
    <x v="0"/>
    <n v="0"/>
    <x v="0"/>
  </r>
  <r>
    <n v="112818"/>
    <s v="FLAVIO FIGUEREDO DOS SANTOS"/>
    <s v="FISCAL DE TURMA PLENO"/>
    <x v="5"/>
    <d v="2019-06-01T00:00:00"/>
    <x v="0"/>
    <x v="0"/>
    <n v="0"/>
    <x v="0"/>
  </r>
  <r>
    <n v="115409"/>
    <s v="FLAVIO MANOEL DUARTE"/>
    <s v="AJUDANTE EQ SERVICOS DIVERSOS"/>
    <x v="0"/>
    <d v="2020-08-05T00:00:00"/>
    <x v="14"/>
    <x v="10"/>
    <n v="38.280000000000086"/>
    <x v="0"/>
  </r>
  <r>
    <n v="122089"/>
    <s v="FLAVIO RABELO DE MORAIS"/>
    <s v="AJUDANTE EQ SERVICOS DIVERSOS"/>
    <x v="1"/>
    <d v="2023-05-15T00:00:00"/>
    <x v="0"/>
    <x v="0"/>
    <n v="0"/>
    <x v="0"/>
  </r>
  <r>
    <n v="112829"/>
    <s v="FLAVIO RODRIGUES JOAQUIM"/>
    <s v="MOTORISTA DE CAMINHAO"/>
    <x v="2"/>
    <d v="2019-06-01T00:00:00"/>
    <x v="2"/>
    <x v="0"/>
    <n v="76.57000000000005"/>
    <x v="0"/>
  </r>
  <r>
    <n v="112832"/>
    <s v="FRANCIMARIO FERREIRA ANTUNES"/>
    <s v="COLETOR"/>
    <x v="2"/>
    <d v="2019-06-01T00:00:00"/>
    <x v="0"/>
    <x v="0"/>
    <n v="0"/>
    <x v="0"/>
  </r>
  <r>
    <n v="112840"/>
    <s v="FRANCISCO ALVES MARTINS"/>
    <s v="VARREDOR"/>
    <x v="3"/>
    <d v="2019-06-01T00:00:00"/>
    <x v="0"/>
    <x v="0"/>
    <n v="0"/>
    <x v="0"/>
  </r>
  <r>
    <n v="112849"/>
    <s v="FRANCISCO ASSIS DE OLIVEIRA"/>
    <s v="VARREDOR"/>
    <x v="3"/>
    <d v="2019-06-01T00:00:00"/>
    <x v="0"/>
    <x v="0"/>
    <n v="0"/>
    <x v="0"/>
  </r>
  <r>
    <n v="112864"/>
    <s v="FRANCISCO CARLOS LIMEIRA DA SILVA"/>
    <s v="VARREDOR"/>
    <x v="1"/>
    <d v="2019-06-01T00:00:00"/>
    <x v="0"/>
    <x v="0"/>
    <n v="0"/>
    <x v="0"/>
  </r>
  <r>
    <n v="112870"/>
    <s v="FRANCISCO DAS CHAGAS GOMES PINTO"/>
    <s v="VARREDOR"/>
    <x v="5"/>
    <d v="2019-06-01T00:00:00"/>
    <x v="0"/>
    <x v="0"/>
    <n v="0"/>
    <x v="0"/>
  </r>
  <r>
    <n v="112886"/>
    <s v="FRANCISCO DE ASSIS ALEXANDRE NUNES"/>
    <s v="VARREDOR"/>
    <x v="3"/>
    <d v="2019-06-01T00:00:00"/>
    <x v="0"/>
    <x v="0"/>
    <n v="0"/>
    <x v="0"/>
  </r>
  <r>
    <n v="114954"/>
    <s v="FRANCISCO DE ASSIS SOUZA"/>
    <s v="MOTORISTA CAMINHAO"/>
    <x v="2"/>
    <d v="2020-03-26T00:00:00"/>
    <x v="0"/>
    <x v="0"/>
    <n v="0"/>
    <x v="0"/>
  </r>
  <r>
    <n v="112904"/>
    <s v="FRANCISCO DUTRA DA PAIXAO"/>
    <s v="MOTORISTA CAMINHAO"/>
    <x v="2"/>
    <d v="2019-06-04T00:00:00"/>
    <x v="0"/>
    <x v="0"/>
    <n v="0"/>
    <x v="0"/>
  </r>
  <r>
    <n v="112912"/>
    <s v="FRANCISCO EDIVALDO GALDINO FREITAS"/>
    <s v="VARREDOR"/>
    <x v="1"/>
    <d v="2019-06-01T00:00:00"/>
    <x v="0"/>
    <x v="0"/>
    <n v="0"/>
    <x v="0"/>
  </r>
  <r>
    <n v="112974"/>
    <s v="FRANCISCO ELSON COSTA PEREIRA"/>
    <s v="VARREDOR"/>
    <x v="1"/>
    <d v="2019-06-01T00:00:00"/>
    <x v="0"/>
    <x v="0"/>
    <n v="0"/>
    <x v="0"/>
  </r>
  <r>
    <n v="112978"/>
    <s v="FRANCISCO ERIVAN DA SILVA FELIX"/>
    <s v="VARREDOR"/>
    <x v="1"/>
    <d v="2019-06-01T00:00:00"/>
    <x v="0"/>
    <x v="0"/>
    <n v="0"/>
    <x v="0"/>
  </r>
  <r>
    <n v="119632"/>
    <s v="FRANCISCO FIRMINO ALVES JUNIOR"/>
    <s v="MOTORISTA CAMINHAO"/>
    <x v="2"/>
    <d v="2022-06-13T00:00:00"/>
    <x v="0"/>
    <x v="0"/>
    <n v="0"/>
    <x v="0"/>
  </r>
  <r>
    <n v="114770"/>
    <s v="FRANCISCO GEAN PEREIRA DE ARAUJO"/>
    <s v="MOTORISTA DE CAMINHAO"/>
    <x v="2"/>
    <d v="2020-02-13T00:00:00"/>
    <x v="0"/>
    <x v="0"/>
    <n v="0"/>
    <x v="0"/>
  </r>
  <r>
    <n v="113029"/>
    <s v="FRANCISCO NACELIO DE SOUSA"/>
    <s v="MOTORISTA CAMINHAO"/>
    <x v="2"/>
    <d v="2019-06-01T00:00:00"/>
    <x v="0"/>
    <x v="0"/>
    <n v="0"/>
    <x v="0"/>
  </r>
  <r>
    <n v="113035"/>
    <s v="FRANCISCO NILBERTO BEZERRA DO NASCIMENTO"/>
    <s v="COLETOR"/>
    <x v="2"/>
    <d v="2019-06-01T00:00:00"/>
    <x v="0"/>
    <x v="0"/>
    <n v="0"/>
    <x v="2"/>
  </r>
  <r>
    <n v="120172"/>
    <s v="FRANCISCO SANTOS FERNANDES DE LIMA"/>
    <s v="AJUDANTE EQ SERVICOS DIVERSOS"/>
    <x v="0"/>
    <d v="2022-08-18T00:00:00"/>
    <x v="15"/>
    <x v="0"/>
    <n v="-38.289999999999964"/>
    <x v="0"/>
  </r>
  <r>
    <n v="113064"/>
    <s v="FRANCISNALDO DA SILVA NEPOMUCENO"/>
    <s v="AJUDANTE EQ SERVICOS DIVERSOS"/>
    <x v="2"/>
    <d v="2019-06-01T00:00:00"/>
    <x v="0"/>
    <x v="2"/>
    <n v="-38.289999999999964"/>
    <x v="0"/>
  </r>
  <r>
    <n v="113071"/>
    <s v="FRANQUILANIO DA SILVA"/>
    <s v="FISCAL DE TURMA PLENO"/>
    <x v="1"/>
    <d v="2019-06-01T00:00:00"/>
    <x v="0"/>
    <x v="0"/>
    <n v="0"/>
    <x v="0"/>
  </r>
  <r>
    <n v="113075"/>
    <s v="FREDSON VIEIRA BRAGA"/>
    <s v="VARREDOR"/>
    <x v="1"/>
    <d v="2019-06-01T00:00:00"/>
    <x v="0"/>
    <x v="0"/>
    <n v="0"/>
    <x v="0"/>
  </r>
  <r>
    <n v="117407"/>
    <s v="GABRIEL ANTONIO COSTA DA SILVA"/>
    <s v="VARREDOR"/>
    <x v="3"/>
    <d v="2021-11-22T00:00:00"/>
    <x v="0"/>
    <x v="0"/>
    <n v="0"/>
    <x v="0"/>
  </r>
  <r>
    <n v="113079"/>
    <s v="GABRIEL AUGUSTO DE ANDRADE"/>
    <s v="AJUDANTE EQ SERVICOS DIVERSOS"/>
    <x v="3"/>
    <d v="2019-06-01T00:00:00"/>
    <x v="0"/>
    <x v="0"/>
    <n v="0"/>
    <x v="0"/>
  </r>
  <r>
    <n v="116323"/>
    <s v="GABRIEL BARBOSA SOUZA"/>
    <s v="AJUDANTE EQ SERVICOS DIVERSOS"/>
    <x v="1"/>
    <d v="2021-04-22T00:00:00"/>
    <x v="0"/>
    <x v="0"/>
    <n v="0"/>
    <x v="0"/>
  </r>
  <r>
    <n v="116003"/>
    <s v="GABRIEL DA SILVA PRADO"/>
    <s v="AJUDANTE EQ SERVICOS DIVERSOS"/>
    <x v="1"/>
    <d v="2021-01-11T00:00:00"/>
    <x v="0"/>
    <x v="0"/>
    <n v="0"/>
    <x v="0"/>
  </r>
  <r>
    <n v="119679"/>
    <s v="GABRIEL JOSE DA SILVA"/>
    <s v="AJUDANTE EQ SERVICOS DIVERSOS"/>
    <x v="1"/>
    <d v="2022-06-13T00:00:00"/>
    <x v="0"/>
    <x v="0"/>
    <n v="0"/>
    <x v="0"/>
  </r>
  <r>
    <n v="113111"/>
    <s v="GABRIEL SANTOS QUARESMA"/>
    <s v="AJUDANTE EQ SERVICOS DIVERSOS"/>
    <x v="1"/>
    <d v="2019-06-01T00:00:00"/>
    <x v="0"/>
    <x v="4"/>
    <n v="-76.57000000000005"/>
    <x v="0"/>
  </r>
  <r>
    <n v="117412"/>
    <s v="GABRIEL SILVA MARQUES TRAJANO"/>
    <s v="VARREDOR"/>
    <x v="0"/>
    <d v="2021-11-22T00:00:00"/>
    <x v="0"/>
    <x v="0"/>
    <n v="0"/>
    <x v="0"/>
  </r>
  <r>
    <n v="114269"/>
    <s v="GABRIELA FERREIRA DE JESUS"/>
    <s v="AJUDANTE EQ SERVICOS DIVERSOS"/>
    <x v="1"/>
    <d v="2019-12-05T00:00:00"/>
    <x v="0"/>
    <x v="0"/>
    <n v="0"/>
    <x v="0"/>
  </r>
  <r>
    <n v="113121"/>
    <s v="GENEILSON RODRIGUES DA SILVA"/>
    <s v="MOTORISTA CAMINHAO"/>
    <x v="2"/>
    <d v="2019-06-01T00:00:00"/>
    <x v="0"/>
    <x v="0"/>
    <n v="0"/>
    <x v="0"/>
  </r>
  <r>
    <n v="113131"/>
    <s v="GENEVAL JOSE DA SILVA"/>
    <s v="VARREDOR"/>
    <x v="0"/>
    <d v="2019-06-01T00:00:00"/>
    <x v="0"/>
    <x v="0"/>
    <n v="0"/>
    <x v="0"/>
  </r>
  <r>
    <n v="113136"/>
    <s v="GENILSON BATISTA CALADO"/>
    <s v="COLETOR"/>
    <x v="2"/>
    <d v="2019-06-01T00:00:00"/>
    <x v="0"/>
    <x v="0"/>
    <n v="0"/>
    <x v="0"/>
  </r>
  <r>
    <n v="113150"/>
    <s v="GENIVALDO DA SILVA"/>
    <s v="COLETOR"/>
    <x v="2"/>
    <d v="2019-06-01T00:00:00"/>
    <x v="0"/>
    <x v="0"/>
    <n v="0"/>
    <x v="0"/>
  </r>
  <r>
    <n v="113153"/>
    <s v="GENIVALDO DOS SANTOS ARAUJO"/>
    <s v="AJUDANTE EQ SERVICOS DIVERSOS"/>
    <x v="5"/>
    <d v="2019-06-01T00:00:00"/>
    <x v="0"/>
    <x v="0"/>
    <n v="0"/>
    <x v="2"/>
  </r>
  <r>
    <n v="113179"/>
    <s v="GENIVALDO SANTOS DE JESUS"/>
    <s v="AJUDANTE EQ SERVICOS DIVERSOS"/>
    <x v="1"/>
    <d v="2019-06-01T00:00:00"/>
    <x v="0"/>
    <x v="0"/>
    <n v="0"/>
    <x v="0"/>
  </r>
  <r>
    <n v="113181"/>
    <s v="GEORGE DOS SANTOS BARBOSA"/>
    <s v="AJUDANTE EQ SERVICOS DIVERSOS"/>
    <x v="1"/>
    <d v="2019-06-01T00:00:00"/>
    <x v="0"/>
    <x v="0"/>
    <n v="0"/>
    <x v="0"/>
  </r>
  <r>
    <n v="116235"/>
    <s v="GERALDO CORREA"/>
    <s v="VARREDOR"/>
    <x v="3"/>
    <d v="2021-03-18T00:00:00"/>
    <x v="0"/>
    <x v="0"/>
    <n v="0"/>
    <x v="0"/>
  </r>
  <r>
    <n v="113194"/>
    <s v="GERALDO EVANGELISTA DE CARVALHO"/>
    <s v="VARREDOR"/>
    <x v="3"/>
    <d v="2019-06-01T00:00:00"/>
    <x v="0"/>
    <x v="0"/>
    <n v="0"/>
    <x v="0"/>
  </r>
  <r>
    <n v="113199"/>
    <s v="GERALDO GUEDES DA SILVA"/>
    <s v="VARREDOR"/>
    <x v="3"/>
    <d v="2019-06-01T00:00:00"/>
    <x v="0"/>
    <x v="0"/>
    <n v="0"/>
    <x v="0"/>
  </r>
  <r>
    <n v="113202"/>
    <s v="GERALDO LEONILDO DA SILVA"/>
    <s v="AJUDANTE EQ SERVICOS DIVERSOS"/>
    <x v="4"/>
    <d v="2019-06-01T00:00:00"/>
    <x v="0"/>
    <x v="0"/>
    <n v="0"/>
    <x v="0"/>
  </r>
  <r>
    <n v="113206"/>
    <s v="GERALDO MANGELA DAMASIO"/>
    <s v="VARREDOR"/>
    <x v="5"/>
    <d v="2019-06-01T00:00:00"/>
    <x v="0"/>
    <x v="0"/>
    <n v="0"/>
    <x v="0"/>
  </r>
  <r>
    <n v="113209"/>
    <s v="GERALDO MANOEL DO NASCIMENTO"/>
    <s v="VARREDOR"/>
    <x v="1"/>
    <d v="2019-06-01T00:00:00"/>
    <x v="0"/>
    <x v="0"/>
    <n v="0"/>
    <x v="0"/>
  </r>
  <r>
    <n v="116804"/>
    <s v="GERRI ALVES DOS SANTOS"/>
    <s v="AGENTE AMBIENTAL"/>
    <x v="2"/>
    <d v="2021-07-13T00:00:00"/>
    <x v="3"/>
    <x v="2"/>
    <n v="0"/>
    <x v="0"/>
  </r>
  <r>
    <n v="113225"/>
    <s v="GERSON CAETANO DO NASCIMENTO"/>
    <s v="VARREDOR"/>
    <x v="1"/>
    <d v="2019-06-01T00:00:00"/>
    <x v="0"/>
    <x v="0"/>
    <n v="0"/>
    <x v="2"/>
  </r>
  <r>
    <n v="113228"/>
    <s v="GERSON DE JESUS SOARES"/>
    <s v="COLETOR"/>
    <x v="2"/>
    <d v="2019-06-01T00:00:00"/>
    <x v="0"/>
    <x v="0"/>
    <n v="0"/>
    <x v="0"/>
  </r>
  <r>
    <n v="113233"/>
    <s v="GERSON FERNANDO LIMA SOUSA"/>
    <s v="AJUDANTE EQ SERVICOS DIVERSOS"/>
    <x v="1"/>
    <d v="2019-06-01T00:00:00"/>
    <x v="0"/>
    <x v="0"/>
    <n v="0"/>
    <x v="0"/>
  </r>
  <r>
    <n v="113246"/>
    <s v="GERSON RODRIGUES CAVALCANTE"/>
    <s v="MOTORISTA CAMINHAO"/>
    <x v="2"/>
    <d v="2019-06-01T00:00:00"/>
    <x v="0"/>
    <x v="0"/>
    <n v="0"/>
    <x v="0"/>
  </r>
  <r>
    <n v="113249"/>
    <s v="GIDALTO SOUSA DE CASTRO"/>
    <s v="VARREDOR"/>
    <x v="0"/>
    <d v="2019-06-01T00:00:00"/>
    <x v="0"/>
    <x v="0"/>
    <n v="0"/>
    <x v="0"/>
  </r>
  <r>
    <n v="118057"/>
    <s v="GILBERTO BENTO RODRIGUES"/>
    <s v="AJUDANTE EQ SERVICOS DIVERSOS"/>
    <x v="1"/>
    <d v="2022-01-06T00:00:00"/>
    <x v="3"/>
    <x v="2"/>
    <n v="0"/>
    <x v="0"/>
  </r>
  <r>
    <n v="113260"/>
    <s v="GILBERTO DA COSTA"/>
    <s v="AJUDANTE EQ SERVICOS DIVERSOS"/>
    <x v="0"/>
    <d v="2019-06-01T00:00:00"/>
    <x v="0"/>
    <x v="0"/>
    <n v="0"/>
    <x v="0"/>
  </r>
  <r>
    <n v="113264"/>
    <s v="GILBERTO DE JESUS OLIVEIRA"/>
    <s v="VARREDOR"/>
    <x v="0"/>
    <d v="2019-06-01T00:00:00"/>
    <x v="0"/>
    <x v="0"/>
    <n v="0"/>
    <x v="0"/>
  </r>
  <r>
    <n v="113268"/>
    <s v="GILBERTO GOMES TEIXEIRA"/>
    <s v="AJUDANTE EQ SERVICOS DIVERSOS"/>
    <x v="3"/>
    <d v="2019-06-01T00:00:00"/>
    <x v="0"/>
    <x v="0"/>
    <n v="0"/>
    <x v="0"/>
  </r>
  <r>
    <n v="113272"/>
    <s v="GILBERTO SILVA SANTOS"/>
    <s v="VARREDOR"/>
    <x v="1"/>
    <d v="2019-06-01T00:00:00"/>
    <x v="0"/>
    <x v="0"/>
    <n v="0"/>
    <x v="0"/>
  </r>
  <r>
    <n v="113274"/>
    <s v="GILCELIO SOARES"/>
    <s v="VARREDOR"/>
    <x v="3"/>
    <d v="2019-06-01T00:00:00"/>
    <x v="0"/>
    <x v="0"/>
    <n v="0"/>
    <x v="0"/>
  </r>
  <r>
    <n v="113278"/>
    <s v="GILDENE DA SILVA"/>
    <s v="AJUDANTE EQ SERVICOS DIVERSOS"/>
    <x v="5"/>
    <d v="2019-06-01T00:00:00"/>
    <x v="0"/>
    <x v="0"/>
    <n v="0"/>
    <x v="0"/>
  </r>
  <r>
    <n v="113280"/>
    <s v="GILMAR RIBEIRO"/>
    <s v="AJUDANTE EQ SERVICOS DIVERSOS"/>
    <x v="0"/>
    <d v="2019-06-01T00:00:00"/>
    <x v="0"/>
    <x v="0"/>
    <n v="0"/>
    <x v="0"/>
  </r>
  <r>
    <n v="113287"/>
    <s v="GILSON ALVES DA SILVA"/>
    <s v="VARREDOR"/>
    <x v="3"/>
    <d v="2019-06-01T00:00:00"/>
    <x v="0"/>
    <x v="0"/>
    <n v="0"/>
    <x v="0"/>
  </r>
  <r>
    <n v="122570"/>
    <s v="GILSON ARAUJO DE LIMA"/>
    <s v="MOTORISTA CAMINHAO"/>
    <x v="2"/>
    <d v="2023-07-24T00:00:00"/>
    <x v="7"/>
    <x v="0"/>
    <n v="-273.79999999999995"/>
    <x v="0"/>
  </r>
  <r>
    <n v="113289"/>
    <s v="GILSON DE OLIVEIRA"/>
    <s v="VARREDOR"/>
    <x v="5"/>
    <d v="2019-06-01T00:00:00"/>
    <x v="0"/>
    <x v="0"/>
    <n v="0"/>
    <x v="0"/>
  </r>
  <r>
    <n v="116389"/>
    <s v="GILSON MUNIZ SILVA"/>
    <s v="VARREDOR"/>
    <x v="1"/>
    <d v="2021-05-12T00:00:00"/>
    <x v="0"/>
    <x v="0"/>
    <n v="0"/>
    <x v="0"/>
  </r>
  <r>
    <n v="122079"/>
    <s v="GILSON SILVA DIAS"/>
    <s v="AJUDANTE EQ SERVICOS DIVERSOS"/>
    <x v="3"/>
    <d v="2023-05-15T00:00:00"/>
    <x v="15"/>
    <x v="0"/>
    <n v="-38.289999999999964"/>
    <x v="0"/>
  </r>
  <r>
    <n v="113298"/>
    <s v="GILVAN DE JESUS ROSA"/>
    <s v="COLETOR"/>
    <x v="2"/>
    <d v="2019-06-01T00:00:00"/>
    <x v="0"/>
    <x v="0"/>
    <n v="0"/>
    <x v="0"/>
  </r>
  <r>
    <n v="113308"/>
    <s v="GILVANIA VIEIRA DOS SANTOS"/>
    <s v="FAXINEIRO(A)"/>
    <x v="2"/>
    <d v="2019-06-01T00:00:00"/>
    <x v="0"/>
    <x v="0"/>
    <n v="0"/>
    <x v="0"/>
  </r>
  <r>
    <n v="113317"/>
    <s v="GIRLANIO CAVALCANTE DE ALMEIDA"/>
    <s v="VARREDOR"/>
    <x v="1"/>
    <d v="2019-06-01T00:00:00"/>
    <x v="0"/>
    <x v="0"/>
    <n v="0"/>
    <x v="0"/>
  </r>
  <r>
    <n v="113323"/>
    <s v="GISLAINE ALMEIDA DE JESUS"/>
    <s v="AJUDANTE EQ SERVICOS DIVERSOS"/>
    <x v="5"/>
    <d v="2019-06-01T00:00:00"/>
    <x v="3"/>
    <x v="0"/>
    <n v="38.289999999999964"/>
    <x v="0"/>
  </r>
  <r>
    <n v="113328"/>
    <s v="GIULIANO HENRIQUE DA SILVA"/>
    <s v="VARREDOR"/>
    <x v="3"/>
    <d v="2019-06-01T00:00:00"/>
    <x v="0"/>
    <x v="0"/>
    <n v="0"/>
    <x v="0"/>
  </r>
  <r>
    <n v="113353"/>
    <s v="GIVANILDO FREIRE DE NOVAES"/>
    <s v="MOTORISTA DE CAMINHAO"/>
    <x v="2"/>
    <d v="2019-06-01T00:00:00"/>
    <x v="0"/>
    <x v="0"/>
    <n v="0"/>
    <x v="0"/>
  </r>
  <r>
    <n v="117235"/>
    <s v="GLEICE FERNANDES DA SILVA"/>
    <s v="AJUDANTE EQ SERVICOS DIVERSOS"/>
    <x v="1"/>
    <d v="2021-10-18T00:00:00"/>
    <x v="0"/>
    <x v="2"/>
    <n v="-38.289999999999964"/>
    <x v="0"/>
  </r>
  <r>
    <n v="113357"/>
    <s v="GLEIDSTON BANDEIRA DA SILVA"/>
    <s v="VARREDOR"/>
    <x v="4"/>
    <d v="2019-06-01T00:00:00"/>
    <x v="0"/>
    <x v="0"/>
    <n v="0"/>
    <x v="0"/>
  </r>
  <r>
    <n v="113367"/>
    <s v="GLEISON ALAN DOS SANTOS"/>
    <s v="COLETOR"/>
    <x v="2"/>
    <d v="2019-06-01T00:00:00"/>
    <x v="0"/>
    <x v="0"/>
    <n v="0"/>
    <x v="0"/>
  </r>
  <r>
    <n v="114547"/>
    <s v="GLEYSSON NASCIMENTO DOS SANTOS"/>
    <s v="VARREDOR"/>
    <x v="3"/>
    <d v="2019-12-18T00:00:00"/>
    <x v="9"/>
    <x v="13"/>
    <n v="-76.57000000000005"/>
    <x v="0"/>
  </r>
  <r>
    <n v="113376"/>
    <s v="GRACIMAR MARIA PASSOS"/>
    <s v="VARREDOR"/>
    <x v="0"/>
    <d v="2019-06-01T00:00:00"/>
    <x v="0"/>
    <x v="0"/>
    <n v="0"/>
    <x v="0"/>
  </r>
  <r>
    <n v="114107"/>
    <s v="GUILHERME DA SILVA FIM"/>
    <s v="VARREDOR"/>
    <x v="0"/>
    <d v="2019-09-20T00:00:00"/>
    <x v="0"/>
    <x v="0"/>
    <n v="0"/>
    <x v="0"/>
  </r>
  <r>
    <n v="116316"/>
    <s v="GUILHERME MARINHO DOS SANTOS"/>
    <s v="AJUDANTE EQ SERVICOS DIVERSOS"/>
    <x v="5"/>
    <d v="2021-04-22T00:00:00"/>
    <x v="0"/>
    <x v="0"/>
    <n v="0"/>
    <x v="2"/>
  </r>
  <r>
    <n v="120357"/>
    <s v="GUILHERME PEREIRA MENDES"/>
    <s v="AJUDANTE EQ SERVICOS DIVERSOS"/>
    <x v="5"/>
    <d v="2022-09-16T00:00:00"/>
    <x v="0"/>
    <x v="0"/>
    <n v="0"/>
    <x v="0"/>
  </r>
  <r>
    <n v="116728"/>
    <s v="GUILHERME PIOVESAN CUSTODIO"/>
    <s v="AJUDANTE EQ SERVICOS DIVERSOS"/>
    <x v="1"/>
    <d v="2021-06-21T00:00:00"/>
    <x v="10"/>
    <x v="14"/>
    <n v="-566.62"/>
    <x v="0"/>
  </r>
  <r>
    <n v="113391"/>
    <s v="GUSTAVO DIAS TOMAZ"/>
    <s v="VARREDOR"/>
    <x v="0"/>
    <d v="2019-06-01T00:00:00"/>
    <x v="0"/>
    <x v="0"/>
    <n v="0"/>
    <x v="0"/>
  </r>
  <r>
    <n v="117245"/>
    <s v="GUSTAVO DO NASCIMENTO BATISTA"/>
    <s v="AJUDANTE EQ SERVICOS DIVERSOS"/>
    <x v="2"/>
    <d v="2021-10-18T00:00:00"/>
    <x v="0"/>
    <x v="0"/>
    <n v="0"/>
    <x v="0"/>
  </r>
  <r>
    <n v="113394"/>
    <s v="GUSTAVO OLIVEIRA SOUZA"/>
    <s v="BUEIRISTA"/>
    <x v="3"/>
    <d v="2019-06-01T00:00:00"/>
    <x v="0"/>
    <x v="0"/>
    <n v="0"/>
    <x v="0"/>
  </r>
  <r>
    <n v="121024"/>
    <s v="GUSTAVO RODRIGUES DOS SANTOS"/>
    <s v="VARREDOR"/>
    <x v="0"/>
    <d v="2022-12-05T00:00:00"/>
    <x v="3"/>
    <x v="0"/>
    <n v="38.289999999999964"/>
    <x v="0"/>
  </r>
  <r>
    <n v="116652"/>
    <s v="GUSTAVO VALZACHI BENATTI"/>
    <s v="GERENTE OPERACIONAL"/>
    <x v="7"/>
    <d v="2021-06-23T00:00:00"/>
    <x v="0"/>
    <x v="0"/>
    <n v="0"/>
    <x v="0"/>
  </r>
  <r>
    <n v="113405"/>
    <s v="HELCIO SOARES SARAIVA"/>
    <s v="VARREDOR"/>
    <x v="3"/>
    <d v="2019-06-01T00:00:00"/>
    <x v="0"/>
    <x v="0"/>
    <n v="0"/>
    <x v="0"/>
  </r>
  <r>
    <n v="113413"/>
    <s v="HELIO ALVES DE OLIVEIRA"/>
    <s v="VARREDOR"/>
    <x v="1"/>
    <d v="2019-06-01T00:00:00"/>
    <x v="0"/>
    <x v="0"/>
    <n v="0"/>
    <x v="0"/>
  </r>
  <r>
    <n v="114948"/>
    <s v="HELIO CORDEIRO LUCIO"/>
    <s v="MOTORISTA CAMINHAO"/>
    <x v="2"/>
    <d v="2020-03-26T00:00:00"/>
    <x v="0"/>
    <x v="0"/>
    <n v="0"/>
    <x v="0"/>
  </r>
  <r>
    <n v="113418"/>
    <s v="HELIO DE OLIVEIRA"/>
    <s v="VARREDOR"/>
    <x v="3"/>
    <d v="2019-06-01T00:00:00"/>
    <x v="0"/>
    <x v="0"/>
    <n v="0"/>
    <x v="0"/>
  </r>
  <r>
    <n v="113421"/>
    <s v="HELIO FRANCISCO DE OLIVEIRA"/>
    <s v="MOTORISTA CAMINHAO"/>
    <x v="2"/>
    <d v="2019-06-01T00:00:00"/>
    <x v="0"/>
    <x v="0"/>
    <n v="0"/>
    <x v="0"/>
  </r>
  <r>
    <n v="113433"/>
    <s v="HENRIQUE BARBOSA DE SOUSA CORDEIRO"/>
    <s v="FISCAL DE TRAFEGO PLENO"/>
    <x v="2"/>
    <d v="2019-06-01T00:00:00"/>
    <x v="0"/>
    <x v="0"/>
    <n v="0"/>
    <x v="0"/>
  </r>
  <r>
    <n v="113441"/>
    <s v="HENRIQUE DOS SANTOS LANA"/>
    <s v="MOTORISTA CAMINHAO"/>
    <x v="2"/>
    <d v="2019-06-01T00:00:00"/>
    <x v="0"/>
    <x v="0"/>
    <n v="0"/>
    <x v="0"/>
  </r>
  <r>
    <n v="116238"/>
    <s v="HENRIQUE LISBOA DA SILVA"/>
    <s v="VARREDOR"/>
    <x v="3"/>
    <d v="2021-03-18T00:00:00"/>
    <x v="0"/>
    <x v="0"/>
    <n v="0"/>
    <x v="0"/>
  </r>
  <r>
    <n v="113455"/>
    <s v="HERCULANO CONCEICAO DE ARAUJO"/>
    <s v="AJUDANTE EQ SERVICOS DIVERSOS"/>
    <x v="3"/>
    <d v="2019-06-01T00:00:00"/>
    <x v="0"/>
    <x v="0"/>
    <n v="0"/>
    <x v="0"/>
  </r>
  <r>
    <n v="113459"/>
    <s v="HIGOR SABINO"/>
    <s v="AJUDANTE EQ SERVICOS DIVERSOS"/>
    <x v="4"/>
    <d v="2019-06-01T00:00:00"/>
    <x v="0"/>
    <x v="0"/>
    <n v="0"/>
    <x v="0"/>
  </r>
  <r>
    <n v="113464"/>
    <s v="HUGO CESAR CANUTO"/>
    <s v="BUEIRISTA"/>
    <x v="5"/>
    <d v="2019-06-01T00:00:00"/>
    <x v="0"/>
    <x v="0"/>
    <n v="0"/>
    <x v="0"/>
  </r>
  <r>
    <n v="122425"/>
    <s v="HUGO VINICIUS DOS SANTOS"/>
    <s v="AJUDANTE EQ SERVICOS DIVERSOS"/>
    <x v="2"/>
    <d v="2023-07-10T00:00:00"/>
    <x v="0"/>
    <x v="0"/>
    <n v="0"/>
    <x v="0"/>
  </r>
  <r>
    <n v="114990"/>
    <s v="HUMBERTO CARLOS DA SILVA"/>
    <s v="MOTORISTA DE CAMINHAO"/>
    <x v="2"/>
    <d v="2020-03-28T00:00:00"/>
    <x v="0"/>
    <x v="0"/>
    <n v="0"/>
    <x v="0"/>
  </r>
  <r>
    <n v="113471"/>
    <s v="HUMBERTO JOSE DA SILVA"/>
    <s v="AJUDANTE EQ SERVICOS DIVERSOS"/>
    <x v="5"/>
    <d v="2019-06-01T00:00:00"/>
    <x v="0"/>
    <x v="0"/>
    <n v="0"/>
    <x v="0"/>
  </r>
  <r>
    <n v="120191"/>
    <s v="HUMBERTO RAIMUNDO DE JESUS"/>
    <s v="MOTORISTA CAMINHAO"/>
    <x v="2"/>
    <d v="2022-08-18T00:00:00"/>
    <x v="0"/>
    <x v="0"/>
    <n v="0"/>
    <x v="0"/>
  </r>
  <r>
    <n v="121950"/>
    <s v="IAGO ALVES DA SILVA"/>
    <s v="MENOR/JOVEM APRENDIZ"/>
    <x v="6"/>
    <d v="2023-04-24T00:00:00"/>
    <x v="1"/>
    <x v="3"/>
    <n v="0"/>
    <x v="0"/>
  </r>
  <r>
    <n v="121322"/>
    <s v="IAGO HENRIQUE PEREIRA OLIVEIRA"/>
    <s v="AJUDANTE EQ SERVICOS DIVERSOS"/>
    <x v="2"/>
    <d v="2023-01-19T00:00:00"/>
    <x v="3"/>
    <x v="2"/>
    <n v="0"/>
    <x v="0"/>
  </r>
  <r>
    <n v="119113"/>
    <s v="IDAEL LOPES RODRIGUES"/>
    <s v="AJUDANTE EQ SERVICOS DIVERSOS"/>
    <x v="2"/>
    <d v="2022-03-10T00:00:00"/>
    <x v="0"/>
    <x v="0"/>
    <n v="0"/>
    <x v="0"/>
  </r>
  <r>
    <n v="113474"/>
    <s v="IDENILSON PAURA RIBEIRO"/>
    <s v="AJUDANTE EQ SERVICOS DIVERSOS"/>
    <x v="3"/>
    <d v="2019-06-01T00:00:00"/>
    <x v="0"/>
    <x v="0"/>
    <n v="0"/>
    <x v="0"/>
  </r>
  <r>
    <n v="121323"/>
    <s v="IGOR RENATO SOARES MARTINS"/>
    <s v="AJUDANTE EQ SERVICOS DIVERSOS"/>
    <x v="2"/>
    <d v="2023-01-19T00:00:00"/>
    <x v="3"/>
    <x v="0"/>
    <n v="38.289999999999964"/>
    <x v="0"/>
  </r>
  <r>
    <n v="113478"/>
    <s v="IGOR SANTOS PALMEIRA"/>
    <s v="OPERADOR DE PA CARREGADEIRA"/>
    <x v="2"/>
    <d v="2019-06-01T00:00:00"/>
    <x v="0"/>
    <x v="0"/>
    <n v="0"/>
    <x v="0"/>
  </r>
  <r>
    <n v="114942"/>
    <s v="IGOR SANTOS SILVA"/>
    <s v="COLETOR"/>
    <x v="2"/>
    <d v="2020-03-26T00:00:00"/>
    <x v="0"/>
    <x v="0"/>
    <n v="0"/>
    <x v="0"/>
  </r>
  <r>
    <n v="113480"/>
    <s v="ILDETE ARAUJO COELHO"/>
    <s v="VARREDOR"/>
    <x v="5"/>
    <d v="2019-06-01T00:00:00"/>
    <x v="0"/>
    <x v="0"/>
    <n v="0"/>
    <x v="0"/>
  </r>
  <r>
    <n v="114944"/>
    <s v="ILSON ROBERTO FONSECA"/>
    <s v="AJUDANTE EQ SERVICOS DIVERSOS"/>
    <x v="2"/>
    <d v="2020-03-26T00:00:00"/>
    <x v="0"/>
    <x v="0"/>
    <n v="0"/>
    <x v="0"/>
  </r>
  <r>
    <n v="117234"/>
    <s v="IOLANDA MARIA DA SILVA"/>
    <s v="AJUDANTE EQ SERVICOS DIVERSOS"/>
    <x v="3"/>
    <d v="2021-10-18T00:00:00"/>
    <x v="0"/>
    <x v="0"/>
    <n v="0"/>
    <x v="0"/>
  </r>
  <r>
    <n v="113486"/>
    <s v="IRAM MOREIRA DOS SANTOS"/>
    <s v="MOTORISTA CAMINHAO"/>
    <x v="2"/>
    <d v="2019-06-01T00:00:00"/>
    <x v="0"/>
    <x v="0"/>
    <n v="0"/>
    <x v="0"/>
  </r>
  <r>
    <n v="121677"/>
    <s v="IRANILDO DOS SANTOS"/>
    <s v="AJUDANTE EQ SERVICOS DIVERSOS"/>
    <x v="1"/>
    <d v="2023-03-09T00:00:00"/>
    <x v="0"/>
    <x v="0"/>
    <n v="0"/>
    <x v="0"/>
  </r>
  <r>
    <n v="113489"/>
    <s v="IRINEU DE LIMA ASSUMPCAO"/>
    <s v="VARREDOR"/>
    <x v="0"/>
    <d v="2019-06-01T00:00:00"/>
    <x v="0"/>
    <x v="0"/>
    <n v="0"/>
    <x v="0"/>
  </r>
  <r>
    <n v="113499"/>
    <s v="IRISMAR BARBOSA SILVA"/>
    <s v="VARREDOR"/>
    <x v="1"/>
    <d v="2019-06-01T00:00:00"/>
    <x v="0"/>
    <x v="0"/>
    <n v="0"/>
    <x v="0"/>
  </r>
  <r>
    <n v="113505"/>
    <s v="ISAIA DE ANDRADE CRUZ DUARTE"/>
    <s v="VARREDOR"/>
    <x v="1"/>
    <d v="2019-06-01T00:00:00"/>
    <x v="0"/>
    <x v="0"/>
    <n v="0"/>
    <x v="0"/>
  </r>
  <r>
    <n v="116229"/>
    <s v="ISAQUE DE LIMA"/>
    <s v="AJUDANTE EQ SERVICOS DIVERSOS"/>
    <x v="3"/>
    <d v="2021-03-18T00:00:00"/>
    <x v="0"/>
    <x v="0"/>
    <n v="0"/>
    <x v="0"/>
  </r>
  <r>
    <n v="113519"/>
    <s v="ISAQUIEL OLIMPIO BERNARDO"/>
    <s v="BUEIRISTA"/>
    <x v="1"/>
    <d v="2019-06-01T00:00:00"/>
    <x v="0"/>
    <x v="0"/>
    <n v="0"/>
    <x v="0"/>
  </r>
  <r>
    <n v="112529"/>
    <s v="ISRAEL DANTAS DOS SANTOS"/>
    <s v="VARREDOR"/>
    <x v="3"/>
    <d v="2019-06-01T00:00:00"/>
    <x v="0"/>
    <x v="0"/>
    <n v="0"/>
    <x v="0"/>
  </r>
  <r>
    <n v="114963"/>
    <s v="ISRAEL DO NASCIMENTO SILVA"/>
    <s v="AJUDANTE EQ SERVICOS DIVERSOS"/>
    <x v="2"/>
    <d v="2020-03-27T00:00:00"/>
    <x v="0"/>
    <x v="0"/>
    <n v="0"/>
    <x v="0"/>
  </r>
  <r>
    <n v="122559"/>
    <s v="ISRAEL MARTINS DA SILVA"/>
    <s v="AJUDANTE EQ SERVICOS DIVERSOS"/>
    <x v="4"/>
    <d v="2023-07-24T00:00:00"/>
    <x v="7"/>
    <x v="0"/>
    <n v="-273.79999999999995"/>
    <x v="0"/>
  </r>
  <r>
    <n v="121689"/>
    <s v="ITALO FERNANDO SILVA COSTA"/>
    <s v="AJUDANTE EQ SERVICOS DIVERSOS"/>
    <x v="4"/>
    <d v="2023-03-09T00:00:00"/>
    <x v="0"/>
    <x v="0"/>
    <n v="0"/>
    <x v="0"/>
  </r>
  <r>
    <n v="121330"/>
    <s v="ITAMAR DOS SANTOS COSTA"/>
    <s v="VARREDOR"/>
    <x v="3"/>
    <d v="2023-01-19T00:00:00"/>
    <x v="0"/>
    <x v="0"/>
    <n v="0"/>
    <x v="0"/>
  </r>
  <r>
    <n v="112531"/>
    <s v="ITAMAR INACIO DA SILVA"/>
    <s v="VARREDOR"/>
    <x v="4"/>
    <d v="2019-06-01T00:00:00"/>
    <x v="0"/>
    <x v="0"/>
    <n v="0"/>
    <x v="0"/>
  </r>
  <r>
    <n v="113426"/>
    <s v="ITAMAR NOVAIS SANTOS"/>
    <s v="VARREDOR"/>
    <x v="1"/>
    <d v="2019-06-01T00:00:00"/>
    <x v="0"/>
    <x v="0"/>
    <n v="0"/>
    <x v="0"/>
  </r>
  <r>
    <n v="113050"/>
    <s v="IVAN SANTOS BALBINO DA SILVA"/>
    <s v="VARREDOR"/>
    <x v="0"/>
    <d v="2019-06-01T00:00:00"/>
    <x v="0"/>
    <x v="0"/>
    <n v="0"/>
    <x v="0"/>
  </r>
  <r>
    <n v="113093"/>
    <s v="IVANILDO ALEXANDRE DOS SANTOS"/>
    <s v="AJUDANTE EQ SERVICOS DIVERSOS"/>
    <x v="1"/>
    <d v="2019-06-01T00:00:00"/>
    <x v="0"/>
    <x v="0"/>
    <n v="0"/>
    <x v="0"/>
  </r>
  <r>
    <n v="113094"/>
    <s v="IVANILDO DA SILVA LEITE"/>
    <s v="AJUDANTE EQ SERVICOS DIVERSOS"/>
    <x v="2"/>
    <d v="2019-06-01T00:00:00"/>
    <x v="0"/>
    <x v="0"/>
    <n v="0"/>
    <x v="0"/>
  </r>
  <r>
    <n v="112178"/>
    <s v="IVANILDO JOSE DE FREITAS"/>
    <s v="AJUDANTE EQ SERVICOS DIVERSOS"/>
    <x v="5"/>
    <d v="2019-06-01T00:00:00"/>
    <x v="0"/>
    <x v="0"/>
    <n v="0"/>
    <x v="0"/>
  </r>
  <r>
    <n v="113098"/>
    <s v="IVANILDO PASSOS DOS SANTOS"/>
    <s v="COLETOR"/>
    <x v="2"/>
    <d v="2019-06-01T00:00:00"/>
    <x v="0"/>
    <x v="0"/>
    <n v="0"/>
    <x v="0"/>
  </r>
  <r>
    <n v="116236"/>
    <s v="IVANILDO SANTOS NOVAIS"/>
    <s v="VARREDOR"/>
    <x v="3"/>
    <d v="2021-03-18T00:00:00"/>
    <x v="0"/>
    <x v="0"/>
    <n v="0"/>
    <x v="0"/>
  </r>
  <r>
    <n v="113072"/>
    <s v="IVO FERREIRA DE AZEVEDO"/>
    <s v="AJUDANTE EQ SERVICOS DIVERSOS"/>
    <x v="1"/>
    <d v="2019-06-01T00:00:00"/>
    <x v="0"/>
    <x v="0"/>
    <n v="0"/>
    <x v="0"/>
  </r>
  <r>
    <n v="112774"/>
    <s v="IZAIAS MOREIRA DA COSTA"/>
    <s v="VARREDOR"/>
    <x v="3"/>
    <d v="2019-06-01T00:00:00"/>
    <x v="0"/>
    <x v="0"/>
    <n v="0"/>
    <x v="0"/>
  </r>
  <r>
    <n v="113164"/>
    <s v="IZAIAS RODRIGUES MIRANDA"/>
    <s v="COLETOR"/>
    <x v="2"/>
    <d v="2019-06-01T00:00:00"/>
    <x v="0"/>
    <x v="0"/>
    <n v="0"/>
    <x v="0"/>
  </r>
  <r>
    <n v="112967"/>
    <s v="IZAIAS VIEIRA COSTA"/>
    <s v="AJUDANTE EQ SERVICOS DIVERSOS"/>
    <x v="4"/>
    <d v="2019-06-01T00:00:00"/>
    <x v="0"/>
    <x v="0"/>
    <n v="0"/>
    <x v="0"/>
  </r>
  <r>
    <n v="121953"/>
    <s v="IZAQUE JUSTINO CANDIDO"/>
    <s v="AJUDANTE EQ SERVICOS DIVERSOS"/>
    <x v="1"/>
    <d v="2023-04-24T00:00:00"/>
    <x v="0"/>
    <x v="0"/>
    <n v="0"/>
    <x v="0"/>
  </r>
  <r>
    <n v="116010"/>
    <s v="JACIRA DA SILVA ALBANO"/>
    <s v="AJUDANTE EQ SERVICOS DIVERSOS"/>
    <x v="1"/>
    <d v="2021-01-11T00:00:00"/>
    <x v="3"/>
    <x v="0"/>
    <n v="38.289999999999964"/>
    <x v="0"/>
  </r>
  <r>
    <n v="121414"/>
    <s v="JACKSON GAMA DIAS"/>
    <s v="AJUDANTE EQ SERVICOS DIVERSOS"/>
    <x v="0"/>
    <d v="2023-02-10T00:00:00"/>
    <x v="0"/>
    <x v="0"/>
    <n v="0"/>
    <x v="0"/>
  </r>
  <r>
    <n v="113406"/>
    <s v="JACKSON PIRES NASCIMENTO"/>
    <s v="VARREDOR"/>
    <x v="1"/>
    <d v="2019-06-01T00:00:00"/>
    <x v="0"/>
    <x v="0"/>
    <n v="0"/>
    <x v="0"/>
  </r>
  <r>
    <n v="118059"/>
    <s v="JACKSON WENDELL FIRMINO DE ARAUJO"/>
    <s v="AJUDANTE EQ SERVICOS DIVERSOS"/>
    <x v="1"/>
    <d v="2022-01-06T00:00:00"/>
    <x v="0"/>
    <x v="2"/>
    <n v="-38.289999999999964"/>
    <x v="0"/>
  </r>
  <r>
    <n v="113599"/>
    <s v="JACO LAURIANO DA SILVA"/>
    <s v="MOTORISTA CAMINHAO"/>
    <x v="2"/>
    <d v="2019-06-01T00:00:00"/>
    <x v="0"/>
    <x v="0"/>
    <n v="0"/>
    <x v="2"/>
  </r>
  <r>
    <n v="117409"/>
    <s v="JACSON VALENTIM"/>
    <s v="VARREDOR"/>
    <x v="1"/>
    <d v="2021-11-22T00:00:00"/>
    <x v="0"/>
    <x v="0"/>
    <n v="0"/>
    <x v="0"/>
  </r>
  <r>
    <n v="113132"/>
    <s v="JAILSON CONCEICAO DOS SANTOS"/>
    <s v="COLETOR"/>
    <x v="2"/>
    <d v="2019-06-01T00:00:00"/>
    <x v="0"/>
    <x v="0"/>
    <n v="0"/>
    <x v="0"/>
  </r>
  <r>
    <n v="112957"/>
    <s v="JAILTON DA SILVA AMARAL NASCIMENTO"/>
    <s v="MOTORISTA CAMINHAO"/>
    <x v="2"/>
    <d v="2019-06-01T00:00:00"/>
    <x v="0"/>
    <x v="0"/>
    <n v="0"/>
    <x v="2"/>
  </r>
  <r>
    <n v="112226"/>
    <s v="JAILTON DE AZEVEDO SILVA"/>
    <s v="VARREDOR"/>
    <x v="5"/>
    <d v="2019-06-01T00:00:00"/>
    <x v="0"/>
    <x v="0"/>
    <n v="0"/>
    <x v="0"/>
  </r>
  <r>
    <n v="113166"/>
    <s v="JAIME MENDES DOS SANTOS"/>
    <s v="COLETOR"/>
    <x v="2"/>
    <d v="2019-06-01T00:00:00"/>
    <x v="0"/>
    <x v="0"/>
    <n v="0"/>
    <x v="0"/>
  </r>
  <r>
    <n v="112789"/>
    <s v="JAIR LUIZ DOS SANTOS"/>
    <s v="VARREDOR"/>
    <x v="3"/>
    <d v="2019-06-01T00:00:00"/>
    <x v="0"/>
    <x v="0"/>
    <n v="0"/>
    <x v="0"/>
  </r>
  <r>
    <n v="113410"/>
    <s v="JAIR SOARES DE OLIVEIRA"/>
    <s v="VARREDOR"/>
    <x v="1"/>
    <d v="2019-06-01T00:00:00"/>
    <x v="0"/>
    <x v="0"/>
    <n v="0"/>
    <x v="0"/>
  </r>
  <r>
    <n v="114800"/>
    <s v="JAIR VIEIRA DA COSTA"/>
    <s v="MOTORISTA CAMINHAO"/>
    <x v="2"/>
    <d v="2020-02-19T00:00:00"/>
    <x v="0"/>
    <x v="0"/>
    <n v="0"/>
    <x v="0"/>
  </r>
  <r>
    <n v="115008"/>
    <s v="JAMES RODRIGUES DA SILVA"/>
    <s v="AJUDANTE EQ SERVICOS DIVERSOS"/>
    <x v="1"/>
    <d v="2020-04-09T00:00:00"/>
    <x v="0"/>
    <x v="0"/>
    <n v="0"/>
    <x v="0"/>
  </r>
  <r>
    <n v="114263"/>
    <s v="JANAUCI LUIZ DOS SANTOS"/>
    <s v="VARREDOR"/>
    <x v="0"/>
    <d v="2019-12-05T00:00:00"/>
    <x v="0"/>
    <x v="0"/>
    <n v="0"/>
    <x v="0"/>
  </r>
  <r>
    <n v="116002"/>
    <s v="JAQUELINE DE ANDRADE GARCIA"/>
    <s v="AJUDANTE EQ SERVICOS DIVERSOS"/>
    <x v="1"/>
    <d v="2021-01-11T00:00:00"/>
    <x v="0"/>
    <x v="0"/>
    <n v="0"/>
    <x v="0"/>
  </r>
  <r>
    <n v="121685"/>
    <s v="JARSON BENTES LUCENA DOS SANTOS"/>
    <s v="AJUDANTE EQ SERVICOS DIVERSOS"/>
    <x v="1"/>
    <d v="2023-03-09T00:00:00"/>
    <x v="0"/>
    <x v="0"/>
    <n v="0"/>
    <x v="0"/>
  </r>
  <r>
    <n v="113077"/>
    <s v="JEAN DE LIMA GOMES"/>
    <s v="AJUDANTE EQ SERVICOS DIVERSOS"/>
    <x v="1"/>
    <d v="2019-06-01T00:00:00"/>
    <x v="2"/>
    <x v="2"/>
    <n v="38.280000000000086"/>
    <x v="0"/>
  </r>
  <r>
    <n v="113123"/>
    <s v="JEDSON DA SILVA SANTOS"/>
    <s v="MOTORISTA DE CAMINHAO"/>
    <x v="2"/>
    <d v="2019-06-01T00:00:00"/>
    <x v="0"/>
    <x v="0"/>
    <n v="0"/>
    <x v="0"/>
  </r>
  <r>
    <n v="121326"/>
    <s v="JEFERSON DE JESUS DA SILVA"/>
    <s v="AJUDANTE EQ SERVICOS DIVERSOS"/>
    <x v="4"/>
    <d v="2023-01-19T00:00:00"/>
    <x v="15"/>
    <x v="0"/>
    <n v="-38.289999999999964"/>
    <x v="0"/>
  </r>
  <r>
    <n v="112513"/>
    <s v="JEFERSON JOSE ANDRADE DE SOUZA"/>
    <s v="FISCAL DE TURMA PLENO"/>
    <x v="3"/>
    <d v="2019-06-01T00:00:00"/>
    <x v="0"/>
    <x v="0"/>
    <n v="0"/>
    <x v="0"/>
  </r>
  <r>
    <n v="122439"/>
    <s v="JEFERSON XAVIER"/>
    <s v="AJUDANTE EQ SERVICOS DIVERSOS"/>
    <x v="2"/>
    <d v="2023-07-10T00:00:00"/>
    <x v="0"/>
    <x v="0"/>
    <n v="0"/>
    <x v="0"/>
  </r>
  <r>
    <n v="121321"/>
    <s v="JEFFERSON DA SILVA"/>
    <s v="VARREDOR"/>
    <x v="0"/>
    <d v="2023-01-19T00:00:00"/>
    <x v="0"/>
    <x v="0"/>
    <n v="0"/>
    <x v="0"/>
  </r>
  <r>
    <n v="112218"/>
    <s v="JEFFERSON DE LIMA SILVA"/>
    <s v="AJUDANTE EQ SERVICOS DIVERSOS"/>
    <x v="1"/>
    <d v="2019-06-01T00:00:00"/>
    <x v="0"/>
    <x v="0"/>
    <n v="0"/>
    <x v="0"/>
  </r>
  <r>
    <n v="112451"/>
    <s v="JEFFERSON SANTOS FERRAZ"/>
    <s v="AJUDANTE EQ SERVICOS DIVERSOS"/>
    <x v="3"/>
    <d v="2019-06-01T00:00:00"/>
    <x v="0"/>
    <x v="2"/>
    <n v="-38.289999999999964"/>
    <x v="0"/>
  </r>
  <r>
    <n v="113303"/>
    <s v="JEFFERSON SILVA ROSA"/>
    <s v="COLETOR"/>
    <x v="2"/>
    <d v="2019-06-01T00:00:00"/>
    <x v="0"/>
    <x v="0"/>
    <n v="0"/>
    <x v="0"/>
  </r>
  <r>
    <n v="113080"/>
    <s v="JEFISON COSTA DE OLIVEIRA"/>
    <s v="COLETOR"/>
    <x v="2"/>
    <d v="2019-06-01T00:00:00"/>
    <x v="0"/>
    <x v="0"/>
    <n v="0"/>
    <x v="0"/>
  </r>
  <r>
    <n v="122575"/>
    <s v="JEMIMA JOSEPH LOUIS"/>
    <s v="AJUDANTE EQ SERVICOS DIVERSOS"/>
    <x v="3"/>
    <d v="2023-07-24T00:00:00"/>
    <x v="7"/>
    <x v="0"/>
    <n v="-273.79999999999995"/>
    <x v="0"/>
  </r>
  <r>
    <n v="113602"/>
    <s v="JEOVA SULPINO COSTA"/>
    <s v="MOTORISTA CAMINHAO"/>
    <x v="2"/>
    <d v="2019-06-01T00:00:00"/>
    <x v="0"/>
    <x v="0"/>
    <n v="0"/>
    <x v="0"/>
  </r>
  <r>
    <n v="113432"/>
    <s v="JERONIMO LEITE DOS SANTOS"/>
    <s v="VARREDOR"/>
    <x v="1"/>
    <d v="2019-06-01T00:00:00"/>
    <x v="0"/>
    <x v="0"/>
    <n v="0"/>
    <x v="2"/>
  </r>
  <r>
    <n v="112303"/>
    <s v="JESUS FERREIRA DE CARVALHO"/>
    <s v="VARREDOR"/>
    <x v="5"/>
    <d v="2019-06-01T00:00:00"/>
    <x v="3"/>
    <x v="2"/>
    <n v="0"/>
    <x v="0"/>
  </r>
  <r>
    <n v="113081"/>
    <s v="JHONATAN DE LIMA GOMES"/>
    <s v="AJUDANTE EQ SERVICOS DIVERSOS"/>
    <x v="1"/>
    <d v="2019-06-01T00:00:00"/>
    <x v="0"/>
    <x v="0"/>
    <n v="0"/>
    <x v="0"/>
  </r>
  <r>
    <n v="114925"/>
    <s v="JHONATAN SILVIO RODRIGUES"/>
    <s v="AUXILIAR DE CHECK LIST"/>
    <x v="2"/>
    <d v="2020-03-26T00:00:00"/>
    <x v="0"/>
    <x v="0"/>
    <n v="0"/>
    <x v="0"/>
  </r>
  <r>
    <n v="112338"/>
    <s v="JHONY ROCHA DE LIMA"/>
    <s v="AJUDANTE EQ SERVICOS DIVERSOS"/>
    <x v="3"/>
    <d v="2019-06-01T00:00:00"/>
    <x v="0"/>
    <x v="0"/>
    <n v="0"/>
    <x v="0"/>
  </r>
  <r>
    <n v="113370"/>
    <s v="JO ROSA RODRIGUES"/>
    <s v="VARREDOR"/>
    <x v="1"/>
    <d v="2019-06-01T00:00:00"/>
    <x v="0"/>
    <x v="0"/>
    <n v="0"/>
    <x v="0"/>
  </r>
  <r>
    <n v="113120"/>
    <s v="JOALDO ALVES DOS ANJOS"/>
    <s v="BUEIRISTA"/>
    <x v="5"/>
    <d v="2019-06-01T00:00:00"/>
    <x v="0"/>
    <x v="0"/>
    <n v="0"/>
    <x v="0"/>
  </r>
  <r>
    <n v="112909"/>
    <s v="JOAN NUNES GOMES"/>
    <s v="VARREDOR"/>
    <x v="3"/>
    <d v="2019-06-01T00:00:00"/>
    <x v="0"/>
    <x v="0"/>
    <n v="0"/>
    <x v="0"/>
  </r>
  <r>
    <n v="112204"/>
    <s v="JOANA MORAIS OLIVEIRA"/>
    <s v="AJUDANTE EQ SERVICOS DIVERSOS"/>
    <x v="5"/>
    <d v="2019-06-01T00:00:00"/>
    <x v="0"/>
    <x v="0"/>
    <n v="0"/>
    <x v="0"/>
  </r>
  <r>
    <n v="113715"/>
    <s v="JOAO ANDRE GALVAO"/>
    <s v="PEDREIRO PLENO"/>
    <x v="2"/>
    <d v="2019-06-03T00:00:00"/>
    <x v="0"/>
    <x v="0"/>
    <n v="0"/>
    <x v="0"/>
  </r>
  <r>
    <n v="112232"/>
    <s v="JOAO BATISTA DA SILVA"/>
    <s v="VARREDOR"/>
    <x v="5"/>
    <d v="2019-06-01T00:00:00"/>
    <x v="0"/>
    <x v="0"/>
    <n v="0"/>
    <x v="0"/>
  </r>
  <r>
    <n v="113021"/>
    <s v="JOAO BATISTA DA SILVA"/>
    <s v="VARREDOR"/>
    <x v="0"/>
    <d v="2019-06-04T00:00:00"/>
    <x v="0"/>
    <x v="0"/>
    <n v="0"/>
    <x v="0"/>
  </r>
  <r>
    <n v="113373"/>
    <s v="JOAO BATISTA DA SILVA"/>
    <s v="VARREDOR"/>
    <x v="1"/>
    <d v="2019-06-01T00:00:00"/>
    <x v="0"/>
    <x v="0"/>
    <n v="0"/>
    <x v="0"/>
  </r>
  <r>
    <n v="113420"/>
    <s v="JOAO BATISTA DA SILVA"/>
    <s v="VARREDOR"/>
    <x v="1"/>
    <d v="2019-06-01T00:00:00"/>
    <x v="0"/>
    <x v="0"/>
    <n v="0"/>
    <x v="0"/>
  </r>
  <r>
    <n v="112917"/>
    <s v="JOAO BATISTA DE SOUZA"/>
    <s v="VARREDOR"/>
    <x v="3"/>
    <d v="2019-06-01T00:00:00"/>
    <x v="0"/>
    <x v="0"/>
    <n v="0"/>
    <x v="0"/>
  </r>
  <r>
    <n v="112341"/>
    <s v="JOAO BATISTA DOS SANTOS"/>
    <s v="AJUDANTE EQ SERVICOS DIVERSOS"/>
    <x v="3"/>
    <d v="2019-06-01T00:00:00"/>
    <x v="0"/>
    <x v="0"/>
    <n v="0"/>
    <x v="0"/>
  </r>
  <r>
    <n v="112236"/>
    <s v="JOAO CARLOS ARAUJO DA SILVA"/>
    <s v="VARREDOR"/>
    <x v="0"/>
    <d v="2019-06-01T00:00:00"/>
    <x v="0"/>
    <x v="0"/>
    <n v="0"/>
    <x v="0"/>
  </r>
  <r>
    <n v="112991"/>
    <s v="JOAO CARLOS MARCONDES DE BRITO"/>
    <s v="FISCAL DE TURMA PLENO"/>
    <x v="0"/>
    <d v="2019-06-01T00:00:00"/>
    <x v="0"/>
    <x v="0"/>
    <n v="0"/>
    <x v="0"/>
  </r>
  <r>
    <n v="113422"/>
    <s v="JOAO DA COSTA MOREIRA"/>
    <s v="VARREDOR"/>
    <x v="1"/>
    <d v="2019-06-01T00:00:00"/>
    <x v="0"/>
    <x v="0"/>
    <n v="0"/>
    <x v="0"/>
  </r>
  <r>
    <n v="113375"/>
    <s v="JOAO DA COSTA NUNES"/>
    <s v="VARREDOR"/>
    <x v="1"/>
    <d v="2019-06-01T00:00:00"/>
    <x v="0"/>
    <x v="0"/>
    <n v="0"/>
    <x v="0"/>
  </r>
  <r>
    <n v="112921"/>
    <s v="JOAO DA SILVA GONSALVES"/>
    <s v="VARREDOR"/>
    <x v="3"/>
    <d v="2019-06-01T00:00:00"/>
    <x v="0"/>
    <x v="5"/>
    <n v="-1016.96"/>
    <x v="3"/>
  </r>
  <r>
    <n v="112346"/>
    <s v="JOAO DOMINGOS DA SILVA FILHO"/>
    <s v="AJUDANTE EQ SERVICOS DIVERSOS"/>
    <x v="3"/>
    <d v="2019-06-01T00:00:00"/>
    <x v="0"/>
    <x v="0"/>
    <n v="0"/>
    <x v="0"/>
  </r>
  <r>
    <n v="112208"/>
    <s v="JOAO EVANGELISTA VIERA DO NASCIMENTO"/>
    <s v="AJUDANTE EQ SERVICOS DIVERSOS"/>
    <x v="5"/>
    <d v="2019-06-01T00:00:00"/>
    <x v="3"/>
    <x v="0"/>
    <n v="38.289999999999964"/>
    <x v="0"/>
  </r>
  <r>
    <n v="114541"/>
    <s v="JOAO JOAQUIM DOS SANTOS FILHO"/>
    <s v="AJUDANTE EQ SERVICOS DIVERSOS"/>
    <x v="5"/>
    <d v="2019-12-18T00:00:00"/>
    <x v="0"/>
    <x v="2"/>
    <n v="-38.289999999999964"/>
    <x v="0"/>
  </r>
  <r>
    <n v="112238"/>
    <s v="JOAO JOSE DA SILVA"/>
    <s v="VARREDOR"/>
    <x v="5"/>
    <d v="2019-06-01T00:00:00"/>
    <x v="0"/>
    <x v="0"/>
    <n v="0"/>
    <x v="0"/>
  </r>
  <r>
    <n v="112924"/>
    <s v="JOAO JUASSELE CUNHA ANDRADE"/>
    <s v="VARREDOR"/>
    <x v="3"/>
    <d v="2019-06-01T00:00:00"/>
    <x v="0"/>
    <x v="0"/>
    <n v="0"/>
    <x v="0"/>
  </r>
  <r>
    <n v="122251"/>
    <s v="JOAO LUIS STACHUK"/>
    <s v="AJUDANTE EQ SERVICOS DIVERSOS"/>
    <x v="3"/>
    <d v="2023-06-12T00:00:00"/>
    <x v="0"/>
    <x v="0"/>
    <n v="0"/>
    <x v="0"/>
  </r>
  <r>
    <n v="113363"/>
    <s v="JOAO MANOEL DA SILVA"/>
    <s v="VARREDOR"/>
    <x v="1"/>
    <d v="2019-06-01T00:00:00"/>
    <x v="0"/>
    <x v="0"/>
    <n v="0"/>
    <x v="0"/>
  </r>
  <r>
    <n v="112245"/>
    <s v="JOAO MARTINS DE SOBRAL"/>
    <s v="VARREDOR"/>
    <x v="5"/>
    <d v="2019-06-01T00:00:00"/>
    <x v="0"/>
    <x v="0"/>
    <n v="0"/>
    <x v="0"/>
  </r>
  <r>
    <n v="116654"/>
    <s v="JOAO PAULO SALES DE PAULA"/>
    <s v="GERENTE DE PLANEJAMENTO"/>
    <x v="7"/>
    <d v="2021-06-23T00:00:00"/>
    <x v="0"/>
    <x v="0"/>
    <n v="0"/>
    <x v="0"/>
  </r>
  <r>
    <n v="112349"/>
    <s v="JOAO PAULO VIEIRA"/>
    <s v="AJUDANTE EQ SERVICOS DIVERSOS"/>
    <x v="3"/>
    <d v="2019-06-01T00:00:00"/>
    <x v="0"/>
    <x v="0"/>
    <n v="0"/>
    <x v="0"/>
  </r>
  <r>
    <n v="112926"/>
    <s v="JOAO PEREIRA DE OLIVEIRA"/>
    <s v="VARREDOR"/>
    <x v="3"/>
    <d v="2019-06-01T00:00:00"/>
    <x v="0"/>
    <x v="0"/>
    <n v="0"/>
    <x v="0"/>
  </r>
  <r>
    <n v="122252"/>
    <s v="JOAO QUEIROZ DOS SANTOS"/>
    <s v="AJUDANTE EQ SERVICOS DIVERSOS"/>
    <x v="2"/>
    <d v="2023-06-12T00:00:00"/>
    <x v="0"/>
    <x v="0"/>
    <n v="0"/>
    <x v="0"/>
  </r>
  <r>
    <n v="112248"/>
    <s v="JOAO SEBASTIAO DA SILVA"/>
    <s v="VARREDOR"/>
    <x v="5"/>
    <d v="2019-06-01T00:00:00"/>
    <x v="0"/>
    <x v="0"/>
    <n v="0"/>
    <x v="0"/>
  </r>
  <r>
    <n v="113056"/>
    <s v="JOAO VICENTE NETO"/>
    <s v="VARREDOR"/>
    <x v="0"/>
    <d v="2019-06-01T00:00:00"/>
    <x v="0"/>
    <x v="0"/>
    <n v="0"/>
    <x v="0"/>
  </r>
  <r>
    <n v="112973"/>
    <s v="JOAO VICTOR DOS SANTOS SILVA"/>
    <s v="AJUDANTE EQ SERVICOS DIVERSOS"/>
    <x v="0"/>
    <d v="2019-06-01T00:00:00"/>
    <x v="0"/>
    <x v="0"/>
    <n v="0"/>
    <x v="0"/>
  </r>
  <r>
    <n v="117239"/>
    <s v="JOAO VITOR GOMES RIBEIRO"/>
    <s v="AJUDANTE EQ SERVICOS DIVERSOS"/>
    <x v="3"/>
    <d v="2021-10-18T00:00:00"/>
    <x v="0"/>
    <x v="0"/>
    <n v="0"/>
    <x v="0"/>
  </r>
  <r>
    <n v="112459"/>
    <s v="JOAQUIM BARBOSA FILHO"/>
    <s v="AUXILIAR DE SEGURANCA DO TRABALHO"/>
    <x v="2"/>
    <d v="2019-06-01T00:00:00"/>
    <x v="0"/>
    <x v="0"/>
    <n v="0"/>
    <x v="0"/>
  </r>
  <r>
    <n v="113377"/>
    <s v="JOAQUIM BATISTA DE OLIVEIRA"/>
    <s v="VARREDOR"/>
    <x v="1"/>
    <d v="2019-06-01T00:00:00"/>
    <x v="0"/>
    <x v="0"/>
    <n v="0"/>
    <x v="2"/>
  </r>
  <r>
    <n v="112307"/>
    <s v="JOAQUIM INACIO DE BRITO FILHO"/>
    <s v="VARREDOR"/>
    <x v="0"/>
    <d v="2019-06-01T00:00:00"/>
    <x v="0"/>
    <x v="0"/>
    <n v="0"/>
    <x v="0"/>
  </r>
  <r>
    <n v="112927"/>
    <s v="JOAQUIM SATIRO DE PAULO"/>
    <s v="VARREDOR"/>
    <x v="3"/>
    <d v="2019-06-01T00:00:00"/>
    <x v="0"/>
    <x v="0"/>
    <n v="0"/>
    <x v="0"/>
  </r>
  <r>
    <n v="112959"/>
    <s v="JOEL PEREIRA CRUZ FILHO"/>
    <s v="AJUDANTE EQ SERVICOS DIVERSOS"/>
    <x v="0"/>
    <d v="2019-06-01T00:00:00"/>
    <x v="3"/>
    <x v="0"/>
    <n v="38.289999999999964"/>
    <x v="0"/>
  </r>
  <r>
    <n v="112928"/>
    <s v="JOEL PEREIRA DO NASCIMENTO"/>
    <s v="VARREDOR"/>
    <x v="3"/>
    <d v="2019-06-01T00:00:00"/>
    <x v="0"/>
    <x v="0"/>
    <n v="0"/>
    <x v="0"/>
  </r>
  <r>
    <n v="114922"/>
    <s v="JOELIO DE OLIVEIRA NASCIMENTO"/>
    <s v="COLETOR"/>
    <x v="2"/>
    <d v="2020-03-26T00:00:00"/>
    <x v="0"/>
    <x v="0"/>
    <n v="0"/>
    <x v="0"/>
  </r>
  <r>
    <n v="112212"/>
    <s v="JOELMA MARIA DE SOUSA"/>
    <s v="AJUDANTE EQ SERVICOS DIVERSOS"/>
    <x v="5"/>
    <d v="2019-06-01T00:00:00"/>
    <x v="0"/>
    <x v="0"/>
    <n v="0"/>
    <x v="0"/>
  </r>
  <r>
    <n v="118058"/>
    <s v="JOELSON CAROLINO DOS SANTOS"/>
    <s v="AJUDANTE EQ SERVICOS DIVERSOS"/>
    <x v="1"/>
    <d v="2022-01-06T00:00:00"/>
    <x v="3"/>
    <x v="0"/>
    <n v="38.289999999999964"/>
    <x v="0"/>
  </r>
  <r>
    <n v="113082"/>
    <s v="JOHNATA MONTEIRO DOS SANTOS SOUZA"/>
    <s v="VARREDOR"/>
    <x v="1"/>
    <d v="2019-06-01T00:00:00"/>
    <x v="4"/>
    <x v="1"/>
    <n v="0"/>
    <x v="1"/>
  </r>
  <r>
    <n v="112465"/>
    <s v="JOHNATAN FELIPE MARQUES MOTA"/>
    <s v="VARREDOR"/>
    <x v="3"/>
    <d v="2019-06-01T00:00:00"/>
    <x v="0"/>
    <x v="0"/>
    <n v="0"/>
    <x v="0"/>
  </r>
  <r>
    <n v="113729"/>
    <s v="JOICE MARIA DO NASCIMENTO"/>
    <s v="FAXINEIRO(A)"/>
    <x v="2"/>
    <d v="2019-06-03T00:00:00"/>
    <x v="0"/>
    <x v="0"/>
    <n v="0"/>
    <x v="0"/>
  </r>
  <r>
    <n v="113645"/>
    <s v="JONAS FERREIRA DA SILVA"/>
    <s v="MOTORISTA CAMINHAO"/>
    <x v="2"/>
    <d v="2019-06-01T00:00:00"/>
    <x v="0"/>
    <x v="0"/>
    <n v="0"/>
    <x v="2"/>
  </r>
  <r>
    <n v="113649"/>
    <s v="JONATAS BARBOSA DE OLIVEIRA"/>
    <s v="OPERADOR DE MAQUINA SENIOR"/>
    <x v="2"/>
    <d v="2019-06-01T00:00:00"/>
    <x v="0"/>
    <x v="0"/>
    <n v="0"/>
    <x v="0"/>
  </r>
  <r>
    <n v="119920"/>
    <s v="JONATAS MOREIRA LOPES DO AMARAL"/>
    <s v="MOTORISTA CAMINHAO"/>
    <x v="2"/>
    <d v="2022-07-18T00:00:00"/>
    <x v="0"/>
    <x v="0"/>
    <n v="0"/>
    <x v="2"/>
  </r>
  <r>
    <n v="113125"/>
    <s v="JORCIRLEI ROCHA DOS SANTOS"/>
    <s v="COLETOR"/>
    <x v="2"/>
    <d v="2019-06-01T00:00:00"/>
    <x v="0"/>
    <x v="0"/>
    <n v="0"/>
    <x v="0"/>
  </r>
  <r>
    <n v="113339"/>
    <s v="JORGE ANTONIO PEREIRA DOS REIS"/>
    <s v="MECANICO II"/>
    <x v="2"/>
    <d v="2019-06-01T00:00:00"/>
    <x v="0"/>
    <x v="0"/>
    <n v="0"/>
    <x v="0"/>
  </r>
  <r>
    <n v="112515"/>
    <s v="JORGE LUIZ LEITE OLIVEIRA"/>
    <s v="FISCAL DE TURMA PLENO"/>
    <x v="3"/>
    <d v="2019-06-01T00:00:00"/>
    <x v="0"/>
    <x v="0"/>
    <n v="0"/>
    <x v="0"/>
  </r>
  <r>
    <n v="122561"/>
    <s v="JORGE LUIZ LIMA DA COSTA"/>
    <s v="AJUDANTE EQ SERVICOS DIVERSOS"/>
    <x v="4"/>
    <d v="2023-07-24T00:00:00"/>
    <x v="7"/>
    <x v="0"/>
    <n v="-273.79999999999995"/>
    <x v="0"/>
  </r>
  <r>
    <n v="113435"/>
    <s v="JORGE RUBENS MORENO SOARES"/>
    <s v="VARREDOR"/>
    <x v="1"/>
    <d v="2019-06-01T00:00:00"/>
    <x v="0"/>
    <x v="0"/>
    <n v="0"/>
    <x v="0"/>
  </r>
  <r>
    <n v="115408"/>
    <s v="JORNANDES JOSE BATISTA"/>
    <s v="AJUDANTE EQ SERVICOS DIVERSOS"/>
    <x v="3"/>
    <d v="2020-08-05T00:00:00"/>
    <x v="0"/>
    <x v="0"/>
    <n v="0"/>
    <x v="0"/>
  </r>
  <r>
    <n v="114744"/>
    <s v="JOSE ADALBERTO CORREIA"/>
    <s v="AJUDANTE EQ SERVICOS DIVERSOS"/>
    <x v="1"/>
    <d v="2020-02-13T00:00:00"/>
    <x v="0"/>
    <x v="0"/>
    <n v="0"/>
    <x v="2"/>
  </r>
  <r>
    <n v="112315"/>
    <s v="JOSE ADAO RODRIGUES"/>
    <s v="VARREDOR"/>
    <x v="0"/>
    <d v="2019-06-01T00:00:00"/>
    <x v="0"/>
    <x v="0"/>
    <n v="0"/>
    <x v="0"/>
  </r>
  <r>
    <n v="114493"/>
    <s v="JOSE ALBERTO DE CASTRO BESERRA"/>
    <s v="VARREDOR"/>
    <x v="1"/>
    <d v="2019-12-12T00:00:00"/>
    <x v="0"/>
    <x v="6"/>
    <n v="-114.85000000000002"/>
    <x v="0"/>
  </r>
  <r>
    <n v="122080"/>
    <s v="JOSE ALBINO DE JESUS"/>
    <s v="AJUDANTE EQ SERVICOS DIVERSOS"/>
    <x v="3"/>
    <d v="2023-05-15T00:00:00"/>
    <x v="0"/>
    <x v="0"/>
    <n v="0"/>
    <x v="0"/>
  </r>
  <r>
    <n v="113381"/>
    <s v="JOSE ALUISIO DA SILVA"/>
    <s v="VARREDOR"/>
    <x v="1"/>
    <d v="2019-06-01T00:00:00"/>
    <x v="0"/>
    <x v="0"/>
    <n v="0"/>
    <x v="0"/>
  </r>
  <r>
    <n v="112252"/>
    <s v="JOSE ALVES DA SILVA"/>
    <s v="VARREDOR"/>
    <x v="5"/>
    <d v="2019-06-01T00:00:00"/>
    <x v="0"/>
    <x v="0"/>
    <n v="0"/>
    <x v="0"/>
  </r>
  <r>
    <n v="113036"/>
    <s v="JOSE ALVES DINIZ"/>
    <s v="VARREDOR"/>
    <x v="0"/>
    <d v="2019-06-01T00:00:00"/>
    <x v="0"/>
    <x v="0"/>
    <n v="0"/>
    <x v="0"/>
  </r>
  <r>
    <n v="113358"/>
    <s v="JOSE ANTONIO COSTA"/>
    <s v="VARREDOR"/>
    <x v="1"/>
    <d v="2019-06-01T00:00:00"/>
    <x v="0"/>
    <x v="0"/>
    <n v="0"/>
    <x v="0"/>
  </r>
  <r>
    <n v="113437"/>
    <s v="JOSE ANTONIO DA SILVA"/>
    <s v="VARREDOR"/>
    <x v="1"/>
    <d v="2019-06-01T00:00:00"/>
    <x v="0"/>
    <x v="0"/>
    <n v="0"/>
    <x v="0"/>
  </r>
  <r>
    <n v="113614"/>
    <s v="JOSE ANTONIO DA SILVA"/>
    <s v="MOTORISTA CAMINHAO"/>
    <x v="2"/>
    <d v="2019-06-01T00:00:00"/>
    <x v="0"/>
    <x v="0"/>
    <n v="0"/>
    <x v="0"/>
  </r>
  <r>
    <n v="113651"/>
    <s v="JOSE ANTONIO DA SILVA"/>
    <s v="MOTORISTA CAMINHAO"/>
    <x v="2"/>
    <d v="2019-06-01T00:00:00"/>
    <x v="0"/>
    <x v="0"/>
    <n v="0"/>
    <x v="2"/>
  </r>
  <r>
    <n v="113617"/>
    <s v="JOSE ANTONIO DA SILVA FILHO"/>
    <s v="MOTORISTA CAMINHAO"/>
    <x v="2"/>
    <d v="2019-06-01T00:00:00"/>
    <x v="0"/>
    <x v="0"/>
    <n v="0"/>
    <x v="0"/>
  </r>
  <r>
    <n v="113134"/>
    <s v="JOSE ANTONIO DOS SANTOS"/>
    <s v="COLETOR"/>
    <x v="2"/>
    <d v="2019-06-01T00:00:00"/>
    <x v="0"/>
    <x v="0"/>
    <n v="0"/>
    <x v="0"/>
  </r>
  <r>
    <n v="112508"/>
    <s v="JOSE ANTONIO TAVARES DA SILVA"/>
    <s v="BUEIRISTA"/>
    <x v="3"/>
    <d v="2019-06-01T00:00:00"/>
    <x v="0"/>
    <x v="0"/>
    <n v="0"/>
    <x v="0"/>
  </r>
  <r>
    <n v="113335"/>
    <s v="JOSE APARECIDO ALVES DA SILVA"/>
    <s v="FISCAL DE TURMA PLENO"/>
    <x v="2"/>
    <d v="2019-06-01T00:00:00"/>
    <x v="0"/>
    <x v="0"/>
    <n v="0"/>
    <x v="0"/>
  </r>
  <r>
    <n v="113618"/>
    <s v="JOSE APARECIDO BARBOSA DE SOUZA"/>
    <s v="OPERADOR DE PA CARREGADEIRA"/>
    <x v="2"/>
    <d v="2019-06-01T00:00:00"/>
    <x v="0"/>
    <x v="0"/>
    <n v="0"/>
    <x v="0"/>
  </r>
  <r>
    <n v="112935"/>
    <s v="JOSE APARECIDO CHICUTA"/>
    <s v="VARREDOR"/>
    <x v="3"/>
    <d v="2019-06-01T00:00:00"/>
    <x v="0"/>
    <x v="0"/>
    <n v="0"/>
    <x v="0"/>
  </r>
  <r>
    <n v="112979"/>
    <s v="JOSE APARECIDO DE GOUVEIA"/>
    <s v="AJUDANTE EQ SERVICOS DIVERSOS"/>
    <x v="0"/>
    <d v="2019-06-01T00:00:00"/>
    <x v="0"/>
    <x v="0"/>
    <n v="0"/>
    <x v="0"/>
  </r>
  <r>
    <n v="112255"/>
    <s v="JOSE ARNALDO DOS SANTOS"/>
    <s v="VARREDOR"/>
    <x v="5"/>
    <d v="2019-06-01T00:00:00"/>
    <x v="0"/>
    <x v="0"/>
    <n v="0"/>
    <x v="0"/>
  </r>
  <r>
    <n v="119111"/>
    <s v="JOSE AUGUSTO DOS SANTOS"/>
    <s v="FISCAL DE TURMA PLENO"/>
    <x v="2"/>
    <d v="2022-03-10T00:00:00"/>
    <x v="0"/>
    <x v="0"/>
    <n v="0"/>
    <x v="0"/>
  </r>
  <r>
    <n v="112259"/>
    <s v="JOSE AUGUSTO SANTOS DO CARMO"/>
    <s v="VARREDOR"/>
    <x v="3"/>
    <d v="2019-06-01T00:00:00"/>
    <x v="0"/>
    <x v="0"/>
    <n v="0"/>
    <x v="0"/>
  </r>
  <r>
    <n v="112989"/>
    <s v="JOSE AVELINO DE SOUSA FILHO"/>
    <s v="BUEIRISTA"/>
    <x v="0"/>
    <d v="2019-06-01T00:00:00"/>
    <x v="0"/>
    <x v="0"/>
    <n v="0"/>
    <x v="0"/>
  </r>
  <r>
    <n v="112937"/>
    <s v="JOSE BARBOSA DE FARIAS"/>
    <s v="VARREDOR"/>
    <x v="3"/>
    <d v="2019-06-01T00:00:00"/>
    <x v="0"/>
    <x v="0"/>
    <n v="0"/>
    <x v="0"/>
  </r>
  <r>
    <n v="119112"/>
    <s v="JOSE BARBOSA FILHO"/>
    <s v="AJUDANTE EQ SERVICOS DIVERSOS"/>
    <x v="3"/>
    <d v="2022-03-10T00:00:00"/>
    <x v="0"/>
    <x v="0"/>
    <n v="0"/>
    <x v="0"/>
  </r>
  <r>
    <n v="113384"/>
    <s v="JOSE BATISTA DOS SANTOS"/>
    <s v="VARREDOR"/>
    <x v="1"/>
    <d v="2019-06-04T00:00:00"/>
    <x v="0"/>
    <x v="0"/>
    <n v="0"/>
    <x v="0"/>
  </r>
  <r>
    <n v="112983"/>
    <s v="JOSE CALIXTO DA SILVA FILHO"/>
    <s v="AJUDANTE EQ SERVICOS DIVERSOS"/>
    <x v="0"/>
    <d v="2019-06-01T00:00:00"/>
    <x v="0"/>
    <x v="0"/>
    <n v="0"/>
    <x v="0"/>
  </r>
  <r>
    <n v="112320"/>
    <s v="JOSE CAMILO SILVEIRA"/>
    <s v="VARREDOR"/>
    <x v="5"/>
    <d v="2019-06-01T00:00:00"/>
    <x v="0"/>
    <x v="0"/>
    <n v="0"/>
    <x v="0"/>
  </r>
  <r>
    <n v="112499"/>
    <s v="JOSE CANDIDO"/>
    <s v="BUEIRISTA"/>
    <x v="4"/>
    <d v="2019-06-01T00:00:00"/>
    <x v="0"/>
    <x v="0"/>
    <n v="0"/>
    <x v="0"/>
  </r>
  <r>
    <n v="113039"/>
    <s v="JOSE CARLOS DA SILVA"/>
    <s v="VARREDOR"/>
    <x v="0"/>
    <d v="2019-06-04T00:00:00"/>
    <x v="0"/>
    <x v="0"/>
    <n v="0"/>
    <x v="0"/>
  </r>
  <r>
    <n v="113628"/>
    <s v="JOSE CARLOS HENRIQUE DA SILVA"/>
    <s v="MOTORISTA CAMINHAO"/>
    <x v="2"/>
    <d v="2019-06-04T00:00:00"/>
    <x v="0"/>
    <x v="0"/>
    <n v="0"/>
    <x v="0"/>
  </r>
  <r>
    <n v="114923"/>
    <s v="JOSE CARLOS PEREIRA DOS SANTOS"/>
    <s v="AJUDANTE EQ SERVICOS DIVERSOS"/>
    <x v="2"/>
    <d v="2020-03-26T00:00:00"/>
    <x v="0"/>
    <x v="0"/>
    <n v="0"/>
    <x v="0"/>
  </r>
  <r>
    <n v="112352"/>
    <s v="JOSE CARLOS ROQUE DA SILVA"/>
    <s v="AJUDANTE EQ SERVICOS DIVERSOS"/>
    <x v="3"/>
    <d v="2019-06-01T00:00:00"/>
    <x v="0"/>
    <x v="0"/>
    <n v="0"/>
    <x v="0"/>
  </r>
  <r>
    <n v="112505"/>
    <s v="JOSE CARLOS SILVA DOS SANTOS"/>
    <s v="BUEIRISTA"/>
    <x v="4"/>
    <d v="2019-06-05T00:00:00"/>
    <x v="0"/>
    <x v="0"/>
    <n v="0"/>
    <x v="0"/>
  </r>
  <r>
    <n v="112328"/>
    <s v="JOSE CARLOS ZACARIAS"/>
    <s v="VARREDOR"/>
    <x v="5"/>
    <d v="2019-06-01T00:00:00"/>
    <x v="0"/>
    <x v="0"/>
    <n v="0"/>
    <x v="0"/>
  </r>
  <r>
    <n v="113412"/>
    <s v="JOSE CLAUDIO BARBOSA"/>
    <s v="VARREDOR"/>
    <x v="1"/>
    <d v="2019-06-01T00:00:00"/>
    <x v="0"/>
    <x v="0"/>
    <n v="0"/>
    <x v="0"/>
  </r>
  <r>
    <n v="113161"/>
    <s v="JOSE DAMIAO DOS SANTOS"/>
    <s v="MOTORISTA CAMINHAO"/>
    <x v="2"/>
    <d v="2019-06-01T00:00:00"/>
    <x v="0"/>
    <x v="0"/>
    <n v="0"/>
    <x v="0"/>
  </r>
  <r>
    <n v="112940"/>
    <s v="JOSE DARIO DE MEDEIROS"/>
    <s v="VARREDOR"/>
    <x v="3"/>
    <d v="2019-06-01T00:00:00"/>
    <x v="0"/>
    <x v="0"/>
    <n v="0"/>
    <x v="0"/>
  </r>
  <r>
    <n v="112221"/>
    <s v="JOSE DAS GRACAS DOS SANTOS"/>
    <s v="AJUDANTE EQ SERVICOS DIVERSOS"/>
    <x v="1"/>
    <d v="2019-06-01T00:00:00"/>
    <x v="0"/>
    <x v="0"/>
    <n v="0"/>
    <x v="0"/>
  </r>
  <r>
    <n v="117244"/>
    <s v="JOSE DE ASSIS DA SILVA"/>
    <s v="AJUDANTE EQ SERVICOS DIVERSOS"/>
    <x v="3"/>
    <d v="2021-10-18T00:00:00"/>
    <x v="0"/>
    <x v="0"/>
    <n v="0"/>
    <x v="0"/>
  </r>
  <r>
    <n v="112517"/>
    <s v="JOSE DE CASTRO OLIVEIRA"/>
    <s v="VARREDOR"/>
    <x v="3"/>
    <d v="2019-06-01T00:00:00"/>
    <x v="0"/>
    <x v="0"/>
    <n v="0"/>
    <x v="0"/>
  </r>
  <r>
    <n v="112941"/>
    <s v="JOSE DE FATIMA CAMPOS"/>
    <s v="VARREDOR"/>
    <x v="3"/>
    <d v="2019-06-01T00:00:00"/>
    <x v="0"/>
    <x v="0"/>
    <n v="0"/>
    <x v="0"/>
  </r>
  <r>
    <n v="112943"/>
    <s v="JOSE DE JESUS CAETANO"/>
    <s v="VARREDOR"/>
    <x v="3"/>
    <d v="2019-06-01T00:00:00"/>
    <x v="0"/>
    <x v="0"/>
    <n v="0"/>
    <x v="0"/>
  </r>
  <r>
    <n v="113114"/>
    <s v="JOSE DE JESUS SANTOS"/>
    <s v="VARREDOR"/>
    <x v="1"/>
    <d v="2019-06-01T00:00:00"/>
    <x v="0"/>
    <x v="0"/>
    <n v="0"/>
    <x v="0"/>
  </r>
  <r>
    <n v="114924"/>
    <s v="JOSE DE JESUS SANTOS"/>
    <s v="AJUDANTE EQ SERVICOS DIVERSOS"/>
    <x v="2"/>
    <d v="2020-03-26T00:00:00"/>
    <x v="0"/>
    <x v="0"/>
    <n v="0"/>
    <x v="0"/>
  </r>
  <r>
    <n v="122409"/>
    <s v="JOSE DE OLIVEIRA COELHO"/>
    <s v="MOTORISTA CAMINHAO"/>
    <x v="2"/>
    <d v="2023-07-10T00:00:00"/>
    <x v="0"/>
    <x v="0"/>
    <n v="0"/>
    <x v="0"/>
  </r>
  <r>
    <n v="113414"/>
    <s v="JOSE DE SANTANA DIAS"/>
    <s v="VARREDOR"/>
    <x v="1"/>
    <d v="2019-06-01T00:00:00"/>
    <x v="0"/>
    <x v="0"/>
    <n v="0"/>
    <x v="0"/>
  </r>
  <r>
    <n v="121316"/>
    <s v="JOSE DILMA JUSTINO DE OLIVEIRA"/>
    <s v="AJUDANTE EQ SERVICOS DIVERSOS"/>
    <x v="3"/>
    <d v="2023-01-19T00:00:00"/>
    <x v="0"/>
    <x v="0"/>
    <n v="0"/>
    <x v="0"/>
  </r>
  <r>
    <n v="113344"/>
    <s v="JOSE DILSON SILVA"/>
    <s v="OPERADOR DE MAQUINA SENIOR"/>
    <x v="2"/>
    <d v="2019-06-01T00:00:00"/>
    <x v="0"/>
    <x v="0"/>
    <n v="0"/>
    <x v="2"/>
  </r>
  <r>
    <n v="112264"/>
    <s v="JOSE DOMINGOS ALVES DE OLIVEIRA"/>
    <s v="VARREDOR"/>
    <x v="5"/>
    <d v="2019-06-01T00:00:00"/>
    <x v="0"/>
    <x v="0"/>
    <n v="0"/>
    <x v="0"/>
  </r>
  <r>
    <n v="112944"/>
    <s v="JOSE DOS REIS OLIVEIRA SANTOS"/>
    <s v="VARREDOR"/>
    <x v="3"/>
    <d v="2019-06-01T00:00:00"/>
    <x v="0"/>
    <x v="0"/>
    <n v="0"/>
    <x v="0"/>
  </r>
  <r>
    <n v="113637"/>
    <s v="JOSE EDELSON REIS"/>
    <s v="MOTORISTA CAMINHAO"/>
    <x v="2"/>
    <d v="2019-06-01T00:00:00"/>
    <x v="0"/>
    <x v="0"/>
    <n v="0"/>
    <x v="0"/>
  </r>
  <r>
    <n v="113448"/>
    <s v="JOSE ERMESSON LOPES DA SILVA"/>
    <s v="VARREDOR"/>
    <x v="1"/>
    <d v="2019-06-01T00:00:00"/>
    <x v="0"/>
    <x v="0"/>
    <n v="0"/>
    <x v="0"/>
  </r>
  <r>
    <n v="113320"/>
    <s v="JOSE FERNANDO DA SILVA"/>
    <s v="COLETOR"/>
    <x v="2"/>
    <d v="2019-06-01T00:00:00"/>
    <x v="0"/>
    <x v="0"/>
    <n v="0"/>
    <x v="0"/>
  </r>
  <r>
    <n v="112946"/>
    <s v="JOSE FERREIRA DA SILVA"/>
    <s v="VARREDOR"/>
    <x v="3"/>
    <d v="2019-06-01T00:00:00"/>
    <x v="0"/>
    <x v="0"/>
    <n v="0"/>
    <x v="0"/>
  </r>
  <r>
    <n v="113362"/>
    <s v="JOSE FONSECA DE SOUZA"/>
    <s v="VARREDOR"/>
    <x v="1"/>
    <d v="2019-06-01T00:00:00"/>
    <x v="0"/>
    <x v="0"/>
    <n v="0"/>
    <x v="0"/>
  </r>
  <r>
    <n v="113385"/>
    <s v="JOSE FRANCISCO VARELA"/>
    <s v="VARREDOR"/>
    <x v="1"/>
    <d v="2019-06-01T00:00:00"/>
    <x v="0"/>
    <x v="0"/>
    <n v="0"/>
    <x v="0"/>
  </r>
  <r>
    <n v="112353"/>
    <s v="JOSE GASPARINO DE BRITO"/>
    <s v="VARREDOR"/>
    <x v="4"/>
    <d v="2019-06-01T00:00:00"/>
    <x v="0"/>
    <x v="0"/>
    <n v="0"/>
    <x v="2"/>
  </r>
  <r>
    <n v="113387"/>
    <s v="JOSE GEAN FERNANDES DA SILVA ARAUJO"/>
    <s v="VARREDOR"/>
    <x v="1"/>
    <d v="2019-06-01T00:00:00"/>
    <x v="0"/>
    <x v="0"/>
    <n v="0"/>
    <x v="0"/>
  </r>
  <r>
    <n v="113158"/>
    <s v="JOSE GERALDO DA SILVA"/>
    <s v="COLETOR"/>
    <x v="2"/>
    <d v="2019-06-01T00:00:00"/>
    <x v="0"/>
    <x v="0"/>
    <n v="0"/>
    <x v="0"/>
  </r>
  <r>
    <n v="112408"/>
    <s v="JOSE GERALDO DE OLIVEIRA"/>
    <s v="AJUDANTE EQ SERVICOS DIVERSOS"/>
    <x v="3"/>
    <d v="2019-06-01T00:00:00"/>
    <x v="0"/>
    <x v="0"/>
    <n v="0"/>
    <x v="0"/>
  </r>
  <r>
    <n v="113417"/>
    <s v="JOSE GERALDO SILVA"/>
    <s v="VARREDOR"/>
    <x v="1"/>
    <d v="2019-06-01T00:00:00"/>
    <x v="0"/>
    <x v="0"/>
    <n v="0"/>
    <x v="0"/>
  </r>
  <r>
    <n v="122405"/>
    <s v="JOSE GERALDO XAVIER DE ARAUJO"/>
    <s v="MOTORISTA CAMINHAO"/>
    <x v="2"/>
    <d v="2023-07-10T00:00:00"/>
    <x v="0"/>
    <x v="0"/>
    <n v="0"/>
    <x v="0"/>
  </r>
  <r>
    <n v="113366"/>
    <s v="JOSE GILBERTO DA SILVA"/>
    <s v="VARREDOR"/>
    <x v="1"/>
    <d v="2019-06-01T00:00:00"/>
    <x v="0"/>
    <x v="0"/>
    <n v="0"/>
    <x v="0"/>
  </r>
  <r>
    <n v="119641"/>
    <s v="JOSE GILBERTO PEREIRA"/>
    <s v="AJUDANTE EQ SERVICOS DIVERSOS"/>
    <x v="3"/>
    <d v="2022-06-13T00:00:00"/>
    <x v="0"/>
    <x v="0"/>
    <n v="0"/>
    <x v="0"/>
  </r>
  <r>
    <n v="113162"/>
    <s v="JOSE GOMES DA SILVA"/>
    <s v="COLETOR"/>
    <x v="2"/>
    <d v="2019-06-01T00:00:00"/>
    <x v="0"/>
    <x v="0"/>
    <n v="0"/>
    <x v="0"/>
  </r>
  <r>
    <n v="112949"/>
    <s v="JOSE GOMES DE ANDRADE"/>
    <s v="VARREDOR"/>
    <x v="3"/>
    <d v="2019-06-01T00:00:00"/>
    <x v="0"/>
    <x v="0"/>
    <n v="0"/>
    <x v="0"/>
  </r>
  <r>
    <n v="112495"/>
    <s v="JOSE HILDO DE MELO"/>
    <s v="AJUDANTE EQ SERVICOS DIVERSOS"/>
    <x v="4"/>
    <d v="2019-06-01T00:00:00"/>
    <x v="0"/>
    <x v="0"/>
    <n v="0"/>
    <x v="0"/>
  </r>
  <r>
    <n v="113118"/>
    <s v="JOSE ILARIO DOS SANTOS"/>
    <s v="BORRACHEIRO II"/>
    <x v="2"/>
    <d v="2019-06-01T00:00:00"/>
    <x v="0"/>
    <x v="0"/>
    <n v="0"/>
    <x v="0"/>
  </r>
  <r>
    <n v="112409"/>
    <s v="JOSE INALDO DOS SANTOS SANTANA"/>
    <s v="VARREDOR"/>
    <x v="3"/>
    <d v="2019-06-01T00:00:00"/>
    <x v="0"/>
    <x v="0"/>
    <n v="0"/>
    <x v="0"/>
  </r>
  <r>
    <n v="113159"/>
    <s v="JOSE IRANDIR SANTOS DE JESUS"/>
    <s v="COLETOR"/>
    <x v="2"/>
    <d v="2019-06-01T00:00:00"/>
    <x v="0"/>
    <x v="0"/>
    <n v="0"/>
    <x v="0"/>
  </r>
  <r>
    <n v="119114"/>
    <s v="JOSE ITAMAR DE LIMA"/>
    <s v="VARREDOR"/>
    <x v="1"/>
    <d v="2022-03-10T00:00:00"/>
    <x v="0"/>
    <x v="0"/>
    <n v="0"/>
    <x v="2"/>
  </r>
  <r>
    <n v="116388"/>
    <s v="JOSE IVANALDO DA SILVA"/>
    <s v="MOTORISTA DE CAMINHAO"/>
    <x v="2"/>
    <d v="2021-05-12T00:00:00"/>
    <x v="0"/>
    <x v="0"/>
    <n v="0"/>
    <x v="0"/>
  </r>
  <r>
    <n v="113655"/>
    <s v="JOSE JEDSON NICACIO DOS SANTOS"/>
    <s v="MOTORISTA CAMINHAO"/>
    <x v="2"/>
    <d v="2019-06-01T00:00:00"/>
    <x v="0"/>
    <x v="0"/>
    <n v="0"/>
    <x v="0"/>
  </r>
  <r>
    <n v="114490"/>
    <s v="JOSE JOELTON DOS SANTOS"/>
    <s v="AJUDANTE EQ SERVICOS DIVERSOS"/>
    <x v="1"/>
    <d v="2019-12-12T00:00:00"/>
    <x v="3"/>
    <x v="0"/>
    <n v="38.289999999999964"/>
    <x v="2"/>
  </r>
  <r>
    <n v="113395"/>
    <s v="JOSE JORGE DOS SANTOS"/>
    <s v="VARREDOR"/>
    <x v="1"/>
    <d v="2019-06-01T00:00:00"/>
    <x v="0"/>
    <x v="0"/>
    <n v="0"/>
    <x v="0"/>
  </r>
  <r>
    <n v="119124"/>
    <s v="JOSE JOSIAS DA SILVA"/>
    <s v="MOTORISTA CAMINHAO"/>
    <x v="2"/>
    <d v="2022-03-10T00:00:00"/>
    <x v="0"/>
    <x v="0"/>
    <n v="0"/>
    <x v="0"/>
  </r>
  <r>
    <n v="112962"/>
    <s v="JOSE LEITE DA SILVA"/>
    <s v="AJUDANTE EQ SERVICOS DIVERSOS"/>
    <x v="0"/>
    <d v="2019-06-01T00:00:00"/>
    <x v="0"/>
    <x v="0"/>
    <n v="0"/>
    <x v="0"/>
  </r>
  <r>
    <n v="113458"/>
    <s v="JOSE LINALDO PIMENTEL SANTANA"/>
    <s v="VARREDOR"/>
    <x v="1"/>
    <d v="2019-06-01T00:00:00"/>
    <x v="0"/>
    <x v="0"/>
    <n v="0"/>
    <x v="0"/>
  </r>
  <r>
    <n v="113461"/>
    <s v="JOSE LINS DA SILVA FILHO"/>
    <s v="VARREDOR"/>
    <x v="1"/>
    <d v="2019-06-01T00:00:00"/>
    <x v="0"/>
    <x v="0"/>
    <n v="0"/>
    <x v="0"/>
  </r>
  <r>
    <n v="114991"/>
    <s v="JOSE LOURENCO DE SOUSA"/>
    <s v="AJUDANTE EQ SERVICOS DIVERSOS"/>
    <x v="2"/>
    <d v="2020-03-28T00:00:00"/>
    <x v="0"/>
    <x v="0"/>
    <n v="0"/>
    <x v="0"/>
  </r>
  <r>
    <n v="120180"/>
    <s v="JOSE LUCAS ALVES DE OLIVEIRA"/>
    <s v="ELETRICISTA"/>
    <x v="2"/>
    <d v="2022-08-18T00:00:00"/>
    <x v="0"/>
    <x v="0"/>
    <n v="0"/>
    <x v="0"/>
  </r>
  <r>
    <n v="113325"/>
    <s v="JOSE LUCINALDO DA SILVA"/>
    <s v="COLETOR"/>
    <x v="2"/>
    <d v="2019-06-01T00:00:00"/>
    <x v="3"/>
    <x v="4"/>
    <n v="-38.280000000000086"/>
    <x v="0"/>
  </r>
  <r>
    <n v="113403"/>
    <s v="JOSE LUIS ALVES DA SILVA"/>
    <s v="VARREDOR"/>
    <x v="1"/>
    <d v="2019-06-01T00:00:00"/>
    <x v="16"/>
    <x v="1"/>
    <n v="-75.330000000000041"/>
    <x v="1"/>
  </r>
  <r>
    <n v="113160"/>
    <s v="JOSE LUIZ GOMES DA SILVA"/>
    <s v="COLETOR"/>
    <x v="2"/>
    <d v="2019-06-01T00:00:00"/>
    <x v="0"/>
    <x v="0"/>
    <n v="0"/>
    <x v="0"/>
  </r>
  <r>
    <n v="112442"/>
    <s v="JOSE MANOEL DA CRUZ"/>
    <s v="AJUDANTE EQ SERVICOS DIVERSOS"/>
    <x v="3"/>
    <d v="2019-06-01T00:00:00"/>
    <x v="0"/>
    <x v="0"/>
    <n v="0"/>
    <x v="0"/>
  </r>
  <r>
    <n v="112951"/>
    <s v="JOSE MANOEL DE ANDRADE"/>
    <s v="VARREDOR"/>
    <x v="3"/>
    <d v="2019-06-01T00:00:00"/>
    <x v="0"/>
    <x v="0"/>
    <n v="0"/>
    <x v="0"/>
  </r>
  <r>
    <n v="112269"/>
    <s v="JOSE MANOEL PEREIRA"/>
    <s v="VARREDOR"/>
    <x v="5"/>
    <d v="2019-06-01T00:00:00"/>
    <x v="0"/>
    <x v="0"/>
    <n v="0"/>
    <x v="0"/>
  </r>
  <r>
    <n v="112337"/>
    <s v="JOSE MARCOS DA SILVA QUINTINO"/>
    <s v="VARREDOR"/>
    <x v="5"/>
    <d v="2019-06-01T00:00:00"/>
    <x v="0"/>
    <x v="0"/>
    <n v="0"/>
    <x v="0"/>
  </r>
  <r>
    <n v="112986"/>
    <s v="JOSE MARIA DE GOUVEIA"/>
    <s v="AJUDANTE EQ SERVICOS DIVERSOS"/>
    <x v="0"/>
    <d v="2019-06-01T00:00:00"/>
    <x v="0"/>
    <x v="0"/>
    <n v="0"/>
    <x v="0"/>
  </r>
  <r>
    <n v="113327"/>
    <s v="JOSE MARIA DE MOURA"/>
    <s v="COLETOR"/>
    <x v="2"/>
    <d v="2019-06-01T00:00:00"/>
    <x v="0"/>
    <x v="0"/>
    <n v="0"/>
    <x v="0"/>
  </r>
  <r>
    <n v="112283"/>
    <s v="JOSE MARIA DE SOUSA"/>
    <s v="VARREDOR"/>
    <x v="5"/>
    <d v="2019-06-01T00:00:00"/>
    <x v="0"/>
    <x v="0"/>
    <n v="0"/>
    <x v="0"/>
  </r>
  <r>
    <n v="112223"/>
    <s v="JOSE MARIA FERREIRA DE SOUSA"/>
    <s v="VARREDOR"/>
    <x v="1"/>
    <d v="2019-06-01T00:00:00"/>
    <x v="0"/>
    <x v="0"/>
    <n v="0"/>
    <x v="0"/>
  </r>
  <r>
    <n v="113467"/>
    <s v="JOSE MARIA PEREIRA DOS SANTOS"/>
    <s v="VARREDOR"/>
    <x v="1"/>
    <d v="2019-06-01T00:00:00"/>
    <x v="0"/>
    <x v="0"/>
    <n v="0"/>
    <x v="0"/>
  </r>
  <r>
    <n v="112964"/>
    <s v="JOSE MAURO DOS SANTOS SILVA"/>
    <s v="AJUDANTE EQ SERVICOS DIVERSOS"/>
    <x v="0"/>
    <d v="2019-06-01T00:00:00"/>
    <x v="0"/>
    <x v="0"/>
    <n v="0"/>
    <x v="0"/>
  </r>
  <r>
    <n v="112952"/>
    <s v="JOSE MESSIAS SANTOS ANUNCIACAO"/>
    <s v="VARREDOR"/>
    <x v="3"/>
    <d v="2019-06-01T00:00:00"/>
    <x v="0"/>
    <x v="0"/>
    <n v="0"/>
    <x v="0"/>
  </r>
  <r>
    <n v="120176"/>
    <s v="JOSE MILTON DOS SANTOS"/>
    <s v="AJUDANTE EQ SERVICOS DIVERSOS"/>
    <x v="4"/>
    <d v="2022-08-18T00:00:00"/>
    <x v="0"/>
    <x v="0"/>
    <n v="0"/>
    <x v="0"/>
  </r>
  <r>
    <n v="112280"/>
    <s v="JOSE NERIS DA SILVA"/>
    <s v="VARREDOR"/>
    <x v="5"/>
    <d v="2019-06-01T00:00:00"/>
    <x v="0"/>
    <x v="0"/>
    <n v="0"/>
    <x v="0"/>
  </r>
  <r>
    <n v="113633"/>
    <s v="JOSE NILTON BASTOS DE OLIVEIRA"/>
    <s v="MOTORISTA CAMINHAO"/>
    <x v="2"/>
    <d v="2019-06-01T00:00:00"/>
    <x v="0"/>
    <x v="0"/>
    <n v="0"/>
    <x v="0"/>
  </r>
  <r>
    <n v="113163"/>
    <s v="JOSE PROVINO OSORIO"/>
    <s v="COLETOR"/>
    <x v="2"/>
    <d v="2019-06-01T00:00:00"/>
    <x v="0"/>
    <x v="0"/>
    <n v="0"/>
    <x v="0"/>
  </r>
  <r>
    <n v="114926"/>
    <s v="JOSE RAIMUNDO DA SILVA"/>
    <s v="AJUDANTE EQ SERVICOS DIVERSOS"/>
    <x v="2"/>
    <d v="2020-03-26T00:00:00"/>
    <x v="0"/>
    <x v="0"/>
    <n v="0"/>
    <x v="0"/>
  </r>
  <r>
    <n v="112330"/>
    <s v="JOSE RAIMUNDO DA SILVA MATOS"/>
    <s v="VARREDOR"/>
    <x v="5"/>
    <d v="2019-06-01T00:00:00"/>
    <x v="0"/>
    <x v="0"/>
    <n v="0"/>
    <x v="0"/>
  </r>
  <r>
    <n v="113635"/>
    <s v="JOSE RAIMUNDO DAS CHAGAS"/>
    <s v="MOTORISTA CAMINHAO"/>
    <x v="2"/>
    <d v="2019-06-01T00:00:00"/>
    <x v="0"/>
    <x v="0"/>
    <n v="0"/>
    <x v="0"/>
  </r>
  <r>
    <n v="112526"/>
    <s v="JOSE RAIMUNDO SILVA"/>
    <s v="VARREDOR"/>
    <x v="3"/>
    <d v="2019-06-01T00:00:00"/>
    <x v="0"/>
    <x v="0"/>
    <n v="0"/>
    <x v="0"/>
  </r>
  <r>
    <n v="114712"/>
    <s v="JOSE REGINALDO DA SILVA"/>
    <s v="VARREDOR"/>
    <x v="5"/>
    <d v="2020-02-13T00:00:00"/>
    <x v="0"/>
    <x v="0"/>
    <n v="0"/>
    <x v="0"/>
  </r>
  <r>
    <n v="114110"/>
    <s v="JOSE RIBEIRO DE MOURA"/>
    <s v="AJUDANTE EQ SERVICOS DIVERSOS"/>
    <x v="3"/>
    <d v="2019-09-20T00:00:00"/>
    <x v="0"/>
    <x v="0"/>
    <n v="0"/>
    <x v="0"/>
  </r>
  <r>
    <n v="112188"/>
    <s v="JOSE RICARDO DA SILVA"/>
    <s v="BUEIRISTA"/>
    <x v="0"/>
    <d v="2019-06-01T00:00:00"/>
    <x v="0"/>
    <x v="0"/>
    <n v="0"/>
    <x v="0"/>
  </r>
  <r>
    <n v="112189"/>
    <s v="JOSE ROBERTO AVANZI"/>
    <s v="VARREDOR"/>
    <x v="4"/>
    <d v="2019-06-01T00:00:00"/>
    <x v="0"/>
    <x v="0"/>
    <n v="0"/>
    <x v="0"/>
  </r>
  <r>
    <n v="116976"/>
    <s v="JOSE ROBERTO DE LIMA FERREIRA"/>
    <s v="AJUDANTE EQ SERVICOS DIVERSOS"/>
    <x v="1"/>
    <d v="2021-08-11T00:00:00"/>
    <x v="0"/>
    <x v="0"/>
    <n v="0"/>
    <x v="0"/>
  </r>
  <r>
    <n v="113921"/>
    <s v="JOSE ROBERTO MARQUES DE LIMA"/>
    <s v="FISCAL DE TURMA PLENO"/>
    <x v="4"/>
    <d v="2019-08-05T00:00:00"/>
    <x v="0"/>
    <x v="0"/>
    <n v="0"/>
    <x v="0"/>
  </r>
  <r>
    <n v="112205"/>
    <s v="JOSE ROBERTO SOARES DA SILVA"/>
    <s v="VARREDOR"/>
    <x v="1"/>
    <d v="2019-06-01T00:00:00"/>
    <x v="0"/>
    <x v="0"/>
    <n v="0"/>
    <x v="0"/>
  </r>
  <r>
    <n v="112209"/>
    <s v="JOSE ROBERTO SOARES DE ANDRADE"/>
    <s v="VARREDOR"/>
    <x v="3"/>
    <d v="2019-06-01T00:00:00"/>
    <x v="0"/>
    <x v="0"/>
    <n v="0"/>
    <x v="0"/>
  </r>
  <r>
    <n v="116004"/>
    <s v="JOSE ROBSON DA SILVA"/>
    <s v="AJUDANTE EQ SERVICOS DIVERSOS"/>
    <x v="1"/>
    <d v="2021-01-11T00:00:00"/>
    <x v="3"/>
    <x v="0"/>
    <n v="38.289999999999964"/>
    <x v="0"/>
  </r>
  <r>
    <n v="112213"/>
    <s v="JOSE ROMILDO ARAUJO DOS SANTOS"/>
    <s v="VARREDOR"/>
    <x v="0"/>
    <d v="2019-06-01T00:00:00"/>
    <x v="0"/>
    <x v="0"/>
    <n v="0"/>
    <x v="0"/>
  </r>
  <r>
    <n v="112222"/>
    <s v="JOSE ROMIRAN DA SILVA"/>
    <s v="VARREDOR"/>
    <x v="3"/>
    <d v="2019-06-01T00:00:00"/>
    <x v="0"/>
    <x v="0"/>
    <n v="0"/>
    <x v="0"/>
  </r>
  <r>
    <n v="112227"/>
    <s v="JOSE RONILTON DOS SANTOS"/>
    <s v="AJUDANTE EQ SERVICOS DIVERSOS"/>
    <x v="1"/>
    <d v="2019-06-01T00:00:00"/>
    <x v="0"/>
    <x v="0"/>
    <n v="0"/>
    <x v="0"/>
  </r>
  <r>
    <n v="114953"/>
    <s v="JOSE ROSA DE LIMA"/>
    <s v="MOTORISTA DE CAMINHAO"/>
    <x v="2"/>
    <d v="2020-03-26T00:00:00"/>
    <x v="0"/>
    <x v="0"/>
    <n v="0"/>
    <x v="0"/>
  </r>
  <r>
    <n v="112239"/>
    <s v="JOSE SATURNINO DE OLIVEIRA"/>
    <s v="VARREDOR"/>
    <x v="5"/>
    <d v="2019-06-01T00:00:00"/>
    <x v="0"/>
    <x v="0"/>
    <n v="0"/>
    <x v="0"/>
  </r>
  <r>
    <n v="112253"/>
    <s v="JOSE SERGIO OLIVEIRA DA SILVA"/>
    <s v="MOTORISTA CAMINHAO"/>
    <x v="2"/>
    <d v="2019-06-01T00:00:00"/>
    <x v="0"/>
    <x v="0"/>
    <n v="0"/>
    <x v="0"/>
  </r>
  <r>
    <n v="114940"/>
    <s v="JOSE SILVA DE CARVALHO"/>
    <s v="AJUDANTE EQ SERVICOS DIVERSOS"/>
    <x v="2"/>
    <d v="2020-03-26T00:00:00"/>
    <x v="0"/>
    <x v="0"/>
    <n v="0"/>
    <x v="0"/>
  </r>
  <r>
    <n v="112256"/>
    <s v="JOSE SOARES"/>
    <s v="AJUDANTE EQ SERVICOS DIVERSOS"/>
    <x v="2"/>
    <d v="2019-06-01T00:00:00"/>
    <x v="0"/>
    <x v="0"/>
    <n v="0"/>
    <x v="2"/>
  </r>
  <r>
    <n v="112268"/>
    <s v="JOSE VANDERLEI MARTINS"/>
    <s v="VARREDOR"/>
    <x v="5"/>
    <d v="2019-06-01T00:00:00"/>
    <x v="0"/>
    <x v="0"/>
    <n v="0"/>
    <x v="0"/>
  </r>
  <r>
    <n v="112273"/>
    <s v="JOSE VANDICO ARAUJO DOS SANTOS"/>
    <s v="AJUDANTE EQ SERVICOS DIVERSOS"/>
    <x v="4"/>
    <d v="2019-06-01T00:00:00"/>
    <x v="0"/>
    <x v="0"/>
    <n v="0"/>
    <x v="2"/>
  </r>
  <r>
    <n v="112281"/>
    <s v="JOSE WELLITON MATEUS GOMES"/>
    <s v="COLETOR"/>
    <x v="2"/>
    <d v="2019-06-01T00:00:00"/>
    <x v="0"/>
    <x v="0"/>
    <n v="0"/>
    <x v="0"/>
  </r>
  <r>
    <n v="119921"/>
    <s v="JOSELINE ALVES DOS SANTOS"/>
    <s v="AJUDANTE EQ SERVICOS DIVERSOS"/>
    <x v="1"/>
    <d v="2022-07-18T00:00:00"/>
    <x v="0"/>
    <x v="0"/>
    <n v="0"/>
    <x v="0"/>
  </r>
  <r>
    <n v="112292"/>
    <s v="JOSEMAR CELESTINO DOS SANTOS"/>
    <s v="MOTORISTA CAMINHAO"/>
    <x v="2"/>
    <d v="2019-06-01T00:00:00"/>
    <x v="0"/>
    <x v="0"/>
    <n v="0"/>
    <x v="0"/>
  </r>
  <r>
    <n v="121957"/>
    <s v="JOSEMAR DE PAULA MACEDO"/>
    <s v="AJUDANTE EQ SERVICOS DIVERSOS"/>
    <x v="1"/>
    <d v="2023-04-24T00:00:00"/>
    <x v="15"/>
    <x v="0"/>
    <n v="-38.289999999999964"/>
    <x v="0"/>
  </r>
  <r>
    <n v="112296"/>
    <s v="JOSENILSON FELICIO DOS SANTOS"/>
    <s v="AJUDANTE EQ SERVICOS DIVERSOS"/>
    <x v="1"/>
    <d v="2019-06-01T00:00:00"/>
    <x v="0"/>
    <x v="0"/>
    <n v="0"/>
    <x v="0"/>
  </r>
  <r>
    <n v="112309"/>
    <s v="JOSEVAL FERREIRA MIRANDA"/>
    <s v="AJUDANTE EQ SERVICOS DIVERSOS"/>
    <x v="0"/>
    <d v="2019-06-01T00:00:00"/>
    <x v="0"/>
    <x v="0"/>
    <n v="0"/>
    <x v="0"/>
  </r>
  <r>
    <n v="112364"/>
    <s v="JOSIVALDO SILVA DE MELO"/>
    <s v="AJUDANTE EQ SERVICOS DIVERSOS"/>
    <x v="1"/>
    <d v="2019-06-01T00:00:00"/>
    <x v="2"/>
    <x v="2"/>
    <n v="38.280000000000086"/>
    <x v="0"/>
  </r>
  <r>
    <n v="112370"/>
    <s v="JOVELINA MARIA DA SILVA"/>
    <s v="AJUDANTE EQ SERVICOS DIVERSOS"/>
    <x v="3"/>
    <d v="2019-06-01T00:00:00"/>
    <x v="0"/>
    <x v="1"/>
    <n v="-657.5"/>
    <x v="1"/>
  </r>
  <r>
    <n v="114128"/>
    <s v="JOVELINO MANOEL DA SILVA"/>
    <s v="MOTORISTA CAMINHAO"/>
    <x v="2"/>
    <d v="2019-10-01T00:00:00"/>
    <x v="0"/>
    <x v="0"/>
    <n v="0"/>
    <x v="0"/>
  </r>
  <r>
    <n v="112379"/>
    <s v="JUAN CARLOS DIAZ BASCUR"/>
    <s v="MOTORISTA CAMINHAO"/>
    <x v="2"/>
    <d v="2019-06-01T00:00:00"/>
    <x v="0"/>
    <x v="0"/>
    <n v="0"/>
    <x v="0"/>
  </r>
  <r>
    <n v="112384"/>
    <s v="JUARES ANTONIO DA SILVA"/>
    <s v="MOTORISTA CAMINHAO"/>
    <x v="2"/>
    <d v="2019-06-04T00:00:00"/>
    <x v="0"/>
    <x v="0"/>
    <n v="0"/>
    <x v="0"/>
  </r>
  <r>
    <n v="115796"/>
    <s v="JULIA KATHLEEN OLIVEIRA DOS SANTOS"/>
    <s v="ASSISTENTE DE PLANEJAMENTO OPERACIONAL"/>
    <x v="2"/>
    <d v="2020-11-10T00:00:00"/>
    <x v="0"/>
    <x v="0"/>
    <n v="0"/>
    <x v="0"/>
  </r>
  <r>
    <n v="112394"/>
    <s v="JULIANA ALVES DE OLIVEIRA"/>
    <s v="VARREDOR"/>
    <x v="1"/>
    <d v="2019-06-01T00:00:00"/>
    <x v="0"/>
    <x v="0"/>
    <n v="0"/>
    <x v="0"/>
  </r>
  <r>
    <n v="113762"/>
    <s v="JULIANA CORREA DE BARROS"/>
    <s v="AUXILIAR ADMINISTRATIVO"/>
    <x v="1"/>
    <d v="2019-06-05T00:00:00"/>
    <x v="0"/>
    <x v="0"/>
    <n v="0"/>
    <x v="0"/>
  </r>
  <r>
    <n v="116234"/>
    <s v="JULIANA DA SILVA ANDREOLI"/>
    <s v="VARREDOR"/>
    <x v="3"/>
    <d v="2021-03-18T00:00:00"/>
    <x v="0"/>
    <x v="0"/>
    <n v="0"/>
    <x v="0"/>
  </r>
  <r>
    <n v="112401"/>
    <s v="JULIANO LAURINDO CAMILO VICENTE"/>
    <s v="MOTORISTA CAMINHAO"/>
    <x v="2"/>
    <d v="2019-06-11T00:00:00"/>
    <x v="0"/>
    <x v="0"/>
    <n v="0"/>
    <x v="0"/>
  </r>
  <r>
    <n v="117236"/>
    <s v="JULIE DA SILVA PEREIRA"/>
    <s v="VARREDOR"/>
    <x v="1"/>
    <d v="2021-10-18T00:00:00"/>
    <x v="0"/>
    <x v="0"/>
    <n v="0"/>
    <x v="0"/>
  </r>
  <r>
    <n v="119647"/>
    <s v="JULIO VICTOR OHARA SANCHEZ"/>
    <s v="AUXILIAR DE PLANEJAMENTO OPERACIONAL"/>
    <x v="2"/>
    <d v="2022-06-13T00:00:00"/>
    <x v="0"/>
    <x v="0"/>
    <n v="0"/>
    <x v="0"/>
  </r>
  <r>
    <n v="112415"/>
    <s v="JUNIOR CESAR APARECIDO FERREIRA"/>
    <s v="COLETOR"/>
    <x v="2"/>
    <d v="2019-06-01T00:00:00"/>
    <x v="0"/>
    <x v="0"/>
    <n v="0"/>
    <x v="0"/>
  </r>
  <r>
    <n v="112418"/>
    <s v="JURACI BARBOSA SANTOS"/>
    <s v="VARREDOR"/>
    <x v="1"/>
    <d v="2019-06-01T00:00:00"/>
    <x v="0"/>
    <x v="0"/>
    <n v="0"/>
    <x v="0"/>
  </r>
  <r>
    <n v="112421"/>
    <s v="JURACI CUSTODIO DE LIMA"/>
    <s v="AJUDANTE EQ SERVICOS DIVERSOS"/>
    <x v="3"/>
    <d v="2019-06-01T00:00:00"/>
    <x v="0"/>
    <x v="0"/>
    <n v="0"/>
    <x v="0"/>
  </r>
  <r>
    <n v="112431"/>
    <s v="JUREMIR ALVES BARROSO"/>
    <s v="AJUDANTE EQ SERVICOS DIVERSOS"/>
    <x v="5"/>
    <d v="2019-06-01T00:00:00"/>
    <x v="0"/>
    <x v="0"/>
    <n v="0"/>
    <x v="0"/>
  </r>
  <r>
    <n v="112437"/>
    <s v="JUSCELINO FERREIRA FILHO"/>
    <s v="MOTORISTA DE CAMINHAO"/>
    <x v="2"/>
    <d v="2019-06-01T00:00:00"/>
    <x v="0"/>
    <x v="0"/>
    <n v="0"/>
    <x v="0"/>
  </r>
  <r>
    <n v="112470"/>
    <s v="JUSCIMAR FERREIRA DA LOMBA"/>
    <s v="AJUDANTE EQ SERVICOS DIVERSOS"/>
    <x v="1"/>
    <d v="2019-06-01T00:00:00"/>
    <x v="0"/>
    <x v="0"/>
    <n v="0"/>
    <x v="0"/>
  </r>
  <r>
    <n v="122560"/>
    <s v="KAIQUE DOS SANTOS ALMEIDA"/>
    <s v="AJUDANTE EQ SERVICOS DIVERSOS"/>
    <x v="4"/>
    <d v="2023-07-24T00:00:00"/>
    <x v="7"/>
    <x v="2"/>
    <n v="-312.08999999999992"/>
    <x v="0"/>
  </r>
  <r>
    <n v="113782"/>
    <s v="KARINA CRISTINA BORGES DOS SANTOS"/>
    <s v="ENGENHEIRO COORDENADOR QSMS"/>
    <x v="2"/>
    <d v="2019-06-10T00:00:00"/>
    <x v="0"/>
    <x v="0"/>
    <n v="0"/>
    <x v="0"/>
  </r>
  <r>
    <n v="116978"/>
    <s v="KARINA MARIA LIMA"/>
    <s v="AJUDANTE EQ SERVICOS DIVERSOS"/>
    <x v="5"/>
    <d v="2021-08-11T00:00:00"/>
    <x v="0"/>
    <x v="4"/>
    <n v="-76.57000000000005"/>
    <x v="0"/>
  </r>
  <r>
    <n v="121939"/>
    <s v="KARINA PEREIRA DA SILVA"/>
    <s v="MENOR/JOVEM APRENDIZ"/>
    <x v="6"/>
    <d v="2023-04-24T00:00:00"/>
    <x v="1"/>
    <x v="3"/>
    <n v="0"/>
    <x v="0"/>
  </r>
  <r>
    <n v="115371"/>
    <s v="KATIA CONCEICAO ROCHA"/>
    <s v="AJUDANTE EQ SERVICOS DIVERSOS"/>
    <x v="1"/>
    <d v="2020-08-03T00:00:00"/>
    <x v="0"/>
    <x v="0"/>
    <n v="0"/>
    <x v="0"/>
  </r>
  <r>
    <n v="112478"/>
    <s v="KELBER JESUS DOS SANTOS"/>
    <s v="COLETOR"/>
    <x v="2"/>
    <d v="2019-06-01T00:00:00"/>
    <x v="0"/>
    <x v="0"/>
    <n v="0"/>
    <x v="0"/>
  </r>
  <r>
    <n v="114927"/>
    <s v="KELVIN CARLOS DE SOUSA AMORIM"/>
    <s v="AJUDANTE EQ SERVICOS DIVERSOS"/>
    <x v="2"/>
    <d v="2020-03-26T00:00:00"/>
    <x v="0"/>
    <x v="0"/>
    <n v="0"/>
    <x v="0"/>
  </r>
  <r>
    <n v="112503"/>
    <s v="KELVIN LOPES DE ALMEIDA"/>
    <s v="AJUDANTE EQ SERVICOS DIVERSOS"/>
    <x v="3"/>
    <d v="2019-06-01T00:00:00"/>
    <x v="0"/>
    <x v="0"/>
    <n v="0"/>
    <x v="0"/>
  </r>
  <r>
    <n v="116385"/>
    <s v="KEVIN DANNIEL CARDOSO DA SILVA"/>
    <s v="AJUDANTE EQ SERVICOS DIVERSOS"/>
    <x v="4"/>
    <d v="2021-05-12T00:00:00"/>
    <x v="0"/>
    <x v="0"/>
    <n v="0"/>
    <x v="2"/>
  </r>
  <r>
    <n v="112542"/>
    <s v="KLEBER JOSE OLIVEIRA DA SILVA"/>
    <s v="AJUDANTE EQ SERVICOS DIVERSOS"/>
    <x v="1"/>
    <d v="2019-06-01T00:00:00"/>
    <x v="0"/>
    <x v="2"/>
    <n v="-38.289999999999964"/>
    <x v="0"/>
  </r>
  <r>
    <n v="112545"/>
    <s v="KLEBERSON JOSE DA SILVA"/>
    <s v="VARREDOR"/>
    <x v="1"/>
    <d v="2019-06-01T00:00:00"/>
    <x v="0"/>
    <x v="0"/>
    <n v="0"/>
    <x v="0"/>
  </r>
  <r>
    <n v="112546"/>
    <s v="KLEBERT MARCOS DA SILVA FERREIRA"/>
    <s v="ENCARREGADO DE MANUTENCAO OFICINA"/>
    <x v="2"/>
    <d v="2019-06-01T00:00:00"/>
    <x v="0"/>
    <x v="0"/>
    <n v="0"/>
    <x v="0"/>
  </r>
  <r>
    <n v="118649"/>
    <s v="LACIEL CARLOS DE SENA"/>
    <s v="AJUDANTE EQ SERVICOS DIVERSOS"/>
    <x v="2"/>
    <d v="2022-01-21T00:00:00"/>
    <x v="0"/>
    <x v="0"/>
    <n v="0"/>
    <x v="0"/>
  </r>
  <r>
    <n v="122571"/>
    <s v="LAERCIO MARIANO DE ABREU"/>
    <s v="MOTORISTA CAMINHAO"/>
    <x v="2"/>
    <d v="2023-07-24T00:00:00"/>
    <x v="7"/>
    <x v="0"/>
    <n v="-273.79999999999995"/>
    <x v="0"/>
  </r>
  <r>
    <n v="121476"/>
    <s v="LEANDRO APARECIDO VIEIRA DE SOUZA"/>
    <s v="AJUDANTE EQ SERVICOS DIVERSOS"/>
    <x v="2"/>
    <d v="2023-02-10T00:00:00"/>
    <x v="3"/>
    <x v="0"/>
    <n v="38.289999999999964"/>
    <x v="0"/>
  </r>
  <r>
    <n v="112558"/>
    <s v="LEANDRO BARROSO DA SILVA"/>
    <s v="FISCAL DE TURMA PLENO"/>
    <x v="1"/>
    <d v="2019-06-01T00:00:00"/>
    <x v="0"/>
    <x v="0"/>
    <n v="0"/>
    <x v="0"/>
  </r>
  <r>
    <n v="112577"/>
    <s v="LEANDRO DA SILVA DONIZETE"/>
    <s v="VARREDOR"/>
    <x v="1"/>
    <d v="2019-06-01T00:00:00"/>
    <x v="0"/>
    <x v="0"/>
    <n v="0"/>
    <x v="2"/>
  </r>
  <r>
    <n v="112583"/>
    <s v="LEANDRO DE OLIVEIRA"/>
    <s v="MOTORISTA CAMINHAO"/>
    <x v="2"/>
    <d v="2019-06-01T00:00:00"/>
    <x v="0"/>
    <x v="0"/>
    <n v="0"/>
    <x v="0"/>
  </r>
  <r>
    <n v="112589"/>
    <s v="LEANDRO DE SOUSA CLAUDINO"/>
    <s v="MOTORISTA DE CAMINHAO"/>
    <x v="2"/>
    <d v="2019-06-01T00:00:00"/>
    <x v="0"/>
    <x v="0"/>
    <n v="0"/>
    <x v="2"/>
  </r>
  <r>
    <n v="112596"/>
    <s v="LEANDRO GARCIA CAMARGO"/>
    <s v="VARREDOR"/>
    <x v="1"/>
    <d v="2019-06-01T00:00:00"/>
    <x v="0"/>
    <x v="0"/>
    <n v="0"/>
    <x v="0"/>
  </r>
  <r>
    <n v="115404"/>
    <s v="LEANDRO GOMES DA SILVA"/>
    <s v="VARREDOR"/>
    <x v="1"/>
    <d v="2020-08-05T00:00:00"/>
    <x v="0"/>
    <x v="0"/>
    <n v="0"/>
    <x v="0"/>
  </r>
  <r>
    <n v="112604"/>
    <s v="LEANDRO JOSE BATISTA"/>
    <s v="MOTORISTA CAMINHAO"/>
    <x v="2"/>
    <d v="2019-06-01T00:00:00"/>
    <x v="0"/>
    <x v="0"/>
    <n v="0"/>
    <x v="2"/>
  </r>
  <r>
    <n v="112611"/>
    <s v="LEANDRO JOSE CORREIA DA SILVA"/>
    <s v="AJUDANTE EQ SERVICOS DIVERSOS"/>
    <x v="2"/>
    <d v="2019-06-01T00:00:00"/>
    <x v="0"/>
    <x v="0"/>
    <n v="0"/>
    <x v="0"/>
  </r>
  <r>
    <n v="112617"/>
    <s v="LEANDRO MENDES SILQUEIRA"/>
    <s v="VARREDOR"/>
    <x v="0"/>
    <d v="2019-06-01T00:00:00"/>
    <x v="0"/>
    <x v="0"/>
    <n v="0"/>
    <x v="0"/>
  </r>
  <r>
    <n v="112625"/>
    <s v="LEANDRO SANTANA SANTOS"/>
    <s v="MOTORISTA CAMINHAO"/>
    <x v="2"/>
    <d v="2019-06-01T00:00:00"/>
    <x v="0"/>
    <x v="0"/>
    <n v="0"/>
    <x v="0"/>
  </r>
  <r>
    <n v="112630"/>
    <s v="LEANDRO SARAGOCA PEREIRA"/>
    <s v="AJUDANTE EQ SERVICOS DIVERSOS"/>
    <x v="1"/>
    <d v="2019-06-01T00:00:00"/>
    <x v="0"/>
    <x v="0"/>
    <n v="0"/>
    <x v="0"/>
  </r>
  <r>
    <n v="114736"/>
    <s v="LEANDRO SILVA DE SOUZA"/>
    <s v="AJUDANTE EQ SERVICOS DIVERSOS"/>
    <x v="4"/>
    <d v="2020-02-13T00:00:00"/>
    <x v="0"/>
    <x v="2"/>
    <n v="-38.289999999999964"/>
    <x v="0"/>
  </r>
  <r>
    <n v="116024"/>
    <s v="LEANDRO SOARES DA CRUZ"/>
    <s v="AJUDANTE EQ SERVICOS DIVERSOS"/>
    <x v="5"/>
    <d v="2021-01-11T00:00:00"/>
    <x v="0"/>
    <x v="0"/>
    <n v="0"/>
    <x v="0"/>
  </r>
  <r>
    <n v="112640"/>
    <s v="LEANDRO YASSUNORI DE OLIVEIRA"/>
    <s v="AJUDANTE DE MECANICO"/>
    <x v="2"/>
    <d v="2019-06-01T00:00:00"/>
    <x v="0"/>
    <x v="0"/>
    <n v="0"/>
    <x v="0"/>
  </r>
  <r>
    <n v="112649"/>
    <s v="LEMUEL DE OLIVEIRA BRANDAO"/>
    <s v="VARREDOR"/>
    <x v="3"/>
    <d v="2019-06-01T00:00:00"/>
    <x v="0"/>
    <x v="0"/>
    <n v="0"/>
    <x v="0"/>
  </r>
  <r>
    <n v="122088"/>
    <s v="LEONARDO APARECIDO DA SILVA"/>
    <s v="AJUDANTE EQ SERVICOS DIVERSOS"/>
    <x v="2"/>
    <d v="2023-05-15T00:00:00"/>
    <x v="0"/>
    <x v="0"/>
    <n v="0"/>
    <x v="0"/>
  </r>
  <r>
    <n v="112658"/>
    <s v="LEONARDO BARBOSA LOPES"/>
    <s v="MOTORISTA CAMINHAO"/>
    <x v="2"/>
    <d v="2019-06-01T00:00:00"/>
    <x v="3"/>
    <x v="0"/>
    <n v="38.289999999999964"/>
    <x v="2"/>
  </r>
  <r>
    <n v="119752"/>
    <s v="LEONARDO CESAR SOUZA DE OLIVEIRA"/>
    <s v="MENOR/JOVEM APRENDIZ"/>
    <x v="6"/>
    <d v="2022-06-22T00:00:00"/>
    <x v="1"/>
    <x v="3"/>
    <n v="0"/>
    <x v="0"/>
  </r>
  <r>
    <n v="113768"/>
    <s v="LEONARDO FRANCISCO DOS SANTOS"/>
    <s v="FISCAL DE TURMA PLENO"/>
    <x v="1"/>
    <d v="2019-06-06T00:00:00"/>
    <x v="0"/>
    <x v="0"/>
    <n v="0"/>
    <x v="0"/>
  </r>
  <r>
    <n v="114749"/>
    <s v="LEONARDO JOSE DA SILVA"/>
    <s v="AJUDANTE EQ SERVICOS DIVERSOS"/>
    <x v="5"/>
    <d v="2020-02-13T00:00:00"/>
    <x v="0"/>
    <x v="0"/>
    <n v="0"/>
    <x v="0"/>
  </r>
  <r>
    <n v="112667"/>
    <s v="LEONARDO NASCIMENTO ALVES"/>
    <s v="LAVADOR"/>
    <x v="2"/>
    <d v="2019-06-01T00:00:00"/>
    <x v="0"/>
    <x v="0"/>
    <n v="0"/>
    <x v="0"/>
  </r>
  <r>
    <n v="112677"/>
    <s v="LEONARDO PEREIRA DA SILVA"/>
    <s v="MOTORISTA CAMINHAO"/>
    <x v="2"/>
    <d v="2019-06-01T00:00:00"/>
    <x v="0"/>
    <x v="0"/>
    <n v="0"/>
    <x v="0"/>
  </r>
  <r>
    <n v="112682"/>
    <s v="LEONDINEI VAZ"/>
    <s v="AJUDANTE EQ SERVICOS DIVERSOS"/>
    <x v="3"/>
    <d v="2019-06-01T00:00:00"/>
    <x v="0"/>
    <x v="0"/>
    <n v="0"/>
    <x v="0"/>
  </r>
  <r>
    <n v="112684"/>
    <s v="LEONIDAS CORTES DOS SANTOS"/>
    <s v="VARREDOR"/>
    <x v="5"/>
    <d v="2019-06-01T00:00:00"/>
    <x v="0"/>
    <x v="0"/>
    <n v="0"/>
    <x v="0"/>
  </r>
  <r>
    <n v="112687"/>
    <s v="LESSIO RENOR DE FREITAS"/>
    <s v="VARREDOR"/>
    <x v="1"/>
    <d v="2019-06-01T00:00:00"/>
    <x v="0"/>
    <x v="0"/>
    <n v="0"/>
    <x v="0"/>
  </r>
  <r>
    <n v="112690"/>
    <s v="LETICIA FERREIRA DOS SANTOS"/>
    <s v="AJUDANTE EQ SERVICOS DIVERSOS"/>
    <x v="5"/>
    <d v="2019-06-01T00:00:00"/>
    <x v="2"/>
    <x v="0"/>
    <n v="76.57000000000005"/>
    <x v="0"/>
  </r>
  <r>
    <n v="115814"/>
    <s v="LIGIA GOMES DA CRUZ"/>
    <s v="AGENTE AMBIENTAL"/>
    <x v="2"/>
    <d v="2020-11-19T00:00:00"/>
    <x v="0"/>
    <x v="15"/>
    <n v="-9.9999999999909051E-3"/>
    <x v="1"/>
  </r>
  <r>
    <n v="114030"/>
    <s v="LILIANE ROSA FURTADO DA SILVA"/>
    <s v="AJUDANTE EQ SERVICOS DIVERSOS"/>
    <x v="3"/>
    <d v="2019-09-02T00:00:00"/>
    <x v="0"/>
    <x v="0"/>
    <n v="0"/>
    <x v="0"/>
  </r>
  <r>
    <n v="119643"/>
    <s v="LINDOMAR MOISES DA SILVA"/>
    <s v="AJUDANTE EQ SERVICOS DIVERSOS"/>
    <x v="1"/>
    <d v="2022-06-13T00:00:00"/>
    <x v="9"/>
    <x v="0"/>
    <n v="153.13"/>
    <x v="0"/>
  </r>
  <r>
    <n v="121949"/>
    <s v="LOHANA ARAUJO FIDELES"/>
    <s v="MENOR/JOVEM APRENDIZ"/>
    <x v="6"/>
    <d v="2023-04-24T00:00:00"/>
    <x v="1"/>
    <x v="3"/>
    <n v="0"/>
    <x v="0"/>
  </r>
  <r>
    <n v="116386"/>
    <s v="LORIVAL LOPES"/>
    <s v="MOTORISTA CAMINHAO"/>
    <x v="2"/>
    <d v="2021-05-12T00:00:00"/>
    <x v="0"/>
    <x v="0"/>
    <n v="0"/>
    <x v="2"/>
  </r>
  <r>
    <n v="112693"/>
    <s v="LOURIVAL CALADO DA SILVA"/>
    <s v="VARREDOR"/>
    <x v="0"/>
    <d v="2019-06-01T00:00:00"/>
    <x v="0"/>
    <x v="0"/>
    <n v="0"/>
    <x v="0"/>
  </r>
  <r>
    <n v="112694"/>
    <s v="LOURIVAL IDELFONSO"/>
    <s v="BUEIRISTA"/>
    <x v="0"/>
    <d v="2019-06-01T00:00:00"/>
    <x v="0"/>
    <x v="0"/>
    <n v="0"/>
    <x v="0"/>
  </r>
  <r>
    <n v="112699"/>
    <s v="LOURIVAL VALENTIM"/>
    <s v="VARREDOR"/>
    <x v="1"/>
    <d v="2019-06-01T00:00:00"/>
    <x v="0"/>
    <x v="0"/>
    <n v="0"/>
    <x v="0"/>
  </r>
  <r>
    <n v="119922"/>
    <s v="LUAN DE OLIVEIRA"/>
    <s v="AJUDANTE EQ SERVICOS DIVERSOS"/>
    <x v="2"/>
    <d v="2022-07-18T00:00:00"/>
    <x v="0"/>
    <x v="2"/>
    <n v="-38.289999999999964"/>
    <x v="2"/>
  </r>
  <r>
    <n v="118060"/>
    <s v="LUCAS AMORIM DA SILVA DONIZETE"/>
    <s v="AJUDANTE EQ SERVICOS DIVERSOS"/>
    <x v="1"/>
    <d v="2022-01-06T00:00:00"/>
    <x v="3"/>
    <x v="2"/>
    <n v="0"/>
    <x v="2"/>
  </r>
  <r>
    <n v="112732"/>
    <s v="LUCAS DA SILVA LEITE"/>
    <s v="AJUDANTE EQ SERVICOS DIVERSOS"/>
    <x v="1"/>
    <d v="2019-06-01T00:00:00"/>
    <x v="0"/>
    <x v="0"/>
    <n v="0"/>
    <x v="0"/>
  </r>
  <r>
    <n v="112748"/>
    <s v="LUCAS GONCALVES DOS SANTOS"/>
    <s v="AJUDANTE EQ SERVICOS DIVERSOS"/>
    <x v="5"/>
    <d v="2019-06-01T00:00:00"/>
    <x v="0"/>
    <x v="0"/>
    <n v="0"/>
    <x v="0"/>
  </r>
  <r>
    <n v="112771"/>
    <s v="LUCAS SOUSA GAMA"/>
    <s v="MOTORISTA CAMINHAO"/>
    <x v="2"/>
    <d v="2019-06-01T00:00:00"/>
    <x v="0"/>
    <x v="0"/>
    <n v="0"/>
    <x v="0"/>
  </r>
  <r>
    <n v="112775"/>
    <s v="LUCIANA DE SOUZA EVANGELISTA DOS SANTOS"/>
    <s v="AJUDANTE EQ SERVICOS DIVERSOS"/>
    <x v="1"/>
    <d v="2019-06-01T00:00:00"/>
    <x v="0"/>
    <x v="0"/>
    <n v="0"/>
    <x v="0"/>
  </r>
  <r>
    <n v="119242"/>
    <s v="LUCIANA RODRIGUES DE ANDRADE"/>
    <s v="AUXILIAR DE DEPARTAMENTO PESSOAL"/>
    <x v="6"/>
    <d v="2022-04-07T00:00:00"/>
    <x v="0"/>
    <x v="0"/>
    <n v="0"/>
    <x v="0"/>
  </r>
  <r>
    <n v="112781"/>
    <s v="LUCIANO ALCIDES MOTA"/>
    <s v="BUEIRISTA"/>
    <x v="1"/>
    <d v="2019-06-01T00:00:00"/>
    <x v="0"/>
    <x v="0"/>
    <n v="0"/>
    <x v="0"/>
  </r>
  <r>
    <n v="122632"/>
    <s v="LUCIANO DE SOUSA AMORIM"/>
    <s v="MOTORISTA CAMINHAO"/>
    <x v="2"/>
    <d v="2023-08-07T00:00:00"/>
    <x v="17"/>
    <x v="16"/>
    <n v="1845.5900000000001"/>
    <x v="4"/>
  </r>
  <r>
    <n v="114527"/>
    <s v="LUCIANO FRANCISCO DOS SANTOS"/>
    <s v="VARREDOR"/>
    <x v="1"/>
    <d v="2019-12-14T00:00:00"/>
    <x v="0"/>
    <x v="0"/>
    <n v="0"/>
    <x v="0"/>
  </r>
  <r>
    <n v="112803"/>
    <s v="LUCIANO GOUVEIA BARBOZA"/>
    <s v="VARREDOR"/>
    <x v="1"/>
    <d v="2019-06-01T00:00:00"/>
    <x v="0"/>
    <x v="0"/>
    <n v="0"/>
    <x v="0"/>
  </r>
  <r>
    <n v="112809"/>
    <s v="LUCIANO HENRIQUE REIS DAMACENA"/>
    <s v="AJUDANTE EQ SERVICOS DIVERSOS"/>
    <x v="3"/>
    <d v="2019-06-05T00:00:00"/>
    <x v="0"/>
    <x v="0"/>
    <n v="0"/>
    <x v="0"/>
  </r>
  <r>
    <n v="116980"/>
    <s v="LUCIANO ROBERTO DE OLIVEIRA"/>
    <s v="MOTORISTA CAMINHAO"/>
    <x v="2"/>
    <d v="2021-08-11T00:00:00"/>
    <x v="0"/>
    <x v="0"/>
    <n v="0"/>
    <x v="0"/>
  </r>
  <r>
    <n v="121317"/>
    <s v="LUCIANO RODRIGUES DE SOUZA"/>
    <s v="AJUDANTE EQ SERVICOS DIVERSOS"/>
    <x v="5"/>
    <d v="2023-01-19T00:00:00"/>
    <x v="2"/>
    <x v="0"/>
    <n v="76.57000000000005"/>
    <x v="0"/>
  </r>
  <r>
    <n v="112813"/>
    <s v="LUCIANO SILVA DE OLIVEIRA"/>
    <s v="AJUDANTE EQ SERVICOS DIVERSOS"/>
    <x v="5"/>
    <d v="2019-06-01T00:00:00"/>
    <x v="0"/>
    <x v="0"/>
    <n v="0"/>
    <x v="0"/>
  </r>
  <r>
    <n v="112837"/>
    <s v="LUCICLEIDE DA SILVA"/>
    <s v="MOTORISTA CAMINHAO"/>
    <x v="2"/>
    <d v="2019-06-01T00:00:00"/>
    <x v="18"/>
    <x v="0"/>
    <n v="743.16000000000008"/>
    <x v="0"/>
  </r>
  <r>
    <n v="122090"/>
    <s v="LUCIELMA DOS SANTOS SILVA"/>
    <s v="AJUDANTE EQ SERVICOS DIVERSOS"/>
    <x v="0"/>
    <d v="2023-05-15T00:00:00"/>
    <x v="19"/>
    <x v="5"/>
    <n v="-186.21"/>
    <x v="1"/>
  </r>
  <r>
    <n v="121687"/>
    <s v="LUCILENE MONTEIRO RODRIGUES"/>
    <s v="AJUDANTE EQ SERVICOS DIVERSOS"/>
    <x v="5"/>
    <d v="2023-03-09T00:00:00"/>
    <x v="0"/>
    <x v="0"/>
    <n v="0"/>
    <x v="0"/>
  </r>
  <r>
    <n v="112892"/>
    <s v="LUIS CARLOS MATOS DE ALMEIDA"/>
    <s v="AUXILIAR DE TRAFEGO"/>
    <x v="2"/>
    <d v="2019-06-01T00:00:00"/>
    <x v="0"/>
    <x v="0"/>
    <n v="0"/>
    <x v="0"/>
  </r>
  <r>
    <n v="112897"/>
    <s v="LUIS CARLOS RIBEIRO DA SILVA"/>
    <s v="VARREDOR"/>
    <x v="3"/>
    <d v="2019-06-01T00:00:00"/>
    <x v="0"/>
    <x v="0"/>
    <n v="0"/>
    <x v="2"/>
  </r>
  <r>
    <n v="112902"/>
    <s v="LUIS DOS SANTOS BURITI"/>
    <s v="AJUDANTE EQ SERVICOS DIVERSOS"/>
    <x v="3"/>
    <d v="2019-06-01T00:00:00"/>
    <x v="0"/>
    <x v="0"/>
    <n v="0"/>
    <x v="0"/>
  </r>
  <r>
    <n v="121955"/>
    <s v="LUIS HENRIQUE JERONIMO VIEIRA"/>
    <s v="AJUDANTE EQ SERVICOS DIVERSOS"/>
    <x v="3"/>
    <d v="2023-04-24T00:00:00"/>
    <x v="0"/>
    <x v="0"/>
    <n v="0"/>
    <x v="0"/>
  </r>
  <r>
    <n v="112906"/>
    <s v="LUIS LOPES DE SOUSA"/>
    <s v="VARREDOR"/>
    <x v="1"/>
    <d v="2019-06-01T00:00:00"/>
    <x v="0"/>
    <x v="0"/>
    <n v="0"/>
    <x v="0"/>
  </r>
  <r>
    <n v="112920"/>
    <s v="LUIZ ADALBERTO DA SILVA"/>
    <s v="MOTORISTA CAMINHAO"/>
    <x v="2"/>
    <d v="2019-06-11T00:00:00"/>
    <x v="0"/>
    <x v="0"/>
    <n v="0"/>
    <x v="0"/>
  </r>
  <r>
    <n v="112975"/>
    <s v="LUIZ ANTONIO DO AMARANTE SOUSA"/>
    <s v="ENCARREGADO DE TRAFEGO II"/>
    <x v="2"/>
    <d v="2019-06-01T00:00:00"/>
    <x v="0"/>
    <x v="0"/>
    <n v="0"/>
    <x v="0"/>
  </r>
  <r>
    <n v="122235"/>
    <s v="LUIZ CARLOS DE OLIVEIRA"/>
    <s v="MOTORISTA CAMINHAO"/>
    <x v="2"/>
    <d v="2023-06-12T00:00:00"/>
    <x v="0"/>
    <x v="0"/>
    <n v="0"/>
    <x v="0"/>
  </r>
  <r>
    <n v="112996"/>
    <s v="LUIZ CLAUDIO CORREIA DA SILVA"/>
    <s v="VARREDOR"/>
    <x v="3"/>
    <d v="2019-06-01T00:00:00"/>
    <x v="0"/>
    <x v="0"/>
    <n v="0"/>
    <x v="0"/>
  </r>
  <r>
    <n v="113002"/>
    <s v="LUIZ DONIZETI DA SILVA"/>
    <s v="VARREDOR"/>
    <x v="1"/>
    <d v="2019-06-01T00:00:00"/>
    <x v="0"/>
    <x v="0"/>
    <n v="0"/>
    <x v="0"/>
  </r>
  <r>
    <n v="119924"/>
    <s v="LUIZ FELIPE DA SILVA"/>
    <s v="AJUDANTE EQ SERVICOS DIVERSOS"/>
    <x v="2"/>
    <d v="2022-07-18T00:00:00"/>
    <x v="0"/>
    <x v="2"/>
    <n v="-38.289999999999964"/>
    <x v="0"/>
  </r>
  <r>
    <n v="113024"/>
    <s v="LUIZ FERNANDO DA SILVA"/>
    <s v="BUEIRISTA"/>
    <x v="1"/>
    <d v="2019-06-01T00:00:00"/>
    <x v="0"/>
    <x v="0"/>
    <n v="0"/>
    <x v="0"/>
  </r>
  <r>
    <n v="113033"/>
    <s v="LUIZ FRANCISCO DE MATOS"/>
    <s v="MOTORISTA CAMINHAO"/>
    <x v="2"/>
    <d v="2019-06-01T00:00:00"/>
    <x v="0"/>
    <x v="0"/>
    <n v="0"/>
    <x v="0"/>
  </r>
  <r>
    <n v="116006"/>
    <s v="LUIZ HENRIQUE SANTOS DE OLIVEIRA"/>
    <s v="AJUDANTE EQ SERVICOS DIVERSOS"/>
    <x v="1"/>
    <d v="2021-01-11T00:00:00"/>
    <x v="0"/>
    <x v="0"/>
    <n v="0"/>
    <x v="2"/>
  </r>
  <r>
    <n v="113042"/>
    <s v="LUIZ HENRIQUE SILVA BRAGA"/>
    <s v="AJUDANTE EQ SERVICOS DIVERSOS"/>
    <x v="1"/>
    <d v="2019-06-01T00:00:00"/>
    <x v="0"/>
    <x v="0"/>
    <n v="0"/>
    <x v="0"/>
  </r>
  <r>
    <n v="117247"/>
    <s v="LUIZ MORGADO"/>
    <s v="ENCARREGADO DE TURMA"/>
    <x v="5"/>
    <d v="2021-10-18T00:00:00"/>
    <x v="0"/>
    <x v="0"/>
    <n v="0"/>
    <x v="2"/>
  </r>
  <r>
    <n v="116321"/>
    <s v="LUIZ PAULO WANDERLEY DE CARVALHO"/>
    <s v="AJUDANTE EQ SERVICOS DIVERSOS"/>
    <x v="1"/>
    <d v="2021-04-22T00:00:00"/>
    <x v="0"/>
    <x v="0"/>
    <n v="0"/>
    <x v="0"/>
  </r>
  <r>
    <n v="113055"/>
    <s v="LUIZ RODRIGUES DE SOUZA"/>
    <s v="VARREDOR"/>
    <x v="0"/>
    <d v="2019-06-01T00:00:00"/>
    <x v="0"/>
    <x v="0"/>
    <n v="0"/>
    <x v="0"/>
  </r>
  <r>
    <n v="113073"/>
    <s v="MAGNOBALDO PEREIRA SANTOS"/>
    <s v="VARREDOR"/>
    <x v="1"/>
    <d v="2019-06-01T00:00:00"/>
    <x v="0"/>
    <x v="0"/>
    <n v="0"/>
    <x v="0"/>
  </r>
  <r>
    <n v="121855"/>
    <s v="MAIKE SANTOS NASCIMENTO"/>
    <s v="AJUDANTE EQ SERVICOS DIVERSOS"/>
    <x v="5"/>
    <d v="2023-04-06T00:00:00"/>
    <x v="0"/>
    <x v="0"/>
    <n v="0"/>
    <x v="0"/>
  </r>
  <r>
    <n v="113095"/>
    <s v="MANACES ALVES CORREIA"/>
    <s v="FISCAL DE TURMA PLENO"/>
    <x v="5"/>
    <d v="2019-06-01T00:00:00"/>
    <x v="0"/>
    <x v="0"/>
    <n v="0"/>
    <x v="0"/>
  </r>
  <r>
    <n v="113101"/>
    <s v="MANOEL ARAUJO DE BARROS"/>
    <s v="AJUDANTE EQ SERVICOS DIVERSOS"/>
    <x v="3"/>
    <d v="2019-06-01T00:00:00"/>
    <x v="0"/>
    <x v="0"/>
    <n v="0"/>
    <x v="0"/>
  </r>
  <r>
    <n v="113106"/>
    <s v="MANOEL BELARMINO DA SILVA"/>
    <s v="VARREDOR"/>
    <x v="1"/>
    <d v="2019-06-01T00:00:00"/>
    <x v="0"/>
    <x v="0"/>
    <n v="0"/>
    <x v="2"/>
  </r>
  <r>
    <n v="113110"/>
    <s v="MANOEL CARLOS DA SILVA FIGUEIREDO"/>
    <s v="VARREDOR"/>
    <x v="3"/>
    <d v="2019-06-01T00:00:00"/>
    <x v="0"/>
    <x v="0"/>
    <n v="0"/>
    <x v="0"/>
  </r>
  <r>
    <n v="113116"/>
    <s v="MANOEL CARLOS DE SOUZA COSTA"/>
    <s v="VARREDOR"/>
    <x v="5"/>
    <d v="2019-06-01T00:00:00"/>
    <x v="0"/>
    <x v="0"/>
    <n v="0"/>
    <x v="0"/>
  </r>
  <r>
    <n v="113122"/>
    <s v="MANOEL DE ASSIS DA SILVA"/>
    <s v="VARREDOR"/>
    <x v="1"/>
    <d v="2019-06-01T00:00:00"/>
    <x v="0"/>
    <x v="0"/>
    <n v="0"/>
    <x v="0"/>
  </r>
  <r>
    <n v="113127"/>
    <s v="MANOEL DOS SANTOS DE LIRA TEIXEIRA"/>
    <s v="VARREDOR"/>
    <x v="5"/>
    <d v="2019-06-01T00:00:00"/>
    <x v="0"/>
    <x v="0"/>
    <n v="0"/>
    <x v="0"/>
  </r>
  <r>
    <n v="113137"/>
    <s v="MANOEL FRANCISCO DA SILVA HEMEL"/>
    <s v="COLETOR"/>
    <x v="2"/>
    <d v="2019-06-01T00:00:00"/>
    <x v="0"/>
    <x v="0"/>
    <n v="0"/>
    <x v="0"/>
  </r>
  <r>
    <n v="113140"/>
    <s v="MANOEL HENRIQUE CONCEICAO"/>
    <s v="VARREDOR"/>
    <x v="1"/>
    <d v="2019-06-01T00:00:00"/>
    <x v="0"/>
    <x v="0"/>
    <n v="0"/>
    <x v="0"/>
  </r>
  <r>
    <n v="113142"/>
    <s v="MANOEL JOSE DO NASCIMENTO JUNIOR"/>
    <s v="COLETOR"/>
    <x v="2"/>
    <d v="2019-06-01T00:00:00"/>
    <x v="0"/>
    <x v="0"/>
    <n v="0"/>
    <x v="2"/>
  </r>
  <r>
    <n v="113146"/>
    <s v="MANOEL MESSIAS DA CONCEICAO"/>
    <s v="VARREDOR"/>
    <x v="5"/>
    <d v="2019-06-01T00:00:00"/>
    <x v="0"/>
    <x v="0"/>
    <n v="0"/>
    <x v="0"/>
  </r>
  <r>
    <n v="113149"/>
    <s v="MANOEL MESSIAS DE BRITO"/>
    <s v="VARREDOR"/>
    <x v="0"/>
    <d v="2019-06-01T00:00:00"/>
    <x v="0"/>
    <x v="0"/>
    <n v="0"/>
    <x v="0"/>
  </r>
  <r>
    <n v="113155"/>
    <s v="MANOEL OLIVEIRA NETO"/>
    <s v="MOTORISTA CAMINHAO"/>
    <x v="2"/>
    <d v="2019-06-01T00:00:00"/>
    <x v="0"/>
    <x v="0"/>
    <n v="0"/>
    <x v="0"/>
  </r>
  <r>
    <n v="113167"/>
    <s v="MANOEL PEREIRA DA SILVA"/>
    <s v="VARREDOR"/>
    <x v="1"/>
    <d v="2019-06-01T00:00:00"/>
    <x v="0"/>
    <x v="0"/>
    <n v="0"/>
    <x v="0"/>
  </r>
  <r>
    <n v="113169"/>
    <s v="MANOEL PEREIRA DOS SANTOS"/>
    <s v="VARREDOR"/>
    <x v="0"/>
    <d v="2019-06-01T00:00:00"/>
    <x v="20"/>
    <x v="0"/>
    <n v="-93.099999999999909"/>
    <x v="0"/>
  </r>
  <r>
    <n v="113172"/>
    <s v="MANOEL SILVA MENDES"/>
    <s v="VARREDOR"/>
    <x v="1"/>
    <d v="2019-06-01T00:00:00"/>
    <x v="3"/>
    <x v="0"/>
    <n v="38.289999999999964"/>
    <x v="0"/>
  </r>
  <r>
    <n v="113177"/>
    <s v="MANUELITO PEREIRA DA SILVA"/>
    <s v="VARREDOR"/>
    <x v="5"/>
    <d v="2019-06-01T00:00:00"/>
    <x v="0"/>
    <x v="0"/>
    <n v="0"/>
    <x v="0"/>
  </r>
  <r>
    <n v="113185"/>
    <s v="MARCELO APARECIDO FONSECA"/>
    <s v="MOTORISTA CAMINHAO"/>
    <x v="2"/>
    <d v="2019-06-01T00:00:00"/>
    <x v="0"/>
    <x v="0"/>
    <n v="0"/>
    <x v="0"/>
  </r>
  <r>
    <n v="113189"/>
    <s v="MARCELO CALIXTO DE GOUVEIA"/>
    <s v="COLETOR"/>
    <x v="2"/>
    <d v="2019-06-01T00:00:00"/>
    <x v="0"/>
    <x v="0"/>
    <n v="0"/>
    <x v="0"/>
  </r>
  <r>
    <n v="113720"/>
    <s v="MARCELO CANDIDO DOS SANTOS"/>
    <s v="ASSISTENTE DE DEPARTAMENTO PESSOAL"/>
    <x v="6"/>
    <d v="2019-06-03T00:00:00"/>
    <x v="0"/>
    <x v="0"/>
    <n v="0"/>
    <x v="0"/>
  </r>
  <r>
    <n v="113198"/>
    <s v="MARCELO COSTA RODRIGUES"/>
    <s v="FISCAL DE TURMA PLENO"/>
    <x v="0"/>
    <d v="2019-06-01T00:00:00"/>
    <x v="0"/>
    <x v="0"/>
    <n v="0"/>
    <x v="0"/>
  </r>
  <r>
    <n v="113203"/>
    <s v="MARCELO DA CONCEICAO OLIVEIRA"/>
    <s v="AJUDANTE EQ SERVICOS DIVERSOS"/>
    <x v="1"/>
    <d v="2019-06-01T00:00:00"/>
    <x v="0"/>
    <x v="0"/>
    <n v="0"/>
    <x v="0"/>
  </r>
  <r>
    <n v="114726"/>
    <s v="MARCELO DE OLIVEIRA FELIPE"/>
    <s v="AJUDANTE EQ SERVICOS DIVERSOS"/>
    <x v="1"/>
    <d v="2020-02-13T00:00:00"/>
    <x v="0"/>
    <x v="0"/>
    <n v="0"/>
    <x v="2"/>
  </r>
  <r>
    <n v="113205"/>
    <s v="MARCELO DE PAULA VIEIRA DA SILVA"/>
    <s v="VARREDOR"/>
    <x v="1"/>
    <d v="2019-06-01T00:00:00"/>
    <x v="0"/>
    <x v="0"/>
    <n v="0"/>
    <x v="0"/>
  </r>
  <r>
    <n v="115399"/>
    <s v="MARCELO DE SOUZA JACO DOS SANTOS"/>
    <s v="AJUDANTE EQ SERVICOS DIVERSOS"/>
    <x v="1"/>
    <d v="2020-08-05T00:00:00"/>
    <x v="0"/>
    <x v="0"/>
    <n v="0"/>
    <x v="0"/>
  </r>
  <r>
    <n v="113208"/>
    <s v="MARCELO DOS SANTOS SANTANA"/>
    <s v="VARREDOR"/>
    <x v="0"/>
    <d v="2019-06-01T00:00:00"/>
    <x v="0"/>
    <x v="0"/>
    <n v="0"/>
    <x v="0"/>
  </r>
  <r>
    <n v="117362"/>
    <s v="MARCELO FEITOZA SANTOS"/>
    <s v="MOTORISTA DE CAMINHAO"/>
    <x v="2"/>
    <d v="2021-11-08T00:00:00"/>
    <x v="0"/>
    <x v="0"/>
    <n v="0"/>
    <x v="0"/>
  </r>
  <r>
    <n v="113217"/>
    <s v="MARCELO JOSE DE ANDRADE"/>
    <s v="AJUDANTE EQ SERVICOS DIVERSOS"/>
    <x v="5"/>
    <d v="2019-06-01T00:00:00"/>
    <x v="3"/>
    <x v="2"/>
    <n v="0"/>
    <x v="0"/>
  </r>
  <r>
    <n v="113227"/>
    <s v="MARCELO MARLOS EVANGELISTA"/>
    <s v="MOTORISTA CAMINHAO"/>
    <x v="2"/>
    <d v="2019-06-01T00:00:00"/>
    <x v="0"/>
    <x v="0"/>
    <n v="0"/>
    <x v="2"/>
  </r>
  <r>
    <n v="115220"/>
    <s v="MARCELO ROBERTO DE OLIVEIRA"/>
    <s v="AJUDANTE EQ SERVICOS DIVERSOS"/>
    <x v="3"/>
    <d v="2020-07-06T00:00:00"/>
    <x v="0"/>
    <x v="0"/>
    <n v="0"/>
    <x v="0"/>
  </r>
  <r>
    <n v="118641"/>
    <s v="MARCELO SILVA"/>
    <s v="AJUDANTE EQ SERVICOS DIVERSOS"/>
    <x v="1"/>
    <d v="2022-01-21T00:00:00"/>
    <x v="2"/>
    <x v="0"/>
    <n v="76.57000000000005"/>
    <x v="0"/>
  </r>
  <r>
    <n v="114034"/>
    <s v="MARCELO SILVA DE OLIVEIRA"/>
    <s v="FISCAL DE TURMA PLENO"/>
    <x v="5"/>
    <d v="2019-09-02T00:00:00"/>
    <x v="0"/>
    <x v="0"/>
    <n v="0"/>
    <x v="0"/>
  </r>
  <r>
    <n v="118050"/>
    <s v="MARCELO VINICIUS SILVA SANTOS"/>
    <s v="AJUDANTE EQ SERVICOS DIVERSOS"/>
    <x v="1"/>
    <d v="2022-01-06T00:00:00"/>
    <x v="0"/>
    <x v="0"/>
    <n v="0"/>
    <x v="0"/>
  </r>
  <r>
    <n v="122082"/>
    <s v="MARCIA DORNELES"/>
    <s v="AJUDANTE EQ SERVICOS DIVERSOS"/>
    <x v="0"/>
    <d v="2023-05-15T00:00:00"/>
    <x v="0"/>
    <x v="0"/>
    <n v="0"/>
    <x v="0"/>
  </r>
  <r>
    <n v="113237"/>
    <s v="MARCIMINO CAMPOS DA SILVA"/>
    <s v="VARREDOR"/>
    <x v="5"/>
    <d v="2019-06-01T00:00:00"/>
    <x v="0"/>
    <x v="0"/>
    <n v="0"/>
    <x v="0"/>
  </r>
  <r>
    <n v="113242"/>
    <s v="MARCIO DE JESUS TAMEIRAO"/>
    <s v="AJUDANTE EQ SERVICOS DIVERSOS"/>
    <x v="0"/>
    <d v="2019-06-01T00:00:00"/>
    <x v="0"/>
    <x v="0"/>
    <n v="0"/>
    <x v="0"/>
  </r>
  <r>
    <n v="113244"/>
    <s v="MARCIO JOSE COELHO"/>
    <s v="VARREDOR"/>
    <x v="1"/>
    <d v="2019-06-01T00:00:00"/>
    <x v="0"/>
    <x v="0"/>
    <n v="0"/>
    <x v="0"/>
  </r>
  <r>
    <n v="116228"/>
    <s v="MARCIO JOSE DE LIMA BARBOSA"/>
    <s v="AJUDANTE EQ SERVICOS DIVERSOS"/>
    <x v="0"/>
    <d v="2021-03-18T00:00:00"/>
    <x v="0"/>
    <x v="0"/>
    <n v="0"/>
    <x v="0"/>
  </r>
  <r>
    <n v="113250"/>
    <s v="MARCIO MIGUEL DE GODOY"/>
    <s v="AJUDANTE EQ SERVICOS DIVERSOS"/>
    <x v="5"/>
    <d v="2019-06-01T00:00:00"/>
    <x v="0"/>
    <x v="0"/>
    <n v="0"/>
    <x v="0"/>
  </r>
  <r>
    <n v="119930"/>
    <s v="MARCIO ROBERTO CORREA"/>
    <s v="AJUDANTE EQ SERVICOS DIVERSOS"/>
    <x v="1"/>
    <d v="2022-07-18T00:00:00"/>
    <x v="0"/>
    <x v="0"/>
    <n v="0"/>
    <x v="0"/>
  </r>
  <r>
    <n v="113263"/>
    <s v="MARCIO ROGERIO DA SILVA MARTINS"/>
    <s v="VARREDOR"/>
    <x v="5"/>
    <d v="2019-06-01T00:00:00"/>
    <x v="0"/>
    <x v="0"/>
    <n v="0"/>
    <x v="0"/>
  </r>
  <r>
    <n v="113650"/>
    <s v="MARCO ANTONIO DA SILVA"/>
    <s v="COLETOR"/>
    <x v="2"/>
    <d v="2019-06-01T00:00:00"/>
    <x v="0"/>
    <x v="0"/>
    <n v="0"/>
    <x v="0"/>
  </r>
  <r>
    <n v="113273"/>
    <s v="MARCO ANTONIO MARTINS"/>
    <s v="COLETOR"/>
    <x v="2"/>
    <d v="2019-06-01T00:00:00"/>
    <x v="0"/>
    <x v="0"/>
    <n v="0"/>
    <x v="0"/>
  </r>
  <r>
    <n v="113276"/>
    <s v="MARCO AURELIO FREITAS PACHECO"/>
    <s v="AJUDANTE EQ SERVICOS DIVERSOS"/>
    <x v="5"/>
    <d v="2019-06-01T00:00:00"/>
    <x v="0"/>
    <x v="0"/>
    <n v="0"/>
    <x v="0"/>
  </r>
  <r>
    <n v="113279"/>
    <s v="MARCOS ALEXANDRE FERREIRA CARVALHO"/>
    <s v="MECANICO II"/>
    <x v="2"/>
    <d v="2019-06-01T00:00:00"/>
    <x v="0"/>
    <x v="0"/>
    <n v="0"/>
    <x v="0"/>
  </r>
  <r>
    <n v="113282"/>
    <s v="MARCOS ALVES DA SILVA"/>
    <s v="MOTORISTA CAMINHAO"/>
    <x v="2"/>
    <d v="2019-06-01T00:00:00"/>
    <x v="0"/>
    <x v="0"/>
    <n v="0"/>
    <x v="0"/>
  </r>
  <r>
    <n v="114641"/>
    <s v="MARCOS ANTONIO BERNARDINO DE SENA"/>
    <s v="MOTORISTA DE CAMINHAO"/>
    <x v="2"/>
    <d v="2020-01-20T00:00:00"/>
    <x v="0"/>
    <x v="0"/>
    <n v="0"/>
    <x v="0"/>
  </r>
  <r>
    <n v="113286"/>
    <s v="MARCOS AURELIO DA COSTA MONTEIRO"/>
    <s v="COLETOR"/>
    <x v="2"/>
    <d v="2019-06-01T00:00:00"/>
    <x v="0"/>
    <x v="0"/>
    <n v="0"/>
    <x v="0"/>
  </r>
  <r>
    <n v="121315"/>
    <s v="MARCOS AURELIO LUIZ"/>
    <s v="VARREDOR"/>
    <x v="0"/>
    <d v="2023-01-19T00:00:00"/>
    <x v="0"/>
    <x v="0"/>
    <n v="0"/>
    <x v="0"/>
  </r>
  <r>
    <n v="114757"/>
    <s v="MARCOS BRITO DA SILVA"/>
    <s v="MOTORISTA CAMINHAO"/>
    <x v="2"/>
    <d v="2020-02-13T00:00:00"/>
    <x v="0"/>
    <x v="0"/>
    <n v="0"/>
    <x v="0"/>
  </r>
  <r>
    <n v="114267"/>
    <s v="MARCOS CAIQUE DE SOUZA SANTOS"/>
    <s v="AJUDANTE EQ SERVICOS DIVERSOS"/>
    <x v="1"/>
    <d v="2019-12-05T00:00:00"/>
    <x v="0"/>
    <x v="0"/>
    <n v="0"/>
    <x v="0"/>
  </r>
  <r>
    <n v="113292"/>
    <s v="MARCOS DAMIAO MARCONDES"/>
    <s v="VARREDOR"/>
    <x v="3"/>
    <d v="2019-06-01T00:00:00"/>
    <x v="0"/>
    <x v="0"/>
    <n v="0"/>
    <x v="0"/>
  </r>
  <r>
    <n v="113294"/>
    <s v="MARCOS DE PAULA PRADO"/>
    <s v="VARREDOR"/>
    <x v="0"/>
    <d v="2019-06-01T00:00:00"/>
    <x v="0"/>
    <x v="0"/>
    <n v="0"/>
    <x v="0"/>
  </r>
  <r>
    <n v="113313"/>
    <s v="MARCOS FRANCISCO DA SILVA"/>
    <s v="AJUDANTE EQ SERVICOS DIVERSOS"/>
    <x v="1"/>
    <d v="2019-06-01T00:00:00"/>
    <x v="0"/>
    <x v="2"/>
    <n v="-38.289999999999964"/>
    <x v="0"/>
  </r>
  <r>
    <n v="119126"/>
    <s v="MARCOS JOSE DA SILVA"/>
    <s v="MOTORISTA CAMINHAO"/>
    <x v="2"/>
    <d v="2022-03-10T00:00:00"/>
    <x v="0"/>
    <x v="0"/>
    <n v="0"/>
    <x v="0"/>
  </r>
  <r>
    <n v="118993"/>
    <s v="MARCOS MARCIO ROCHA SANTOS"/>
    <s v="SOLDADOR"/>
    <x v="2"/>
    <d v="2022-02-21T00:00:00"/>
    <x v="0"/>
    <x v="0"/>
    <n v="0"/>
    <x v="0"/>
  </r>
  <r>
    <n v="114254"/>
    <s v="MARCOS PAIVA DA SILVA"/>
    <s v="VARREDOR"/>
    <x v="1"/>
    <d v="2019-12-05T00:00:00"/>
    <x v="0"/>
    <x v="0"/>
    <n v="0"/>
    <x v="0"/>
  </r>
  <r>
    <n v="113324"/>
    <s v="MARCOS PEREIRA MARINHO"/>
    <s v="VARREDOR"/>
    <x v="1"/>
    <d v="2019-06-01T00:00:00"/>
    <x v="0"/>
    <x v="0"/>
    <n v="0"/>
    <x v="0"/>
  </r>
  <r>
    <n v="122418"/>
    <s v="MARCOS ROBERTO DA SILVA"/>
    <s v="MOTORISTA CAMINHAO"/>
    <x v="2"/>
    <d v="2023-07-10T00:00:00"/>
    <x v="0"/>
    <x v="0"/>
    <n v="0"/>
    <x v="0"/>
  </r>
  <r>
    <n v="113329"/>
    <s v="MARCOS ROBERTO DE CARVALHO"/>
    <s v="VARREDOR"/>
    <x v="4"/>
    <d v="2019-06-01T00:00:00"/>
    <x v="0"/>
    <x v="0"/>
    <n v="0"/>
    <x v="0"/>
  </r>
  <r>
    <n v="114934"/>
    <s v="MARCOS SANTANA DE JESUS"/>
    <s v="AUXILIAR DE CHECK LIST"/>
    <x v="2"/>
    <d v="2020-03-26T00:00:00"/>
    <x v="0"/>
    <x v="0"/>
    <n v="0"/>
    <x v="0"/>
  </r>
  <r>
    <n v="113337"/>
    <s v="MARCOS SANTOS DA SILVA"/>
    <s v="AJUDANTE EQ SERVICOS DIVERSOS"/>
    <x v="5"/>
    <d v="2019-06-01T00:00:00"/>
    <x v="0"/>
    <x v="0"/>
    <n v="0"/>
    <x v="0"/>
  </r>
  <r>
    <n v="113342"/>
    <s v="MARCOS TADEU NERI"/>
    <s v="AJUDANTE EQ SERVICOS DIVERSOS"/>
    <x v="5"/>
    <d v="2019-06-01T00:00:00"/>
    <x v="0"/>
    <x v="0"/>
    <n v="0"/>
    <x v="0"/>
  </r>
  <r>
    <n v="118995"/>
    <s v="MARCUS HENRIQUE PLACIDO LISBOA"/>
    <s v="MOTORISTA CAMINHAO"/>
    <x v="2"/>
    <d v="2022-02-21T00:00:00"/>
    <x v="0"/>
    <x v="0"/>
    <n v="0"/>
    <x v="0"/>
  </r>
  <r>
    <n v="113721"/>
    <s v="MARCUS VINICIUS PIRES"/>
    <s v="AUXILIAR ADMINISTRATIVO"/>
    <x v="3"/>
    <d v="2019-06-03T00:00:00"/>
    <x v="0"/>
    <x v="0"/>
    <n v="0"/>
    <x v="0"/>
  </r>
  <r>
    <n v="113783"/>
    <s v="MARIA APARECIDA NOBRE CAVALCANTE"/>
    <s v="AUXILIAR DE PLANEJAMENTO OPERACIONAL"/>
    <x v="2"/>
    <d v="2019-06-08T00:00:00"/>
    <x v="0"/>
    <x v="0"/>
    <n v="0"/>
    <x v="0"/>
  </r>
  <r>
    <n v="112193"/>
    <s v="MARIA APARECIDA RIBEIRO DIAS"/>
    <s v="AJUDANTE EQ SERVICOS DIVERSOS"/>
    <x v="5"/>
    <d v="2019-06-01T00:00:00"/>
    <x v="0"/>
    <x v="0"/>
    <n v="0"/>
    <x v="2"/>
  </r>
  <r>
    <n v="122254"/>
    <s v="MARIA APARECIDA VIEIRA ALEXANDRE"/>
    <s v="AUXILIAR DE CONTROLE OPERACIONAL"/>
    <x v="2"/>
    <d v="2023-06-12T00:00:00"/>
    <x v="0"/>
    <x v="0"/>
    <n v="0"/>
    <x v="0"/>
  </r>
  <r>
    <n v="117414"/>
    <s v="MARIA CELIA DE JESUS PEREIRA"/>
    <s v="VARREDOR"/>
    <x v="5"/>
    <d v="2021-11-22T00:00:00"/>
    <x v="0"/>
    <x v="0"/>
    <n v="0"/>
    <x v="0"/>
  </r>
  <r>
    <n v="112201"/>
    <s v="MARIA DA CONCEICAO DE SOUZA FELIX"/>
    <s v="AJUDANTE EQ SERVICOS DIVERSOS"/>
    <x v="5"/>
    <d v="2019-06-01T00:00:00"/>
    <x v="0"/>
    <x v="0"/>
    <n v="0"/>
    <x v="0"/>
  </r>
  <r>
    <n v="113778"/>
    <s v="MARIA DE FATIMA CORREIA DA SILVA"/>
    <s v="FISCAL DE TRAFEGO PLENO"/>
    <x v="1"/>
    <d v="2019-06-07T00:00:00"/>
    <x v="0"/>
    <x v="0"/>
    <n v="0"/>
    <x v="0"/>
  </r>
  <r>
    <n v="112230"/>
    <s v="MARIA DE FATIMA FARIAS DA SILVA"/>
    <s v="VARREDOR"/>
    <x v="1"/>
    <d v="2019-06-01T00:00:00"/>
    <x v="0"/>
    <x v="0"/>
    <n v="0"/>
    <x v="2"/>
  </r>
  <r>
    <n v="114106"/>
    <s v="MARIA ISABEL DA SILVA NUNES"/>
    <s v="AJUDANTE EQ SERVICOS DIVERSOS"/>
    <x v="5"/>
    <d v="2019-09-20T00:00:00"/>
    <x v="0"/>
    <x v="0"/>
    <n v="0"/>
    <x v="0"/>
  </r>
  <r>
    <n v="119672"/>
    <s v="MARIA JOSE DA SILVA NASCIMENTO"/>
    <s v="VARREDOR"/>
    <x v="1"/>
    <d v="2022-06-13T00:00:00"/>
    <x v="0"/>
    <x v="0"/>
    <n v="0"/>
    <x v="0"/>
  </r>
  <r>
    <n v="112240"/>
    <s v="MARIA JOSE MARTINS BRAGA"/>
    <s v="VARREDOR"/>
    <x v="1"/>
    <d v="2019-06-01T00:00:00"/>
    <x v="0"/>
    <x v="0"/>
    <n v="0"/>
    <x v="0"/>
  </r>
  <r>
    <n v="112262"/>
    <s v="MARIA MADALENA LIMA CARDOSO"/>
    <s v="AJUDANTE EQ SERVICOS DIVERSOS"/>
    <x v="1"/>
    <d v="2019-06-01T00:00:00"/>
    <x v="0"/>
    <x v="0"/>
    <n v="0"/>
    <x v="0"/>
  </r>
  <r>
    <n v="119742"/>
    <s v="MARIANA OLIVEIRA"/>
    <s v="AGENTE AMBIENTAL"/>
    <x v="2"/>
    <d v="2022-06-21T00:00:00"/>
    <x v="0"/>
    <x v="0"/>
    <n v="0"/>
    <x v="0"/>
  </r>
  <r>
    <n v="112277"/>
    <s v="MARINALDO FERREIRA DOS SANTOS"/>
    <s v="AJUDANTE EQ SERVICOS DIVERSOS"/>
    <x v="3"/>
    <d v="2019-06-01T00:00:00"/>
    <x v="0"/>
    <x v="0"/>
    <n v="0"/>
    <x v="0"/>
  </r>
  <r>
    <n v="112306"/>
    <s v="MARIO FERREIRA PACHECO"/>
    <s v="VARREDOR"/>
    <x v="5"/>
    <d v="2019-06-01T00:00:00"/>
    <x v="0"/>
    <x v="0"/>
    <n v="0"/>
    <x v="0"/>
  </r>
  <r>
    <n v="113675"/>
    <s v="MARIVALDO DOS SANTOS DA PAIXAO"/>
    <s v="AJUDANTE EQ SERVICOS DIVERSOS"/>
    <x v="0"/>
    <d v="2019-06-01T00:00:00"/>
    <x v="0"/>
    <x v="0"/>
    <n v="0"/>
    <x v="0"/>
  </r>
  <r>
    <n v="112373"/>
    <s v="MARLI MARIA FAGUNDES DE JESUS"/>
    <s v="AJUDANTE EQ SERVICOS DIVERSOS"/>
    <x v="1"/>
    <d v="2019-06-01T00:00:00"/>
    <x v="0"/>
    <x v="0"/>
    <n v="0"/>
    <x v="0"/>
  </r>
  <r>
    <n v="112380"/>
    <s v="MARTINHO DAMASCENA BRANDAO"/>
    <s v="VARREDOR"/>
    <x v="1"/>
    <d v="2019-06-01T00:00:00"/>
    <x v="0"/>
    <x v="0"/>
    <n v="0"/>
    <x v="0"/>
  </r>
  <r>
    <n v="112392"/>
    <s v="MARTINS TOMAZ DE MIRANDA"/>
    <s v="VARREDOR"/>
    <x v="1"/>
    <d v="2019-06-01T00:00:00"/>
    <x v="0"/>
    <x v="0"/>
    <n v="0"/>
    <x v="0"/>
  </r>
  <r>
    <n v="116719"/>
    <s v="MATHEUS BATISTA CELSO"/>
    <s v="VARREDOR"/>
    <x v="3"/>
    <d v="2021-06-21T00:00:00"/>
    <x v="0"/>
    <x v="6"/>
    <n v="-114.85000000000002"/>
    <x v="0"/>
  </r>
  <r>
    <n v="112397"/>
    <s v="MATHEUS CASTRO SENA ROSA"/>
    <s v="VARREDOR"/>
    <x v="5"/>
    <d v="2019-06-01T00:00:00"/>
    <x v="0"/>
    <x v="0"/>
    <n v="0"/>
    <x v="0"/>
  </r>
  <r>
    <n v="112402"/>
    <s v="MATHEUS DANTAS"/>
    <s v="AJUDANTE EQ SERVICOS DIVERSOS"/>
    <x v="1"/>
    <d v="2019-06-01T00:00:00"/>
    <x v="0"/>
    <x v="0"/>
    <n v="0"/>
    <x v="0"/>
  </r>
  <r>
    <n v="112405"/>
    <s v="MATHEUS FERREIRA MACIEL"/>
    <s v="VARREDOR"/>
    <x v="3"/>
    <d v="2019-06-01T00:00:00"/>
    <x v="0"/>
    <x v="0"/>
    <n v="0"/>
    <x v="0"/>
  </r>
  <r>
    <n v="114928"/>
    <s v="MATHEUS SILVA DA CUNHA"/>
    <s v="AJUDANTE EQ SERVICOS DIVERSOS"/>
    <x v="2"/>
    <d v="2020-03-26T00:00:00"/>
    <x v="0"/>
    <x v="0"/>
    <n v="0"/>
    <x v="2"/>
  </r>
  <r>
    <n v="112445"/>
    <s v="MAURA GOMES DOS SANTOS CRUZ"/>
    <s v="VARREDOR"/>
    <x v="5"/>
    <d v="2019-06-01T00:00:00"/>
    <x v="0"/>
    <x v="0"/>
    <n v="0"/>
    <x v="0"/>
  </r>
  <r>
    <n v="121690"/>
    <s v="MAURICIO ALVES SOUZA"/>
    <s v="AUXILIAR ADMINISTRATIVO"/>
    <x v="6"/>
    <d v="2023-03-09T00:00:00"/>
    <x v="0"/>
    <x v="0"/>
    <n v="0"/>
    <x v="0"/>
  </r>
  <r>
    <n v="114272"/>
    <s v="MAURICIO CAMPOS DOS SANTOS"/>
    <s v="VARREDOR"/>
    <x v="5"/>
    <d v="2019-12-05T00:00:00"/>
    <x v="0"/>
    <x v="0"/>
    <n v="0"/>
    <x v="0"/>
  </r>
  <r>
    <n v="116713"/>
    <s v="MAURICIO DA LUZ SARDINHA"/>
    <s v="VARREDOR"/>
    <x v="0"/>
    <d v="2021-06-21T00:00:00"/>
    <x v="0"/>
    <x v="0"/>
    <n v="0"/>
    <x v="0"/>
  </r>
  <r>
    <n v="112453"/>
    <s v="MAURICIO MANOEL FEBRONIO"/>
    <s v="VARREDOR"/>
    <x v="0"/>
    <d v="2019-06-01T00:00:00"/>
    <x v="0"/>
    <x v="0"/>
    <n v="0"/>
    <x v="0"/>
  </r>
  <r>
    <n v="112469"/>
    <s v="MAURICIO SANTANA"/>
    <s v="VARREDOR"/>
    <x v="5"/>
    <d v="2019-06-01T00:00:00"/>
    <x v="0"/>
    <x v="0"/>
    <n v="0"/>
    <x v="0"/>
  </r>
  <r>
    <n v="112476"/>
    <s v="MAURO CESAR DA SILVA"/>
    <s v="ASSISTENTE ADMINISTRATIVO"/>
    <x v="6"/>
    <d v="2019-06-01T00:00:00"/>
    <x v="0"/>
    <x v="0"/>
    <n v="0"/>
    <x v="0"/>
  </r>
  <r>
    <n v="115012"/>
    <s v="MAURO JOSE DE JESUS SILVA"/>
    <s v="AJUDANTE EQ SERVICOS DIVERSOS"/>
    <x v="2"/>
    <d v="2020-04-09T00:00:00"/>
    <x v="21"/>
    <x v="17"/>
    <n v="153.12999999999988"/>
    <x v="0"/>
  </r>
  <r>
    <n v="114733"/>
    <s v="MAURO MIGUEL SATO DE LIMA"/>
    <s v="AJUDANTE EQ SERVICOS DIVERSOS"/>
    <x v="4"/>
    <d v="2020-02-13T00:00:00"/>
    <x v="0"/>
    <x v="2"/>
    <n v="-38.289999999999964"/>
    <x v="0"/>
  </r>
  <r>
    <n v="116031"/>
    <s v="MAURO SERGIO DOS SANTOS MENDES"/>
    <s v="AJUDANTE EQ SERVICOS DIVERSOS"/>
    <x v="1"/>
    <d v="2021-01-11T00:00:00"/>
    <x v="0"/>
    <x v="0"/>
    <n v="0"/>
    <x v="2"/>
  </r>
  <r>
    <n v="116977"/>
    <s v="MAYCON KEVEN BRITO SILVA"/>
    <s v="AJUDANTE EQ SERVICOS DIVERSOS"/>
    <x v="2"/>
    <d v="2021-08-11T00:00:00"/>
    <x v="0"/>
    <x v="0"/>
    <n v="0"/>
    <x v="0"/>
  </r>
  <r>
    <n v="112492"/>
    <s v="MICHAEL DOMINGOS MACHADO SANTO"/>
    <s v="VARREDOR"/>
    <x v="3"/>
    <d v="2019-06-01T00:00:00"/>
    <x v="0"/>
    <x v="0"/>
    <n v="0"/>
    <x v="0"/>
  </r>
  <r>
    <n v="112497"/>
    <s v="MICHAEL DOUGLAS DOS SANTOS ALVES"/>
    <s v="AJUDANTE EQ SERVICOS DIVERSOS"/>
    <x v="5"/>
    <d v="2019-06-01T00:00:00"/>
    <x v="0"/>
    <x v="0"/>
    <n v="0"/>
    <x v="0"/>
  </r>
  <r>
    <n v="112578"/>
    <s v="MICHAEL JACKSON DE OLIVEIRA ALMEIDA"/>
    <s v="AJUDANTE EQ SERVICOS DIVERSOS"/>
    <x v="0"/>
    <d v="2019-06-01T00:00:00"/>
    <x v="0"/>
    <x v="0"/>
    <n v="0"/>
    <x v="0"/>
  </r>
  <r>
    <n v="119925"/>
    <s v="MICHAEL LUIS PEIXOTO DOS SANTOS"/>
    <s v="AJUDANTE EQ SERVICOS DIVERSOS"/>
    <x v="2"/>
    <d v="2022-07-18T00:00:00"/>
    <x v="0"/>
    <x v="0"/>
    <n v="0"/>
    <x v="0"/>
  </r>
  <r>
    <n v="112608"/>
    <s v="MICHEL ALBERTO LIMA DE SOUZA"/>
    <s v="MOTORISTA CAMINHAO"/>
    <x v="2"/>
    <d v="2019-06-01T00:00:00"/>
    <x v="0"/>
    <x v="0"/>
    <n v="0"/>
    <x v="0"/>
  </r>
  <r>
    <n v="121686"/>
    <s v="MICHEL ALVES PESSOA"/>
    <s v="AJUDANTE EQ SERVICOS DIVERSOS"/>
    <x v="5"/>
    <d v="2023-03-09T00:00:00"/>
    <x v="9"/>
    <x v="10"/>
    <n v="0"/>
    <x v="0"/>
  </r>
  <r>
    <n v="122250"/>
    <s v="MICHEL ROGERIO SANTOS"/>
    <s v="AJUDANTE EQ SERVICOS DIVERSOS"/>
    <x v="2"/>
    <d v="2023-06-12T00:00:00"/>
    <x v="3"/>
    <x v="18"/>
    <n v="-344.53000000000009"/>
    <x v="0"/>
  </r>
  <r>
    <n v="116981"/>
    <s v="MICHELE APARECIDA GOMES"/>
    <s v="AJUDANTE EQ SERVICOS DIVERSOS"/>
    <x v="1"/>
    <d v="2021-08-11T00:00:00"/>
    <x v="0"/>
    <x v="0"/>
    <n v="0"/>
    <x v="0"/>
  </r>
  <r>
    <n v="112615"/>
    <s v="MIGUEL JOSE DOS SANTOS"/>
    <s v="VARREDOR"/>
    <x v="3"/>
    <d v="2019-06-01T00:00:00"/>
    <x v="0"/>
    <x v="0"/>
    <n v="0"/>
    <x v="0"/>
  </r>
  <r>
    <n v="112621"/>
    <s v="MIGUEL PEREIRA BARBOZA"/>
    <s v="AJUDANTE EQ SERVICOS DIVERSOS"/>
    <x v="2"/>
    <d v="2019-06-01T00:00:00"/>
    <x v="0"/>
    <x v="0"/>
    <n v="0"/>
    <x v="0"/>
  </r>
  <r>
    <n v="112635"/>
    <s v="MILTON DA SILVA REIS"/>
    <s v="VARREDOR"/>
    <x v="3"/>
    <d v="2019-06-01T00:00:00"/>
    <x v="0"/>
    <x v="0"/>
    <n v="0"/>
    <x v="0"/>
  </r>
  <r>
    <n v="112659"/>
    <s v="MILTON HONORIO DA SILVA"/>
    <s v="VARREDOR"/>
    <x v="5"/>
    <d v="2019-06-01T00:00:00"/>
    <x v="0"/>
    <x v="0"/>
    <n v="0"/>
    <x v="0"/>
  </r>
  <r>
    <n v="114750"/>
    <s v="MILTON MILET DE JESUS CASSEMIRO"/>
    <s v="AJUDANTE EQ SERVICOS DIVERSOS"/>
    <x v="1"/>
    <d v="2020-02-13T00:00:00"/>
    <x v="0"/>
    <x v="2"/>
    <n v="-38.289999999999964"/>
    <x v="0"/>
  </r>
  <r>
    <n v="112669"/>
    <s v="MISSIMEIRE FERREIRA LIMA DOS SANTOS"/>
    <s v="VARREDOR"/>
    <x v="1"/>
    <d v="2019-06-01T00:00:00"/>
    <x v="0"/>
    <x v="0"/>
    <n v="0"/>
    <x v="0"/>
  </r>
  <r>
    <n v="112675"/>
    <s v="MOACY GONCALVES DE OLIVEIRA"/>
    <s v="VARREDOR"/>
    <x v="5"/>
    <d v="2019-06-01T00:00:00"/>
    <x v="0"/>
    <x v="0"/>
    <n v="0"/>
    <x v="0"/>
  </r>
  <r>
    <n v="112681"/>
    <s v="MOISES GOMES RODRIGUES"/>
    <s v="VARREDOR"/>
    <x v="5"/>
    <d v="2019-06-01T00:00:00"/>
    <x v="0"/>
    <x v="0"/>
    <n v="0"/>
    <x v="2"/>
  </r>
  <r>
    <n v="114231"/>
    <s v="MOISES MENDES DE QUEIROZ"/>
    <s v="FISCAL DE TURMA PLENO"/>
    <x v="0"/>
    <d v="2019-11-19T00:00:00"/>
    <x v="0"/>
    <x v="0"/>
    <n v="0"/>
    <x v="0"/>
  </r>
  <r>
    <n v="112692"/>
    <s v="MOISES SANTOS NOGUEIRA"/>
    <s v="VARREDOR"/>
    <x v="4"/>
    <d v="2019-06-01T00:00:00"/>
    <x v="0"/>
    <x v="0"/>
    <n v="0"/>
    <x v="0"/>
  </r>
  <r>
    <n v="113741"/>
    <s v="MONICA PAULA DA SILVA"/>
    <s v="COORDENADOR(A) DE COMUNICACAO"/>
    <x v="6"/>
    <d v="2019-06-03T00:00:00"/>
    <x v="0"/>
    <x v="0"/>
    <n v="0"/>
    <x v="0"/>
  </r>
  <r>
    <n v="113582"/>
    <s v="NACISIO JANUARIO DOS SANTOS"/>
    <s v="VARREDOR"/>
    <x v="1"/>
    <d v="2019-06-01T00:00:00"/>
    <x v="0"/>
    <x v="0"/>
    <n v="0"/>
    <x v="0"/>
  </r>
  <r>
    <n v="116718"/>
    <s v="NADIO BORBA DOS SANTOS"/>
    <s v="VARREDOR"/>
    <x v="0"/>
    <d v="2021-06-21T00:00:00"/>
    <x v="0"/>
    <x v="0"/>
    <n v="0"/>
    <x v="0"/>
  </r>
  <r>
    <n v="112703"/>
    <s v="NAILTON VIEIRA DOS SANTOS"/>
    <s v="VARREDOR"/>
    <x v="5"/>
    <d v="2019-06-01T00:00:00"/>
    <x v="0"/>
    <x v="0"/>
    <n v="0"/>
    <x v="0"/>
  </r>
  <r>
    <n v="114105"/>
    <s v="NATANAEL ALBINO DE OLIVEIRA"/>
    <s v="AJUDANTE EQ SERVICOS DIVERSOS"/>
    <x v="2"/>
    <d v="2019-09-20T00:00:00"/>
    <x v="0"/>
    <x v="0"/>
    <n v="0"/>
    <x v="0"/>
  </r>
  <r>
    <n v="114930"/>
    <s v="NATHALIA APARECIDA OLIVEIRA MENDES"/>
    <s v="AJUDANTE EQ SERVICOS DIVERSOS"/>
    <x v="5"/>
    <d v="2020-03-26T00:00:00"/>
    <x v="0"/>
    <x v="0"/>
    <n v="0"/>
    <x v="2"/>
  </r>
  <r>
    <n v="112718"/>
    <s v="NELSON BARBOSA"/>
    <s v="VARREDOR"/>
    <x v="3"/>
    <d v="2019-06-01T00:00:00"/>
    <x v="0"/>
    <x v="0"/>
    <n v="0"/>
    <x v="0"/>
  </r>
  <r>
    <n v="112731"/>
    <s v="NELSON DE OLIVEIRA"/>
    <s v="VARREDOR"/>
    <x v="3"/>
    <d v="2019-06-01T00:00:00"/>
    <x v="0"/>
    <x v="0"/>
    <n v="0"/>
    <x v="0"/>
  </r>
  <r>
    <n v="115447"/>
    <s v="NELSON NASCIMENTO DE OLIVEIRA JUNIOR"/>
    <s v="FISCAL DE TURMA PLENO"/>
    <x v="0"/>
    <d v="2020-08-19T00:00:00"/>
    <x v="0"/>
    <x v="0"/>
    <n v="0"/>
    <x v="0"/>
  </r>
  <r>
    <n v="112744"/>
    <s v="NELSON ROBERTO RIBEIRO DA SILVA"/>
    <s v="BUEIRISTA"/>
    <x v="5"/>
    <d v="2019-06-01T00:00:00"/>
    <x v="0"/>
    <x v="0"/>
    <n v="0"/>
    <x v="0"/>
  </r>
  <r>
    <n v="119928"/>
    <s v="NELZELITO EDEN DE SOUZA"/>
    <s v="AJUDANTE EQ SERVICOS DIVERSOS"/>
    <x v="2"/>
    <d v="2022-07-18T00:00:00"/>
    <x v="0"/>
    <x v="0"/>
    <n v="0"/>
    <x v="2"/>
  </r>
  <r>
    <n v="121319"/>
    <s v="NICOLAS RIBEIRO CIDRAL"/>
    <s v="AJUDANTE EQ SERVICOS DIVERSOS"/>
    <x v="1"/>
    <d v="2023-01-19T00:00:00"/>
    <x v="3"/>
    <x v="0"/>
    <n v="38.289999999999964"/>
    <x v="0"/>
  </r>
  <r>
    <n v="121025"/>
    <s v="NILSON CUSTODIO DE ALCANTARA"/>
    <s v="VARREDOR"/>
    <x v="3"/>
    <d v="2022-12-05T00:00:00"/>
    <x v="0"/>
    <x v="0"/>
    <n v="0"/>
    <x v="0"/>
  </r>
  <r>
    <n v="112761"/>
    <s v="NILSON DE FARIA"/>
    <s v="VARREDOR"/>
    <x v="5"/>
    <d v="2019-06-01T00:00:00"/>
    <x v="0"/>
    <x v="0"/>
    <n v="0"/>
    <x v="0"/>
  </r>
  <r>
    <n v="112765"/>
    <s v="NILSON MUNIZ SILVA"/>
    <s v="VARREDOR"/>
    <x v="1"/>
    <d v="2019-06-01T00:00:00"/>
    <x v="0"/>
    <x v="0"/>
    <n v="0"/>
    <x v="0"/>
  </r>
  <r>
    <n v="112772"/>
    <s v="NILSON ROBERTO GALVAO"/>
    <s v="VARREDOR"/>
    <x v="1"/>
    <d v="2019-06-01T00:00:00"/>
    <x v="0"/>
    <x v="0"/>
    <n v="0"/>
    <x v="0"/>
  </r>
  <r>
    <n v="112780"/>
    <s v="NILSON RODRIGUES DE JESUS"/>
    <s v="VARREDOR"/>
    <x v="3"/>
    <d v="2019-06-01T00:00:00"/>
    <x v="0"/>
    <x v="0"/>
    <n v="0"/>
    <x v="0"/>
  </r>
  <r>
    <n v="112785"/>
    <s v="NILTON DA COSTA LEAL"/>
    <s v="VARREDOR"/>
    <x v="5"/>
    <d v="2019-06-01T00:00:00"/>
    <x v="0"/>
    <x v="0"/>
    <n v="0"/>
    <x v="0"/>
  </r>
  <r>
    <n v="112802"/>
    <s v="NILTON PASSOS DOS SANTOS"/>
    <s v="MOTORISTA CAMINHAO"/>
    <x v="2"/>
    <d v="2019-06-01T00:00:00"/>
    <x v="0"/>
    <x v="0"/>
    <n v="0"/>
    <x v="0"/>
  </r>
  <r>
    <n v="112810"/>
    <s v="NILTON PEREIRA GARCIA"/>
    <s v="VARREDOR"/>
    <x v="1"/>
    <d v="2019-06-01T00:00:00"/>
    <x v="0"/>
    <x v="0"/>
    <n v="0"/>
    <x v="0"/>
  </r>
  <r>
    <n v="112816"/>
    <s v="NILTON SANTOS DA SILVA"/>
    <s v="COLETOR"/>
    <x v="2"/>
    <d v="2019-06-01T00:00:00"/>
    <x v="0"/>
    <x v="0"/>
    <n v="0"/>
    <x v="0"/>
  </r>
  <r>
    <n v="114711"/>
    <s v="NILVAN CHARLES NUNES LOPES"/>
    <s v="AJUDANTE EQ SERVICOS DIVERSOS"/>
    <x v="5"/>
    <d v="2020-02-13T00:00:00"/>
    <x v="0"/>
    <x v="0"/>
    <n v="0"/>
    <x v="2"/>
  </r>
  <r>
    <n v="114761"/>
    <s v="NIVALDO MARQUES DOS SANTOS"/>
    <s v="MOTORISTA CAMINHAO"/>
    <x v="2"/>
    <d v="2020-02-13T00:00:00"/>
    <x v="0"/>
    <x v="0"/>
    <n v="0"/>
    <x v="0"/>
  </r>
  <r>
    <n v="112833"/>
    <s v="NIVALDO SEPERO DOS SANTOS"/>
    <s v="VARREDOR"/>
    <x v="3"/>
    <d v="2019-06-01T00:00:00"/>
    <x v="0"/>
    <x v="0"/>
    <n v="0"/>
    <x v="0"/>
  </r>
  <r>
    <n v="112845"/>
    <s v="NOBERTO NOGUEIRA DE AGUIAR"/>
    <s v="MOTORISTA CAMINHAO"/>
    <x v="2"/>
    <d v="2019-06-01T00:00:00"/>
    <x v="0"/>
    <x v="0"/>
    <n v="0"/>
    <x v="0"/>
  </r>
  <r>
    <n v="119107"/>
    <s v="OCELIO LIMA BARBOSA"/>
    <s v="AJUDANTE EQ SERVICOS DIVERSOS"/>
    <x v="0"/>
    <d v="2022-03-10T00:00:00"/>
    <x v="0"/>
    <x v="0"/>
    <n v="0"/>
    <x v="0"/>
  </r>
  <r>
    <n v="112871"/>
    <s v="ODAIR ALVES DOS SANTOS"/>
    <s v="VARREDOR"/>
    <x v="3"/>
    <d v="2019-06-01T00:00:00"/>
    <x v="0"/>
    <x v="0"/>
    <n v="0"/>
    <x v="0"/>
  </r>
  <r>
    <n v="114774"/>
    <s v="ODAIR DA SILVA HESSEL"/>
    <s v="AJUDANTE EQ SERVICOS DIVERSOS"/>
    <x v="4"/>
    <d v="2020-02-13T00:00:00"/>
    <x v="0"/>
    <x v="0"/>
    <n v="0"/>
    <x v="0"/>
  </r>
  <r>
    <n v="112877"/>
    <s v="ODAIR DOS SANTOS FREITAS"/>
    <s v="AJUDANTE EQ SERVICOS DIVERSOS"/>
    <x v="0"/>
    <d v="2019-06-01T00:00:00"/>
    <x v="0"/>
    <x v="0"/>
    <n v="0"/>
    <x v="0"/>
  </r>
  <r>
    <n v="112887"/>
    <s v="ODAIR JOSE FERREIRA DOS SANTOS"/>
    <s v="VARREDOR"/>
    <x v="3"/>
    <d v="2019-06-01T00:00:00"/>
    <x v="0"/>
    <x v="0"/>
    <n v="0"/>
    <x v="0"/>
  </r>
  <r>
    <n v="112894"/>
    <s v="ODEVANDO MANOEL XAVIER"/>
    <s v="VARREDOR"/>
    <x v="0"/>
    <d v="2019-06-01T00:00:00"/>
    <x v="0"/>
    <x v="0"/>
    <n v="0"/>
    <x v="0"/>
  </r>
  <r>
    <n v="112908"/>
    <s v="OLIMPIO PEREIRA DE MELO FILHO"/>
    <s v="AJUDANTE EQ SERVICOS DIVERSOS"/>
    <x v="5"/>
    <d v="2019-06-01T00:00:00"/>
    <x v="0"/>
    <x v="0"/>
    <n v="0"/>
    <x v="0"/>
  </r>
  <r>
    <n v="113004"/>
    <s v="OLINDINO PEREIRA SILVA"/>
    <s v="AJUDANTE EQ SERVICOS DIVERSOS"/>
    <x v="1"/>
    <d v="2019-06-01T00:00:00"/>
    <x v="0"/>
    <x v="0"/>
    <n v="0"/>
    <x v="0"/>
  </r>
  <r>
    <n v="115229"/>
    <s v="ORLANDO DE SOUZA BATISTA"/>
    <s v="SERRALHEIRO"/>
    <x v="2"/>
    <d v="2020-07-06T00:00:00"/>
    <x v="0"/>
    <x v="0"/>
    <n v="0"/>
    <x v="0"/>
  </r>
  <r>
    <n v="113025"/>
    <s v="ORLANDO JESUS DOS SANTOS"/>
    <s v="VARREDOR"/>
    <x v="0"/>
    <d v="2019-06-01T00:00:00"/>
    <x v="0"/>
    <x v="0"/>
    <n v="0"/>
    <x v="0"/>
  </r>
  <r>
    <n v="113032"/>
    <s v="ORLANDO SEBASTIAO DA SILVA"/>
    <s v="VARREDOR"/>
    <x v="1"/>
    <d v="2019-06-01T00:00:00"/>
    <x v="0"/>
    <x v="0"/>
    <n v="0"/>
    <x v="0"/>
  </r>
  <r>
    <n v="113044"/>
    <s v="OSAIR ALVES FAGUNDES"/>
    <s v="MOTORISTA CAMINHAO"/>
    <x v="2"/>
    <d v="2019-06-01T00:00:00"/>
    <x v="0"/>
    <x v="0"/>
    <n v="0"/>
    <x v="0"/>
  </r>
  <r>
    <n v="113083"/>
    <s v="OSMAR NOGUEIRA DA SILVA"/>
    <s v="FISCAL DE TURMA PLENO"/>
    <x v="1"/>
    <d v="2019-06-01T00:00:00"/>
    <x v="0"/>
    <x v="0"/>
    <n v="0"/>
    <x v="2"/>
  </r>
  <r>
    <n v="113141"/>
    <s v="OZEIAS PEREIRA DE SOUSA"/>
    <s v="VARREDOR"/>
    <x v="5"/>
    <d v="2019-06-01T00:00:00"/>
    <x v="0"/>
    <x v="0"/>
    <n v="0"/>
    <x v="0"/>
  </r>
  <r>
    <n v="113669"/>
    <s v="OZEIAS ROSA BARBOSA"/>
    <s v="VARREDOR"/>
    <x v="1"/>
    <d v="2019-06-01T00:00:00"/>
    <x v="0"/>
    <x v="0"/>
    <n v="0"/>
    <x v="2"/>
  </r>
  <r>
    <n v="113671"/>
    <s v="OZEILDO CONCEICAO NASCIMENTO"/>
    <s v="AJUDANTE EQ SERVICOS DIVERSOS"/>
    <x v="3"/>
    <d v="2019-06-01T00:00:00"/>
    <x v="0"/>
    <x v="0"/>
    <n v="0"/>
    <x v="0"/>
  </r>
  <r>
    <n v="113183"/>
    <s v="OZIEL PAULO DE LIMA"/>
    <s v="COLETOR"/>
    <x v="2"/>
    <d v="2019-06-01T00:00:00"/>
    <x v="0"/>
    <x v="0"/>
    <n v="0"/>
    <x v="0"/>
  </r>
  <r>
    <n v="113188"/>
    <s v="OZILINA AUGUSTINHA DE SOUZA"/>
    <s v="AJUDANTE EQ SERVICOS DIVERSOS"/>
    <x v="3"/>
    <d v="2019-06-01T00:00:00"/>
    <x v="0"/>
    <x v="0"/>
    <n v="0"/>
    <x v="0"/>
  </r>
  <r>
    <n v="113743"/>
    <s v="PAMELA SUELEN FIORENTINI"/>
    <s v="COORDENADOR(A) ADM / FINANCEIRO"/>
    <x v="6"/>
    <d v="2019-06-03T00:00:00"/>
    <x v="0"/>
    <x v="0"/>
    <n v="0"/>
    <x v="0"/>
  </r>
  <r>
    <n v="113192"/>
    <s v="PAOLA SABRINA RIO BRANCO"/>
    <s v="VARREDOR"/>
    <x v="0"/>
    <d v="2019-06-01T00:00:00"/>
    <x v="0"/>
    <x v="0"/>
    <n v="0"/>
    <x v="0"/>
  </r>
  <r>
    <n v="122555"/>
    <s v="PATRICIA ALMEIDA DE LIMA"/>
    <s v="AJUDANTE EQ SERVICOS DIVERSOS"/>
    <x v="3"/>
    <d v="2023-07-24T00:00:00"/>
    <x v="7"/>
    <x v="0"/>
    <n v="-273.79999999999995"/>
    <x v="0"/>
  </r>
  <r>
    <n v="118054"/>
    <s v="PATRICIO AUGUSTO ARAUJO DA SILVA"/>
    <s v="AJUDANTE EQ SERVICOS DIVERSOS"/>
    <x v="5"/>
    <d v="2022-01-06T00:00:00"/>
    <x v="0"/>
    <x v="0"/>
    <n v="0"/>
    <x v="0"/>
  </r>
  <r>
    <n v="113722"/>
    <s v="PATRICK DOS SANTOS DANTAS"/>
    <s v="AJUDANTE EQ SERVICOS DIVERSOS"/>
    <x v="5"/>
    <d v="2019-06-03T00:00:00"/>
    <x v="0"/>
    <x v="0"/>
    <n v="0"/>
    <x v="0"/>
  </r>
  <r>
    <n v="113201"/>
    <s v="PAULO AQUINO TAVARES DE ARRUDA"/>
    <s v="VARREDOR"/>
    <x v="3"/>
    <d v="2019-06-01T00:00:00"/>
    <x v="0"/>
    <x v="0"/>
    <n v="0"/>
    <x v="0"/>
  </r>
  <r>
    <n v="113803"/>
    <s v="PAULO BATISTA FERNANDES"/>
    <s v="MOTORISTA CAMINHAO"/>
    <x v="2"/>
    <d v="2019-06-14T00:00:00"/>
    <x v="0"/>
    <x v="0"/>
    <n v="0"/>
    <x v="2"/>
  </r>
  <r>
    <n v="113218"/>
    <s v="PAULO CAMPOS MEIRELES"/>
    <s v="MOTORISTA CAMINHAO"/>
    <x v="2"/>
    <d v="2019-06-01T00:00:00"/>
    <x v="0"/>
    <x v="0"/>
    <n v="0"/>
    <x v="0"/>
  </r>
  <r>
    <n v="113224"/>
    <s v="PAULO CARDOSO DOS SANTOS"/>
    <s v="AJUDANTE EQ SERVICOS DIVERSOS"/>
    <x v="1"/>
    <d v="2019-06-01T00:00:00"/>
    <x v="0"/>
    <x v="0"/>
    <n v="0"/>
    <x v="0"/>
  </r>
  <r>
    <n v="114094"/>
    <s v="PAULO CARLOS PRADO LOURENCO"/>
    <s v="AJUDANTE EQ SERVICOS DIVERSOS"/>
    <x v="3"/>
    <d v="2019-09-20T00:00:00"/>
    <x v="0"/>
    <x v="0"/>
    <n v="0"/>
    <x v="0"/>
  </r>
  <r>
    <n v="113235"/>
    <s v="PAULO CARVALHO SOUZA"/>
    <s v="AJUDANTE EQ SERVICOS DIVERSOS"/>
    <x v="1"/>
    <d v="2019-06-01T00:00:00"/>
    <x v="0"/>
    <x v="0"/>
    <n v="0"/>
    <x v="0"/>
  </r>
  <r>
    <n v="119125"/>
    <s v="PAULO CESAR PEREIRA DA SILVA"/>
    <s v="MOTORISTA CAMINHAO"/>
    <x v="2"/>
    <d v="2022-03-10T00:00:00"/>
    <x v="0"/>
    <x v="0"/>
    <n v="0"/>
    <x v="0"/>
  </r>
  <r>
    <n v="116730"/>
    <s v="PAULO CESAR RODRIGUES"/>
    <s v="MOTORISTA CAMINHAO"/>
    <x v="2"/>
    <d v="2021-06-21T00:00:00"/>
    <x v="0"/>
    <x v="0"/>
    <n v="0"/>
    <x v="0"/>
  </r>
  <r>
    <n v="114088"/>
    <s v="PAULO CESAR SILVA SANTOS"/>
    <s v="AJUDANTE EQ SERVICOS DIVERSOS"/>
    <x v="1"/>
    <d v="2019-09-20T00:00:00"/>
    <x v="0"/>
    <x v="0"/>
    <n v="0"/>
    <x v="0"/>
  </r>
  <r>
    <n v="122247"/>
    <s v="PAULO DE OLIVEIRA SOUZA"/>
    <s v="AJUDANTE EQ SERVICOS DIVERSOS"/>
    <x v="1"/>
    <d v="2023-06-12T00:00:00"/>
    <x v="0"/>
    <x v="4"/>
    <n v="-76.57000000000005"/>
    <x v="0"/>
  </r>
  <r>
    <n v="114980"/>
    <s v="PAULO FRANCISCO DO PRADO SILVA"/>
    <s v="AJUDANTE EQ SERVICOS DIVERSOS"/>
    <x v="1"/>
    <d v="2020-03-27T00:00:00"/>
    <x v="0"/>
    <x v="0"/>
    <n v="0"/>
    <x v="0"/>
  </r>
  <r>
    <n v="113255"/>
    <s v="PAULO HENRIQUE DE MELO"/>
    <s v="COLETOR"/>
    <x v="2"/>
    <d v="2019-06-01T00:00:00"/>
    <x v="0"/>
    <x v="0"/>
    <n v="0"/>
    <x v="0"/>
  </r>
  <r>
    <n v="116983"/>
    <s v="PAULO HENRIQUE DOS ANJOS"/>
    <s v="AJUDANTE EQ SERVICOS DIVERSOS"/>
    <x v="1"/>
    <d v="2021-08-11T00:00:00"/>
    <x v="0"/>
    <x v="0"/>
    <n v="0"/>
    <x v="0"/>
  </r>
  <r>
    <n v="113262"/>
    <s v="PAULO HENRIQUE MAPA"/>
    <s v="VARREDOR"/>
    <x v="5"/>
    <d v="2019-06-01T00:00:00"/>
    <x v="0"/>
    <x v="0"/>
    <n v="0"/>
    <x v="0"/>
  </r>
  <r>
    <n v="116720"/>
    <s v="PAULO HENRIQUE SILVA LEAL"/>
    <s v="VARREDOR"/>
    <x v="5"/>
    <d v="2021-06-21T00:00:00"/>
    <x v="0"/>
    <x v="0"/>
    <n v="0"/>
    <x v="0"/>
  </r>
  <r>
    <n v="113288"/>
    <s v="PAULO JOSE RIBEIRO"/>
    <s v="VARREDOR"/>
    <x v="1"/>
    <d v="2019-06-01T00:00:00"/>
    <x v="0"/>
    <x v="0"/>
    <n v="0"/>
    <x v="0"/>
  </r>
  <r>
    <n v="120623"/>
    <s v="PAULO OTAVIO ALEXANDRE VIANA"/>
    <s v="AUXILIAR DE ALMOXARIFADO PLENO"/>
    <x v="2"/>
    <d v="2022-10-03T00:00:00"/>
    <x v="0"/>
    <x v="0"/>
    <n v="0"/>
    <x v="0"/>
  </r>
  <r>
    <n v="114742"/>
    <s v="PAULO RICARDO SOARES SILVA DOS SANTOS"/>
    <s v="AJUDANTE EQ SERVICOS DIVERSOS"/>
    <x v="1"/>
    <d v="2020-02-13T00:00:00"/>
    <x v="4"/>
    <x v="19"/>
    <n v="696.46"/>
    <x v="0"/>
  </r>
  <r>
    <n v="113350"/>
    <s v="PAULO ROBERO MUNIZ MOREIRA"/>
    <s v="AJUDANTE EQ SERVICOS DIVERSOS"/>
    <x v="1"/>
    <d v="2019-06-01T00:00:00"/>
    <x v="0"/>
    <x v="0"/>
    <n v="0"/>
    <x v="0"/>
  </r>
  <r>
    <n v="113356"/>
    <s v="PAULO ROBERTO DA SILVA"/>
    <s v="AJUDANTE EQ SERVICOS DIVERSOS"/>
    <x v="3"/>
    <d v="2019-06-01T00:00:00"/>
    <x v="0"/>
    <x v="0"/>
    <n v="0"/>
    <x v="0"/>
  </r>
  <r>
    <n v="113365"/>
    <s v="PAULO ROBERTO DA SILVA"/>
    <s v="MOTORISTA CAMINHAO"/>
    <x v="2"/>
    <d v="2019-06-01T00:00:00"/>
    <x v="0"/>
    <x v="0"/>
    <n v="0"/>
    <x v="0"/>
  </r>
  <r>
    <n v="122424"/>
    <s v="PAULO ROGERIO MATIAS DOMINGUES"/>
    <s v="AJUDANTE EQ SERVICOS DIVERSOS"/>
    <x v="2"/>
    <d v="2023-07-10T00:00:00"/>
    <x v="0"/>
    <x v="6"/>
    <n v="-114.85000000000002"/>
    <x v="0"/>
  </r>
  <r>
    <n v="113389"/>
    <s v="PAULO SERGIO DA SILVA"/>
    <s v="COLETOR"/>
    <x v="2"/>
    <d v="2019-06-01T00:00:00"/>
    <x v="0"/>
    <x v="0"/>
    <n v="0"/>
    <x v="0"/>
  </r>
  <r>
    <n v="119646"/>
    <s v="PAULO SERGIO DA SILVA MACHADO"/>
    <s v="AJUDANTE EQ SERVICOS DIVERSOS"/>
    <x v="3"/>
    <d v="2022-06-13T00:00:00"/>
    <x v="0"/>
    <x v="0"/>
    <n v="0"/>
    <x v="0"/>
  </r>
  <r>
    <n v="121028"/>
    <s v="PAULO THIAGO SOBRAL RIBEIRO DE SOUZA"/>
    <s v="VARREDOR"/>
    <x v="4"/>
    <d v="2022-12-05T00:00:00"/>
    <x v="0"/>
    <x v="0"/>
    <n v="0"/>
    <x v="0"/>
  </r>
  <r>
    <n v="113399"/>
    <s v="PAULO VIEIRA DOS SANTOS"/>
    <s v="AJUDANTE EQ SERVICOS DIVERSOS"/>
    <x v="3"/>
    <d v="2019-06-01T00:00:00"/>
    <x v="0"/>
    <x v="0"/>
    <n v="0"/>
    <x v="0"/>
  </r>
  <r>
    <n v="113407"/>
    <s v="PEDRO AMARO DA SILVA"/>
    <s v="MOTORISTA CAMINHAO"/>
    <x v="2"/>
    <d v="2019-06-01T00:00:00"/>
    <x v="0"/>
    <x v="0"/>
    <n v="0"/>
    <x v="0"/>
  </r>
  <r>
    <n v="113429"/>
    <s v="PEDRO BATISTA SANTIAGO"/>
    <s v="VARREDOR"/>
    <x v="1"/>
    <d v="2019-06-01T00:00:00"/>
    <x v="0"/>
    <x v="0"/>
    <n v="0"/>
    <x v="0"/>
  </r>
  <r>
    <n v="113436"/>
    <s v="PEDRO FLAVIO FERREIRA DA SILVA"/>
    <s v="VARREDOR"/>
    <x v="5"/>
    <d v="2019-06-01T00:00:00"/>
    <x v="0"/>
    <x v="0"/>
    <n v="0"/>
    <x v="0"/>
  </r>
  <r>
    <n v="122086"/>
    <s v="PEDRO FLOR DE LIMA"/>
    <s v="AJUDANTE EQ SERVICOS DIVERSOS"/>
    <x v="2"/>
    <d v="2023-05-15T00:00:00"/>
    <x v="0"/>
    <x v="0"/>
    <n v="0"/>
    <x v="0"/>
  </r>
  <r>
    <n v="113443"/>
    <s v="PEDRO GOMES CARDOZO"/>
    <s v="VARREDOR"/>
    <x v="0"/>
    <d v="2019-06-01T00:00:00"/>
    <x v="0"/>
    <x v="0"/>
    <n v="0"/>
    <x v="0"/>
  </r>
  <r>
    <n v="113449"/>
    <s v="PEDRO HELI DE CASTRO"/>
    <s v="AJUDANTE EQ SERVICOS DIVERSOS"/>
    <x v="1"/>
    <d v="2019-06-01T00:00:00"/>
    <x v="0"/>
    <x v="0"/>
    <n v="0"/>
    <x v="0"/>
  </r>
  <r>
    <n v="113463"/>
    <s v="PEDRO LUIZ DA SILVA"/>
    <s v="VARREDOR"/>
    <x v="4"/>
    <d v="2019-06-01T00:00:00"/>
    <x v="0"/>
    <x v="0"/>
    <n v="0"/>
    <x v="0"/>
  </r>
  <r>
    <n v="113470"/>
    <s v="PEDRO PAULO DE ASSIS"/>
    <s v="VARREDOR"/>
    <x v="1"/>
    <d v="2019-06-01T00:00:00"/>
    <x v="0"/>
    <x v="0"/>
    <n v="0"/>
    <x v="2"/>
  </r>
  <r>
    <n v="113708"/>
    <s v="PETRONILIO MACARIO DOS SANTOS"/>
    <s v="AJUDANTE EQ SERVICOS DIVERSOS"/>
    <x v="4"/>
    <d v="2019-06-01T00:00:00"/>
    <x v="0"/>
    <x v="0"/>
    <n v="0"/>
    <x v="0"/>
  </r>
  <r>
    <n v="113742"/>
    <s v="PRISCILA ALVES DE LIMA SILVA"/>
    <s v="ANALISTA ADM/FINANCEIRO"/>
    <x v="6"/>
    <d v="2019-06-03T00:00:00"/>
    <x v="0"/>
    <x v="0"/>
    <n v="0"/>
    <x v="0"/>
  </r>
  <r>
    <n v="120178"/>
    <s v="RAFAEL BARBOSA DOS SANTOS"/>
    <s v="AJUDANTE EQ SERVICOS DIVERSOS"/>
    <x v="2"/>
    <d v="2022-08-18T00:00:00"/>
    <x v="0"/>
    <x v="0"/>
    <n v="0"/>
    <x v="0"/>
  </r>
  <r>
    <n v="122348"/>
    <s v="RAFAEL CAMPOS BEZERRA"/>
    <s v="VARREDOR"/>
    <x v="3"/>
    <d v="2023-06-21T00:00:00"/>
    <x v="0"/>
    <x v="0"/>
    <n v="0"/>
    <x v="0"/>
  </r>
  <r>
    <n v="113764"/>
    <s v="RAFAEL COSTA BORGES PEREIRA"/>
    <s v="ASSISTENTE DE PLANEJAMENTO OPERACIONAL"/>
    <x v="2"/>
    <d v="2019-06-05T00:00:00"/>
    <x v="0"/>
    <x v="0"/>
    <n v="0"/>
    <x v="0"/>
  </r>
  <r>
    <n v="113477"/>
    <s v="RAFAEL DE MELO"/>
    <s v="AJUDANTE EQ SERVICOS DIVERSOS"/>
    <x v="5"/>
    <d v="2019-06-01T00:00:00"/>
    <x v="0"/>
    <x v="0"/>
    <n v="0"/>
    <x v="0"/>
  </r>
  <r>
    <n v="113493"/>
    <s v="RAFAEL DOS SANTOS PALMEIRA DA SILVA"/>
    <s v="VARREDOR"/>
    <x v="1"/>
    <d v="2019-06-01T00:00:00"/>
    <x v="13"/>
    <x v="5"/>
    <n v="-327.88"/>
    <x v="0"/>
  </r>
  <r>
    <n v="113496"/>
    <s v="RAFAEL LIMA CARDOSO"/>
    <s v="VARREDOR"/>
    <x v="5"/>
    <d v="2019-06-01T00:00:00"/>
    <x v="0"/>
    <x v="0"/>
    <n v="0"/>
    <x v="0"/>
  </r>
  <r>
    <n v="114554"/>
    <s v="RAFAEL LIMA SOUZA"/>
    <s v="AJUDANTE EQ SERVICOS DIVERSOS"/>
    <x v="3"/>
    <d v="2019-12-18T00:00:00"/>
    <x v="0"/>
    <x v="2"/>
    <n v="-38.289999999999964"/>
    <x v="2"/>
  </r>
  <r>
    <n v="113500"/>
    <s v="RAFAEL OLIVEIRA MATOS"/>
    <s v="AJUDANTE EQ SERVICOS DIVERSOS"/>
    <x v="0"/>
    <d v="2019-06-01T00:00:00"/>
    <x v="0"/>
    <x v="0"/>
    <n v="0"/>
    <x v="0"/>
  </r>
  <r>
    <n v="113504"/>
    <s v="RAFAEL RODRIGUES DA SILVA"/>
    <s v="VARREDOR"/>
    <x v="0"/>
    <d v="2019-06-01T00:00:00"/>
    <x v="0"/>
    <x v="0"/>
    <n v="0"/>
    <x v="0"/>
  </r>
  <r>
    <n v="116985"/>
    <s v="RAFAEL RODRIGUES DE FREITAS"/>
    <s v="AJUDANTE EQ SERVICOS DIVERSOS"/>
    <x v="1"/>
    <d v="2021-08-11T00:00:00"/>
    <x v="0"/>
    <x v="0"/>
    <n v="0"/>
    <x v="0"/>
  </r>
  <r>
    <n v="113520"/>
    <s v="RAFAEL THEODORO LEITE OLIVEIRA"/>
    <s v="FISCAL DE TURMA PLENO"/>
    <x v="4"/>
    <d v="2019-06-01T00:00:00"/>
    <x v="0"/>
    <x v="0"/>
    <n v="0"/>
    <x v="0"/>
  </r>
  <r>
    <n v="113526"/>
    <s v="RAILDO PEREIRA DE OLIVEIRA"/>
    <s v="AJUDANTE EQ SERVICOS DIVERSOS"/>
    <x v="0"/>
    <d v="2019-06-01T00:00:00"/>
    <x v="0"/>
    <x v="0"/>
    <n v="0"/>
    <x v="0"/>
  </r>
  <r>
    <n v="121325"/>
    <s v="RAILTON GOMES DOS SANTOS"/>
    <s v="VARREDOR"/>
    <x v="4"/>
    <d v="2023-01-19T00:00:00"/>
    <x v="0"/>
    <x v="2"/>
    <n v="-38.289999999999964"/>
    <x v="0"/>
  </r>
  <r>
    <n v="113531"/>
    <s v="RAIMUNDA MARIA DE FREITAS SOUZA"/>
    <s v="VARREDOR"/>
    <x v="5"/>
    <d v="2019-06-01T00:00:00"/>
    <x v="0"/>
    <x v="0"/>
    <n v="0"/>
    <x v="0"/>
  </r>
  <r>
    <n v="113536"/>
    <s v="RAIMUNDA TELES DE ALMEIDA"/>
    <s v="VARREDOR"/>
    <x v="5"/>
    <d v="2019-06-01T00:00:00"/>
    <x v="0"/>
    <x v="0"/>
    <n v="0"/>
    <x v="0"/>
  </r>
  <r>
    <n v="113547"/>
    <s v="RAIMUNDO JOSE DA SILVA"/>
    <s v="FISCAL DE TURMA PLENO"/>
    <x v="3"/>
    <d v="2019-06-01T00:00:00"/>
    <x v="0"/>
    <x v="0"/>
    <n v="0"/>
    <x v="0"/>
  </r>
  <r>
    <n v="113552"/>
    <s v="RAIMUNDO JOSE DE SANTANA"/>
    <s v="COLETOR"/>
    <x v="2"/>
    <d v="2019-06-01T00:00:00"/>
    <x v="0"/>
    <x v="0"/>
    <n v="0"/>
    <x v="0"/>
  </r>
  <r>
    <n v="113555"/>
    <s v="RAIMUNDO NONATO FILHO"/>
    <s v="VARREDOR"/>
    <x v="0"/>
    <d v="2019-06-01T00:00:00"/>
    <x v="0"/>
    <x v="0"/>
    <n v="0"/>
    <x v="0"/>
  </r>
  <r>
    <n v="113557"/>
    <s v="RAIMUNDO RODRIGUES DOS SANTOS"/>
    <s v="VARREDOR"/>
    <x v="4"/>
    <d v="2019-06-01T00:00:00"/>
    <x v="0"/>
    <x v="0"/>
    <n v="0"/>
    <x v="0"/>
  </r>
  <r>
    <n v="113559"/>
    <s v="RAMON RICHARD DA SILVA"/>
    <s v="VARREDOR"/>
    <x v="1"/>
    <d v="2019-06-01T00:00:00"/>
    <x v="0"/>
    <x v="0"/>
    <n v="0"/>
    <x v="0"/>
  </r>
  <r>
    <n v="113565"/>
    <s v="RANIERE GOMES DA SILVA"/>
    <s v="MOTORISTA CAMINHAO"/>
    <x v="2"/>
    <d v="2019-06-01T00:00:00"/>
    <x v="0"/>
    <x v="0"/>
    <n v="0"/>
    <x v="0"/>
  </r>
  <r>
    <n v="121816"/>
    <s v="RAQUEL LARISSA DA SILVA DIAS"/>
    <s v="MENOR/JOVEM APRENDIZ"/>
    <x v="6"/>
    <d v="2023-04-03T00:00:00"/>
    <x v="1"/>
    <x v="3"/>
    <n v="0"/>
    <x v="0"/>
  </r>
  <r>
    <n v="113573"/>
    <s v="RAUL APARECIDO LADISLAU"/>
    <s v="VARREDOR"/>
    <x v="3"/>
    <d v="2019-06-01T00:00:00"/>
    <x v="0"/>
    <x v="0"/>
    <n v="0"/>
    <x v="0"/>
  </r>
  <r>
    <n v="113577"/>
    <s v="REGINALDO ASSUMPCAO GARCIA"/>
    <s v="COLETOR"/>
    <x v="2"/>
    <d v="2019-06-01T00:00:00"/>
    <x v="0"/>
    <x v="0"/>
    <n v="0"/>
    <x v="0"/>
  </r>
  <r>
    <n v="113687"/>
    <s v="REGINALDO CANDIDO DOS SANTOS"/>
    <s v="VARREDOR"/>
    <x v="1"/>
    <d v="2019-06-01T00:00:00"/>
    <x v="0"/>
    <x v="0"/>
    <n v="0"/>
    <x v="0"/>
  </r>
  <r>
    <n v="113587"/>
    <s v="REGINALDO DA SILVA"/>
    <s v="VARREDOR"/>
    <x v="4"/>
    <d v="2019-06-01T00:00:00"/>
    <x v="0"/>
    <x v="0"/>
    <n v="0"/>
    <x v="0"/>
  </r>
  <r>
    <n v="114259"/>
    <s v="REGINALDO DE OLIVEIRA COUTO"/>
    <s v="AJUDANTE EQ SERVICOS DIVERSOS"/>
    <x v="4"/>
    <d v="2019-12-05T00:00:00"/>
    <x v="0"/>
    <x v="0"/>
    <n v="0"/>
    <x v="0"/>
  </r>
  <r>
    <n v="113608"/>
    <s v="REGINALDO FLORENCIO DA SILVA"/>
    <s v="VARREDOR"/>
    <x v="0"/>
    <d v="2019-06-01T00:00:00"/>
    <x v="0"/>
    <x v="0"/>
    <n v="0"/>
    <x v="0"/>
  </r>
  <r>
    <n v="113667"/>
    <s v="REGINALDO GOMES DE LIMA"/>
    <s v="VARREDOR"/>
    <x v="0"/>
    <d v="2019-06-01T00:00:00"/>
    <x v="0"/>
    <x v="0"/>
    <n v="0"/>
    <x v="0"/>
  </r>
  <r>
    <n v="113668"/>
    <s v="REGINALDO QUERINO DE SOUZA"/>
    <s v="MOTORISTA CAMINHAO"/>
    <x v="2"/>
    <d v="2019-06-01T00:00:00"/>
    <x v="0"/>
    <x v="0"/>
    <n v="0"/>
    <x v="0"/>
  </r>
  <r>
    <n v="114099"/>
    <s v="REGIS RODRIGUES DE OLIVEIRA"/>
    <s v="AJUDANTE EQ SERVICOS DIVERSOS"/>
    <x v="2"/>
    <d v="2019-09-20T00:00:00"/>
    <x v="0"/>
    <x v="0"/>
    <n v="0"/>
    <x v="0"/>
  </r>
  <r>
    <n v="113663"/>
    <s v="REGIVAN FERNANDES DOS SANTOS"/>
    <s v="MOTORISTA CAMINHAO"/>
    <x v="2"/>
    <d v="2019-06-01T00:00:00"/>
    <x v="0"/>
    <x v="0"/>
    <n v="0"/>
    <x v="0"/>
  </r>
  <r>
    <n v="114539"/>
    <s v="REINALDO ARAUJO DOS SANTOS"/>
    <s v="VARREDOR"/>
    <x v="1"/>
    <d v="2019-12-18T00:00:00"/>
    <x v="0"/>
    <x v="0"/>
    <n v="0"/>
    <x v="0"/>
  </r>
  <r>
    <n v="119675"/>
    <s v="REINALDO DA SILVA MOTA"/>
    <s v="AJUDANTE EQ SERVICOS DIVERSOS"/>
    <x v="2"/>
    <d v="2022-06-13T00:00:00"/>
    <x v="0"/>
    <x v="0"/>
    <n v="0"/>
    <x v="0"/>
  </r>
  <r>
    <n v="113658"/>
    <s v="REINALDO MARINHO DO NASCIMENTO"/>
    <s v="FISCAL DE TURMA PLENO"/>
    <x v="5"/>
    <d v="2019-06-01T00:00:00"/>
    <x v="0"/>
    <x v="0"/>
    <n v="0"/>
    <x v="0"/>
  </r>
  <r>
    <n v="113654"/>
    <s v="REMI GONCALVES DOS SANTOS"/>
    <s v="COLETOR"/>
    <x v="2"/>
    <d v="2019-06-01T00:00:00"/>
    <x v="0"/>
    <x v="0"/>
    <n v="0"/>
    <x v="0"/>
  </r>
  <r>
    <n v="113929"/>
    <s v="RENALDO VIEIRA SANTOS"/>
    <s v="VARREDOR"/>
    <x v="1"/>
    <d v="2019-08-05T00:00:00"/>
    <x v="0"/>
    <x v="0"/>
    <n v="0"/>
    <x v="0"/>
  </r>
  <r>
    <n v="118055"/>
    <s v="RENALTY LEITE DE JESUS"/>
    <s v="AJUDANTE EQ SERVICOS DIVERSOS"/>
    <x v="3"/>
    <d v="2022-01-06T00:00:00"/>
    <x v="0"/>
    <x v="2"/>
    <n v="-38.289999999999964"/>
    <x v="2"/>
  </r>
  <r>
    <n v="114933"/>
    <s v="RENAN BARBOSA SILVA"/>
    <s v="COLETOR"/>
    <x v="2"/>
    <d v="2020-03-26T00:00:00"/>
    <x v="0"/>
    <x v="0"/>
    <n v="0"/>
    <x v="0"/>
  </r>
  <r>
    <n v="116232"/>
    <s v="RENAN RODRIGUES DE FREITAS"/>
    <s v="AJUDANTE EQ SERVICOS DIVERSOS"/>
    <x v="1"/>
    <d v="2021-03-18T00:00:00"/>
    <x v="0"/>
    <x v="0"/>
    <n v="0"/>
    <x v="0"/>
  </r>
  <r>
    <n v="113884"/>
    <s v="RENAN SOUZA OLIVEIRA ANDRADE"/>
    <s v="SUPERINTENDENTE OPERACIONAL"/>
    <x v="7"/>
    <d v="2019-07-17T00:00:00"/>
    <x v="22"/>
    <x v="20"/>
    <n v="-180"/>
    <x v="0"/>
  </r>
  <r>
    <n v="113648"/>
    <s v="RENATO CALIXTO DE GOUVEIA"/>
    <s v="VARREDOR"/>
    <x v="1"/>
    <d v="2019-06-01T00:00:00"/>
    <x v="0"/>
    <x v="0"/>
    <n v="0"/>
    <x v="0"/>
  </r>
  <r>
    <n v="113643"/>
    <s v="RENATO DA CONCEICAO LUIZ"/>
    <s v="AJUDANTE EQ SERVICOS DIVERSOS"/>
    <x v="1"/>
    <d v="2019-06-01T00:00:00"/>
    <x v="0"/>
    <x v="0"/>
    <n v="0"/>
    <x v="0"/>
  </r>
  <r>
    <n v="113638"/>
    <s v="RENATO DA SILVA PIRES"/>
    <s v="FISCAL DE TURMA PLENO"/>
    <x v="3"/>
    <d v="2019-06-01T00:00:00"/>
    <x v="0"/>
    <x v="0"/>
    <n v="0"/>
    <x v="0"/>
  </r>
  <r>
    <n v="113634"/>
    <s v="RENATO FELICIANO"/>
    <s v="COLETOR"/>
    <x v="2"/>
    <d v="2019-06-01T00:00:00"/>
    <x v="0"/>
    <x v="0"/>
    <n v="0"/>
    <x v="0"/>
  </r>
  <r>
    <n v="113630"/>
    <s v="RENATO LUIZ DOS SANTOS"/>
    <s v="VARREDOR"/>
    <x v="4"/>
    <d v="2019-06-01T00:00:00"/>
    <x v="0"/>
    <x v="0"/>
    <n v="0"/>
    <x v="0"/>
  </r>
  <r>
    <n v="113627"/>
    <s v="RENATO LUIZ PEREIRA"/>
    <s v="AJUDANTE EQ SERVICOS DIVERSOS"/>
    <x v="5"/>
    <d v="2019-06-01T00:00:00"/>
    <x v="0"/>
    <x v="0"/>
    <n v="0"/>
    <x v="0"/>
  </r>
  <r>
    <n v="114734"/>
    <s v="RENATO MARQUES DE SOUSA"/>
    <s v="AJUDANTE EQ SERVICOS DIVERSOS"/>
    <x v="1"/>
    <d v="2020-02-13T00:00:00"/>
    <x v="0"/>
    <x v="0"/>
    <n v="0"/>
    <x v="0"/>
  </r>
  <r>
    <n v="113734"/>
    <s v="RENATO PAULINO DOS ANJOS"/>
    <s v="ENCARREGADO DE CONTROLE DE MANUTENCAO"/>
    <x v="2"/>
    <d v="2019-06-03T00:00:00"/>
    <x v="0"/>
    <x v="0"/>
    <n v="0"/>
    <x v="0"/>
  </r>
  <r>
    <n v="122403"/>
    <s v="RENELSON VALLIERE"/>
    <s v="AJUDANTE EQ SERVICOS DIVERSOS"/>
    <x v="2"/>
    <d v="2023-07-10T00:00:00"/>
    <x v="0"/>
    <x v="0"/>
    <n v="0"/>
    <x v="0"/>
  </r>
  <r>
    <n v="116329"/>
    <s v="RHUAN MATHEUS PEREIRA BARRETO"/>
    <s v="AJUDANTE EQ SERVICOS DIVERSOS"/>
    <x v="1"/>
    <d v="2021-04-22T00:00:00"/>
    <x v="0"/>
    <x v="2"/>
    <n v="-38.289999999999964"/>
    <x v="0"/>
  </r>
  <r>
    <n v="118642"/>
    <s v="RICARDO ALEXANDRE DE OLIVEIRA"/>
    <s v="SERVENTE"/>
    <x v="2"/>
    <d v="2022-01-21T00:00:00"/>
    <x v="0"/>
    <x v="0"/>
    <n v="0"/>
    <x v="0"/>
  </r>
  <r>
    <n v="114031"/>
    <s v="RICARDO APARECIDO DA CONCEICAO"/>
    <s v="FISCAL DE TURMA PLENO"/>
    <x v="5"/>
    <d v="2019-09-02T00:00:00"/>
    <x v="0"/>
    <x v="0"/>
    <n v="0"/>
    <x v="0"/>
  </r>
  <r>
    <n v="113689"/>
    <s v="RICARDO APARECIDO FERNANDO DE OLIVEIRA"/>
    <s v="VARREDOR"/>
    <x v="3"/>
    <d v="2019-06-01T00:00:00"/>
    <x v="0"/>
    <x v="0"/>
    <n v="0"/>
    <x v="0"/>
  </r>
  <r>
    <n v="117240"/>
    <s v="RICARDO APARECIDO LEANDRO"/>
    <s v="AJUDANTE EQ SERVICOS DIVERSOS"/>
    <x v="1"/>
    <d v="2021-10-18T00:00:00"/>
    <x v="0"/>
    <x v="0"/>
    <n v="0"/>
    <x v="0"/>
  </r>
  <r>
    <n v="120192"/>
    <s v="RICARDO DE ALMEIDA LAURENTINO"/>
    <s v="AJUDANTE EQ SERVICOS DIVERSOS"/>
    <x v="3"/>
    <d v="2022-08-18T00:00:00"/>
    <x v="0"/>
    <x v="0"/>
    <n v="0"/>
    <x v="0"/>
  </r>
  <r>
    <n v="116320"/>
    <s v="RICARDO GOMES"/>
    <s v="AJUDANTE EQ SERVICOS DIVERSOS"/>
    <x v="5"/>
    <d v="2021-04-22T00:00:00"/>
    <x v="0"/>
    <x v="0"/>
    <n v="0"/>
    <x v="2"/>
  </r>
  <r>
    <n v="119681"/>
    <s v="RICARDO PEDRO DA SILVA"/>
    <s v="AJUDANTE EQ SERVICOS DIVERSOS"/>
    <x v="5"/>
    <d v="2022-06-13T00:00:00"/>
    <x v="0"/>
    <x v="0"/>
    <n v="0"/>
    <x v="0"/>
  </r>
  <r>
    <n v="114258"/>
    <s v="RICARDO PINTO DA CONCEICAO"/>
    <s v="AJUDANTE EQ SERVICOS DIVERSOS"/>
    <x v="1"/>
    <d v="2019-12-05T00:00:00"/>
    <x v="0"/>
    <x v="0"/>
    <n v="0"/>
    <x v="0"/>
  </r>
  <r>
    <n v="113611"/>
    <s v="RICARDO RODRIGUES DAS NEVES"/>
    <s v="FISCAL DE TURMA PLENO"/>
    <x v="1"/>
    <d v="2019-06-01T00:00:00"/>
    <x v="0"/>
    <x v="0"/>
    <n v="0"/>
    <x v="0"/>
  </r>
  <r>
    <n v="112862"/>
    <s v="RICARDO SANTOS LIMA"/>
    <s v="VARREDOR"/>
    <x v="0"/>
    <d v="2019-06-01T00:00:00"/>
    <x v="0"/>
    <x v="0"/>
    <n v="0"/>
    <x v="0"/>
  </r>
  <r>
    <n v="112853"/>
    <s v="RIVALDO ANTONIO TEIXEIRA"/>
    <s v="VARREDOR"/>
    <x v="1"/>
    <d v="2019-06-01T00:00:00"/>
    <x v="0"/>
    <x v="0"/>
    <n v="0"/>
    <x v="0"/>
  </r>
  <r>
    <n v="114093"/>
    <s v="ROBERSON DOS SANTOS ALVES"/>
    <s v="AJUDANTE EQ SERVICOS DIVERSOS"/>
    <x v="3"/>
    <d v="2019-09-20T00:00:00"/>
    <x v="0"/>
    <x v="0"/>
    <n v="0"/>
    <x v="0"/>
  </r>
  <r>
    <n v="112823"/>
    <s v="ROBERTA CRISTINA DOS SANTOS AMORIM"/>
    <s v="VARREDOR"/>
    <x v="4"/>
    <d v="2019-06-01T00:00:00"/>
    <x v="0"/>
    <x v="0"/>
    <n v="0"/>
    <x v="0"/>
  </r>
  <r>
    <n v="112811"/>
    <s v="ROBERTO BERNARDO RODRIGUES"/>
    <s v="MOTORISTA CAMINHAO"/>
    <x v="2"/>
    <d v="2019-06-01T00:00:00"/>
    <x v="0"/>
    <x v="0"/>
    <n v="0"/>
    <x v="0"/>
  </r>
  <r>
    <n v="113733"/>
    <s v="ROBERTO CARLOS DA SILVA"/>
    <s v="SUPERVISOR DE TRAFEGO"/>
    <x v="2"/>
    <d v="2019-06-03T00:00:00"/>
    <x v="0"/>
    <x v="0"/>
    <n v="0"/>
    <x v="0"/>
  </r>
  <r>
    <n v="114732"/>
    <s v="ROBERTO DA CRUZ RIBEIRO DA SILVA"/>
    <s v="VARREDOR"/>
    <x v="1"/>
    <d v="2020-02-13T00:00:00"/>
    <x v="0"/>
    <x v="0"/>
    <n v="0"/>
    <x v="0"/>
  </r>
  <r>
    <n v="112788"/>
    <s v="ROBERTO LUIZ DOS SANTOS SILVA"/>
    <s v="BORRACHEIRO II"/>
    <x v="2"/>
    <d v="2019-06-01T00:00:00"/>
    <x v="0"/>
    <x v="0"/>
    <n v="0"/>
    <x v="0"/>
  </r>
  <r>
    <n v="112778"/>
    <s v="ROBERTO MACHADO ARAUJO"/>
    <s v="VARREDOR"/>
    <x v="3"/>
    <d v="2019-06-01T00:00:00"/>
    <x v="0"/>
    <x v="0"/>
    <n v="0"/>
    <x v="0"/>
  </r>
  <r>
    <n v="112769"/>
    <s v="ROBERTO PEDRETE MAIA"/>
    <s v="MOTORISTA CAMINHAO"/>
    <x v="2"/>
    <d v="2019-06-01T00:00:00"/>
    <x v="0"/>
    <x v="0"/>
    <n v="0"/>
    <x v="0"/>
  </r>
  <r>
    <n v="116132"/>
    <s v="ROBERTO SOARES CARDOSO"/>
    <s v="MOTORISTA CAMINHAO"/>
    <x v="2"/>
    <d v="2021-02-22T00:00:00"/>
    <x v="0"/>
    <x v="0"/>
    <n v="0"/>
    <x v="0"/>
  </r>
  <r>
    <n v="112754"/>
    <s v="ROBERTO XAVIER FIALHO"/>
    <s v="VARREDOR"/>
    <x v="3"/>
    <d v="2019-06-01T00:00:00"/>
    <x v="0"/>
    <x v="0"/>
    <n v="0"/>
    <x v="0"/>
  </r>
  <r>
    <n v="113723"/>
    <s v="ROBSON AMORIM DOS SANTOS"/>
    <s v="SERVENTE"/>
    <x v="2"/>
    <d v="2019-06-03T00:00:00"/>
    <x v="0"/>
    <x v="0"/>
    <n v="0"/>
    <x v="0"/>
  </r>
  <r>
    <n v="117241"/>
    <s v="ROBSON NUNES MACARIO"/>
    <s v="AJUDANTE EQ SERVICOS DIVERSOS"/>
    <x v="0"/>
    <d v="2021-10-18T00:00:00"/>
    <x v="0"/>
    <x v="0"/>
    <n v="0"/>
    <x v="0"/>
  </r>
  <r>
    <n v="112747"/>
    <s v="ROBSON ROCHA GONCALVES"/>
    <s v="COLETOR"/>
    <x v="2"/>
    <d v="2019-06-01T00:00:00"/>
    <x v="0"/>
    <x v="0"/>
    <n v="0"/>
    <x v="0"/>
  </r>
  <r>
    <n v="112741"/>
    <s v="ROBSON RODRIGUES DO CARMO"/>
    <s v="VARREDOR"/>
    <x v="3"/>
    <d v="2019-06-01T00:00:00"/>
    <x v="0"/>
    <x v="0"/>
    <n v="0"/>
    <x v="0"/>
  </r>
  <r>
    <n v="120355"/>
    <s v="ROBSON TADEU DA COSTA"/>
    <s v="AJUDANTE EQ SERVICOS DIVERSOS"/>
    <x v="1"/>
    <d v="2022-09-16T00:00:00"/>
    <x v="0"/>
    <x v="0"/>
    <n v="0"/>
    <x v="0"/>
  </r>
  <r>
    <n v="119933"/>
    <s v="RODRIGO ALENCAR LINO DOS ANJOS"/>
    <s v="AJUDANTE EQ SERVICOS DIVERSOS"/>
    <x v="4"/>
    <d v="2022-07-18T00:00:00"/>
    <x v="0"/>
    <x v="0"/>
    <n v="0"/>
    <x v="0"/>
  </r>
  <r>
    <n v="112458"/>
    <s v="RODRIGO DOS SANTOS OLIVEIRA"/>
    <s v="AJUDANTE EQ SERVICOS DIVERSOS"/>
    <x v="1"/>
    <d v="2019-06-01T00:00:00"/>
    <x v="0"/>
    <x v="0"/>
    <n v="0"/>
    <x v="0"/>
  </r>
  <r>
    <n v="115379"/>
    <s v="RODRIGO LISO DOS SANTOS"/>
    <s v="AJUDANTE EQ SERVICOS DIVERSOS"/>
    <x v="4"/>
    <d v="2020-08-03T00:00:00"/>
    <x v="0"/>
    <x v="0"/>
    <n v="0"/>
    <x v="0"/>
  </r>
  <r>
    <n v="112448"/>
    <s v="RODRIGO LOPES DA SILVA"/>
    <s v="VARREDOR"/>
    <x v="0"/>
    <d v="2019-06-01T00:00:00"/>
    <x v="0"/>
    <x v="0"/>
    <n v="0"/>
    <x v="0"/>
  </r>
  <r>
    <n v="119117"/>
    <s v="RODRIGO MUNIZ FERNANDES"/>
    <s v="AJUDANTE EQ SERVICOS DIVERSOS"/>
    <x v="0"/>
    <d v="2022-03-10T00:00:00"/>
    <x v="0"/>
    <x v="0"/>
    <n v="0"/>
    <x v="0"/>
  </r>
  <r>
    <n v="112440"/>
    <s v="RODRIGO OLIVEIRA DA CRUZ"/>
    <s v="ENCARREGADO DE TURMA"/>
    <x v="4"/>
    <d v="2019-06-01T00:00:00"/>
    <x v="0"/>
    <x v="0"/>
    <n v="0"/>
    <x v="0"/>
  </r>
  <r>
    <n v="116110"/>
    <s v="RODRIGO PEREIRA BARROS"/>
    <s v="MOTORISTA CAMINHAO"/>
    <x v="2"/>
    <d v="2021-02-09T00:00:00"/>
    <x v="0"/>
    <x v="0"/>
    <n v="0"/>
    <x v="0"/>
  </r>
  <r>
    <n v="114454"/>
    <s v="RODRIGO SOARES"/>
    <s v="AJUDANTE EQ SERVICOS DIVERSOS"/>
    <x v="1"/>
    <d v="2019-12-12T00:00:00"/>
    <x v="0"/>
    <x v="0"/>
    <n v="0"/>
    <x v="0"/>
  </r>
  <r>
    <n v="114937"/>
    <s v="ROGERIO ALEXANDRE DE SOUZA"/>
    <s v="AJUDANTE EQ SERVICOS DIVERSOS"/>
    <x v="2"/>
    <d v="2020-03-26T00:00:00"/>
    <x v="9"/>
    <x v="6"/>
    <n v="38.279999999999973"/>
    <x v="0"/>
  </r>
  <r>
    <n v="112414"/>
    <s v="ROGERIO DE AQUINO SILVA"/>
    <s v="MOTORISTA CAMINHAO"/>
    <x v="2"/>
    <d v="2019-06-01T00:00:00"/>
    <x v="0"/>
    <x v="0"/>
    <n v="0"/>
    <x v="0"/>
  </r>
  <r>
    <n v="112403"/>
    <s v="ROGERIO DO ESPIRITO SANTOS"/>
    <s v="VARREDOR"/>
    <x v="1"/>
    <d v="2019-06-01T00:00:00"/>
    <x v="0"/>
    <x v="0"/>
    <n v="0"/>
    <x v="0"/>
  </r>
  <r>
    <n v="112398"/>
    <s v="ROGERIO DOS SANTOS ARAUJO"/>
    <s v="VARREDOR"/>
    <x v="5"/>
    <d v="2019-06-01T00:00:00"/>
    <x v="0"/>
    <x v="0"/>
    <n v="0"/>
    <x v="0"/>
  </r>
  <r>
    <n v="120188"/>
    <s v="ROGERIO LUIS RODRIGUES"/>
    <s v="AJUDANTE EQ SERVICOS DIVERSOS"/>
    <x v="0"/>
    <d v="2022-08-18T00:00:00"/>
    <x v="0"/>
    <x v="0"/>
    <n v="0"/>
    <x v="0"/>
  </r>
  <r>
    <n v="112301"/>
    <s v="ROGERIO LUIZ RODRIGUES DA SILVA"/>
    <s v="AJUDANTE EQ SERVICOS DIVERSOS"/>
    <x v="0"/>
    <d v="2019-06-01T00:00:00"/>
    <x v="0"/>
    <x v="0"/>
    <n v="0"/>
    <x v="0"/>
  </r>
  <r>
    <n v="112172"/>
    <s v="ROGERIO OLIVEIRA LARA"/>
    <s v="FISCAL DE TRAFEGO PLENO"/>
    <x v="5"/>
    <d v="2019-06-01T00:00:00"/>
    <x v="0"/>
    <x v="0"/>
    <n v="0"/>
    <x v="2"/>
  </r>
  <r>
    <n v="112196"/>
    <s v="ROGERIO PIRES"/>
    <s v="AJUDANTE EQ SERVICOS DIVERSOS"/>
    <x v="0"/>
    <d v="2019-06-01T00:00:00"/>
    <x v="0"/>
    <x v="0"/>
    <n v="0"/>
    <x v="0"/>
  </r>
  <r>
    <n v="112199"/>
    <s v="ROGERIO RODRIGUES SANTANA"/>
    <s v="AJUDANTE EQ SERVICOS DIVERSOS"/>
    <x v="0"/>
    <d v="2019-06-01T00:00:00"/>
    <x v="0"/>
    <x v="0"/>
    <n v="0"/>
    <x v="0"/>
  </r>
  <r>
    <n v="114256"/>
    <s v="ROGERIO SILVA PEREIRA"/>
    <s v="AUXILIAR DE TRAFEGO"/>
    <x v="2"/>
    <d v="2019-12-05T00:00:00"/>
    <x v="0"/>
    <x v="0"/>
    <n v="0"/>
    <x v="2"/>
  </r>
  <r>
    <n v="112202"/>
    <s v="ROMILDO BESERRA DE ALENCAR"/>
    <s v="AJUDANTE EQ SERVICOS DIVERSOS"/>
    <x v="0"/>
    <d v="2019-06-01T00:00:00"/>
    <x v="0"/>
    <x v="0"/>
    <n v="0"/>
    <x v="0"/>
  </r>
  <r>
    <n v="114958"/>
    <s v="ROMILDO DOS SANTOS SILVA"/>
    <s v="MOTORISTA DE CAMINHAO"/>
    <x v="2"/>
    <d v="2020-03-26T00:00:00"/>
    <x v="0"/>
    <x v="0"/>
    <n v="0"/>
    <x v="0"/>
  </r>
  <r>
    <n v="112639"/>
    <s v="ROMILDO FREITAS DOS SANTOS"/>
    <s v="VARREDOR"/>
    <x v="1"/>
    <d v="2019-06-01T00:00:00"/>
    <x v="0"/>
    <x v="0"/>
    <n v="0"/>
    <x v="0"/>
  </r>
  <r>
    <n v="112257"/>
    <s v="ROMILDO GOMES DE MELO"/>
    <s v="VARREDOR"/>
    <x v="0"/>
    <d v="2019-06-01T00:00:00"/>
    <x v="0"/>
    <x v="0"/>
    <n v="0"/>
    <x v="0"/>
  </r>
  <r>
    <n v="112261"/>
    <s v="ROMILDO SANTOS"/>
    <s v="VARREDOR"/>
    <x v="5"/>
    <d v="2019-06-01T00:00:00"/>
    <x v="0"/>
    <x v="0"/>
    <n v="0"/>
    <x v="0"/>
  </r>
  <r>
    <n v="112263"/>
    <s v="RONALDO DE SOUZA JESUS"/>
    <s v="VARREDOR"/>
    <x v="5"/>
    <d v="2019-06-01T00:00:00"/>
    <x v="0"/>
    <x v="0"/>
    <n v="0"/>
    <x v="0"/>
  </r>
  <r>
    <n v="112381"/>
    <s v="RONALDO GONCALVES DA PENHA"/>
    <s v="COLETOR"/>
    <x v="2"/>
    <d v="2019-06-01T00:00:00"/>
    <x v="0"/>
    <x v="0"/>
    <n v="0"/>
    <x v="0"/>
  </r>
  <r>
    <n v="112383"/>
    <s v="RONALDO JOSE DOS SANTOS"/>
    <s v="VARREDOR"/>
    <x v="3"/>
    <d v="2019-06-01T00:00:00"/>
    <x v="0"/>
    <x v="0"/>
    <n v="0"/>
    <x v="0"/>
  </r>
  <r>
    <n v="117408"/>
    <s v="RONALDO PEREIRA LOPES"/>
    <s v="VARREDOR"/>
    <x v="3"/>
    <d v="2021-11-22T00:00:00"/>
    <x v="0"/>
    <x v="0"/>
    <n v="0"/>
    <x v="0"/>
  </r>
  <r>
    <n v="119929"/>
    <s v="RONALDO RAIMUNDO DA SILVA"/>
    <s v="AJUDANTE EQ SERVICOS DIVERSOS"/>
    <x v="1"/>
    <d v="2022-07-18T00:00:00"/>
    <x v="0"/>
    <x v="2"/>
    <n v="-38.289999999999964"/>
    <x v="0"/>
  </r>
  <r>
    <n v="114125"/>
    <s v="RONALDO ROCHA DA SILVA"/>
    <s v="VARREDOR"/>
    <x v="1"/>
    <d v="2019-10-01T00:00:00"/>
    <x v="0"/>
    <x v="0"/>
    <n v="0"/>
    <x v="0"/>
  </r>
  <r>
    <n v="112666"/>
    <s v="RONALDO SILVA SANTOS"/>
    <s v="MOTORISTA DE CAMINHAO"/>
    <x v="2"/>
    <d v="2019-06-01T00:00:00"/>
    <x v="0"/>
    <x v="0"/>
    <n v="0"/>
    <x v="0"/>
  </r>
  <r>
    <n v="112990"/>
    <s v="RONIE DE OLIVEIRA MARTINS"/>
    <s v="MOTORISTA CAMINHAO"/>
    <x v="2"/>
    <d v="2019-06-01T00:00:00"/>
    <x v="0"/>
    <x v="0"/>
    <n v="0"/>
    <x v="2"/>
  </r>
  <r>
    <n v="114955"/>
    <s v="RONIE FERREIRA DOS SANTOS"/>
    <s v="MOTORISTA DE CAMINHAO"/>
    <x v="2"/>
    <d v="2020-03-26T00:00:00"/>
    <x v="3"/>
    <x v="0"/>
    <n v="38.289999999999964"/>
    <x v="0"/>
  </r>
  <r>
    <n v="114746"/>
    <s v="RONILDO MENDES SOUZA"/>
    <s v="VARREDOR"/>
    <x v="3"/>
    <d v="2020-02-13T00:00:00"/>
    <x v="0"/>
    <x v="0"/>
    <n v="0"/>
    <x v="0"/>
  </r>
  <r>
    <n v="112674"/>
    <s v="ROSANGELA OLIVEIRA LIMA"/>
    <s v="VARREDOR"/>
    <x v="1"/>
    <d v="2019-06-01T00:00:00"/>
    <x v="0"/>
    <x v="0"/>
    <n v="0"/>
    <x v="0"/>
  </r>
  <r>
    <n v="121327"/>
    <s v="ROSELI FERREIRA DA SILVA"/>
    <s v="AJUDANTE EQ SERVICOS DIVERSOS"/>
    <x v="0"/>
    <d v="2023-01-19T00:00:00"/>
    <x v="0"/>
    <x v="0"/>
    <n v="0"/>
    <x v="0"/>
  </r>
  <r>
    <n v="112274"/>
    <s v="ROSELIO BRAZ FERREIRA"/>
    <s v="COLETOR"/>
    <x v="2"/>
    <d v="2019-06-01T00:00:00"/>
    <x v="0"/>
    <x v="0"/>
    <n v="0"/>
    <x v="2"/>
  </r>
  <r>
    <n v="116009"/>
    <s v="ROSENIL FIM JUNIOR"/>
    <s v="VARREDOR"/>
    <x v="3"/>
    <d v="2021-01-11T00:00:00"/>
    <x v="0"/>
    <x v="0"/>
    <n v="0"/>
    <x v="0"/>
  </r>
  <r>
    <n v="112278"/>
    <s v="ROSIVALDO FERREIRA DA SILVA"/>
    <s v="VARREDOR"/>
    <x v="5"/>
    <d v="2019-06-01T00:00:00"/>
    <x v="0"/>
    <x v="0"/>
    <n v="0"/>
    <x v="0"/>
  </r>
  <r>
    <n v="112992"/>
    <s v="ROVANDA BARBOSA"/>
    <s v="MOTORISTA CAMINHAO"/>
    <x v="2"/>
    <d v="2019-06-01T00:00:00"/>
    <x v="0"/>
    <x v="0"/>
    <n v="0"/>
    <x v="0"/>
  </r>
  <r>
    <n v="112686"/>
    <s v="RUBENS ALVES DA ROCHA"/>
    <s v="COLETOR"/>
    <x v="2"/>
    <d v="2019-06-01T00:00:00"/>
    <x v="0"/>
    <x v="0"/>
    <n v="0"/>
    <x v="0"/>
  </r>
  <r>
    <n v="114938"/>
    <s v="RUBENS DA ROCHA"/>
    <s v="AJUDANTE EQ SERVICOS DIVERSOS"/>
    <x v="3"/>
    <d v="2020-03-26T00:00:00"/>
    <x v="0"/>
    <x v="0"/>
    <n v="0"/>
    <x v="0"/>
  </r>
  <r>
    <n v="112428"/>
    <s v="RUBENS DE ALMEIDA"/>
    <s v="VARREDOR"/>
    <x v="3"/>
    <d v="2019-06-01T00:00:00"/>
    <x v="0"/>
    <x v="0"/>
    <n v="0"/>
    <x v="0"/>
  </r>
  <r>
    <n v="112432"/>
    <s v="RUBENS SANTOS DE OLIVEIRA JUNIOR"/>
    <s v="AJUDANTE EQ SERVICOS DIVERSOS"/>
    <x v="3"/>
    <d v="2019-06-01T00:00:00"/>
    <x v="0"/>
    <x v="0"/>
    <n v="0"/>
    <x v="0"/>
  </r>
  <r>
    <n v="112282"/>
    <s v="RUDIMAR DIONISIO MARINHO"/>
    <s v="VARREDOR"/>
    <x v="5"/>
    <d v="2019-06-01T00:00:00"/>
    <x v="0"/>
    <x v="0"/>
    <n v="0"/>
    <x v="0"/>
  </r>
  <r>
    <n v="116237"/>
    <s v="RUDINEI SILVA FERREIRA DA CRUZ"/>
    <s v="VARREDOR"/>
    <x v="3"/>
    <d v="2021-03-18T00:00:00"/>
    <x v="0"/>
    <x v="0"/>
    <n v="0"/>
    <x v="0"/>
  </r>
  <r>
    <n v="121946"/>
    <s v="RYAN FERREIRA CABRAL"/>
    <s v="MENOR/JOVEM APRENDIZ"/>
    <x v="6"/>
    <d v="2023-04-24T00:00:00"/>
    <x v="1"/>
    <x v="3"/>
    <n v="0"/>
    <x v="0"/>
  </r>
  <r>
    <n v="119241"/>
    <s v="SABRINA APARECIDA LIMA DA SILVA"/>
    <s v="AUXILIAR DE DEPARTAMENTO PESSOAL"/>
    <x v="6"/>
    <d v="2022-04-07T00:00:00"/>
    <x v="0"/>
    <x v="0"/>
    <n v="0"/>
    <x v="0"/>
  </r>
  <r>
    <n v="122030"/>
    <s v="SABRINA FIGUEIREDO DE SOUSA"/>
    <s v="AUXILIAR DE CONTROLE OPERACIONAL"/>
    <x v="2"/>
    <d v="2023-05-08T00:00:00"/>
    <x v="0"/>
    <x v="0"/>
    <n v="0"/>
    <x v="0"/>
  </r>
  <r>
    <n v="121815"/>
    <s v="SABRINA VITORIA SILVA DA COSTA"/>
    <s v="MENOR/JOVEM APRENDIZ"/>
    <x v="6"/>
    <d v="2023-04-03T00:00:00"/>
    <x v="1"/>
    <x v="3"/>
    <n v="0"/>
    <x v="0"/>
  </r>
  <r>
    <n v="112217"/>
    <s v="SAMARA CORSI VIEIRA"/>
    <s v="VARREDOR"/>
    <x v="0"/>
    <d v="2019-06-01T00:00:00"/>
    <x v="0"/>
    <x v="0"/>
    <n v="0"/>
    <x v="0"/>
  </r>
  <r>
    <n v="112434"/>
    <s v="SAMUEL ALVES DOS ANJOS"/>
    <s v="VARREDOR"/>
    <x v="3"/>
    <d v="2019-06-01T00:00:00"/>
    <x v="0"/>
    <x v="0"/>
    <n v="0"/>
    <x v="0"/>
  </r>
  <r>
    <n v="112698"/>
    <s v="SAMUEL BATISTA DE SOUZA"/>
    <s v="VARREDOR"/>
    <x v="1"/>
    <d v="2019-06-01T00:00:00"/>
    <x v="0"/>
    <x v="0"/>
    <n v="0"/>
    <x v="0"/>
  </r>
  <r>
    <n v="112444"/>
    <s v="SAMUEL DE ALCANTARA"/>
    <s v="AJUDANTE EQ SERVICOS DIVERSOS"/>
    <x v="3"/>
    <d v="2019-06-01T00:00:00"/>
    <x v="0"/>
    <x v="0"/>
    <n v="0"/>
    <x v="0"/>
  </r>
  <r>
    <n v="112220"/>
    <s v="SAMUEL DOS SANTOS SOUZA ARAUJO"/>
    <s v="VARREDOR"/>
    <x v="0"/>
    <d v="2019-06-01T00:00:00"/>
    <x v="0"/>
    <x v="0"/>
    <n v="0"/>
    <x v="0"/>
  </r>
  <r>
    <n v="112704"/>
    <s v="SAMUEL NOGUEIRA SANTANA"/>
    <s v="COLETOR"/>
    <x v="2"/>
    <d v="2019-06-01T00:00:00"/>
    <x v="0"/>
    <x v="0"/>
    <n v="0"/>
    <x v="0"/>
  </r>
  <r>
    <n v="113732"/>
    <s v="SANDRO HARUO AGUENA"/>
    <s v="ENCARREGADO DE TURMA"/>
    <x v="1"/>
    <d v="2019-06-01T00:00:00"/>
    <x v="0"/>
    <x v="0"/>
    <n v="0"/>
    <x v="0"/>
  </r>
  <r>
    <n v="112454"/>
    <s v="SANDRO PEREIRA DOS SANTOS"/>
    <s v="AJUDANTE EQ SERVICOS DIVERSOS"/>
    <x v="5"/>
    <d v="2019-06-01T00:00:00"/>
    <x v="23"/>
    <x v="5"/>
    <n v="-174.75"/>
    <x v="0"/>
  </r>
  <r>
    <n v="112457"/>
    <s v="SEBASTIAO DOS REIS OLIVEIRA"/>
    <s v="VARREDOR"/>
    <x v="3"/>
    <d v="2019-06-01T00:00:00"/>
    <x v="0"/>
    <x v="0"/>
    <n v="0"/>
    <x v="0"/>
  </r>
  <r>
    <n v="112706"/>
    <s v="SEBASTIAO GOMES DA SILVA"/>
    <s v="VARREDOR"/>
    <x v="1"/>
    <d v="2019-06-01T00:00:00"/>
    <x v="0"/>
    <x v="0"/>
    <n v="0"/>
    <x v="0"/>
  </r>
  <r>
    <n v="113003"/>
    <s v="SERGIO CUNHA MATIAS"/>
    <s v="MOTORISTA CAMINHAO"/>
    <x v="2"/>
    <d v="2019-06-01T00:00:00"/>
    <x v="0"/>
    <x v="0"/>
    <n v="0"/>
    <x v="0"/>
  </r>
  <r>
    <n v="112707"/>
    <s v="SERGIO DA SILVA"/>
    <s v="COLETOR"/>
    <x v="2"/>
    <d v="2019-06-01T00:00:00"/>
    <x v="0"/>
    <x v="0"/>
    <n v="0"/>
    <x v="0"/>
  </r>
  <r>
    <n v="112290"/>
    <s v="SERGIO JOSE DA SILVA"/>
    <s v="VARREDOR"/>
    <x v="5"/>
    <d v="2019-06-01T00:00:00"/>
    <x v="0"/>
    <x v="0"/>
    <n v="0"/>
    <x v="0"/>
  </r>
  <r>
    <n v="112461"/>
    <s v="SERGIO LOPES FERREIRA"/>
    <s v="BUEIRISTA"/>
    <x v="5"/>
    <d v="2019-06-01T00:00:00"/>
    <x v="0"/>
    <x v="0"/>
    <n v="0"/>
    <x v="0"/>
  </r>
  <r>
    <n v="112714"/>
    <s v="SEVERINO ALEXANDRE DA SILVA"/>
    <s v="VARREDOR"/>
    <x v="1"/>
    <d v="2019-06-01T00:00:00"/>
    <x v="0"/>
    <x v="0"/>
    <n v="0"/>
    <x v="0"/>
  </r>
  <r>
    <n v="112224"/>
    <s v="SEVERINO CANDIDO DA SILVA"/>
    <s v="VARREDOR"/>
    <x v="0"/>
    <d v="2019-06-01T00:00:00"/>
    <x v="0"/>
    <x v="0"/>
    <n v="0"/>
    <x v="0"/>
  </r>
  <r>
    <n v="112294"/>
    <s v="SEVERINO DO RAMO FERREIRA DE LIMA"/>
    <s v="VARREDOR"/>
    <x v="5"/>
    <d v="2019-06-01T00:00:00"/>
    <x v="0"/>
    <x v="0"/>
    <n v="0"/>
    <x v="0"/>
  </r>
  <r>
    <n v="112717"/>
    <s v="SEVERINO ISIDIO DA SILVA"/>
    <s v="COLETOR"/>
    <x v="2"/>
    <d v="2019-06-01T00:00:00"/>
    <x v="0"/>
    <x v="0"/>
    <n v="0"/>
    <x v="0"/>
  </r>
  <r>
    <n v="112472"/>
    <s v="SEVERINO MANOEL DE FREITAS"/>
    <s v="AJUDANTE EQ SERVICOS DIVERSOS"/>
    <x v="3"/>
    <d v="2019-06-01T00:00:00"/>
    <x v="0"/>
    <x v="0"/>
    <n v="0"/>
    <x v="0"/>
  </r>
  <r>
    <n v="112228"/>
    <s v="SEVERINO PEDRO DA SILVA"/>
    <s v="VARREDOR"/>
    <x v="0"/>
    <d v="2019-06-01T00:00:00"/>
    <x v="0"/>
    <x v="0"/>
    <n v="0"/>
    <x v="0"/>
  </r>
  <r>
    <n v="112229"/>
    <s v="SEVERINO PEREIRA DE MELO"/>
    <s v="VARREDOR"/>
    <x v="0"/>
    <d v="2019-06-01T00:00:00"/>
    <x v="0"/>
    <x v="0"/>
    <n v="0"/>
    <x v="0"/>
  </r>
  <r>
    <n v="112475"/>
    <s v="SIDNEI LOPES DA SILVA"/>
    <s v="VARREDOR"/>
    <x v="3"/>
    <d v="2019-06-01T00:00:00"/>
    <x v="0"/>
    <x v="0"/>
    <n v="0"/>
    <x v="0"/>
  </r>
  <r>
    <n v="118994"/>
    <s v="SIDNEY ALVES DE JESUS"/>
    <s v="MOTORISTA CAMINHAO"/>
    <x v="2"/>
    <d v="2022-02-21T00:00:00"/>
    <x v="0"/>
    <x v="0"/>
    <n v="0"/>
    <x v="0"/>
  </r>
  <r>
    <n v="116112"/>
    <s v="SIDNEY APARECIDO FERREIRA"/>
    <s v="MOTORISTA DE CAMINHAO"/>
    <x v="2"/>
    <d v="2021-02-09T00:00:00"/>
    <x v="0"/>
    <x v="0"/>
    <n v="0"/>
    <x v="0"/>
  </r>
  <r>
    <n v="112722"/>
    <s v="SIDNEY CUNHA DE MIRANDA"/>
    <s v="AJUDANTE EQ SERVICOS DIVERSOS"/>
    <x v="2"/>
    <d v="2019-06-01T00:00:00"/>
    <x v="0"/>
    <x v="0"/>
    <n v="0"/>
    <x v="0"/>
  </r>
  <r>
    <n v="112298"/>
    <s v="SILVANI COELHO DE OLIVEIRA"/>
    <s v="VARREDOR"/>
    <x v="5"/>
    <d v="2019-06-01T00:00:00"/>
    <x v="0"/>
    <x v="0"/>
    <n v="0"/>
    <x v="0"/>
  </r>
  <r>
    <n v="113008"/>
    <s v="SILVIO APARECIDO DOS SANTOS"/>
    <s v="MOTORISTA CAMINHAO"/>
    <x v="2"/>
    <d v="2019-06-01T00:00:00"/>
    <x v="0"/>
    <x v="0"/>
    <n v="0"/>
    <x v="0"/>
  </r>
  <r>
    <n v="112725"/>
    <s v="SILVIO BATISTA DE LIRA"/>
    <s v="BUEIRISTA"/>
    <x v="1"/>
    <d v="2019-06-01T00:00:00"/>
    <x v="0"/>
    <x v="0"/>
    <n v="0"/>
    <x v="2"/>
  </r>
  <r>
    <n v="112481"/>
    <s v="SILVIO LUIZ DOS SANTOS"/>
    <s v="BUEIRISTA"/>
    <x v="4"/>
    <d v="2019-06-01T00:00:00"/>
    <x v="0"/>
    <x v="0"/>
    <n v="0"/>
    <x v="0"/>
  </r>
  <r>
    <n v="113013"/>
    <s v="SILVIO SILVA DE SOUZA"/>
    <s v="MOTORISTA CAMINHAO"/>
    <x v="2"/>
    <d v="2019-06-04T00:00:00"/>
    <x v="0"/>
    <x v="0"/>
    <n v="0"/>
    <x v="0"/>
  </r>
  <r>
    <n v="115400"/>
    <s v="SILVIO SOARES VIEIRA"/>
    <s v="AJUDANTE EQ SERVICOS DIVERSOS"/>
    <x v="1"/>
    <d v="2020-08-05T00:00:00"/>
    <x v="0"/>
    <x v="0"/>
    <n v="0"/>
    <x v="0"/>
  </r>
  <r>
    <n v="116021"/>
    <s v="SIMONE MORAIS DOS SANTOS"/>
    <s v="AJUDANTE EQ SERVICOS DIVERSOS"/>
    <x v="5"/>
    <d v="2021-01-11T00:00:00"/>
    <x v="3"/>
    <x v="2"/>
    <n v="0"/>
    <x v="0"/>
  </r>
  <r>
    <n v="112727"/>
    <s v="SIVALDO DIAS MACHADO"/>
    <s v="VARREDOR"/>
    <x v="1"/>
    <d v="2019-06-01T00:00:00"/>
    <x v="0"/>
    <x v="0"/>
    <n v="0"/>
    <x v="0"/>
  </r>
  <r>
    <n v="122087"/>
    <s v="SOLANGE APARECIDA DE ALENCAR CARVALHO"/>
    <s v="AJUDANTE EQ SERVICOS DIVERSOS"/>
    <x v="4"/>
    <d v="2023-05-15T00:00:00"/>
    <x v="0"/>
    <x v="0"/>
    <n v="0"/>
    <x v="0"/>
  </r>
  <r>
    <n v="121458"/>
    <s v="SOLANGE SILVA LEITAO"/>
    <s v="AJUDANTE EQ SERVICOS DIVERSOS"/>
    <x v="0"/>
    <d v="2023-02-10T00:00:00"/>
    <x v="0"/>
    <x v="0"/>
    <n v="0"/>
    <x v="0"/>
  </r>
  <r>
    <n v="121318"/>
    <s v="STEVSON SANTOS GOMES"/>
    <s v="VARREDOR"/>
    <x v="5"/>
    <d v="2023-01-19T00:00:00"/>
    <x v="0"/>
    <x v="0"/>
    <n v="0"/>
    <x v="0"/>
  </r>
  <r>
    <n v="112678"/>
    <s v="SUELI APARECIDA DOS SANTOS"/>
    <s v="AJUDANTE EQ SERVICOS DIVERSOS"/>
    <x v="1"/>
    <d v="2019-06-01T00:00:00"/>
    <x v="0"/>
    <x v="0"/>
    <n v="0"/>
    <x v="0"/>
  </r>
  <r>
    <n v="119753"/>
    <s v="TATTIANE ANDRADE RUFINO DOS SANTOS"/>
    <s v="MENOR/JOVEM APRENDIZ"/>
    <x v="6"/>
    <d v="2022-06-22T00:00:00"/>
    <x v="1"/>
    <x v="3"/>
    <n v="0"/>
    <x v="0"/>
  </r>
  <r>
    <n v="122083"/>
    <s v="TAYNARA MIGUEL SILVA"/>
    <s v="AJUDANTE EQ SERVICOS DIVERSOS"/>
    <x v="0"/>
    <d v="2023-05-15T00:00:00"/>
    <x v="0"/>
    <x v="0"/>
    <n v="0"/>
    <x v="0"/>
  </r>
  <r>
    <n v="121850"/>
    <s v="THAISSA RAQUEL MARCELINO DE OLIVEIRA"/>
    <s v="AJUDANTE EQ SERVICOS DIVERSOS"/>
    <x v="3"/>
    <d v="2023-04-06T00:00:00"/>
    <x v="0"/>
    <x v="0"/>
    <n v="0"/>
    <x v="0"/>
  </r>
  <r>
    <n v="117406"/>
    <s v="THIAGO CELESTINO DE SOUZA"/>
    <s v="VARREDOR"/>
    <x v="5"/>
    <d v="2021-11-22T00:00:00"/>
    <x v="0"/>
    <x v="0"/>
    <n v="0"/>
    <x v="0"/>
  </r>
  <r>
    <n v="113016"/>
    <s v="THIAGO DA COSTA MENDES"/>
    <s v="MOTORISTA CAMINHAO"/>
    <x v="2"/>
    <d v="2019-06-01T00:00:00"/>
    <x v="0"/>
    <x v="0"/>
    <n v="0"/>
    <x v="0"/>
  </r>
  <r>
    <n v="113030"/>
    <s v="THIAGO EDUARDO DA SILVA"/>
    <s v="MOTORISTA CAMINHAO"/>
    <x v="2"/>
    <d v="2019-06-01T00:00:00"/>
    <x v="0"/>
    <x v="0"/>
    <n v="0"/>
    <x v="0"/>
  </r>
  <r>
    <n v="116988"/>
    <s v="THIAGO FERREIRA DA SILVA"/>
    <s v="AJUDANTE EQ SERVICOS DIVERSOS"/>
    <x v="3"/>
    <d v="2021-08-11T00:00:00"/>
    <x v="2"/>
    <x v="6"/>
    <n v="-38.279999999999973"/>
    <x v="0"/>
  </r>
  <r>
    <n v="121951"/>
    <s v="THIAGO ORILHANA DE JESUS"/>
    <s v="MENOR/JOVEM APRENDIZ"/>
    <x v="6"/>
    <d v="2023-04-24T00:00:00"/>
    <x v="1"/>
    <x v="3"/>
    <n v="0"/>
    <x v="0"/>
  </r>
  <r>
    <n v="116109"/>
    <s v="THIAGO PEREIRA DA COSTA"/>
    <s v="MOTORISTA CAMINHAO"/>
    <x v="2"/>
    <d v="2021-02-09T00:00:00"/>
    <x v="0"/>
    <x v="0"/>
    <n v="0"/>
    <x v="0"/>
  </r>
  <r>
    <n v="114262"/>
    <s v="THIAGO RANGEL DA SILVA"/>
    <s v="AJUDANTE EQ SERVICOS DIVERSOS"/>
    <x v="1"/>
    <d v="2019-12-05T00:00:00"/>
    <x v="0"/>
    <x v="2"/>
    <n v="-38.289999999999964"/>
    <x v="0"/>
  </r>
  <r>
    <n v="122078"/>
    <s v="THIAGO SENA DA SILVA"/>
    <s v="AJUDANTE EQ SERVICOS DIVERSOS"/>
    <x v="3"/>
    <d v="2023-05-15T00:00:00"/>
    <x v="24"/>
    <x v="1"/>
    <n v="-389.52000000000004"/>
    <x v="1"/>
  </r>
  <r>
    <n v="112730"/>
    <s v="THOMAS LUIS BAPTISTA PEREIRA"/>
    <s v="AJUDANTE EQ SERVICOS DIVERSOS"/>
    <x v="1"/>
    <d v="2019-06-01T00:00:00"/>
    <x v="0"/>
    <x v="0"/>
    <n v="0"/>
    <x v="0"/>
  </r>
  <r>
    <n v="116384"/>
    <s v="TIAGO ALVES CORREIA"/>
    <s v="AJUDANTE EQ SERVICOS DIVERSOS"/>
    <x v="0"/>
    <d v="2021-05-12T00:00:00"/>
    <x v="3"/>
    <x v="0"/>
    <n v="38.289999999999964"/>
    <x v="0"/>
  </r>
  <r>
    <n v="112483"/>
    <s v="TIAGO DO NASCIMENTO FARIAS"/>
    <s v="BUEIRISTA"/>
    <x v="3"/>
    <d v="2019-06-01T00:00:00"/>
    <x v="0"/>
    <x v="0"/>
    <n v="0"/>
    <x v="0"/>
  </r>
  <r>
    <n v="112485"/>
    <s v="TIAGO DOS SANTOS COSTA"/>
    <s v="VARREDOR"/>
    <x v="3"/>
    <d v="2019-06-01T00:00:00"/>
    <x v="0"/>
    <x v="2"/>
    <n v="-38.289999999999964"/>
    <x v="0"/>
  </r>
  <r>
    <n v="122406"/>
    <s v="TIAGO FERNANDES DO NASCIMENTO"/>
    <s v="AJUDANTE EQ SERVICOS DIVERSOS"/>
    <x v="2"/>
    <d v="2023-07-10T00:00:00"/>
    <x v="0"/>
    <x v="0"/>
    <n v="0"/>
    <x v="0"/>
  </r>
  <r>
    <n v="112733"/>
    <s v="TIAGO MACHADO CARDOZO"/>
    <s v="MOTORISTA CAMINHAO"/>
    <x v="2"/>
    <d v="2019-06-01T00:00:00"/>
    <x v="0"/>
    <x v="0"/>
    <n v="0"/>
    <x v="2"/>
  </r>
  <r>
    <n v="121847"/>
    <s v="TIAGO NOVAES"/>
    <s v="AJUDANTE EQ SERVICOS DIVERSOS"/>
    <x v="4"/>
    <d v="2023-04-06T00:00:00"/>
    <x v="0"/>
    <x v="0"/>
    <n v="0"/>
    <x v="0"/>
  </r>
  <r>
    <n v="121460"/>
    <s v="TIAGO SANTOS DA CONCEICAO"/>
    <s v="AJUDANTE EQ SERVICOS DIVERSOS"/>
    <x v="0"/>
    <d v="2023-02-10T00:00:00"/>
    <x v="0"/>
    <x v="2"/>
    <n v="-38.289999999999964"/>
    <x v="0"/>
  </r>
  <r>
    <n v="112489"/>
    <s v="TIBURTINO BESERRA DA SILVA NETO"/>
    <s v="VARREDOR"/>
    <x v="4"/>
    <d v="2019-06-01T00:00:00"/>
    <x v="0"/>
    <x v="0"/>
    <n v="0"/>
    <x v="0"/>
  </r>
  <r>
    <n v="112235"/>
    <s v="TOME DE JESUS SANTOS"/>
    <s v="AJUDANTE EQ SERVICOS DIVERSOS"/>
    <x v="0"/>
    <d v="2019-06-01T00:00:00"/>
    <x v="0"/>
    <x v="0"/>
    <n v="0"/>
    <x v="0"/>
  </r>
  <r>
    <n v="112322"/>
    <s v="UELISON SILVA DOS SANTOS"/>
    <s v="BUEIRISTA"/>
    <x v="1"/>
    <d v="2019-06-01T00:00:00"/>
    <x v="0"/>
    <x v="0"/>
    <n v="0"/>
    <x v="0"/>
  </r>
  <r>
    <n v="112237"/>
    <s v="UELTON SANTOS DE ARAUJO"/>
    <s v="AJUDANTE EQ SERVICOS DIVERSOS"/>
    <x v="0"/>
    <d v="2019-06-01T00:00:00"/>
    <x v="0"/>
    <x v="0"/>
    <n v="0"/>
    <x v="0"/>
  </r>
  <r>
    <n v="112759"/>
    <s v="UILTON SILVA DOS ANJOS SANTOS"/>
    <s v="MOTORISTA DE CAMINHAO"/>
    <x v="2"/>
    <d v="2019-06-01T00:00:00"/>
    <x v="0"/>
    <x v="0"/>
    <n v="0"/>
    <x v="0"/>
  </r>
  <r>
    <n v="112329"/>
    <s v="VAGNER SOARES"/>
    <s v="AJUDANTE EQ SERVICOS DIVERSOS"/>
    <x v="5"/>
    <d v="2019-06-01T00:00:00"/>
    <x v="0"/>
    <x v="0"/>
    <n v="0"/>
    <x v="0"/>
  </r>
  <r>
    <n v="114127"/>
    <s v="VAGNER VIANA"/>
    <s v="MOTORISTA CAMINHAO"/>
    <x v="2"/>
    <d v="2019-10-01T00:00:00"/>
    <x v="0"/>
    <x v="0"/>
    <n v="0"/>
    <x v="0"/>
  </r>
  <r>
    <n v="114939"/>
    <s v="VALCI OLIVEIRA DOS SANTOS"/>
    <s v="AJUDANTE EQ SERVICOS DIVERSOS"/>
    <x v="2"/>
    <d v="2020-03-26T00:00:00"/>
    <x v="0"/>
    <x v="0"/>
    <n v="0"/>
    <x v="0"/>
  </r>
  <r>
    <n v="113034"/>
    <s v="VALDECI APARECIDO REIS DE ANDRADE"/>
    <s v="MOTORISTA CAMINHAO"/>
    <x v="2"/>
    <d v="2019-06-01T00:00:00"/>
    <x v="0"/>
    <x v="0"/>
    <n v="0"/>
    <x v="0"/>
  </r>
  <r>
    <n v="112498"/>
    <s v="VALDECIR APARECIDO GONCALVES"/>
    <s v="VARREDOR"/>
    <x v="3"/>
    <d v="2019-06-01T00:00:00"/>
    <x v="0"/>
    <x v="0"/>
    <n v="0"/>
    <x v="0"/>
  </r>
  <r>
    <n v="112776"/>
    <s v="VALDECY ALVES"/>
    <s v="VARREDOR"/>
    <x v="1"/>
    <d v="2019-06-01T00:00:00"/>
    <x v="0"/>
    <x v="0"/>
    <n v="0"/>
    <x v="0"/>
  </r>
  <r>
    <n v="112504"/>
    <s v="VALDEIR OLIVEIRA SANTOS"/>
    <s v="VARREDOR"/>
    <x v="3"/>
    <d v="2019-06-01T00:00:00"/>
    <x v="0"/>
    <x v="0"/>
    <n v="0"/>
    <x v="0"/>
  </r>
  <r>
    <n v="112507"/>
    <s v="VALDEIR PEREIRA DOS SANTOS"/>
    <s v="VARREDOR"/>
    <x v="3"/>
    <d v="2019-06-01T00:00:00"/>
    <x v="0"/>
    <x v="0"/>
    <n v="0"/>
    <x v="0"/>
  </r>
  <r>
    <n v="114751"/>
    <s v="VALDEIR SILVA LEITAO"/>
    <s v="VARREDOR"/>
    <x v="1"/>
    <d v="2020-02-13T00:00:00"/>
    <x v="0"/>
    <x v="0"/>
    <n v="0"/>
    <x v="0"/>
  </r>
  <r>
    <n v="112331"/>
    <s v="VALDEMAR DOS SANTOS"/>
    <s v="VARREDOR"/>
    <x v="5"/>
    <d v="2019-06-01T00:00:00"/>
    <x v="0"/>
    <x v="0"/>
    <n v="0"/>
    <x v="0"/>
  </r>
  <r>
    <n v="112512"/>
    <s v="VALDEMIR CARNEIRO DE MOURA"/>
    <s v="AJUDANTE EQ SERVICOS DIVERSOS"/>
    <x v="3"/>
    <d v="2019-06-01T00:00:00"/>
    <x v="0"/>
    <x v="0"/>
    <n v="0"/>
    <x v="0"/>
  </r>
  <r>
    <n v="112779"/>
    <s v="VALDEMIR GOMES LEMES"/>
    <s v="AJUDANTE EQ SERVICOS DIVERSOS"/>
    <x v="2"/>
    <d v="2019-06-01T00:00:00"/>
    <x v="0"/>
    <x v="0"/>
    <n v="0"/>
    <x v="2"/>
  </r>
  <r>
    <n v="112782"/>
    <s v="VALDEMIR LEITE FERREIRA"/>
    <s v="AJUDANTE EQ SERVICOS DIVERSOS"/>
    <x v="1"/>
    <d v="2019-06-01T00:00:00"/>
    <x v="0"/>
    <x v="0"/>
    <n v="0"/>
    <x v="0"/>
  </r>
  <r>
    <n v="112786"/>
    <s v="VALDICK SOUZA DE JESUS"/>
    <s v="AJUDANTE EQ SERVICOS DIVERSOS"/>
    <x v="1"/>
    <d v="2019-06-01T00:00:00"/>
    <x v="0"/>
    <x v="0"/>
    <n v="0"/>
    <x v="0"/>
  </r>
  <r>
    <n v="116133"/>
    <s v="VALDINEI GONCALVES DOS SANTOS"/>
    <s v="AUXILIAR DE ALMOXARIFADO PLENO"/>
    <x v="2"/>
    <d v="2021-02-22T00:00:00"/>
    <x v="0"/>
    <x v="0"/>
    <n v="0"/>
    <x v="0"/>
  </r>
  <r>
    <n v="112332"/>
    <s v="VALDINEI MARTINS CRUZ"/>
    <s v="VARREDOR"/>
    <x v="5"/>
    <d v="2019-06-01T00:00:00"/>
    <x v="0"/>
    <x v="0"/>
    <n v="0"/>
    <x v="0"/>
  </r>
  <r>
    <n v="112566"/>
    <s v="VALDIR BARBOSA FERREIRA"/>
    <s v="VARREDOR"/>
    <x v="3"/>
    <d v="2019-06-01T00:00:00"/>
    <x v="0"/>
    <x v="0"/>
    <n v="0"/>
    <x v="2"/>
  </r>
  <r>
    <n v="112569"/>
    <s v="VALDIR BEZERRA DOS SANTOS"/>
    <s v="VARREDOR"/>
    <x v="3"/>
    <d v="2019-06-01T00:00:00"/>
    <x v="0"/>
    <x v="0"/>
    <n v="0"/>
    <x v="0"/>
  </r>
  <r>
    <n v="114124"/>
    <s v="VALDIR ROCHSTROCH BATISTA"/>
    <s v="MOTORISTA CAMINHAO"/>
    <x v="2"/>
    <d v="2019-10-01T00:00:00"/>
    <x v="0"/>
    <x v="0"/>
    <n v="0"/>
    <x v="0"/>
  </r>
  <r>
    <n v="112814"/>
    <s v="VALDIR RODRIGUES DOS ANJOS"/>
    <s v="VARREDOR"/>
    <x v="1"/>
    <d v="2019-06-01T00:00:00"/>
    <x v="3"/>
    <x v="0"/>
    <n v="38.289999999999964"/>
    <x v="0"/>
  </r>
  <r>
    <n v="112573"/>
    <s v="VALDIVIO RODRIGUES CRUZ"/>
    <s v="AJUDANTE EQ SERVICOS DIVERSOS"/>
    <x v="4"/>
    <d v="2019-06-01T00:00:00"/>
    <x v="0"/>
    <x v="0"/>
    <n v="0"/>
    <x v="0"/>
  </r>
  <r>
    <n v="112242"/>
    <s v="VALMIR DOS SANTOS MACHADO"/>
    <s v="AJUDANTE EQ SERVICOS DIVERSOS"/>
    <x v="5"/>
    <d v="2019-06-01T00:00:00"/>
    <x v="3"/>
    <x v="0"/>
    <n v="38.289999999999964"/>
    <x v="0"/>
  </r>
  <r>
    <n v="112795"/>
    <s v="VALMIR GOMES DE FREITAS"/>
    <s v="ENCARREGADO DE TRAFEGO II"/>
    <x v="2"/>
    <d v="2019-06-01T00:00:00"/>
    <x v="0"/>
    <x v="0"/>
    <n v="0"/>
    <x v="2"/>
  </r>
  <r>
    <n v="112333"/>
    <s v="VALTER JOSE DA SILVA"/>
    <s v="VARREDOR"/>
    <x v="3"/>
    <d v="2019-06-01T00:00:00"/>
    <x v="0"/>
    <x v="0"/>
    <n v="0"/>
    <x v="0"/>
  </r>
  <r>
    <n v="116111"/>
    <s v="VALTER PEREIRA"/>
    <s v="MOTORISTA DE CAMINHAO"/>
    <x v="2"/>
    <d v="2021-02-09T00:00:00"/>
    <x v="0"/>
    <x v="0"/>
    <n v="0"/>
    <x v="0"/>
  </r>
  <r>
    <n v="113725"/>
    <s v="VANDECIR GOMES DA SILVA"/>
    <s v="SUPERVISOR OPERACIONAL"/>
    <x v="2"/>
    <d v="2019-06-03T00:00:00"/>
    <x v="0"/>
    <x v="0"/>
    <n v="0"/>
    <x v="0"/>
  </r>
  <r>
    <n v="112579"/>
    <s v="VANDERLEI ALEXANDRE DA SILVA"/>
    <s v="VARREDOR"/>
    <x v="0"/>
    <d v="2019-06-01T00:00:00"/>
    <x v="0"/>
    <x v="0"/>
    <n v="0"/>
    <x v="0"/>
  </r>
  <r>
    <n v="112820"/>
    <s v="VANDERLEY SALDANHA PEIXOTO"/>
    <s v="COLETOR"/>
    <x v="2"/>
    <d v="2019-06-01T00:00:00"/>
    <x v="0"/>
    <x v="0"/>
    <n v="0"/>
    <x v="0"/>
  </r>
  <r>
    <n v="113041"/>
    <s v="VANDERLEY SOUSA GAMA FILHO"/>
    <s v="MOTORISTA CAMINHAO"/>
    <x v="2"/>
    <d v="2019-06-01T00:00:00"/>
    <x v="0"/>
    <x v="0"/>
    <n v="0"/>
    <x v="0"/>
  </r>
  <r>
    <n v="112801"/>
    <s v="VANDERSON BEZERRA ALVES DOS SANTOS"/>
    <s v="OPERADOR DE MAQUINA SENIOR"/>
    <x v="2"/>
    <d v="2019-06-01T00:00:00"/>
    <x v="0"/>
    <x v="0"/>
    <n v="0"/>
    <x v="0"/>
  </r>
  <r>
    <n v="114941"/>
    <s v="VANDERSON WILIAN CASTRO BATISTA"/>
    <s v="AJUDANTE EQ SERVICOS DIVERSOS"/>
    <x v="2"/>
    <d v="2020-03-26T00:00:00"/>
    <x v="0"/>
    <x v="0"/>
    <n v="0"/>
    <x v="0"/>
  </r>
  <r>
    <n v="119342"/>
    <s v="VANESSA OLIVEIRA MACEDO VIDAL"/>
    <s v="TECNICA DE ENFERMAGEM DO TRABALHO"/>
    <x v="2"/>
    <d v="2022-04-27T00:00:00"/>
    <x v="0"/>
    <x v="0"/>
    <n v="0"/>
    <x v="0"/>
  </r>
  <r>
    <n v="114004"/>
    <s v="VANILTON DOS SANTOS"/>
    <s v="SOLDADOR"/>
    <x v="2"/>
    <d v="2019-08-19T00:00:00"/>
    <x v="0"/>
    <x v="0"/>
    <n v="0"/>
    <x v="0"/>
  </r>
  <r>
    <n v="112873"/>
    <s v="VICENTE SILVA DE ALMEIDA"/>
    <s v="VARREDOR"/>
    <x v="1"/>
    <d v="2019-06-01T00:00:00"/>
    <x v="0"/>
    <x v="0"/>
    <n v="0"/>
    <x v="0"/>
  </r>
  <r>
    <n v="116322"/>
    <s v="VICTOR GUILHERME DE PAULA"/>
    <s v="AJUDANTE EQ SERVICOS DIVERSOS"/>
    <x v="3"/>
    <d v="2021-04-22T00:00:00"/>
    <x v="0"/>
    <x v="0"/>
    <n v="0"/>
    <x v="0"/>
  </r>
  <r>
    <n v="119118"/>
    <s v="VICTOR HUGO ALVES DE OLIVEIRA"/>
    <s v="AJUDANTE EQ SERVICOS DIVERSOS"/>
    <x v="4"/>
    <d v="2022-03-10T00:00:00"/>
    <x v="0"/>
    <x v="0"/>
    <n v="0"/>
    <x v="2"/>
  </r>
  <r>
    <n v="116653"/>
    <s v="VICTOR ROLOFF MARQUES"/>
    <s v="GERENTE DE FROTA"/>
    <x v="7"/>
    <d v="2021-06-23T00:00:00"/>
    <x v="0"/>
    <x v="0"/>
    <n v="0"/>
    <x v="0"/>
  </r>
  <r>
    <n v="121952"/>
    <s v="VINICIUS DE JESUS MARQUES"/>
    <s v="MENOR/JOVEM APRENDIZ"/>
    <x v="6"/>
    <d v="2023-04-24T00:00:00"/>
    <x v="1"/>
    <x v="3"/>
    <n v="0"/>
    <x v="0"/>
  </r>
  <r>
    <n v="114039"/>
    <s v="VITOR BARRETO DOS SANTOS"/>
    <s v="AJUDANTE EQ SERVICOS DIVERSOS"/>
    <x v="3"/>
    <d v="2019-09-04T00:00:00"/>
    <x v="0"/>
    <x v="0"/>
    <n v="0"/>
    <x v="0"/>
  </r>
  <r>
    <n v="114404"/>
    <s v="VITOR DA CRUZ SANTOS"/>
    <s v="AJUDANTE EQ SERVICOS DIVERSOS"/>
    <x v="1"/>
    <d v="2019-12-12T00:00:00"/>
    <x v="0"/>
    <x v="0"/>
    <n v="0"/>
    <x v="0"/>
  </r>
  <r>
    <n v="112876"/>
    <s v="VITOR JESUS DOS SANTOS"/>
    <s v="AUXILIAR ADMINISTRATIVO"/>
    <x v="6"/>
    <d v="2019-06-01T00:00:00"/>
    <x v="0"/>
    <x v="0"/>
    <n v="0"/>
    <x v="0"/>
  </r>
  <r>
    <n v="121853"/>
    <s v="VITOR SILVA DE SOUZA"/>
    <s v="AJUDANTE EQ SERVICOS DIVERSOS"/>
    <x v="0"/>
    <d v="2023-04-06T00:00:00"/>
    <x v="2"/>
    <x v="21"/>
    <n v="-191.40999999999997"/>
    <x v="0"/>
  </r>
  <r>
    <n v="122240"/>
    <s v="VIVIAN BRITO MOTA COTIAS"/>
    <s v="MOTORISTA CAMINHAO"/>
    <x v="2"/>
    <d v="2023-06-12T00:00:00"/>
    <x v="0"/>
    <x v="0"/>
    <n v="0"/>
    <x v="0"/>
  </r>
  <r>
    <n v="122346"/>
    <s v="WAGNER AUGUSTO DAGLIO PEIKOW"/>
    <s v="VARREDOR"/>
    <x v="3"/>
    <d v="2023-06-21T00:00:00"/>
    <x v="0"/>
    <x v="0"/>
    <n v="0"/>
    <x v="0"/>
  </r>
  <r>
    <n v="114509"/>
    <s v="WAGNER BARBOSA DA SILVA"/>
    <s v="AJUDANTE EQ SERVICOS DIVERSOS"/>
    <x v="1"/>
    <d v="2019-12-12T00:00:00"/>
    <x v="0"/>
    <x v="0"/>
    <n v="0"/>
    <x v="0"/>
  </r>
  <r>
    <n v="113049"/>
    <s v="WAGNER DA SILVA DE JESUS VALE"/>
    <s v="MOTORISTA CAMINHAO"/>
    <x v="2"/>
    <d v="2019-06-01T00:00:00"/>
    <x v="0"/>
    <x v="0"/>
    <n v="0"/>
    <x v="0"/>
  </r>
  <r>
    <n v="113059"/>
    <s v="WAGNER DIOGO SANTOS"/>
    <s v="MOTORISTA CAMINHAO"/>
    <x v="2"/>
    <d v="2019-06-01T00:00:00"/>
    <x v="0"/>
    <x v="0"/>
    <n v="0"/>
    <x v="0"/>
  </r>
  <r>
    <n v="118635"/>
    <s v="WAGNER FERREIRA DE OLIVEIRA"/>
    <s v="AJUDANTE EQ SERVICOS DIVERSOS"/>
    <x v="1"/>
    <d v="2022-01-21T00:00:00"/>
    <x v="0"/>
    <x v="0"/>
    <n v="0"/>
    <x v="0"/>
  </r>
  <r>
    <n v="113063"/>
    <s v="WAGNER RIBEIRO DOS SANTOS"/>
    <s v="MOTORISTA CAMINHAO"/>
    <x v="2"/>
    <d v="2019-06-01T00:00:00"/>
    <x v="0"/>
    <x v="0"/>
    <n v="0"/>
    <x v="0"/>
  </r>
  <r>
    <n v="114981"/>
    <s v="WAGNER SANTANA XAVIER"/>
    <s v="MOTORISTA DE CAMINHAO"/>
    <x v="2"/>
    <d v="2020-03-27T00:00:00"/>
    <x v="0"/>
    <x v="0"/>
    <n v="0"/>
    <x v="0"/>
  </r>
  <r>
    <n v="114943"/>
    <s v="WAGNER VARGENS DE ALMEIDA"/>
    <s v="AJUDANTE EQ SERVICOS DIVERSOS"/>
    <x v="2"/>
    <d v="2020-03-26T00:00:00"/>
    <x v="0"/>
    <x v="0"/>
    <n v="0"/>
    <x v="0"/>
  </r>
  <r>
    <n v="122234"/>
    <s v="WALDIR ANTONIO MARTINS"/>
    <s v="MOTORISTA CAMINHAO"/>
    <x v="2"/>
    <d v="2023-06-12T00:00:00"/>
    <x v="0"/>
    <x v="0"/>
    <n v="0"/>
    <x v="0"/>
  </r>
  <r>
    <n v="112597"/>
    <s v="WALDIR PEREIRA SANTOS"/>
    <s v="VARREDOR"/>
    <x v="3"/>
    <d v="2019-06-01T00:00:00"/>
    <x v="0"/>
    <x v="0"/>
    <n v="0"/>
    <x v="0"/>
  </r>
  <r>
    <n v="112882"/>
    <s v="WALICE ARAUJO SOUZA"/>
    <s v="AJUDANTE EQ SERVICOS DIVERSOS"/>
    <x v="1"/>
    <d v="2019-06-01T00:00:00"/>
    <x v="0"/>
    <x v="0"/>
    <n v="0"/>
    <x v="0"/>
  </r>
  <r>
    <n v="121684"/>
    <s v="WALKER MINANCIAM DA SILVA"/>
    <s v="AUXILIAR DE CONTROLE OPERACIONAL"/>
    <x v="2"/>
    <d v="2023-03-09T00:00:00"/>
    <x v="0"/>
    <x v="0"/>
    <n v="0"/>
    <x v="0"/>
  </r>
  <r>
    <n v="112345"/>
    <s v="WALLACE TAVARES DA SILVA"/>
    <s v="BUEIRISTA"/>
    <x v="5"/>
    <d v="2019-06-01T00:00:00"/>
    <x v="0"/>
    <x v="0"/>
    <n v="0"/>
    <x v="0"/>
  </r>
  <r>
    <n v="112599"/>
    <s v="WALMIR ALVES DE SOUZA"/>
    <s v="AJUDANTE EQ SERVICOS DIVERSOS"/>
    <x v="0"/>
    <d v="2019-06-01T00:00:00"/>
    <x v="0"/>
    <x v="0"/>
    <n v="0"/>
    <x v="0"/>
  </r>
  <r>
    <n v="121324"/>
    <s v="WALTER CARINHANHA SOARES"/>
    <s v="VARREDOR"/>
    <x v="3"/>
    <d v="2023-01-19T00:00:00"/>
    <x v="0"/>
    <x v="0"/>
    <n v="0"/>
    <x v="0"/>
  </r>
  <r>
    <n v="122333"/>
    <s v="WASHINGTON SILVA LOPES"/>
    <s v="VARREDOR"/>
    <x v="3"/>
    <d v="2023-06-21T00:00:00"/>
    <x v="0"/>
    <x v="0"/>
    <n v="0"/>
    <x v="0"/>
  </r>
  <r>
    <n v="119936"/>
    <s v="WELLINGTON FERREIRA DA COSTA"/>
    <s v="AJUDANTE EQ SERVICOS DIVERSOS"/>
    <x v="1"/>
    <d v="2022-07-18T00:00:00"/>
    <x v="0"/>
    <x v="0"/>
    <n v="0"/>
    <x v="0"/>
  </r>
  <r>
    <n v="112888"/>
    <s v="WELLINGTON LUIZ DE ALMEIDA"/>
    <s v="COLETOR"/>
    <x v="2"/>
    <d v="2019-06-01T00:00:00"/>
    <x v="0"/>
    <x v="0"/>
    <n v="0"/>
    <x v="0"/>
  </r>
  <r>
    <n v="118053"/>
    <s v="WELLINGTON PONTES FONSECA"/>
    <s v="AJUDANTE EQ SERVICOS DIVERSOS"/>
    <x v="5"/>
    <d v="2022-01-06T00:00:00"/>
    <x v="0"/>
    <x v="0"/>
    <n v="0"/>
    <x v="0"/>
  </r>
  <r>
    <n v="112607"/>
    <s v="WELLINGTON TIAGO DE JESUS SANTOS"/>
    <s v="AJUDANTE EQ SERVICOS DIVERSOS"/>
    <x v="3"/>
    <d v="2019-06-01T00:00:00"/>
    <x v="0"/>
    <x v="0"/>
    <n v="0"/>
    <x v="0"/>
  </r>
  <r>
    <n v="112612"/>
    <s v="WELTON DOUGLAS RIBEIRO"/>
    <s v="AJUDANTE EQ SERVICOS DIVERSOS"/>
    <x v="5"/>
    <d v="2019-06-01T00:00:00"/>
    <x v="0"/>
    <x v="0"/>
    <n v="0"/>
    <x v="0"/>
  </r>
  <r>
    <n v="121480"/>
    <s v="WENDELL OLIVEIRA DA SILVA"/>
    <s v="AJUDANTE EQ SERVICOS DIVERSOS"/>
    <x v="0"/>
    <d v="2023-02-10T00:00:00"/>
    <x v="3"/>
    <x v="0"/>
    <n v="38.289999999999964"/>
    <x v="0"/>
  </r>
  <r>
    <n v="112614"/>
    <s v="WENSYLL SANTOS DE ARAUJO"/>
    <s v="AJUDANTE EQ SERVICOS DIVERSOS"/>
    <x v="3"/>
    <d v="2019-06-01T00:00:00"/>
    <x v="0"/>
    <x v="2"/>
    <n v="-38.289999999999964"/>
    <x v="0"/>
  </r>
  <r>
    <n v="112354"/>
    <s v="WESLEY BALBINO DA SILVA"/>
    <s v="AJUDANTE EQ SERVICOS DIVERSOS"/>
    <x v="5"/>
    <d v="2019-06-01T00:00:00"/>
    <x v="0"/>
    <x v="0"/>
    <n v="0"/>
    <x v="0"/>
  </r>
  <r>
    <n v="119678"/>
    <s v="WESLEY LUCAS AGUIAR DOS ANJOS"/>
    <s v="AJUDANTE EQ SERVICOS DIVERSOS"/>
    <x v="0"/>
    <d v="2022-06-13T00:00:00"/>
    <x v="0"/>
    <x v="0"/>
    <n v="0"/>
    <x v="0"/>
  </r>
  <r>
    <n v="122029"/>
    <s v="WESLEY PEREIRA DE SOUZA"/>
    <s v="AGENTE AMBIENTAL"/>
    <x v="2"/>
    <d v="2023-05-08T00:00:00"/>
    <x v="0"/>
    <x v="0"/>
    <n v="0"/>
    <x v="0"/>
  </r>
  <r>
    <n v="114360"/>
    <s v="WESLEY SILVA COSTA"/>
    <s v="AJUDANTE EQ SERVICOS DIVERSOS"/>
    <x v="1"/>
    <d v="2019-12-12T00:00:00"/>
    <x v="0"/>
    <x v="0"/>
    <n v="0"/>
    <x v="0"/>
  </r>
  <r>
    <n v="122554"/>
    <s v="WESLEY SOARES DA SILVA OLIVEIRA"/>
    <s v="AJUDANTE EQ SERVICOS DIVERSOS"/>
    <x v="1"/>
    <d v="2023-07-24T00:00:00"/>
    <x v="7"/>
    <x v="0"/>
    <n v="-273.79999999999995"/>
    <x v="0"/>
  </r>
  <r>
    <n v="122553"/>
    <s v="WESLEY VIRGINIO DA SILVA"/>
    <s v="AJUDANTE EQ SERVICOS DIVERSOS"/>
    <x v="1"/>
    <d v="2023-07-24T00:00:00"/>
    <x v="7"/>
    <x v="0"/>
    <n v="-273.79999999999995"/>
    <x v="0"/>
  </r>
  <r>
    <n v="113074"/>
    <s v="WEVERSON DA SILVA FELIPE"/>
    <s v="MOTORISTA CAMINHAO"/>
    <x v="2"/>
    <d v="2019-06-01T00:00:00"/>
    <x v="0"/>
    <x v="0"/>
    <n v="0"/>
    <x v="0"/>
  </r>
  <r>
    <n v="112363"/>
    <s v="WILIAM MOREIRA NASCIMENTO"/>
    <s v="AJUDANTE EQ SERVICOS DIVERSOS"/>
    <x v="5"/>
    <d v="2019-06-01T00:00:00"/>
    <x v="0"/>
    <x v="0"/>
    <n v="0"/>
    <x v="0"/>
  </r>
  <r>
    <n v="114092"/>
    <s v="WILLI CORREIA DOS SANTOS"/>
    <s v="AJUDANTE EQ SERVICOS DIVERSOS"/>
    <x v="0"/>
    <d v="2019-09-20T00:00:00"/>
    <x v="0"/>
    <x v="0"/>
    <n v="0"/>
    <x v="0"/>
  </r>
  <r>
    <n v="112250"/>
    <s v="WILLIAM ALVES DO NASCIMENTO"/>
    <s v="AJUDANTE EQ SERVICOS DIVERSOS"/>
    <x v="0"/>
    <d v="2019-06-01T00:00:00"/>
    <x v="3"/>
    <x v="0"/>
    <n v="38.289999999999964"/>
    <x v="0"/>
  </r>
  <r>
    <n v="112893"/>
    <s v="WILLIAM ARAUJO DA SILVA"/>
    <s v="FISCAL DE TURMA PLENO"/>
    <x v="1"/>
    <d v="2019-06-01T00:00:00"/>
    <x v="0"/>
    <x v="0"/>
    <n v="0"/>
    <x v="0"/>
  </r>
  <r>
    <n v="112896"/>
    <s v="WILLIAM DIAS DA SILVA"/>
    <s v="COLETOR"/>
    <x v="2"/>
    <d v="2019-06-01T00:00:00"/>
    <x v="0"/>
    <x v="0"/>
    <n v="0"/>
    <x v="0"/>
  </r>
  <r>
    <n v="112368"/>
    <s v="WILLIAM LIMA DE JESUS"/>
    <s v="AJUDANTE EQ SERVICOS DIVERSOS"/>
    <x v="5"/>
    <d v="2019-06-01T00:00:00"/>
    <x v="0"/>
    <x v="0"/>
    <n v="0"/>
    <x v="0"/>
  </r>
  <r>
    <n v="112626"/>
    <s v="WILLIAM LIMA SILVA"/>
    <s v="AJUDANTE EQ SERVICOS DIVERSOS"/>
    <x v="3"/>
    <d v="2019-06-01T00:00:00"/>
    <x v="0"/>
    <x v="0"/>
    <n v="0"/>
    <x v="0"/>
  </r>
  <r>
    <n v="113846"/>
    <s v="WILLIAM LUIZ DA SILVA"/>
    <s v="COMPRADOR"/>
    <x v="6"/>
    <d v="2019-07-02T00:00:00"/>
    <x v="0"/>
    <x v="0"/>
    <n v="0"/>
    <x v="0"/>
  </r>
  <r>
    <n v="112898"/>
    <s v="WILLIAM PROFIRO DE SOUZA"/>
    <s v="COLETOR"/>
    <x v="2"/>
    <d v="2019-06-01T00:00:00"/>
    <x v="0"/>
    <x v="0"/>
    <n v="0"/>
    <x v="0"/>
  </r>
  <r>
    <n v="112618"/>
    <s v="WILLIAN ANDRADE LEAL"/>
    <s v="FISCAL DE TURMA PLENO"/>
    <x v="3"/>
    <d v="2019-06-01T00:00:00"/>
    <x v="0"/>
    <x v="0"/>
    <n v="0"/>
    <x v="2"/>
  </r>
  <r>
    <n v="112628"/>
    <s v="WILLIAN CARDOSO DA SILVA"/>
    <s v="AJUDANTE EQ SERVICOS DIVERSOS"/>
    <x v="3"/>
    <d v="2019-06-01T00:00:00"/>
    <x v="0"/>
    <x v="0"/>
    <n v="0"/>
    <x v="0"/>
  </r>
  <r>
    <n v="113932"/>
    <s v="WILLIAN DOS SANTOS LOPES"/>
    <s v="TECNICO EM SEGURANCA DO TRABALHO JUNIOR"/>
    <x v="2"/>
    <d v="2019-08-06T00:00:00"/>
    <x v="0"/>
    <x v="0"/>
    <n v="0"/>
    <x v="0"/>
  </r>
  <r>
    <n v="119110"/>
    <s v="WILLIANS MAXIMINO DOS SANTOS"/>
    <s v="AJUDANTE EQ SERVICOS DIVERSOS"/>
    <x v="3"/>
    <d v="2022-03-10T00:00:00"/>
    <x v="0"/>
    <x v="0"/>
    <n v="0"/>
    <x v="2"/>
  </r>
  <r>
    <n v="114265"/>
    <s v="WILLINS RODRIGO TEODORO"/>
    <s v="AJUDANTE EQ SERVICOS DIVERSOS"/>
    <x v="1"/>
    <d v="2019-12-05T00:00:00"/>
    <x v="0"/>
    <x v="0"/>
    <n v="0"/>
    <x v="0"/>
  </r>
  <r>
    <n v="112905"/>
    <s v="WILLY CASTRO VIEIRA"/>
    <s v="AJUDANTE EQ SERVICOS DIVERSOS"/>
    <x v="1"/>
    <d v="2019-06-01T00:00:00"/>
    <x v="0"/>
    <x v="0"/>
    <n v="0"/>
    <x v="0"/>
  </r>
  <r>
    <n v="112907"/>
    <s v="WILSON AUGUSTO"/>
    <s v="COLETOR"/>
    <x v="2"/>
    <d v="2019-06-01T00:00:00"/>
    <x v="0"/>
    <x v="0"/>
    <n v="0"/>
    <x v="2"/>
  </r>
  <r>
    <n v="114748"/>
    <s v="WILSON CAMARGO DE AMANCIO"/>
    <s v="AJUDANTE EQ SERVICOS DIVERSOS"/>
    <x v="1"/>
    <d v="2020-02-13T00:00:00"/>
    <x v="0"/>
    <x v="0"/>
    <n v="0"/>
    <x v="0"/>
  </r>
  <r>
    <n v="114949"/>
    <s v="WILSON CARDOSO BARBOSA"/>
    <s v="MOTORISTA CAMINHAO"/>
    <x v="2"/>
    <d v="2020-03-26T00:00:00"/>
    <x v="0"/>
    <x v="0"/>
    <n v="0"/>
    <x v="0"/>
  </r>
  <r>
    <n v="113883"/>
    <s v="WILSON ROBERTO DE OLIVEIRA"/>
    <s v="GERENTE ADMINISTRATIVO"/>
    <x v="7"/>
    <d v="2019-04-23T00:00:00"/>
    <x v="22"/>
    <x v="20"/>
    <n v="-180"/>
    <x v="0"/>
  </r>
  <r>
    <n v="112376"/>
    <s v="WILTON SOUSA SILVA"/>
    <s v="LAVADOR"/>
    <x v="2"/>
    <d v="2019-06-01T00:00:00"/>
    <x v="0"/>
    <x v="0"/>
    <n v="0"/>
    <x v="0"/>
  </r>
  <r>
    <n v="112911"/>
    <s v="ZELINO DOS SANTOS MACHADO"/>
    <s v="COLETOR"/>
    <x v="2"/>
    <d v="2019-06-01T00:00:00"/>
    <x v="0"/>
    <x v="0"/>
    <n v="0"/>
    <x v="2"/>
  </r>
  <r>
    <n v="112683"/>
    <s v="ZELITA GALDINO DA SILVA"/>
    <s v="AJUDANTE EQ SERVICOS DIVERSOS"/>
    <x v="1"/>
    <d v="2019-06-01T00:00:00"/>
    <x v="0"/>
    <x v="0"/>
    <n v="0"/>
    <x v="0"/>
  </r>
  <r>
    <n v="112805"/>
    <s v="ZENIL SANTANA DE AGUIAR"/>
    <s v="TECNICO EM SEGURANCA DO TRABALHO SENIOR"/>
    <x v="2"/>
    <d v="2019-06-01T00:00:00"/>
    <x v="0"/>
    <x v="0"/>
    <n v="0"/>
    <x v="0"/>
  </r>
  <r>
    <n v="112685"/>
    <s v="ZILDA CANDIDO DA SILVA"/>
    <s v="AJUDANTE EQ SERVICOS DIVERSOS"/>
    <x v="5"/>
    <d v="2019-06-01T00:00:00"/>
    <x v="25"/>
    <x v="0"/>
    <n v="-114.84999999999991"/>
    <x v="0"/>
  </r>
  <r>
    <n v="112918"/>
    <s v="ZOZELITO MARQUES BEZERRA"/>
    <s v="COLETOR"/>
    <x v="2"/>
    <d v="2019-06-01T00:00:00"/>
    <x v="0"/>
    <x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95248-6086-459D-8A31-C6960F1695AE}" name="Tabela dinâmica1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>
  <location ref="G1:H8" firstHeaderRow="1" firstDataRow="1" firstDataCol="1"/>
  <pivotFields count="5">
    <pivotField showAll="0"/>
    <pivotField showAll="0"/>
    <pivotField showAll="0"/>
    <pivotField dataField="1" showAll="0"/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FALTAS" fld="3" baseField="0" baseItem="0"/>
  </dataFields>
  <formats count="53">
    <format dxfId="56">
      <pivotArea type="all" dataOnly="0" outline="0" fieldPosition="0"/>
    </format>
    <format dxfId="55">
      <pivotArea outline="0" collapsedLevelsAreSubtotals="1" fieldPosition="0"/>
    </format>
    <format dxfId="54">
      <pivotArea field="4" type="button" dataOnly="0" labelOnly="1" outline="0" axis="axisRow" fieldPosition="0"/>
    </format>
    <format dxfId="53">
      <pivotArea dataOnly="0" labelOnly="1" fieldPosition="0">
        <references count="1">
          <reference field="4" count="0"/>
        </references>
      </pivotArea>
    </format>
    <format dxfId="52">
      <pivotArea dataOnly="0" labelOnly="1" grandRow="1" outline="0" fieldPosition="0"/>
    </format>
    <format dxfId="51">
      <pivotArea dataOnly="0" labelOnly="1" outline="0" axis="axisValues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field="4" type="button" dataOnly="0" labelOnly="1" outline="0" axis="axisRow" fieldPosition="0"/>
    </format>
    <format dxfId="47">
      <pivotArea dataOnly="0" labelOnly="1" fieldPosition="0">
        <references count="1">
          <reference field="4" count="0"/>
        </references>
      </pivotArea>
    </format>
    <format dxfId="46">
      <pivotArea dataOnly="0" labelOnly="1" grandRow="1" outline="0" fieldPosition="0"/>
    </format>
    <format dxfId="45">
      <pivotArea dataOnly="0" labelOnly="1" outline="0" axis="axisValues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4" type="button" dataOnly="0" labelOnly="1" outline="0" axis="axisRow" fieldPosition="0"/>
    </format>
    <format dxfId="41">
      <pivotArea dataOnly="0" labelOnly="1" fieldPosition="0">
        <references count="1">
          <reference field="4" count="0"/>
        </references>
      </pivotArea>
    </format>
    <format dxfId="40">
      <pivotArea dataOnly="0" labelOnly="1" grandRow="1" outline="0" fieldPosition="0"/>
    </format>
    <format dxfId="39">
      <pivotArea dataOnly="0" labelOnly="1" outline="0" axis="axisValues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field="4" type="button" dataOnly="0" labelOnly="1" outline="0" axis="axisRow" fieldPosition="0"/>
    </format>
    <format dxfId="35">
      <pivotArea dataOnly="0" labelOnly="1" fieldPosition="0">
        <references count="1">
          <reference field="4" count="0"/>
        </references>
      </pivotArea>
    </format>
    <format dxfId="34">
      <pivotArea dataOnly="0" labelOnly="1" grandRow="1" outline="0" fieldPosition="0"/>
    </format>
    <format dxfId="33">
      <pivotArea dataOnly="0" labelOnly="1" outline="0" axis="axisValues" fieldPosition="0"/>
    </format>
    <format dxfId="32">
      <pivotArea grandRow="1" outline="0" collapsedLevelsAreSubtotals="1" fieldPosition="0"/>
    </format>
    <format dxfId="31">
      <pivotArea dataOnly="0" labelOnly="1" grandRow="1" outline="0" fieldPosition="0"/>
    </format>
    <format dxfId="30">
      <pivotArea field="4" type="button" dataOnly="0" labelOnly="1" outline="0" axis="axisRow" fieldPosition="0"/>
    </format>
    <format dxfId="29">
      <pivotArea dataOnly="0" labelOnly="1" outline="0" axis="axisValues" fieldPosition="0"/>
    </format>
    <format dxfId="28">
      <pivotArea type="all" dataOnly="0" outline="0" fieldPosition="0"/>
    </format>
    <format dxfId="27">
      <pivotArea field="4" type="button" dataOnly="0" labelOnly="1" outline="0" axis="axisRow" fieldPosition="0"/>
    </format>
    <format dxfId="26">
      <pivotArea dataOnly="0" labelOnly="1" fieldPosition="0">
        <references count="1">
          <reference field="4" count="0"/>
        </references>
      </pivotArea>
    </format>
    <format dxfId="25">
      <pivotArea dataOnly="0" labelOnly="1" grandRow="1" outline="0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4" type="button" dataOnly="0" labelOnly="1" outline="0" axis="axisRow" fieldPosition="0"/>
    </format>
    <format dxfId="21">
      <pivotArea dataOnly="0" labelOnly="1" fieldPosition="0">
        <references count="1">
          <reference field="4" count="0"/>
        </references>
      </pivotArea>
    </format>
    <format dxfId="20">
      <pivotArea dataOnly="0" labelOnly="1" grandRow="1" outline="0" fieldPosition="0"/>
    </format>
    <format dxfId="19">
      <pivotArea dataOnly="0" labelOnly="1" outline="0" axis="axisValues" fieldPosition="0"/>
    </format>
    <format dxfId="18">
      <pivotArea dataOnly="0" fieldPosition="0">
        <references count="1">
          <reference field="4" count="0"/>
        </references>
      </pivotArea>
    </format>
    <format dxfId="17">
      <pivotArea outline="0" collapsedLevelsAreSubtotals="1" fieldPosition="0"/>
    </format>
    <format dxfId="16">
      <pivotArea dataOnly="0" labelOnly="1" outline="0" axis="axisValues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4" type="button" dataOnly="0" labelOnly="1" outline="0" axis="axisRow" fieldPosition="0"/>
    </format>
    <format dxfId="12">
      <pivotArea dataOnly="0" labelOnly="1" fieldPosition="0">
        <references count="1">
          <reference field="4" count="0"/>
        </references>
      </pivotArea>
    </format>
    <format dxfId="11">
      <pivotArea dataOnly="0" labelOnly="1" grandRow="1" outline="0" fieldPosition="0"/>
    </format>
    <format dxfId="10">
      <pivotArea dataOnly="0" labelOnly="1" outline="0" axis="axisValues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4" type="button" dataOnly="0" labelOnly="1" outline="0" axis="axisRow" fieldPosition="0"/>
    </format>
    <format dxfId="6">
      <pivotArea dataOnly="0" labelOnly="1" fieldPosition="0">
        <references count="1">
          <reference field="4" count="0"/>
        </references>
      </pivotArea>
    </format>
    <format dxfId="5">
      <pivotArea dataOnly="0" labelOnly="1" grandRow="1" outline="0" fieldPosition="0"/>
    </format>
    <format dxfId="4">
      <pivotArea dataOnly="0" labelOnly="1" outline="0" axis="axisValues" fieldPosition="0"/>
    </format>
  </formats>
  <pivotTableStyleInfo name="PivotStyleDark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34AB47-59BD-4B65-9CB1-8B9F3C6D701B}" name="Tabela dinâmica1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7:C36" firstHeaderRow="0" firstDataRow="1" firstDataCol="1" rowPageCount="1" colPageCount="1"/>
  <pivotFields count="9">
    <pivotField numFmtId="166" showAll="0"/>
    <pivotField dataField="1" showAll="0"/>
    <pivotField showAll="0"/>
    <pivotField axis="axisRow" showAll="0" sortType="ascending">
      <items count="9">
        <item x="6"/>
        <item x="5"/>
        <item x="3"/>
        <item x="0"/>
        <item x="2"/>
        <item x="4"/>
        <item x="7"/>
        <item x="1"/>
        <item t="default"/>
      </items>
    </pivotField>
    <pivotField numFmtId="14" showAll="0"/>
    <pivotField numFmtId="165" multipleItemSelectionAllowed="1" showAll="0"/>
    <pivotField axis="axisPage" dataField="1" numFmtId="165" multipleItemSelectionAllowed="1" showAll="0">
      <items count="25">
        <item h="1" x="5"/>
        <item x="9"/>
        <item x="7"/>
        <item x="14"/>
        <item x="1"/>
        <item x="18"/>
        <item x="3"/>
        <item m="1" x="23"/>
        <item x="21"/>
        <item x="13"/>
        <item x="17"/>
        <item x="10"/>
        <item x="12"/>
        <item x="6"/>
        <item x="4"/>
        <item x="8"/>
        <item x="2"/>
        <item x="15"/>
        <item x="0"/>
        <item x="19"/>
        <item x="20"/>
        <item x="11"/>
        <item m="1" x="22"/>
        <item x="16"/>
        <item t="default"/>
      </items>
    </pivotField>
    <pivotField numFmtId="165" showAll="0"/>
    <pivotField showAll="0" sortType="ascending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Soma de SETEMBRO" fld="6" baseField="0" baseItem="0"/>
    <dataField name="Contagem de NOME" fld="1" subtotal="count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BEA12B-604E-4CEC-A0FC-CE7EB0C7B481}" name="Tabela dinâmica3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5:C20" firstHeaderRow="0" firstDataRow="1" firstDataCol="1" rowPageCount="1" colPageCount="1"/>
  <pivotFields count="9">
    <pivotField numFmtId="166" showAll="0"/>
    <pivotField dataField="1" showAll="0"/>
    <pivotField showAll="0"/>
    <pivotField showAll="0" sortType="ascending"/>
    <pivotField numFmtId="14" showAll="0"/>
    <pivotField numFmtId="165" multipleItemSelectionAllowed="1" showAll="0"/>
    <pivotField axis="axisPage" dataField="1" numFmtId="165" multipleItemSelectionAllowed="1" showAll="0">
      <items count="25">
        <item h="1" x="5"/>
        <item x="9"/>
        <item x="7"/>
        <item x="14"/>
        <item x="1"/>
        <item x="18"/>
        <item x="3"/>
        <item m="1" x="23"/>
        <item x="21"/>
        <item x="13"/>
        <item x="17"/>
        <item x="10"/>
        <item x="12"/>
        <item x="6"/>
        <item x="4"/>
        <item x="8"/>
        <item x="2"/>
        <item x="15"/>
        <item x="0"/>
        <item x="19"/>
        <item x="20"/>
        <item x="11"/>
        <item m="1" x="22"/>
        <item x="16"/>
        <item t="default"/>
      </items>
    </pivotField>
    <pivotField numFmtId="165" showAll="0"/>
    <pivotField axis="axisRow" showAll="0" sortType="ascending">
      <items count="11">
        <item m="1" x="5"/>
        <item x="4"/>
        <item x="1"/>
        <item m="1" x="8"/>
        <item m="1" x="6"/>
        <item m="1" x="9"/>
        <item x="3"/>
        <item x="0"/>
        <item x="2"/>
        <item m="1" x="7"/>
        <item t="default"/>
      </items>
    </pivotField>
  </pivotFields>
  <rowFields count="1">
    <field x="8"/>
  </rowFields>
  <rowItems count="5">
    <i>
      <x v="1"/>
    </i>
    <i>
      <x v="2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6" hier="-1"/>
  </pageFields>
  <dataFields count="2">
    <dataField name="Soma de SETEMBRO" fld="6" baseField="0" baseItem="0"/>
    <dataField name="Contagem de NOME" fld="1" subtotal="count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6F654F-A653-46C0-A3C2-774EB06A0A43}" name="Tabela dinâmica2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9" firstHeaderRow="0" firstDataRow="1" firstDataCol="1" rowPageCount="1" colPageCount="1"/>
  <pivotFields count="9">
    <pivotField numFmtId="166" showAll="0"/>
    <pivotField dataField="1" showAll="0"/>
    <pivotField showAll="0"/>
    <pivotField showAll="0" sortType="ascending"/>
    <pivotField numFmtId="14" showAll="0"/>
    <pivotField axis="axisPage" dataField="1" numFmtId="165" multipleItemSelectionAllowed="1" showAll="0">
      <items count="27">
        <item h="1" x="17"/>
        <item x="23"/>
        <item x="19"/>
        <item x="18"/>
        <item x="13"/>
        <item x="4"/>
        <item x="16"/>
        <item x="5"/>
        <item x="11"/>
        <item x="8"/>
        <item x="1"/>
        <item x="21"/>
        <item x="24"/>
        <item x="12"/>
        <item x="14"/>
        <item x="9"/>
        <item x="10"/>
        <item x="2"/>
        <item x="3"/>
        <item x="6"/>
        <item x="0"/>
        <item x="15"/>
        <item x="20"/>
        <item x="25"/>
        <item x="7"/>
        <item x="22"/>
        <item t="default"/>
      </items>
    </pivotField>
    <pivotField numFmtId="165" multipleItemSelectionAllowed="1" showAll="0"/>
    <pivotField numFmtId="165" showAll="0"/>
    <pivotField axis="axisRow" showAll="0" sortType="ascending">
      <items count="11">
        <item m="1" x="5"/>
        <item x="4"/>
        <item x="1"/>
        <item m="1" x="8"/>
        <item m="1" x="6"/>
        <item m="1" x="9"/>
        <item x="3"/>
        <item x="0"/>
        <item x="2"/>
        <item m="1" x="7"/>
        <item t="default"/>
      </items>
    </pivotField>
  </pivotFields>
  <rowFields count="1">
    <field x="8"/>
  </rowFields>
  <rowItems count="5">
    <i>
      <x v="2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Soma de AGOSTO-2023" fld="5" baseField="0" baseItem="0"/>
    <dataField name="Contagem de NOME" fld="1" subtotal="count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53E00-903C-47EF-8DC1-FC83ECB8350F}">
  <sheetPr codeName="Planilha1"/>
  <dimension ref="A1:L1477"/>
  <sheetViews>
    <sheetView tabSelected="1" zoomScaleNormal="100" workbookViewId="0">
      <pane ySplit="1" topLeftCell="A285" activePane="bottomLeft" state="frozen"/>
      <selection activeCell="F21" sqref="F21"/>
      <selection pane="bottomLeft" activeCell="C299" sqref="C299"/>
    </sheetView>
  </sheetViews>
  <sheetFormatPr defaultColWidth="10.140625" defaultRowHeight="11.25" x14ac:dyDescent="0.2"/>
  <cols>
    <col min="1" max="1" width="9.85546875" style="1" customWidth="1"/>
    <col min="2" max="2" width="42.140625" style="1" bestFit="1" customWidth="1"/>
    <col min="3" max="3" width="27.5703125" style="1" bestFit="1" customWidth="1"/>
    <col min="4" max="4" width="41" style="1" bestFit="1" customWidth="1"/>
    <col min="5" max="5" width="12.28515625" style="28" customWidth="1"/>
    <col min="6" max="6" width="32.7109375" style="144" bestFit="1" customWidth="1"/>
    <col min="7" max="7" width="18.140625" style="28" bestFit="1" customWidth="1"/>
    <col min="8" max="9" width="17.140625" style="3" bestFit="1" customWidth="1"/>
    <col min="10" max="10" width="19.5703125" style="5" bestFit="1" customWidth="1"/>
    <col min="11" max="11" width="15.28515625" style="136" customWidth="1"/>
    <col min="12" max="16384" width="10.140625" style="2"/>
  </cols>
  <sheetData>
    <row r="1" spans="1:11" s="38" customFormat="1" ht="15" thickBot="1" x14ac:dyDescent="0.25">
      <c r="A1" s="206" t="s">
        <v>1230</v>
      </c>
      <c r="B1" s="207" t="s">
        <v>1232</v>
      </c>
      <c r="C1" s="207" t="s">
        <v>1231</v>
      </c>
      <c r="D1" s="207" t="s">
        <v>1438</v>
      </c>
      <c r="E1" s="207" t="s">
        <v>1236</v>
      </c>
      <c r="F1" s="207" t="s">
        <v>1588</v>
      </c>
      <c r="G1" s="207" t="s">
        <v>1604</v>
      </c>
      <c r="H1" s="196" t="s">
        <v>1281</v>
      </c>
      <c r="I1" s="197" t="s">
        <v>1282</v>
      </c>
      <c r="J1" s="198" t="s">
        <v>1283</v>
      </c>
      <c r="K1" s="199" t="s">
        <v>1284</v>
      </c>
    </row>
    <row r="2" spans="1:11" s="38" customFormat="1" ht="12.75" x14ac:dyDescent="0.2">
      <c r="A2" s="235">
        <v>112194</v>
      </c>
      <c r="B2" s="236" t="s">
        <v>26</v>
      </c>
      <c r="C2" s="236" t="s">
        <v>19</v>
      </c>
      <c r="D2" s="236" t="s">
        <v>2</v>
      </c>
      <c r="E2" s="237">
        <v>43617</v>
      </c>
      <c r="F2" s="236" t="s">
        <v>1234</v>
      </c>
      <c r="G2" s="237">
        <v>45149</v>
      </c>
      <c r="H2" s="233">
        <f>SUMIF(VA!B:B,A2,VA!I:I)</f>
        <v>359.46</v>
      </c>
      <c r="I2" s="193">
        <f>SUMIF(VR!B:B,A2,VR!I:I)</f>
        <v>657.5</v>
      </c>
      <c r="J2" s="194">
        <f t="shared" ref="J2:J65" si="0">H2+I2</f>
        <v>1016.96</v>
      </c>
      <c r="K2" s="195">
        <f>SUMIF(FALTAS!A:A,A2,FALTAS!D:D)</f>
        <v>0</v>
      </c>
    </row>
    <row r="3" spans="1:11" s="38" customFormat="1" ht="12.75" x14ac:dyDescent="0.2">
      <c r="A3" s="235">
        <v>112198</v>
      </c>
      <c r="B3" s="236" t="s">
        <v>28</v>
      </c>
      <c r="C3" s="236" t="s">
        <v>0</v>
      </c>
      <c r="D3" s="236" t="s">
        <v>2</v>
      </c>
      <c r="E3" s="237">
        <v>43617</v>
      </c>
      <c r="F3" s="236" t="s">
        <v>1234</v>
      </c>
      <c r="G3" s="237">
        <v>45149</v>
      </c>
      <c r="H3" s="233">
        <f>SUMIF(VA!B:B,A3,VA!I:I)</f>
        <v>359.46</v>
      </c>
      <c r="I3" s="193">
        <f>SUMIF(VR!B:B,A3,VR!I:I)</f>
        <v>657.5</v>
      </c>
      <c r="J3" s="194">
        <f t="shared" si="0"/>
        <v>1016.96</v>
      </c>
      <c r="K3" s="195">
        <f>SUMIF(FALTAS!A:A,A3,FALTAS!D:D)</f>
        <v>0</v>
      </c>
    </row>
    <row r="4" spans="1:11" s="38" customFormat="1" ht="12.75" x14ac:dyDescent="0.2">
      <c r="A4" s="235">
        <v>121403</v>
      </c>
      <c r="B4" s="236" t="s">
        <v>1553</v>
      </c>
      <c r="C4" s="236" t="s">
        <v>1589</v>
      </c>
      <c r="D4" s="236" t="s">
        <v>5</v>
      </c>
      <c r="E4" s="237">
        <v>44967</v>
      </c>
      <c r="F4" s="236" t="s">
        <v>1234</v>
      </c>
      <c r="G4" s="237">
        <v>44967</v>
      </c>
      <c r="H4" s="233">
        <f>SUMIF(VA!B:B,A4,VA!I:I)</f>
        <v>359.46</v>
      </c>
      <c r="I4" s="193">
        <f>SUMIF(VR!B:B,A4,VR!I:I)</f>
        <v>657.5</v>
      </c>
      <c r="J4" s="194">
        <f t="shared" si="0"/>
        <v>1016.96</v>
      </c>
      <c r="K4" s="195">
        <f>SUMIF(FALTAS!A:A,A4,FALTAS!D:D)</f>
        <v>0</v>
      </c>
    </row>
    <row r="5" spans="1:11" s="38" customFormat="1" ht="12.75" x14ac:dyDescent="0.2">
      <c r="A5" s="235">
        <v>112225</v>
      </c>
      <c r="B5" s="236" t="s">
        <v>47</v>
      </c>
      <c r="C5" s="236" t="s">
        <v>1589</v>
      </c>
      <c r="D5" s="236" t="s">
        <v>5</v>
      </c>
      <c r="E5" s="237">
        <v>43617</v>
      </c>
      <c r="F5" s="236" t="s">
        <v>1285</v>
      </c>
      <c r="G5" s="237">
        <v>45164</v>
      </c>
      <c r="H5" s="233">
        <f>SUMIF(VA!B:B,A5,VA!I:I)</f>
        <v>0</v>
      </c>
      <c r="I5" s="193">
        <f>SUMIF(VR!B:B,A5,VR!I:I)</f>
        <v>0</v>
      </c>
      <c r="J5" s="194">
        <f t="shared" si="0"/>
        <v>0</v>
      </c>
      <c r="K5" s="195">
        <f>SUMIF(FALTAS!A:A,A5,FALTAS!D:D)</f>
        <v>0</v>
      </c>
    </row>
    <row r="6" spans="1:11" s="38" customFormat="1" ht="12.75" x14ac:dyDescent="0.2">
      <c r="A6" s="235">
        <v>121531</v>
      </c>
      <c r="B6" s="236" t="s">
        <v>1554</v>
      </c>
      <c r="C6" s="236" t="s">
        <v>1589</v>
      </c>
      <c r="D6" s="236" t="s">
        <v>15</v>
      </c>
      <c r="E6" s="237">
        <v>44972</v>
      </c>
      <c r="F6" s="236" t="s">
        <v>1234</v>
      </c>
      <c r="G6" s="237">
        <v>44972</v>
      </c>
      <c r="H6" s="233">
        <f>SUMIF(VA!B:B,A6,VA!I:I)</f>
        <v>359.46</v>
      </c>
      <c r="I6" s="193">
        <f>SUMIF(VR!B:B,A6,VR!I:I)</f>
        <v>657.5</v>
      </c>
      <c r="J6" s="194">
        <f t="shared" si="0"/>
        <v>1016.96</v>
      </c>
      <c r="K6" s="195">
        <f>SUMIF(FALTAS!A:A,A6,FALTAS!D:D)</f>
        <v>0</v>
      </c>
    </row>
    <row r="7" spans="1:11" s="38" customFormat="1" ht="12.75" x14ac:dyDescent="0.2">
      <c r="A7" s="235">
        <v>121851</v>
      </c>
      <c r="B7" s="236" t="s">
        <v>1610</v>
      </c>
      <c r="C7" s="236" t="s">
        <v>0</v>
      </c>
      <c r="D7" s="236" t="s">
        <v>5</v>
      </c>
      <c r="E7" s="237">
        <v>45022</v>
      </c>
      <c r="F7" s="236" t="s">
        <v>1234</v>
      </c>
      <c r="G7" s="237">
        <v>45022</v>
      </c>
      <c r="H7" s="233">
        <f>SUMIF(VA!B:B,A7,VA!I:I)</f>
        <v>359.46</v>
      </c>
      <c r="I7" s="193">
        <f>SUMIF(VR!B:B,A7,VR!I:I)</f>
        <v>657.5</v>
      </c>
      <c r="J7" s="194">
        <f t="shared" si="0"/>
        <v>1016.96</v>
      </c>
      <c r="K7" s="195">
        <f>SUMIF(FALTAS!A:A,A7,FALTAS!D:D)</f>
        <v>0</v>
      </c>
    </row>
    <row r="8" spans="1:11" s="38" customFormat="1" ht="12.75" x14ac:dyDescent="0.2">
      <c r="A8" s="235">
        <v>114763</v>
      </c>
      <c r="B8" s="236" t="s">
        <v>1100</v>
      </c>
      <c r="C8" s="236" t="s">
        <v>1589</v>
      </c>
      <c r="D8" s="236" t="s">
        <v>282</v>
      </c>
      <c r="E8" s="237">
        <v>43874</v>
      </c>
      <c r="F8" s="236" t="s">
        <v>1234</v>
      </c>
      <c r="G8" s="237">
        <v>45056</v>
      </c>
      <c r="H8" s="233">
        <f>SUMIF(VA!B:B,A8,VA!I:I)</f>
        <v>359.46</v>
      </c>
      <c r="I8" s="193">
        <f>SUMIF(VR!B:B,A8,VR!I:I)</f>
        <v>657.5</v>
      </c>
      <c r="J8" s="194">
        <f t="shared" si="0"/>
        <v>1016.96</v>
      </c>
      <c r="K8" s="195">
        <f>SUMIF(FALTAS!A:A,A8,FALTAS!D:D)</f>
        <v>0</v>
      </c>
    </row>
    <row r="9" spans="1:11" s="38" customFormat="1" ht="12.75" x14ac:dyDescent="0.2">
      <c r="A9" s="235">
        <v>122404</v>
      </c>
      <c r="B9" s="236" t="s">
        <v>1690</v>
      </c>
      <c r="C9" s="236" t="s">
        <v>1589</v>
      </c>
      <c r="D9" s="236" t="s">
        <v>5</v>
      </c>
      <c r="E9" s="237">
        <v>45117</v>
      </c>
      <c r="F9" s="236" t="s">
        <v>1234</v>
      </c>
      <c r="G9" s="237">
        <v>45117</v>
      </c>
      <c r="H9" s="233">
        <f>SUMIF(VA!B:B,A9,VA!I:I)</f>
        <v>359.46</v>
      </c>
      <c r="I9" s="193">
        <f>SUMIF(VR!B:B,A9,VR!I:I)</f>
        <v>657.5</v>
      </c>
      <c r="J9" s="194">
        <f t="shared" si="0"/>
        <v>1016.96</v>
      </c>
      <c r="K9" s="195">
        <f>SUMIF(FALTAS!A:A,A9,FALTAS!D:D)</f>
        <v>0</v>
      </c>
    </row>
    <row r="10" spans="1:11" s="38" customFormat="1" ht="12.75" x14ac:dyDescent="0.2">
      <c r="A10" s="235">
        <v>112254</v>
      </c>
      <c r="B10" s="236" t="s">
        <v>65</v>
      </c>
      <c r="C10" s="236" t="s">
        <v>1589</v>
      </c>
      <c r="D10" s="236" t="s">
        <v>22</v>
      </c>
      <c r="E10" s="237">
        <v>43617</v>
      </c>
      <c r="F10" s="236" t="s">
        <v>1234</v>
      </c>
      <c r="G10" s="237">
        <v>45119</v>
      </c>
      <c r="H10" s="233">
        <f>SUMIF(VA!B:B,A10,VA!I:I)</f>
        <v>359.46</v>
      </c>
      <c r="I10" s="193">
        <f>SUMIF(VR!B:B,A10,VR!I:I)</f>
        <v>657.5</v>
      </c>
      <c r="J10" s="194">
        <f t="shared" si="0"/>
        <v>1016.96</v>
      </c>
      <c r="K10" s="195">
        <f>SUMIF(FALTAS!A:A,A10,FALTAS!D:D)</f>
        <v>0</v>
      </c>
    </row>
    <row r="11" spans="1:11" s="38" customFormat="1" ht="12.75" x14ac:dyDescent="0.2">
      <c r="A11" s="235">
        <v>112258</v>
      </c>
      <c r="B11" s="236" t="s">
        <v>69</v>
      </c>
      <c r="C11" s="236" t="s">
        <v>8</v>
      </c>
      <c r="D11" s="236" t="s">
        <v>2</v>
      </c>
      <c r="E11" s="237">
        <v>43623</v>
      </c>
      <c r="F11" s="236" t="s">
        <v>1234</v>
      </c>
      <c r="G11" s="237">
        <v>45023</v>
      </c>
      <c r="H11" s="233">
        <f>SUMIF(VA!B:B,A11,VA!I:I)</f>
        <v>359.46</v>
      </c>
      <c r="I11" s="193">
        <f>SUMIF(VR!B:B,A11,VR!I:I)</f>
        <v>657.5</v>
      </c>
      <c r="J11" s="194">
        <f t="shared" si="0"/>
        <v>1016.96</v>
      </c>
      <c r="K11" s="195">
        <f>SUMIF(FALTAS!A:A,A11,FALTAS!D:D)</f>
        <v>0</v>
      </c>
    </row>
    <row r="12" spans="1:11" s="38" customFormat="1" ht="12.75" x14ac:dyDescent="0.2">
      <c r="A12" s="235">
        <v>112265</v>
      </c>
      <c r="B12" s="236" t="s">
        <v>75</v>
      </c>
      <c r="C12" s="236" t="s">
        <v>19</v>
      </c>
      <c r="D12" s="236" t="s">
        <v>5</v>
      </c>
      <c r="E12" s="237">
        <v>43617</v>
      </c>
      <c r="F12" s="236" t="s">
        <v>1234</v>
      </c>
      <c r="G12" s="237">
        <v>45149</v>
      </c>
      <c r="H12" s="233">
        <f>SUMIF(VA!B:B,A12,VA!I:I)</f>
        <v>359.46</v>
      </c>
      <c r="I12" s="193">
        <f>SUMIF(VR!B:B,A12,VR!I:I)</f>
        <v>657.5</v>
      </c>
      <c r="J12" s="194">
        <f t="shared" si="0"/>
        <v>1016.96</v>
      </c>
      <c r="K12" s="195">
        <f>SUMIF(FALTAS!A:A,A12,FALTAS!D:D)</f>
        <v>0</v>
      </c>
    </row>
    <row r="13" spans="1:11" s="38" customFormat="1" ht="12.75" x14ac:dyDescent="0.2">
      <c r="A13" s="235">
        <v>112271</v>
      </c>
      <c r="B13" s="236" t="s">
        <v>78</v>
      </c>
      <c r="C13" s="236" t="s">
        <v>32</v>
      </c>
      <c r="D13" s="236" t="s">
        <v>5</v>
      </c>
      <c r="E13" s="237">
        <v>43617</v>
      </c>
      <c r="F13" s="236" t="s">
        <v>1234</v>
      </c>
      <c r="G13" s="237">
        <v>45023</v>
      </c>
      <c r="H13" s="233">
        <f>SUMIF(VA!B:B,A13,VA!I:I)</f>
        <v>359.46</v>
      </c>
      <c r="I13" s="193">
        <f>SUMIF(VR!B:B,A13,VR!I:I)</f>
        <v>657.5</v>
      </c>
      <c r="J13" s="194">
        <f t="shared" si="0"/>
        <v>1016.96</v>
      </c>
      <c r="K13" s="195">
        <f>SUMIF(FALTAS!A:A,A13,FALTAS!D:D)</f>
        <v>0</v>
      </c>
    </row>
    <row r="14" spans="1:11" s="38" customFormat="1" ht="12.75" x14ac:dyDescent="0.2">
      <c r="A14" s="235">
        <v>115223</v>
      </c>
      <c r="B14" s="236" t="s">
        <v>1149</v>
      </c>
      <c r="C14" s="236" t="s">
        <v>10</v>
      </c>
      <c r="D14" s="236" t="s">
        <v>5</v>
      </c>
      <c r="E14" s="237">
        <v>44018</v>
      </c>
      <c r="F14" s="236" t="s">
        <v>1234</v>
      </c>
      <c r="G14" s="237">
        <v>45086</v>
      </c>
      <c r="H14" s="233">
        <f>SUMIF(VA!B:B,A14,VA!I:I)</f>
        <v>359.46</v>
      </c>
      <c r="I14" s="193">
        <f>SUMIF(VR!B:B,A14,VR!I:I)</f>
        <v>657.5</v>
      </c>
      <c r="J14" s="194">
        <f t="shared" si="0"/>
        <v>1016.96</v>
      </c>
      <c r="K14" s="195">
        <f>SUMIF(FALTAS!A:A,A14,FALTAS!D:D)</f>
        <v>0</v>
      </c>
    </row>
    <row r="15" spans="1:11" s="38" customFormat="1" ht="12.75" x14ac:dyDescent="0.2">
      <c r="A15" s="235">
        <v>114910</v>
      </c>
      <c r="B15" s="236" t="s">
        <v>1109</v>
      </c>
      <c r="C15" s="236" t="s">
        <v>1589</v>
      </c>
      <c r="D15" s="236" t="s">
        <v>5</v>
      </c>
      <c r="E15" s="237">
        <v>43916</v>
      </c>
      <c r="F15" s="236" t="s">
        <v>1234</v>
      </c>
      <c r="G15" s="237">
        <v>45086</v>
      </c>
      <c r="H15" s="233">
        <f>SUMIF(VA!B:B,A15,VA!I:I)</f>
        <v>359.46</v>
      </c>
      <c r="I15" s="193">
        <f>SUMIF(VR!B:B,A15,VR!I:I)</f>
        <v>657.5</v>
      </c>
      <c r="J15" s="194">
        <f t="shared" si="0"/>
        <v>1016.96</v>
      </c>
      <c r="K15" s="195">
        <f>SUMIF(FALTAS!A:A,A15,FALTAS!D:D)</f>
        <v>0</v>
      </c>
    </row>
    <row r="16" spans="1:11" s="38" customFormat="1" ht="12.75" x14ac:dyDescent="0.2">
      <c r="A16" s="235">
        <v>112279</v>
      </c>
      <c r="B16" s="236" t="s">
        <v>84</v>
      </c>
      <c r="C16" s="236" t="s">
        <v>0</v>
      </c>
      <c r="D16" s="236" t="s">
        <v>2</v>
      </c>
      <c r="E16" s="237">
        <v>43617</v>
      </c>
      <c r="F16" s="236" t="s">
        <v>1234</v>
      </c>
      <c r="G16" s="237">
        <v>44993</v>
      </c>
      <c r="H16" s="233">
        <f>SUMIF(VA!B:B,A16,VA!I:I)</f>
        <v>359.46</v>
      </c>
      <c r="I16" s="193">
        <f>SUMIF(VR!B:B,A16,VR!I:I)</f>
        <v>657.5</v>
      </c>
      <c r="J16" s="194">
        <f t="shared" si="0"/>
        <v>1016.96</v>
      </c>
      <c r="K16" s="195">
        <f>SUMIF(FALTAS!A:A,A16,FALTAS!D:D)</f>
        <v>0</v>
      </c>
    </row>
    <row r="17" spans="1:11" s="38" customFormat="1" ht="12.75" x14ac:dyDescent="0.2">
      <c r="A17" s="235">
        <v>112299</v>
      </c>
      <c r="B17" s="236" t="s">
        <v>97</v>
      </c>
      <c r="C17" s="236" t="s">
        <v>8</v>
      </c>
      <c r="D17" s="236" t="s">
        <v>2</v>
      </c>
      <c r="E17" s="237">
        <v>43617</v>
      </c>
      <c r="F17" s="236" t="s">
        <v>1234</v>
      </c>
      <c r="G17" s="237">
        <v>45149</v>
      </c>
      <c r="H17" s="233">
        <f>SUMIF(VA!B:B,A17,VA!I:I)</f>
        <v>359.46</v>
      </c>
      <c r="I17" s="193">
        <f>SUMIF(VR!B:B,A17,VR!I:I)</f>
        <v>657.5</v>
      </c>
      <c r="J17" s="194">
        <f t="shared" si="0"/>
        <v>1016.96</v>
      </c>
      <c r="K17" s="195">
        <f>SUMIF(FALTAS!A:A,A17,FALTAS!D:D)</f>
        <v>0</v>
      </c>
    </row>
    <row r="18" spans="1:11" s="38" customFormat="1" ht="12.75" x14ac:dyDescent="0.2">
      <c r="A18" s="235">
        <v>121802</v>
      </c>
      <c r="B18" s="236" t="s">
        <v>1590</v>
      </c>
      <c r="C18" s="236" t="s">
        <v>1591</v>
      </c>
      <c r="D18" s="236" t="s">
        <v>1592</v>
      </c>
      <c r="E18" s="237">
        <v>45008</v>
      </c>
      <c r="F18" s="236" t="s">
        <v>1234</v>
      </c>
      <c r="G18" s="237">
        <v>45008</v>
      </c>
      <c r="H18" s="233">
        <f>SUMIF(VA!B:B,A18,VA!I:I)</f>
        <v>359.46</v>
      </c>
      <c r="I18" s="193">
        <f>SUMIF(VR!B:B,A18,VR!I:I)</f>
        <v>657.5</v>
      </c>
      <c r="J18" s="194">
        <f t="shared" si="0"/>
        <v>1016.96</v>
      </c>
      <c r="K18" s="195">
        <f>SUMIF(FALTAS!A:A,A18,FALTAS!D:D)</f>
        <v>0</v>
      </c>
    </row>
    <row r="19" spans="1:11" s="38" customFormat="1" ht="12.75" x14ac:dyDescent="0.2">
      <c r="A19" s="235">
        <v>120186</v>
      </c>
      <c r="B19" s="236" t="s">
        <v>1497</v>
      </c>
      <c r="C19" s="236" t="s">
        <v>1589</v>
      </c>
      <c r="D19" s="236" t="s">
        <v>15</v>
      </c>
      <c r="E19" s="237">
        <v>44791</v>
      </c>
      <c r="F19" s="236" t="s">
        <v>1234</v>
      </c>
      <c r="G19" s="237">
        <v>44791</v>
      </c>
      <c r="H19" s="233">
        <f>SUMIF(VA!B:B,A19,VA!I:I)</f>
        <v>359.46</v>
      </c>
      <c r="I19" s="193">
        <f>SUMIF(VR!B:B,A19,VR!I:I)</f>
        <v>657.5</v>
      </c>
      <c r="J19" s="194">
        <f t="shared" si="0"/>
        <v>1016.96</v>
      </c>
      <c r="K19" s="195">
        <f>SUMIF(FALTAS!A:A,A19,FALTAS!D:D)</f>
        <v>0</v>
      </c>
    </row>
    <row r="20" spans="1:11" s="38" customFormat="1" ht="12.75" x14ac:dyDescent="0.2">
      <c r="A20" s="235">
        <v>112319</v>
      </c>
      <c r="B20" s="236" t="s">
        <v>1286</v>
      </c>
      <c r="C20" s="236" t="s">
        <v>19</v>
      </c>
      <c r="D20" s="236" t="s">
        <v>5</v>
      </c>
      <c r="E20" s="237">
        <v>43617</v>
      </c>
      <c r="F20" s="236" t="s">
        <v>1234</v>
      </c>
      <c r="G20" s="237">
        <v>45149</v>
      </c>
      <c r="H20" s="233">
        <f>SUMIF(VA!B:B,A20,VA!I:I)</f>
        <v>359.46</v>
      </c>
      <c r="I20" s="193">
        <f>SUMIF(VR!B:B,A20,VR!I:I)</f>
        <v>657.5</v>
      </c>
      <c r="J20" s="194">
        <f t="shared" si="0"/>
        <v>1016.96</v>
      </c>
      <c r="K20" s="195">
        <f>SUMIF(FALTAS!A:A,A20,FALTAS!D:D)</f>
        <v>0</v>
      </c>
    </row>
    <row r="21" spans="1:11" s="38" customFormat="1" ht="12.75" x14ac:dyDescent="0.2">
      <c r="A21" s="235">
        <v>116729</v>
      </c>
      <c r="B21" s="236" t="s">
        <v>1225</v>
      </c>
      <c r="C21" s="236" t="s">
        <v>1589</v>
      </c>
      <c r="D21" s="236" t="s">
        <v>15</v>
      </c>
      <c r="E21" s="237">
        <v>44368</v>
      </c>
      <c r="F21" s="236" t="s">
        <v>1234</v>
      </c>
      <c r="G21" s="237">
        <v>45149</v>
      </c>
      <c r="H21" s="233">
        <f>SUMIF(VA!B:B,A21,VA!I:I)</f>
        <v>359.46</v>
      </c>
      <c r="I21" s="193">
        <f>SUMIF(VR!B:B,A21,VR!I:I)</f>
        <v>657.5</v>
      </c>
      <c r="J21" s="194">
        <f t="shared" si="0"/>
        <v>1016.96</v>
      </c>
      <c r="K21" s="195">
        <f>SUMIF(FALTAS!A:A,A21,FALTAS!D:D)</f>
        <v>0</v>
      </c>
    </row>
    <row r="22" spans="1:11" s="38" customFormat="1" ht="12.75" x14ac:dyDescent="0.2">
      <c r="A22" s="235">
        <v>112171</v>
      </c>
      <c r="B22" s="236" t="s">
        <v>4</v>
      </c>
      <c r="C22" s="236" t="s">
        <v>0</v>
      </c>
      <c r="D22" s="236" t="s">
        <v>5</v>
      </c>
      <c r="E22" s="237">
        <v>43617</v>
      </c>
      <c r="F22" s="236" t="s">
        <v>1234</v>
      </c>
      <c r="G22" s="237">
        <v>44960</v>
      </c>
      <c r="H22" s="233">
        <f>SUMIF(VA!B:B,A22,VA!I:I)</f>
        <v>347.47</v>
      </c>
      <c r="I22" s="193">
        <f>SUMIF(VR!B:B,A22,VR!I:I)</f>
        <v>631.20000000000005</v>
      </c>
      <c r="J22" s="194">
        <f t="shared" si="0"/>
        <v>978.67000000000007</v>
      </c>
      <c r="K22" s="195">
        <f>SUMIF(FALTAS!A:A,A22,FALTAS!D:D)</f>
        <v>1</v>
      </c>
    </row>
    <row r="23" spans="1:11" s="38" customFormat="1" ht="12.75" x14ac:dyDescent="0.2">
      <c r="A23" s="235">
        <v>112355</v>
      </c>
      <c r="B23" s="236" t="s">
        <v>1289</v>
      </c>
      <c r="C23" s="236" t="s">
        <v>10</v>
      </c>
      <c r="D23" s="236" t="s">
        <v>2</v>
      </c>
      <c r="E23" s="237">
        <v>43617</v>
      </c>
      <c r="F23" s="236" t="s">
        <v>1235</v>
      </c>
      <c r="G23" s="237">
        <v>45147</v>
      </c>
      <c r="H23" s="233">
        <f>SUMIF(VA!B:B,A23,VA!I:I)</f>
        <v>359.46</v>
      </c>
      <c r="I23" s="193">
        <f>SUMIF(VR!B:B,A23,VR!I:I)</f>
        <v>657.5</v>
      </c>
      <c r="J23" s="194">
        <f t="shared" si="0"/>
        <v>1016.96</v>
      </c>
      <c r="K23" s="195">
        <f>SUMIF(FALTAS!A:A,A23,FALTAS!D:D)</f>
        <v>0</v>
      </c>
    </row>
    <row r="24" spans="1:11" s="38" customFormat="1" ht="12.75" x14ac:dyDescent="0.2">
      <c r="A24" s="235">
        <v>112358</v>
      </c>
      <c r="B24" s="236" t="s">
        <v>129</v>
      </c>
      <c r="C24" s="236" t="s">
        <v>19</v>
      </c>
      <c r="D24" s="236" t="s">
        <v>5</v>
      </c>
      <c r="E24" s="237">
        <v>43617</v>
      </c>
      <c r="F24" s="236" t="s">
        <v>1235</v>
      </c>
      <c r="G24" s="237">
        <v>45147</v>
      </c>
      <c r="H24" s="233">
        <f>SUMIF(VA!B:B,A24,VA!I:I)</f>
        <v>359.46</v>
      </c>
      <c r="I24" s="193">
        <f>SUMIF(VR!B:B,A24,VR!I:I)</f>
        <v>657.5</v>
      </c>
      <c r="J24" s="194">
        <f t="shared" si="0"/>
        <v>1016.96</v>
      </c>
      <c r="K24" s="195">
        <f>SUMIF(FALTAS!A:A,A24,FALTAS!D:D)</f>
        <v>0</v>
      </c>
    </row>
    <row r="25" spans="1:11" s="38" customFormat="1" ht="12.75" x14ac:dyDescent="0.2">
      <c r="A25" s="235">
        <v>114679</v>
      </c>
      <c r="B25" s="236" t="s">
        <v>1066</v>
      </c>
      <c r="C25" s="236" t="s">
        <v>10</v>
      </c>
      <c r="D25" s="236" t="s">
        <v>2</v>
      </c>
      <c r="E25" s="237">
        <v>43874</v>
      </c>
      <c r="F25" s="236" t="s">
        <v>1234</v>
      </c>
      <c r="G25" s="237">
        <v>45086</v>
      </c>
      <c r="H25" s="233">
        <f>SUMIF(VA!B:B,A25,VA!I:I)</f>
        <v>359.46</v>
      </c>
      <c r="I25" s="193">
        <f>SUMIF(VR!B:B,A25,VR!I:I)</f>
        <v>657.5</v>
      </c>
      <c r="J25" s="194">
        <f t="shared" si="0"/>
        <v>1016.96</v>
      </c>
      <c r="K25" s="195">
        <f>SUMIF(FALTAS!A:A,A25,FALTAS!D:D)</f>
        <v>0</v>
      </c>
    </row>
    <row r="26" spans="1:11" s="38" customFormat="1" ht="12.75" x14ac:dyDescent="0.2">
      <c r="A26" s="235">
        <v>114239</v>
      </c>
      <c r="B26" s="236" t="s">
        <v>1020</v>
      </c>
      <c r="C26" s="236" t="s">
        <v>32</v>
      </c>
      <c r="D26" s="236" t="s">
        <v>146</v>
      </c>
      <c r="E26" s="237">
        <v>43790</v>
      </c>
      <c r="F26" s="236" t="s">
        <v>1234</v>
      </c>
      <c r="G26" s="237">
        <v>45023</v>
      </c>
      <c r="H26" s="233">
        <f>SUMIF(VA!B:B,A26,VA!I:I)</f>
        <v>359.46</v>
      </c>
      <c r="I26" s="193">
        <f>SUMIF(VR!B:B,A26,VR!I:I)</f>
        <v>657.5</v>
      </c>
      <c r="J26" s="194">
        <f t="shared" si="0"/>
        <v>1016.96</v>
      </c>
      <c r="K26" s="195">
        <f>SUMIF(FALTAS!A:A,A26,FALTAS!D:D)</f>
        <v>0</v>
      </c>
    </row>
    <row r="27" spans="1:11" s="38" customFormat="1" ht="12.75" x14ac:dyDescent="0.2">
      <c r="A27" s="235">
        <v>121941</v>
      </c>
      <c r="B27" s="236" t="s">
        <v>1611</v>
      </c>
      <c r="C27" s="236" t="s">
        <v>1591</v>
      </c>
      <c r="D27" s="236" t="s">
        <v>1464</v>
      </c>
      <c r="E27" s="237">
        <v>45040</v>
      </c>
      <c r="F27" s="236" t="s">
        <v>1234</v>
      </c>
      <c r="G27" s="237">
        <v>45040</v>
      </c>
      <c r="H27" s="233">
        <f>SUMIF(VA!B:B,A27,VA!I:I)</f>
        <v>0</v>
      </c>
      <c r="I27" s="193">
        <f>SUMIF(VR!B:B,A27,VR!I:I)</f>
        <v>657.5</v>
      </c>
      <c r="J27" s="194">
        <f t="shared" si="0"/>
        <v>657.5</v>
      </c>
      <c r="K27" s="195">
        <f>SUMIF(FALTAS!A:A,A27,FALTAS!D:D)</f>
        <v>0</v>
      </c>
    </row>
    <row r="28" spans="1:11" s="38" customFormat="1" ht="12.75" x14ac:dyDescent="0.2">
      <c r="A28" s="235">
        <v>112173</v>
      </c>
      <c r="B28" s="236" t="s">
        <v>9</v>
      </c>
      <c r="C28" s="236" t="s">
        <v>8</v>
      </c>
      <c r="D28" s="236" t="s">
        <v>5</v>
      </c>
      <c r="E28" s="237">
        <v>43617</v>
      </c>
      <c r="F28" s="236" t="s">
        <v>1234</v>
      </c>
      <c r="G28" s="237">
        <v>44898</v>
      </c>
      <c r="H28" s="233">
        <f>SUMIF(VA!B:B,A28,VA!I:I)</f>
        <v>359.46</v>
      </c>
      <c r="I28" s="193">
        <f>SUMIF(VR!B:B,A28,VR!I:I)</f>
        <v>657.5</v>
      </c>
      <c r="J28" s="194">
        <f t="shared" si="0"/>
        <v>1016.96</v>
      </c>
      <c r="K28" s="195">
        <f>SUMIF(FALTAS!A:A,A28,FALTAS!D:D)</f>
        <v>0</v>
      </c>
    </row>
    <row r="29" spans="1:11" s="38" customFormat="1" ht="12.75" x14ac:dyDescent="0.2">
      <c r="A29" s="235">
        <v>112377</v>
      </c>
      <c r="B29" s="236" t="s">
        <v>140</v>
      </c>
      <c r="C29" s="236" t="s">
        <v>10</v>
      </c>
      <c r="D29" s="236" t="s">
        <v>39</v>
      </c>
      <c r="E29" s="237">
        <v>43617</v>
      </c>
      <c r="F29" s="236" t="s">
        <v>1234</v>
      </c>
      <c r="G29" s="237">
        <v>45023</v>
      </c>
      <c r="H29" s="233">
        <f>SUMIF(VA!B:B,A29,VA!I:I)</f>
        <v>359.46</v>
      </c>
      <c r="I29" s="193">
        <f>SUMIF(VR!B:B,A29,VR!I:I)</f>
        <v>657.5</v>
      </c>
      <c r="J29" s="194">
        <f t="shared" si="0"/>
        <v>1016.96</v>
      </c>
      <c r="K29" s="195">
        <f>SUMIF(FALTAS!A:A,A29,FALTAS!D:D)</f>
        <v>0</v>
      </c>
    </row>
    <row r="30" spans="1:11" s="38" customFormat="1" ht="12.75" x14ac:dyDescent="0.2">
      <c r="A30" s="235">
        <v>116224</v>
      </c>
      <c r="B30" s="236" t="s">
        <v>1193</v>
      </c>
      <c r="C30" s="236" t="s">
        <v>0</v>
      </c>
      <c r="D30" s="236" t="s">
        <v>5</v>
      </c>
      <c r="E30" s="237">
        <v>44273</v>
      </c>
      <c r="F30" s="236" t="s">
        <v>1234</v>
      </c>
      <c r="G30" s="237">
        <v>44930</v>
      </c>
      <c r="H30" s="233">
        <f>SUMIF(VA!B:B,A30,VA!I:I)</f>
        <v>359.46</v>
      </c>
      <c r="I30" s="193">
        <f>SUMIF(VR!B:B,A30,VR!I:I)</f>
        <v>657.5</v>
      </c>
      <c r="J30" s="194">
        <f t="shared" si="0"/>
        <v>1016.96</v>
      </c>
      <c r="K30" s="195">
        <f>SUMIF(FALTAS!A:A,A30,FALTAS!D:D)</f>
        <v>0</v>
      </c>
    </row>
    <row r="31" spans="1:11" s="38" customFormat="1" ht="12.75" x14ac:dyDescent="0.2">
      <c r="A31" s="235">
        <v>116087</v>
      </c>
      <c r="B31" s="236" t="s">
        <v>1186</v>
      </c>
      <c r="C31" s="236" t="s">
        <v>1589</v>
      </c>
      <c r="D31" s="236" t="s">
        <v>15</v>
      </c>
      <c r="E31" s="237">
        <v>44235</v>
      </c>
      <c r="F31" s="236" t="s">
        <v>1234</v>
      </c>
      <c r="G31" s="237">
        <v>45023</v>
      </c>
      <c r="H31" s="233">
        <f>SUMIF(VA!B:B,A31,VA!I:I)</f>
        <v>359.46</v>
      </c>
      <c r="I31" s="193">
        <f>SUMIF(VR!B:B,A31,VR!I:I)</f>
        <v>657.5</v>
      </c>
      <c r="J31" s="194">
        <f t="shared" si="0"/>
        <v>1016.96</v>
      </c>
      <c r="K31" s="195">
        <f>SUMIF(FALTAS!A:A,A31,FALTAS!D:D)</f>
        <v>0</v>
      </c>
    </row>
    <row r="32" spans="1:11" s="38" customFormat="1" ht="12.75" x14ac:dyDescent="0.2">
      <c r="A32" s="235">
        <v>112389</v>
      </c>
      <c r="B32" s="236" t="s">
        <v>149</v>
      </c>
      <c r="C32" s="236" t="s">
        <v>8</v>
      </c>
      <c r="D32" s="236" t="s">
        <v>2</v>
      </c>
      <c r="E32" s="237">
        <v>43617</v>
      </c>
      <c r="F32" s="236" t="s">
        <v>1234</v>
      </c>
      <c r="G32" s="237">
        <v>45149</v>
      </c>
      <c r="H32" s="233">
        <f>SUMIF(VA!B:B,A32,VA!I:I)</f>
        <v>359.46</v>
      </c>
      <c r="I32" s="193">
        <f>SUMIF(VR!B:B,A32,VR!I:I)</f>
        <v>657.5</v>
      </c>
      <c r="J32" s="194">
        <f t="shared" si="0"/>
        <v>1016.96</v>
      </c>
      <c r="K32" s="195">
        <f>SUMIF(FALTAS!A:A,A32,FALTAS!D:D)</f>
        <v>0</v>
      </c>
    </row>
    <row r="33" spans="1:11" s="38" customFormat="1" ht="12.75" x14ac:dyDescent="0.2">
      <c r="A33" s="235">
        <v>112393</v>
      </c>
      <c r="B33" s="236" t="s">
        <v>151</v>
      </c>
      <c r="C33" s="236" t="s">
        <v>19</v>
      </c>
      <c r="D33" s="236" t="s">
        <v>5</v>
      </c>
      <c r="E33" s="237">
        <v>43617</v>
      </c>
      <c r="F33" s="236" t="s">
        <v>1235</v>
      </c>
      <c r="G33" s="237">
        <v>45147</v>
      </c>
      <c r="H33" s="233">
        <f>SUMIF(VA!B:B,A33,VA!I:I)</f>
        <v>359.46</v>
      </c>
      <c r="I33" s="193">
        <f>SUMIF(VR!B:B,A33,VR!I:I)</f>
        <v>657.5</v>
      </c>
      <c r="J33" s="194">
        <f t="shared" si="0"/>
        <v>1016.96</v>
      </c>
      <c r="K33" s="195">
        <f>SUMIF(FALTAS!A:A,A33,FALTAS!D:D)</f>
        <v>0</v>
      </c>
    </row>
    <row r="34" spans="1:11" s="38" customFormat="1" ht="12.75" x14ac:dyDescent="0.2">
      <c r="A34" s="235">
        <v>112396</v>
      </c>
      <c r="B34" s="236" t="s">
        <v>1555</v>
      </c>
      <c r="C34" s="236" t="s">
        <v>0</v>
      </c>
      <c r="D34" s="236" t="s">
        <v>2</v>
      </c>
      <c r="E34" s="237">
        <v>43617</v>
      </c>
      <c r="F34" s="236" t="s">
        <v>1285</v>
      </c>
      <c r="G34" s="237">
        <v>44707</v>
      </c>
      <c r="H34" s="233">
        <f>SUMIF(VA!B:B,A34,VA!I:I)</f>
        <v>0</v>
      </c>
      <c r="I34" s="193">
        <f>SUMIF(VR!B:B,A34,VR!I:I)</f>
        <v>0</v>
      </c>
      <c r="J34" s="194">
        <f t="shared" si="0"/>
        <v>0</v>
      </c>
      <c r="K34" s="195">
        <f>SUMIF(FALTAS!A:A,A34,FALTAS!D:D)</f>
        <v>0</v>
      </c>
    </row>
    <row r="35" spans="1:11" s="38" customFormat="1" ht="12.75" x14ac:dyDescent="0.2">
      <c r="A35" s="235">
        <v>114607</v>
      </c>
      <c r="B35" s="236" t="s">
        <v>1063</v>
      </c>
      <c r="C35" s="236" t="s">
        <v>1589</v>
      </c>
      <c r="D35" s="236" t="s">
        <v>378</v>
      </c>
      <c r="E35" s="237">
        <v>43836</v>
      </c>
      <c r="F35" s="236" t="s">
        <v>1234</v>
      </c>
      <c r="G35" s="237">
        <v>45119</v>
      </c>
      <c r="H35" s="233">
        <f>SUMIF(VA!B:B,A35,VA!I:I)</f>
        <v>359.46</v>
      </c>
      <c r="I35" s="193">
        <f>SUMIF(VR!B:B,A35,VR!I:I)</f>
        <v>657.5</v>
      </c>
      <c r="J35" s="194">
        <f t="shared" si="0"/>
        <v>1016.96</v>
      </c>
      <c r="K35" s="195">
        <f>SUMIF(FALTAS!A:A,A35,FALTAS!D:D)</f>
        <v>0</v>
      </c>
    </row>
    <row r="36" spans="1:11" s="38" customFormat="1" ht="12.75" x14ac:dyDescent="0.2">
      <c r="A36" s="235">
        <v>122411</v>
      </c>
      <c r="B36" s="236" t="s">
        <v>1691</v>
      </c>
      <c r="C36" s="236" t="s">
        <v>1589</v>
      </c>
      <c r="D36" s="236" t="s">
        <v>5</v>
      </c>
      <c r="E36" s="237">
        <v>45117</v>
      </c>
      <c r="F36" s="236" t="s">
        <v>1234</v>
      </c>
      <c r="G36" s="237">
        <v>45117</v>
      </c>
      <c r="H36" s="233">
        <f>SUMIF(VA!B:B,A36,VA!I:I)</f>
        <v>359.46</v>
      </c>
      <c r="I36" s="193">
        <f>SUMIF(VR!B:B,A36,VR!I:I)</f>
        <v>657.5</v>
      </c>
      <c r="J36" s="194">
        <f t="shared" si="0"/>
        <v>1016.96</v>
      </c>
      <c r="K36" s="195">
        <f>SUMIF(FALTAS!A:A,A36,FALTAS!D:D)</f>
        <v>0</v>
      </c>
    </row>
    <row r="37" spans="1:11" s="38" customFormat="1" ht="12.75" x14ac:dyDescent="0.2">
      <c r="A37" s="235">
        <v>112399</v>
      </c>
      <c r="B37" s="236" t="s">
        <v>155</v>
      </c>
      <c r="C37" s="236" t="s">
        <v>10</v>
      </c>
      <c r="D37" s="236" t="s">
        <v>2</v>
      </c>
      <c r="E37" s="237">
        <v>43617</v>
      </c>
      <c r="F37" s="236" t="s">
        <v>1234</v>
      </c>
      <c r="G37" s="237">
        <v>44835</v>
      </c>
      <c r="H37" s="233">
        <f>SUMIF(VA!B:B,A37,VA!I:I)</f>
        <v>359.46</v>
      </c>
      <c r="I37" s="193">
        <f>SUMIF(VR!B:B,A37,VR!I:I)</f>
        <v>657.5</v>
      </c>
      <c r="J37" s="194">
        <f t="shared" si="0"/>
        <v>1016.96</v>
      </c>
      <c r="K37" s="195">
        <f>SUMIF(FALTAS!A:A,A37,FALTAS!D:D)</f>
        <v>0</v>
      </c>
    </row>
    <row r="38" spans="1:11" s="38" customFormat="1" ht="12.75" x14ac:dyDescent="0.2">
      <c r="A38" s="235">
        <v>112419</v>
      </c>
      <c r="B38" s="236" t="s">
        <v>169</v>
      </c>
      <c r="C38" s="236" t="s">
        <v>19</v>
      </c>
      <c r="D38" s="236" t="s">
        <v>2</v>
      </c>
      <c r="E38" s="237">
        <v>43617</v>
      </c>
      <c r="F38" s="236" t="s">
        <v>1234</v>
      </c>
      <c r="G38" s="237">
        <v>45050</v>
      </c>
      <c r="H38" s="233">
        <f>SUMIF(VA!B:B,A38,VA!I:I)</f>
        <v>359.46</v>
      </c>
      <c r="I38" s="193">
        <f>SUMIF(VR!B:B,A38,VR!I:I)</f>
        <v>657.5</v>
      </c>
      <c r="J38" s="194">
        <f t="shared" si="0"/>
        <v>1016.96</v>
      </c>
      <c r="K38" s="195">
        <f>SUMIF(FALTAS!A:A,A38,FALTAS!D:D)</f>
        <v>0</v>
      </c>
    </row>
    <row r="39" spans="1:11" s="38" customFormat="1" ht="12.75" x14ac:dyDescent="0.2">
      <c r="A39" s="235">
        <v>112422</v>
      </c>
      <c r="B39" s="236" t="s">
        <v>171</v>
      </c>
      <c r="C39" s="236" t="s">
        <v>10</v>
      </c>
      <c r="D39" s="236" t="s">
        <v>2</v>
      </c>
      <c r="E39" s="237">
        <v>43617</v>
      </c>
      <c r="F39" s="236" t="s">
        <v>1234</v>
      </c>
      <c r="G39" s="237">
        <v>45149</v>
      </c>
      <c r="H39" s="233">
        <f>SUMIF(VA!B:B,A39,VA!I:I)</f>
        <v>359.46</v>
      </c>
      <c r="I39" s="193">
        <f>SUMIF(VR!B:B,A39,VR!I:I)</f>
        <v>657.5</v>
      </c>
      <c r="J39" s="194">
        <f t="shared" si="0"/>
        <v>1016.96</v>
      </c>
      <c r="K39" s="195">
        <f>SUMIF(FALTAS!A:A,A39,FALTAS!D:D)</f>
        <v>0</v>
      </c>
    </row>
    <row r="40" spans="1:11" s="38" customFormat="1" ht="12.75" x14ac:dyDescent="0.2">
      <c r="A40" s="235">
        <v>112174</v>
      </c>
      <c r="B40" s="236" t="s">
        <v>11</v>
      </c>
      <c r="C40" s="236" t="s">
        <v>10</v>
      </c>
      <c r="D40" s="236" t="s">
        <v>5</v>
      </c>
      <c r="E40" s="237">
        <v>43617</v>
      </c>
      <c r="F40" s="236" t="s">
        <v>1234</v>
      </c>
      <c r="G40" s="237">
        <v>44867</v>
      </c>
      <c r="H40" s="233">
        <f>SUMIF(VA!B:B,A40,VA!I:I)</f>
        <v>359.46</v>
      </c>
      <c r="I40" s="193">
        <f>SUMIF(VR!B:B,A40,VR!I:I)</f>
        <v>657.5</v>
      </c>
      <c r="J40" s="194">
        <f t="shared" si="0"/>
        <v>1016.96</v>
      </c>
      <c r="K40" s="195">
        <f>SUMIF(FALTAS!A:A,A40,FALTAS!D:D)</f>
        <v>0</v>
      </c>
    </row>
    <row r="41" spans="1:11" s="38" customFormat="1" ht="12.75" x14ac:dyDescent="0.2">
      <c r="A41" s="235">
        <v>112430</v>
      </c>
      <c r="B41" s="236" t="s">
        <v>173</v>
      </c>
      <c r="C41" s="236" t="s">
        <v>1589</v>
      </c>
      <c r="D41" s="236" t="s">
        <v>5</v>
      </c>
      <c r="E41" s="237">
        <v>43617</v>
      </c>
      <c r="F41" s="236" t="s">
        <v>1234</v>
      </c>
      <c r="G41" s="237">
        <v>44930</v>
      </c>
      <c r="H41" s="233">
        <f>SUMIF(VA!B:B,A41,VA!I:I)</f>
        <v>359.46</v>
      </c>
      <c r="I41" s="193">
        <f>SUMIF(VR!B:B,A41,VR!I:I)</f>
        <v>657.5</v>
      </c>
      <c r="J41" s="194">
        <f t="shared" si="0"/>
        <v>1016.96</v>
      </c>
      <c r="K41" s="195">
        <f>SUMIF(FALTAS!A:A,A41,FALTAS!D:D)</f>
        <v>0</v>
      </c>
    </row>
    <row r="42" spans="1:11" s="38" customFormat="1" ht="12.75" x14ac:dyDescent="0.2">
      <c r="A42" s="235">
        <v>112433</v>
      </c>
      <c r="B42" s="236" t="s">
        <v>176</v>
      </c>
      <c r="C42" s="236" t="s">
        <v>1589</v>
      </c>
      <c r="D42" s="236" t="s">
        <v>22</v>
      </c>
      <c r="E42" s="237">
        <v>43617</v>
      </c>
      <c r="F42" s="236" t="s">
        <v>1234</v>
      </c>
      <c r="G42" s="237">
        <v>45149</v>
      </c>
      <c r="H42" s="233">
        <f>SUMIF(VA!B:B,A42,VA!I:I)</f>
        <v>359.46</v>
      </c>
      <c r="I42" s="193">
        <f>SUMIF(VR!B:B,A42,VR!I:I)</f>
        <v>657.5</v>
      </c>
      <c r="J42" s="194">
        <f t="shared" si="0"/>
        <v>1016.96</v>
      </c>
      <c r="K42" s="195">
        <f>SUMIF(FALTAS!A:A,A42,FALTAS!D:D)</f>
        <v>0</v>
      </c>
    </row>
    <row r="43" spans="1:11" s="38" customFormat="1" ht="12.75" x14ac:dyDescent="0.2">
      <c r="A43" s="235">
        <v>112436</v>
      </c>
      <c r="B43" s="236" t="s">
        <v>178</v>
      </c>
      <c r="C43" s="236" t="s">
        <v>10</v>
      </c>
      <c r="D43" s="236" t="s">
        <v>39</v>
      </c>
      <c r="E43" s="237">
        <v>43617</v>
      </c>
      <c r="F43" s="236" t="s">
        <v>1234</v>
      </c>
      <c r="G43" s="237">
        <v>45119</v>
      </c>
      <c r="H43" s="233">
        <f>SUMIF(VA!B:B,A43,VA!I:I)</f>
        <v>359.46</v>
      </c>
      <c r="I43" s="193">
        <f>SUMIF(VR!B:B,A43,VR!I:I)</f>
        <v>657.5</v>
      </c>
      <c r="J43" s="194">
        <f t="shared" si="0"/>
        <v>1016.96</v>
      </c>
      <c r="K43" s="195">
        <f>SUMIF(FALTAS!A:A,A43,FALTAS!D:D)</f>
        <v>0</v>
      </c>
    </row>
    <row r="44" spans="1:11" s="38" customFormat="1" ht="12.75" x14ac:dyDescent="0.2">
      <c r="A44" s="235">
        <v>112462</v>
      </c>
      <c r="B44" s="236" t="s">
        <v>190</v>
      </c>
      <c r="C44" s="236" t="s">
        <v>1589</v>
      </c>
      <c r="D44" s="236" t="s">
        <v>15</v>
      </c>
      <c r="E44" s="237">
        <v>43617</v>
      </c>
      <c r="F44" s="236" t="s">
        <v>1234</v>
      </c>
      <c r="G44" s="237">
        <v>44960</v>
      </c>
      <c r="H44" s="233">
        <f>SUMIF(VA!B:B,A44,VA!I:I)</f>
        <v>359.46</v>
      </c>
      <c r="I44" s="193">
        <f>SUMIF(VR!B:B,A44,VR!I:I)</f>
        <v>657.5</v>
      </c>
      <c r="J44" s="194">
        <f t="shared" si="0"/>
        <v>1016.96</v>
      </c>
      <c r="K44" s="195">
        <f>SUMIF(FALTAS!A:A,A44,FALTAS!D:D)</f>
        <v>0</v>
      </c>
    </row>
    <row r="45" spans="1:11" s="38" customFormat="1" ht="12.75" x14ac:dyDescent="0.2">
      <c r="A45" s="235">
        <v>116968</v>
      </c>
      <c r="B45" s="236" t="s">
        <v>1238</v>
      </c>
      <c r="C45" s="236" t="s">
        <v>8</v>
      </c>
      <c r="D45" s="236" t="s">
        <v>5</v>
      </c>
      <c r="E45" s="237">
        <v>44419</v>
      </c>
      <c r="F45" s="236" t="s">
        <v>1234</v>
      </c>
      <c r="G45" s="237">
        <v>45086</v>
      </c>
      <c r="H45" s="233">
        <f>SUMIF(VA!B:B,A45,VA!I:I)</f>
        <v>359.46</v>
      </c>
      <c r="I45" s="193">
        <f>SUMIF(VR!B:B,A45,VR!I:I)</f>
        <v>657.5</v>
      </c>
      <c r="J45" s="194">
        <f t="shared" si="0"/>
        <v>1016.96</v>
      </c>
      <c r="K45" s="195">
        <f>SUMIF(FALTAS!A:A,A45,FALTAS!D:D)</f>
        <v>0</v>
      </c>
    </row>
    <row r="46" spans="1:11" s="38" customFormat="1" ht="12.75" x14ac:dyDescent="0.2">
      <c r="A46" s="235">
        <v>112547</v>
      </c>
      <c r="B46" s="236" t="s">
        <v>257</v>
      </c>
      <c r="C46" s="236" t="s">
        <v>10</v>
      </c>
      <c r="D46" s="236" t="s">
        <v>2</v>
      </c>
      <c r="E46" s="237">
        <v>43617</v>
      </c>
      <c r="F46" s="236" t="s">
        <v>1234</v>
      </c>
      <c r="G46" s="237">
        <v>45149</v>
      </c>
      <c r="H46" s="233">
        <f>SUMIF(VA!B:B,A46,VA!I:I)</f>
        <v>359.46</v>
      </c>
      <c r="I46" s="193">
        <f>SUMIF(VR!B:B,A46,VR!I:I)</f>
        <v>657.5</v>
      </c>
      <c r="J46" s="194">
        <f t="shared" si="0"/>
        <v>1016.96</v>
      </c>
      <c r="K46" s="195">
        <f>SUMIF(FALTAS!A:A,A46,FALTAS!D:D)</f>
        <v>0</v>
      </c>
    </row>
    <row r="47" spans="1:11" s="38" customFormat="1" ht="12.75" x14ac:dyDescent="0.2">
      <c r="A47" s="235">
        <v>112632</v>
      </c>
      <c r="B47" s="236" t="s">
        <v>311</v>
      </c>
      <c r="C47" s="236" t="s">
        <v>10</v>
      </c>
      <c r="D47" s="236" t="s">
        <v>2</v>
      </c>
      <c r="E47" s="237">
        <v>43617</v>
      </c>
      <c r="F47" s="236" t="s">
        <v>1235</v>
      </c>
      <c r="G47" s="237">
        <v>45147</v>
      </c>
      <c r="H47" s="233">
        <f>SUMIF(VA!B:B,A47,VA!I:I)</f>
        <v>359.46</v>
      </c>
      <c r="I47" s="193">
        <f>SUMIF(VR!B:B,A47,VR!I:I)</f>
        <v>657.5</v>
      </c>
      <c r="J47" s="194">
        <f t="shared" si="0"/>
        <v>1016.96</v>
      </c>
      <c r="K47" s="195">
        <f>SUMIF(FALTAS!A:A,A47,FALTAS!D:D)</f>
        <v>0</v>
      </c>
    </row>
    <row r="48" spans="1:11" s="38" customFormat="1" ht="12.75" x14ac:dyDescent="0.2">
      <c r="A48" s="235">
        <v>112549</v>
      </c>
      <c r="B48" s="236" t="s">
        <v>259</v>
      </c>
      <c r="C48" s="236" t="s">
        <v>10</v>
      </c>
      <c r="D48" s="236" t="s">
        <v>2</v>
      </c>
      <c r="E48" s="237">
        <v>43617</v>
      </c>
      <c r="F48" s="236" t="s">
        <v>1235</v>
      </c>
      <c r="G48" s="237">
        <v>45147</v>
      </c>
      <c r="H48" s="233">
        <f>SUMIF(VA!B:B,A48,VA!I:I)</f>
        <v>359.46</v>
      </c>
      <c r="I48" s="193">
        <f>SUMIF(VR!B:B,A48,VR!I:I)</f>
        <v>657.5</v>
      </c>
      <c r="J48" s="194">
        <f t="shared" si="0"/>
        <v>1016.96</v>
      </c>
      <c r="K48" s="195">
        <f>SUMIF(FALTAS!A:A,A48,FALTAS!D:D)</f>
        <v>0</v>
      </c>
    </row>
    <row r="49" spans="1:11" s="38" customFormat="1" ht="12.75" x14ac:dyDescent="0.2">
      <c r="A49" s="235">
        <v>112641</v>
      </c>
      <c r="B49" s="236" t="s">
        <v>316</v>
      </c>
      <c r="C49" s="236" t="s">
        <v>10</v>
      </c>
      <c r="D49" s="236" t="s">
        <v>2</v>
      </c>
      <c r="E49" s="237">
        <v>43617</v>
      </c>
      <c r="F49" s="236" t="s">
        <v>1235</v>
      </c>
      <c r="G49" s="237">
        <v>45147</v>
      </c>
      <c r="H49" s="233">
        <f>SUMIF(VA!B:B,A49,VA!I:I)</f>
        <v>359.46</v>
      </c>
      <c r="I49" s="193">
        <f>SUMIF(VR!B:B,A49,VR!I:I)</f>
        <v>657.5</v>
      </c>
      <c r="J49" s="194">
        <f t="shared" si="0"/>
        <v>1016.96</v>
      </c>
      <c r="K49" s="195">
        <f>SUMIF(FALTAS!A:A,A49,FALTAS!D:D)</f>
        <v>0</v>
      </c>
    </row>
    <row r="50" spans="1:11" s="38" customFormat="1" ht="12.75" x14ac:dyDescent="0.2">
      <c r="A50" s="235">
        <v>114966</v>
      </c>
      <c r="B50" s="236" t="s">
        <v>1134</v>
      </c>
      <c r="C50" s="236" t="s">
        <v>1589</v>
      </c>
      <c r="D50" s="236" t="s">
        <v>5</v>
      </c>
      <c r="E50" s="237">
        <v>43917</v>
      </c>
      <c r="F50" s="236" t="s">
        <v>1234</v>
      </c>
      <c r="G50" s="237">
        <v>45086</v>
      </c>
      <c r="H50" s="233">
        <f>SUMIF(VA!B:B,A50,VA!I:I)</f>
        <v>359.46</v>
      </c>
      <c r="I50" s="193">
        <f>SUMIF(VR!B:B,A50,VR!I:I)</f>
        <v>657.5</v>
      </c>
      <c r="J50" s="194">
        <f t="shared" si="0"/>
        <v>1016.96</v>
      </c>
      <c r="K50" s="195">
        <f>SUMIF(FALTAS!A:A,A50,FALTAS!D:D)</f>
        <v>0</v>
      </c>
    </row>
    <row r="51" spans="1:11" s="38" customFormat="1" ht="12.75" x14ac:dyDescent="0.2">
      <c r="A51" s="235">
        <v>116076</v>
      </c>
      <c r="B51" s="236" t="s">
        <v>1184</v>
      </c>
      <c r="C51" s="236" t="s">
        <v>1589</v>
      </c>
      <c r="D51" s="236" t="s">
        <v>139</v>
      </c>
      <c r="E51" s="237">
        <v>44218</v>
      </c>
      <c r="F51" s="236" t="s">
        <v>1234</v>
      </c>
      <c r="G51" s="237">
        <v>45049</v>
      </c>
      <c r="H51" s="233">
        <f>SUMIF(VA!B:B,A51,VA!I:I)</f>
        <v>359.46</v>
      </c>
      <c r="I51" s="193">
        <f>SUMIF(VR!B:B,A51,VR!I:I)</f>
        <v>657.5</v>
      </c>
      <c r="J51" s="194">
        <f t="shared" si="0"/>
        <v>1016.96</v>
      </c>
      <c r="K51" s="195">
        <f>SUMIF(FALTAS!A:A,A51,FALTAS!D:D)</f>
        <v>0</v>
      </c>
    </row>
    <row r="52" spans="1:11" s="38" customFormat="1" ht="12.75" x14ac:dyDescent="0.2">
      <c r="A52" s="235">
        <v>113710</v>
      </c>
      <c r="B52" s="236" t="s">
        <v>1556</v>
      </c>
      <c r="C52" s="236" t="s">
        <v>1589</v>
      </c>
      <c r="D52" s="236" t="s">
        <v>722</v>
      </c>
      <c r="E52" s="237">
        <v>43619</v>
      </c>
      <c r="F52" s="236" t="s">
        <v>1285</v>
      </c>
      <c r="G52" s="237">
        <v>43968</v>
      </c>
      <c r="H52" s="233">
        <f>SUMIF(VA!B:B,A52,VA!I:I)</f>
        <v>0</v>
      </c>
      <c r="I52" s="193">
        <f>SUMIF(VR!B:B,A52,VR!I:I)</f>
        <v>0</v>
      </c>
      <c r="J52" s="194">
        <f t="shared" si="0"/>
        <v>0</v>
      </c>
      <c r="K52" s="195">
        <f>SUMIF(FALTAS!A:A,A52,FALTAS!D:D)</f>
        <v>0</v>
      </c>
    </row>
    <row r="53" spans="1:11" x14ac:dyDescent="0.2">
      <c r="A53" s="235">
        <v>112646</v>
      </c>
      <c r="B53" s="236" t="s">
        <v>318</v>
      </c>
      <c r="C53" s="236" t="s">
        <v>19</v>
      </c>
      <c r="D53" s="236" t="s">
        <v>5</v>
      </c>
      <c r="E53" s="237">
        <v>43617</v>
      </c>
      <c r="F53" s="236" t="s">
        <v>1235</v>
      </c>
      <c r="G53" s="237">
        <v>45147</v>
      </c>
      <c r="H53" s="233">
        <f>SUMIF(VA!B:B,A53,VA!I:I)</f>
        <v>359.46</v>
      </c>
      <c r="I53" s="193">
        <f>SUMIF(VR!B:B,A53,VR!I:I)</f>
        <v>657.5</v>
      </c>
      <c r="J53" s="194">
        <f t="shared" si="0"/>
        <v>1016.96</v>
      </c>
      <c r="K53" s="195">
        <f>SUMIF(FALTAS!A:A,A53,FALTAS!D:D)</f>
        <v>0</v>
      </c>
    </row>
    <row r="54" spans="1:11" x14ac:dyDescent="0.2">
      <c r="A54" s="235">
        <v>121954</v>
      </c>
      <c r="B54" s="236" t="s">
        <v>1612</v>
      </c>
      <c r="C54" s="236" t="s">
        <v>1589</v>
      </c>
      <c r="D54" s="236" t="s">
        <v>5</v>
      </c>
      <c r="E54" s="237">
        <v>45040</v>
      </c>
      <c r="F54" s="236" t="s">
        <v>1234</v>
      </c>
      <c r="G54" s="237">
        <v>45040</v>
      </c>
      <c r="H54" s="234">
        <f>SUMIF(VA!B:B,A54,VA!I:I)</f>
        <v>335.49</v>
      </c>
      <c r="I54" s="33">
        <f>SUMIF(VR!B:B,A54,VR!I:I)</f>
        <v>604.9</v>
      </c>
      <c r="J54" s="4">
        <f t="shared" si="0"/>
        <v>940.39</v>
      </c>
      <c r="K54" s="195">
        <f>SUMIF(FALTAS!A:A,A54,FALTAS!D:D)</f>
        <v>2</v>
      </c>
    </row>
    <row r="55" spans="1:11" x14ac:dyDescent="0.2">
      <c r="A55" s="235">
        <v>117290</v>
      </c>
      <c r="B55" s="236" t="s">
        <v>1266</v>
      </c>
      <c r="C55" s="236" t="s">
        <v>1589</v>
      </c>
      <c r="D55" s="236" t="s">
        <v>932</v>
      </c>
      <c r="E55" s="237">
        <v>44494</v>
      </c>
      <c r="F55" s="236" t="s">
        <v>1234</v>
      </c>
      <c r="G55" s="237">
        <v>44985</v>
      </c>
      <c r="H55" s="234">
        <f>SUMIF(VA!B:B,A55,VA!I:I)</f>
        <v>359.46</v>
      </c>
      <c r="I55" s="33">
        <f>SUMIF(VR!B:B,A55,VR!I:I)</f>
        <v>657.5</v>
      </c>
      <c r="J55" s="4">
        <f t="shared" si="0"/>
        <v>1016.96</v>
      </c>
      <c r="K55" s="195">
        <f>SUMIF(FALTAS!A:A,A55,FALTAS!D:D)</f>
        <v>0</v>
      </c>
    </row>
    <row r="56" spans="1:11" x14ac:dyDescent="0.2">
      <c r="A56" s="235">
        <v>112652</v>
      </c>
      <c r="B56" s="236" t="s">
        <v>321</v>
      </c>
      <c r="C56" s="236" t="s">
        <v>32</v>
      </c>
      <c r="D56" s="236" t="s">
        <v>5</v>
      </c>
      <c r="E56" s="237">
        <v>43617</v>
      </c>
      <c r="F56" s="236" t="s">
        <v>1234</v>
      </c>
      <c r="G56" s="237">
        <v>44835</v>
      </c>
      <c r="H56" s="234">
        <f>SUMIF(VA!B:B,A56,VA!I:I)</f>
        <v>359.46</v>
      </c>
      <c r="I56" s="33">
        <f>SUMIF(VR!B:B,A56,VR!I:I)</f>
        <v>657.5</v>
      </c>
      <c r="J56" s="4">
        <f t="shared" si="0"/>
        <v>1016.96</v>
      </c>
      <c r="K56" s="195">
        <f>SUMIF(FALTAS!A:A,A56,FALTAS!D:D)</f>
        <v>0</v>
      </c>
    </row>
    <row r="57" spans="1:11" x14ac:dyDescent="0.2">
      <c r="A57" s="235">
        <v>112567</v>
      </c>
      <c r="B57" s="236" t="s">
        <v>269</v>
      </c>
      <c r="C57" s="236" t="s">
        <v>8</v>
      </c>
      <c r="D57" s="236" t="s">
        <v>5</v>
      </c>
      <c r="E57" s="237">
        <v>43617</v>
      </c>
      <c r="F57" s="236" t="s">
        <v>1234</v>
      </c>
      <c r="G57" s="237">
        <v>44898</v>
      </c>
      <c r="H57" s="234">
        <f>SUMIF(VA!B:B,A57,VA!I:I)</f>
        <v>359.46</v>
      </c>
      <c r="I57" s="33">
        <f>SUMIF(VR!B:B,A57,VR!I:I)</f>
        <v>657.5</v>
      </c>
      <c r="J57" s="4">
        <f t="shared" si="0"/>
        <v>1016.96</v>
      </c>
      <c r="K57" s="195">
        <f>SUMIF(FALTAS!A:A,A57,FALTAS!D:D)</f>
        <v>0</v>
      </c>
    </row>
    <row r="58" spans="1:11" x14ac:dyDescent="0.2">
      <c r="A58" s="235">
        <v>112656</v>
      </c>
      <c r="B58" s="236" t="s">
        <v>323</v>
      </c>
      <c r="C58" s="236" t="s">
        <v>1589</v>
      </c>
      <c r="D58" s="236" t="s">
        <v>22</v>
      </c>
      <c r="E58" s="237">
        <v>43617</v>
      </c>
      <c r="F58" s="236" t="s">
        <v>1234</v>
      </c>
      <c r="G58" s="237">
        <v>44898</v>
      </c>
      <c r="H58" s="234">
        <f>SUMIF(VA!B:B,A58,VA!I:I)</f>
        <v>359.46</v>
      </c>
      <c r="I58" s="33">
        <f>SUMIF(VR!B:B,A58,VR!I:I)</f>
        <v>657.5</v>
      </c>
      <c r="J58" s="4">
        <f t="shared" si="0"/>
        <v>1016.96</v>
      </c>
      <c r="K58" s="195">
        <f>SUMIF(FALTAS!A:A,A58,FALTAS!D:D)</f>
        <v>0</v>
      </c>
    </row>
    <row r="59" spans="1:11" x14ac:dyDescent="0.2">
      <c r="A59" s="235">
        <v>114976</v>
      </c>
      <c r="B59" s="236" t="s">
        <v>1137</v>
      </c>
      <c r="C59" s="236" t="s">
        <v>1589</v>
      </c>
      <c r="D59" s="236" t="s">
        <v>282</v>
      </c>
      <c r="E59" s="237">
        <v>43917</v>
      </c>
      <c r="F59" s="236" t="s">
        <v>1234</v>
      </c>
      <c r="G59" s="237">
        <v>45086</v>
      </c>
      <c r="H59" s="234">
        <f>SUMIF(VA!B:B,A59,VA!I:I)</f>
        <v>359.46</v>
      </c>
      <c r="I59" s="33">
        <f>SUMIF(VR!B:B,A59,VR!I:I)</f>
        <v>657.5</v>
      </c>
      <c r="J59" s="4">
        <f t="shared" si="0"/>
        <v>1016.96</v>
      </c>
      <c r="K59" s="195">
        <f>SUMIF(FALTAS!A:A,A59,FALTAS!D:D)</f>
        <v>0</v>
      </c>
    </row>
    <row r="60" spans="1:11" x14ac:dyDescent="0.2">
      <c r="A60" s="235">
        <v>112664</v>
      </c>
      <c r="B60" s="236" t="s">
        <v>327</v>
      </c>
      <c r="C60" s="236" t="s">
        <v>0</v>
      </c>
      <c r="D60" s="236" t="s">
        <v>2</v>
      </c>
      <c r="E60" s="237">
        <v>43617</v>
      </c>
      <c r="F60" s="236" t="s">
        <v>1234</v>
      </c>
      <c r="G60" s="237">
        <v>44993</v>
      </c>
      <c r="H60" s="234">
        <f>SUMIF(VA!B:B,A60,VA!I:I)</f>
        <v>347.47</v>
      </c>
      <c r="I60" s="33">
        <f>SUMIF(VR!B:B,A60,VR!I:I)</f>
        <v>631.20000000000005</v>
      </c>
      <c r="J60" s="4">
        <f t="shared" si="0"/>
        <v>978.67000000000007</v>
      </c>
      <c r="K60" s="195">
        <f>SUMIF(FALTAS!A:A,A60,FALTAS!D:D)</f>
        <v>1</v>
      </c>
    </row>
    <row r="61" spans="1:11" x14ac:dyDescent="0.2">
      <c r="A61" s="235">
        <v>112691</v>
      </c>
      <c r="B61" s="236" t="s">
        <v>344</v>
      </c>
      <c r="C61" s="236" t="s">
        <v>1589</v>
      </c>
      <c r="D61" s="236" t="s">
        <v>22</v>
      </c>
      <c r="E61" s="237">
        <v>43617</v>
      </c>
      <c r="F61" s="236" t="s">
        <v>1234</v>
      </c>
      <c r="G61" s="237">
        <v>44960</v>
      </c>
      <c r="H61" s="234">
        <f>SUMIF(VA!B:B,A61,VA!I:I)</f>
        <v>359.46</v>
      </c>
      <c r="I61" s="33">
        <f>SUMIF(VR!B:B,A61,VR!I:I)</f>
        <v>657.5</v>
      </c>
      <c r="J61" s="4">
        <f t="shared" si="0"/>
        <v>1016.96</v>
      </c>
      <c r="K61" s="195">
        <f>SUMIF(FALTAS!A:A,A61,FALTAS!D:D)</f>
        <v>0</v>
      </c>
    </row>
    <row r="62" spans="1:11" x14ac:dyDescent="0.2">
      <c r="A62" s="235">
        <v>112697</v>
      </c>
      <c r="B62" s="236" t="s">
        <v>348</v>
      </c>
      <c r="C62" s="236" t="s">
        <v>8</v>
      </c>
      <c r="D62" s="236" t="s">
        <v>2</v>
      </c>
      <c r="E62" s="237">
        <v>43617</v>
      </c>
      <c r="F62" s="236" t="s">
        <v>1234</v>
      </c>
      <c r="G62" s="237">
        <v>45056</v>
      </c>
      <c r="H62" s="234">
        <f>SUMIF(VA!B:B,A62,VA!I:I)</f>
        <v>359.46</v>
      </c>
      <c r="I62" s="33">
        <f>SUMIF(VR!B:B,A62,VR!I:I)</f>
        <v>657.5</v>
      </c>
      <c r="J62" s="4">
        <f t="shared" si="0"/>
        <v>1016.96</v>
      </c>
      <c r="K62" s="195">
        <f>SUMIF(FALTAS!A:A,A62,FALTAS!D:D)</f>
        <v>0</v>
      </c>
    </row>
    <row r="63" spans="1:11" x14ac:dyDescent="0.2">
      <c r="A63" s="235">
        <v>112700</v>
      </c>
      <c r="B63" s="236" t="s">
        <v>352</v>
      </c>
      <c r="C63" s="236" t="s">
        <v>8</v>
      </c>
      <c r="D63" s="236" t="s">
        <v>2</v>
      </c>
      <c r="E63" s="237">
        <v>43617</v>
      </c>
      <c r="F63" s="236" t="s">
        <v>1234</v>
      </c>
      <c r="G63" s="237">
        <v>45056</v>
      </c>
      <c r="H63" s="234">
        <f>SUMIF(VA!B:B,A63,VA!I:I)</f>
        <v>359.46</v>
      </c>
      <c r="I63" s="33">
        <f>SUMIF(VR!B:B,A63,VR!I:I)</f>
        <v>657.5</v>
      </c>
      <c r="J63" s="4">
        <f t="shared" si="0"/>
        <v>1016.96</v>
      </c>
      <c r="K63" s="195">
        <f>SUMIF(FALTAS!A:A,A63,FALTAS!D:D)</f>
        <v>0</v>
      </c>
    </row>
    <row r="64" spans="1:11" x14ac:dyDescent="0.2">
      <c r="A64" s="235">
        <v>112175</v>
      </c>
      <c r="B64" s="236" t="s">
        <v>12</v>
      </c>
      <c r="C64" s="236" t="s">
        <v>10</v>
      </c>
      <c r="D64" s="236" t="s">
        <v>5</v>
      </c>
      <c r="E64" s="237">
        <v>43617</v>
      </c>
      <c r="F64" s="236" t="s">
        <v>1234</v>
      </c>
      <c r="G64" s="237">
        <v>44776</v>
      </c>
      <c r="H64" s="234">
        <f>SUMIF(VA!B:B,A64,VA!I:I)</f>
        <v>359.46</v>
      </c>
      <c r="I64" s="33">
        <f>SUMIF(VR!B:B,A64,VR!I:I)</f>
        <v>657.5</v>
      </c>
      <c r="J64" s="4">
        <f t="shared" si="0"/>
        <v>1016.96</v>
      </c>
      <c r="K64" s="195">
        <f>SUMIF(FALTAS!A:A,A64,FALTAS!D:D)</f>
        <v>0</v>
      </c>
    </row>
    <row r="65" spans="1:11" x14ac:dyDescent="0.2">
      <c r="A65" s="235">
        <v>121314</v>
      </c>
      <c r="B65" s="236" t="s">
        <v>1531</v>
      </c>
      <c r="C65" s="236" t="s">
        <v>10</v>
      </c>
      <c r="D65" s="236" t="s">
        <v>5</v>
      </c>
      <c r="E65" s="237">
        <v>44945</v>
      </c>
      <c r="F65" s="236" t="s">
        <v>1234</v>
      </c>
      <c r="G65" s="237">
        <v>44945</v>
      </c>
      <c r="H65" s="234">
        <f>SUMIF(VA!B:B,A65,VA!I:I)</f>
        <v>359.46</v>
      </c>
      <c r="I65" s="33">
        <f>SUMIF(VR!B:B,A65,VR!I:I)</f>
        <v>657.5</v>
      </c>
      <c r="J65" s="4">
        <f t="shared" si="0"/>
        <v>1016.96</v>
      </c>
      <c r="K65" s="195">
        <f>SUMIF(FALTAS!A:A,A65,FALTAS!D:D)</f>
        <v>0</v>
      </c>
    </row>
    <row r="66" spans="1:11" x14ac:dyDescent="0.2">
      <c r="A66" s="235">
        <v>112719</v>
      </c>
      <c r="B66" s="236" t="s">
        <v>363</v>
      </c>
      <c r="C66" s="236" t="s">
        <v>1589</v>
      </c>
      <c r="D66" s="236" t="s">
        <v>15</v>
      </c>
      <c r="E66" s="237">
        <v>43617</v>
      </c>
      <c r="F66" s="236" t="s">
        <v>1234</v>
      </c>
      <c r="G66" s="237">
        <v>44960</v>
      </c>
      <c r="H66" s="234">
        <f>SUMIF(VA!B:B,A66,VA!I:I)</f>
        <v>359.46</v>
      </c>
      <c r="I66" s="33">
        <f>SUMIF(VR!B:B,A66,VR!I:I)</f>
        <v>657.5</v>
      </c>
      <c r="J66" s="4">
        <f t="shared" ref="J66:J129" si="1">H66+I66</f>
        <v>1016.96</v>
      </c>
      <c r="K66" s="195">
        <f>SUMIF(FALTAS!A:A,A66,FALTAS!D:D)</f>
        <v>0</v>
      </c>
    </row>
    <row r="67" spans="1:11" x14ac:dyDescent="0.2">
      <c r="A67" s="235">
        <v>112726</v>
      </c>
      <c r="B67" s="236" t="s">
        <v>368</v>
      </c>
      <c r="C67" s="236" t="s">
        <v>1589</v>
      </c>
      <c r="D67" s="236" t="s">
        <v>22</v>
      </c>
      <c r="E67" s="237">
        <v>43617</v>
      </c>
      <c r="F67" s="236" t="s">
        <v>1234</v>
      </c>
      <c r="G67" s="237">
        <v>45149</v>
      </c>
      <c r="H67" s="234">
        <f>SUMIF(VA!B:B,A67,VA!I:I)</f>
        <v>359.46</v>
      </c>
      <c r="I67" s="33">
        <f>SUMIF(VR!B:B,A67,VR!I:I)</f>
        <v>657.5</v>
      </c>
      <c r="J67" s="4">
        <f t="shared" si="1"/>
        <v>1016.96</v>
      </c>
      <c r="K67" s="195">
        <f>SUMIF(FALTAS!A:A,A67,FALTAS!D:D)</f>
        <v>0</v>
      </c>
    </row>
    <row r="68" spans="1:11" x14ac:dyDescent="0.2">
      <c r="A68" s="235">
        <v>113795</v>
      </c>
      <c r="B68" s="236" t="s">
        <v>985</v>
      </c>
      <c r="C68" s="236" t="s">
        <v>1591</v>
      </c>
      <c r="D68" s="236" t="s">
        <v>986</v>
      </c>
      <c r="E68" s="237">
        <v>43628</v>
      </c>
      <c r="F68" s="236" t="s">
        <v>1234</v>
      </c>
      <c r="G68" s="237">
        <v>44825</v>
      </c>
      <c r="H68" s="234">
        <f>SUMIF(VA!B:B,A68,VA!I:I)</f>
        <v>359.46</v>
      </c>
      <c r="I68" s="33">
        <f>SUMIF(VR!B:B,A68,VR!I:I)</f>
        <v>657.5</v>
      </c>
      <c r="J68" s="4">
        <f t="shared" si="1"/>
        <v>1016.96</v>
      </c>
      <c r="K68" s="195">
        <f>SUMIF(FALTAS!A:A,A68,FALTAS!D:D)</f>
        <v>0</v>
      </c>
    </row>
    <row r="69" spans="1:11" x14ac:dyDescent="0.2">
      <c r="A69" s="235">
        <v>116020</v>
      </c>
      <c r="B69" s="236" t="s">
        <v>1177</v>
      </c>
      <c r="C69" s="236" t="s">
        <v>0</v>
      </c>
      <c r="D69" s="236" t="s">
        <v>5</v>
      </c>
      <c r="E69" s="237">
        <v>44207</v>
      </c>
      <c r="F69" s="236" t="s">
        <v>1235</v>
      </c>
      <c r="G69" s="237">
        <v>45147</v>
      </c>
      <c r="H69" s="234">
        <f>SUMIF(VA!B:B,A69,VA!I:I)</f>
        <v>359.46</v>
      </c>
      <c r="I69" s="33">
        <f>SUMIF(VR!B:B,A69,VR!I:I)</f>
        <v>657.5</v>
      </c>
      <c r="J69" s="4">
        <f t="shared" si="1"/>
        <v>1016.96</v>
      </c>
      <c r="K69" s="195">
        <f>SUMIF(FALTAS!A:A,A69,FALTAS!D:D)</f>
        <v>0</v>
      </c>
    </row>
    <row r="70" spans="1:11" x14ac:dyDescent="0.2">
      <c r="A70" s="235">
        <v>114101</v>
      </c>
      <c r="B70" s="236" t="s">
        <v>1008</v>
      </c>
      <c r="C70" s="236" t="s">
        <v>19</v>
      </c>
      <c r="D70" s="236" t="s">
        <v>5</v>
      </c>
      <c r="E70" s="237">
        <v>43728</v>
      </c>
      <c r="F70" s="236" t="s">
        <v>1285</v>
      </c>
      <c r="G70" s="237">
        <v>45140</v>
      </c>
      <c r="H70" s="234">
        <f>SUMIF(VA!B:B,A70,VA!I:I)</f>
        <v>0</v>
      </c>
      <c r="I70" s="33">
        <f>SUMIF(VR!B:B,A70,VR!I:I)</f>
        <v>0</v>
      </c>
      <c r="J70" s="4">
        <f t="shared" si="1"/>
        <v>0</v>
      </c>
      <c r="K70" s="195">
        <f>SUMIF(FALTAS!A:A,A70,FALTAS!D:D)</f>
        <v>0</v>
      </c>
    </row>
    <row r="71" spans="1:11" x14ac:dyDescent="0.2">
      <c r="A71" s="235">
        <v>122437</v>
      </c>
      <c r="B71" s="236" t="s">
        <v>1692</v>
      </c>
      <c r="C71" s="236" t="s">
        <v>1589</v>
      </c>
      <c r="D71" s="236" t="s">
        <v>5</v>
      </c>
      <c r="E71" s="237">
        <v>45117</v>
      </c>
      <c r="F71" s="236" t="s">
        <v>1234</v>
      </c>
      <c r="G71" s="237">
        <v>45117</v>
      </c>
      <c r="H71" s="234">
        <f>SUMIF(VA!B:B,A71,VA!I:I)</f>
        <v>359.46</v>
      </c>
      <c r="I71" s="33">
        <f>SUMIF(VR!B:B,A71,VR!I:I)</f>
        <v>657.5</v>
      </c>
      <c r="J71" s="4">
        <f t="shared" si="1"/>
        <v>1016.96</v>
      </c>
      <c r="K71" s="195">
        <f>SUMIF(FALTAS!A:A,A71,FALTAS!D:D)</f>
        <v>0</v>
      </c>
    </row>
    <row r="72" spans="1:11" x14ac:dyDescent="0.2">
      <c r="A72" s="235">
        <v>114273</v>
      </c>
      <c r="B72" s="236" t="s">
        <v>1034</v>
      </c>
      <c r="C72" s="236" t="s">
        <v>0</v>
      </c>
      <c r="D72" s="236" t="s">
        <v>5</v>
      </c>
      <c r="E72" s="237">
        <v>43804</v>
      </c>
      <c r="F72" s="236" t="s">
        <v>1234</v>
      </c>
      <c r="G72" s="237">
        <v>45143</v>
      </c>
      <c r="H72" s="234">
        <f>SUMIF(VA!B:B,A72,VA!I:I)</f>
        <v>359.46</v>
      </c>
      <c r="I72" s="33">
        <f>SUMIF(VR!B:B,A72,VR!I:I)</f>
        <v>657.5</v>
      </c>
      <c r="J72" s="4">
        <f t="shared" si="1"/>
        <v>1016.96</v>
      </c>
      <c r="K72" s="195">
        <f>SUMIF(FALTAS!A:A,A72,FALTAS!D:D)</f>
        <v>0</v>
      </c>
    </row>
    <row r="73" spans="1:11" x14ac:dyDescent="0.2">
      <c r="A73" s="235">
        <v>112763</v>
      </c>
      <c r="B73" s="236" t="s">
        <v>390</v>
      </c>
      <c r="C73" s="236" t="s">
        <v>1589</v>
      </c>
      <c r="D73" s="236" t="s">
        <v>15</v>
      </c>
      <c r="E73" s="237">
        <v>43627</v>
      </c>
      <c r="F73" s="236" t="s">
        <v>1234</v>
      </c>
      <c r="G73" s="237">
        <v>44930</v>
      </c>
      <c r="H73" s="234">
        <f>SUMIF(VA!B:B,A73,VA!I:I)</f>
        <v>359.46</v>
      </c>
      <c r="I73" s="33">
        <f>SUMIF(VR!B:B,A73,VR!I:I)</f>
        <v>657.5</v>
      </c>
      <c r="J73" s="4">
        <f t="shared" si="1"/>
        <v>1016.96</v>
      </c>
      <c r="K73" s="195">
        <f>SUMIF(FALTAS!A:A,A73,FALTAS!D:D)</f>
        <v>0</v>
      </c>
    </row>
    <row r="74" spans="1:11" x14ac:dyDescent="0.2">
      <c r="A74" s="235">
        <v>113000</v>
      </c>
      <c r="B74" s="236" t="s">
        <v>540</v>
      </c>
      <c r="C74" s="236" t="s">
        <v>1589</v>
      </c>
      <c r="D74" s="236" t="s">
        <v>15</v>
      </c>
      <c r="E74" s="237">
        <v>43617</v>
      </c>
      <c r="F74" s="236" t="s">
        <v>1234</v>
      </c>
      <c r="G74" s="237">
        <v>44898</v>
      </c>
      <c r="H74" s="234">
        <f>SUMIF(VA!B:B,A74,VA!I:I)</f>
        <v>359.46</v>
      </c>
      <c r="I74" s="33">
        <f>SUMIF(VR!B:B,A74,VR!I:I)</f>
        <v>657.5</v>
      </c>
      <c r="J74" s="4">
        <f t="shared" si="1"/>
        <v>1016.96</v>
      </c>
      <c r="K74" s="195">
        <f>SUMIF(FALTAS!A:A,A74,FALTAS!D:D)</f>
        <v>0</v>
      </c>
    </row>
    <row r="75" spans="1:11" x14ac:dyDescent="0.2">
      <c r="A75" s="235">
        <v>112793</v>
      </c>
      <c r="B75" s="236" t="s">
        <v>414</v>
      </c>
      <c r="C75" s="236" t="s">
        <v>10</v>
      </c>
      <c r="D75" s="236" t="s">
        <v>2</v>
      </c>
      <c r="E75" s="237">
        <v>43617</v>
      </c>
      <c r="F75" s="236" t="s">
        <v>1234</v>
      </c>
      <c r="G75" s="237">
        <v>45023</v>
      </c>
      <c r="H75" s="234">
        <f>SUMIF(VA!B:B,A75,VA!I:I)</f>
        <v>359.46</v>
      </c>
      <c r="I75" s="33">
        <f>SUMIF(VR!B:B,A75,VR!I:I)</f>
        <v>657.5</v>
      </c>
      <c r="J75" s="4">
        <f t="shared" si="1"/>
        <v>1016.96</v>
      </c>
      <c r="K75" s="195">
        <f>SUMIF(FALTAS!A:A,A75,FALTAS!D:D)</f>
        <v>0</v>
      </c>
    </row>
    <row r="76" spans="1:11" x14ac:dyDescent="0.2">
      <c r="A76" s="235">
        <v>117410</v>
      </c>
      <c r="B76" s="236" t="s">
        <v>1278</v>
      </c>
      <c r="C76" s="236" t="s">
        <v>1589</v>
      </c>
      <c r="D76" s="236" t="s">
        <v>205</v>
      </c>
      <c r="E76" s="237">
        <v>44522</v>
      </c>
      <c r="F76" s="236" t="s">
        <v>1234</v>
      </c>
      <c r="G76" s="237">
        <v>45147</v>
      </c>
      <c r="H76" s="234">
        <f>SUMIF(VA!B:B,A76,VA!I:I)</f>
        <v>359.46</v>
      </c>
      <c r="I76" s="33">
        <f>SUMIF(VR!B:B,A76,VR!I:I)</f>
        <v>657.5</v>
      </c>
      <c r="J76" s="4">
        <f t="shared" si="1"/>
        <v>1016.96</v>
      </c>
      <c r="K76" s="195">
        <f>SUMIF(FALTAS!A:A,A76,FALTAS!D:D)</f>
        <v>0</v>
      </c>
    </row>
    <row r="77" spans="1:11" x14ac:dyDescent="0.2">
      <c r="A77" s="235">
        <v>112798</v>
      </c>
      <c r="B77" s="236" t="s">
        <v>418</v>
      </c>
      <c r="C77" s="236" t="s">
        <v>8</v>
      </c>
      <c r="D77" s="236" t="s">
        <v>2</v>
      </c>
      <c r="E77" s="237">
        <v>43617</v>
      </c>
      <c r="F77" s="236" t="s">
        <v>1234</v>
      </c>
      <c r="G77" s="237">
        <v>45056</v>
      </c>
      <c r="H77" s="234">
        <f>SUMIF(VA!B:B,A77,VA!I:I)</f>
        <v>359.46</v>
      </c>
      <c r="I77" s="33">
        <f>SUMIF(VR!B:B,A77,VR!I:I)</f>
        <v>657.5</v>
      </c>
      <c r="J77" s="4">
        <f t="shared" si="1"/>
        <v>1016.96</v>
      </c>
      <c r="K77" s="195">
        <f>SUMIF(FALTAS!A:A,A77,FALTAS!D:D)</f>
        <v>0</v>
      </c>
    </row>
    <row r="78" spans="1:11" x14ac:dyDescent="0.2">
      <c r="A78" s="235">
        <v>113028</v>
      </c>
      <c r="B78" s="236" t="s">
        <v>550</v>
      </c>
      <c r="C78" s="236" t="s">
        <v>19</v>
      </c>
      <c r="D78" s="236" t="s">
        <v>182</v>
      </c>
      <c r="E78" s="237">
        <v>43617</v>
      </c>
      <c r="F78" s="236" t="s">
        <v>1235</v>
      </c>
      <c r="G78" s="237">
        <v>45147</v>
      </c>
      <c r="H78" s="234">
        <f>SUMIF(VA!B:B,A78,VA!I:I)</f>
        <v>359.46</v>
      </c>
      <c r="I78" s="33">
        <f>SUMIF(VR!B:B,A78,VR!I:I)</f>
        <v>657.5</v>
      </c>
      <c r="J78" s="4">
        <f t="shared" si="1"/>
        <v>1016.96</v>
      </c>
      <c r="K78" s="195">
        <f>SUMIF(FALTAS!A:A,A78,FALTAS!D:D)</f>
        <v>0</v>
      </c>
    </row>
    <row r="79" spans="1:11" x14ac:dyDescent="0.2">
      <c r="A79" s="235">
        <v>112804</v>
      </c>
      <c r="B79" s="236" t="s">
        <v>423</v>
      </c>
      <c r="C79" s="236" t="s">
        <v>32</v>
      </c>
      <c r="D79" s="236" t="s">
        <v>2</v>
      </c>
      <c r="E79" s="237">
        <v>43617</v>
      </c>
      <c r="F79" s="236" t="s">
        <v>1234</v>
      </c>
      <c r="G79" s="237">
        <v>44898</v>
      </c>
      <c r="H79" s="234">
        <f>SUMIF(VA!B:B,A79,VA!I:I)</f>
        <v>359.46</v>
      </c>
      <c r="I79" s="33">
        <f>SUMIF(VR!B:B,A79,VR!I:I)</f>
        <v>657.5</v>
      </c>
      <c r="J79" s="4">
        <f t="shared" si="1"/>
        <v>1016.96</v>
      </c>
      <c r="K79" s="195">
        <f>SUMIF(FALTAS!A:A,A79,FALTAS!D:D)</f>
        <v>0</v>
      </c>
    </row>
    <row r="80" spans="1:11" x14ac:dyDescent="0.2">
      <c r="A80" s="235">
        <v>113043</v>
      </c>
      <c r="B80" s="236" t="s">
        <v>559</v>
      </c>
      <c r="C80" s="236" t="s">
        <v>10</v>
      </c>
      <c r="D80" s="236" t="s">
        <v>5</v>
      </c>
      <c r="E80" s="237">
        <v>43617</v>
      </c>
      <c r="F80" s="236" t="s">
        <v>1234</v>
      </c>
      <c r="G80" s="237">
        <v>45000</v>
      </c>
      <c r="H80" s="234">
        <f>SUMIF(VA!B:B,A80,VA!I:I)</f>
        <v>359.46</v>
      </c>
      <c r="I80" s="33">
        <f>SUMIF(VR!B:B,A80,VR!I:I)</f>
        <v>657.5</v>
      </c>
      <c r="J80" s="4">
        <f t="shared" si="1"/>
        <v>1016.96</v>
      </c>
      <c r="K80" s="195">
        <f>SUMIF(FALTAS!A:A,A80,FALTAS!D:D)</f>
        <v>0</v>
      </c>
    </row>
    <row r="81" spans="1:11" x14ac:dyDescent="0.2">
      <c r="A81" s="235">
        <v>121482</v>
      </c>
      <c r="B81" s="236" t="s">
        <v>1557</v>
      </c>
      <c r="C81" s="236" t="s">
        <v>1589</v>
      </c>
      <c r="D81" s="236" t="s">
        <v>15</v>
      </c>
      <c r="E81" s="237">
        <v>44967</v>
      </c>
      <c r="F81" s="236" t="s">
        <v>1234</v>
      </c>
      <c r="G81" s="237">
        <v>44967</v>
      </c>
      <c r="H81" s="234">
        <f>SUMIF(VA!B:B,A81,VA!I:I)</f>
        <v>359.46</v>
      </c>
      <c r="I81" s="33">
        <f>SUMIF(VR!B:B,A81,VR!I:I)</f>
        <v>657.5</v>
      </c>
      <c r="J81" s="4">
        <f t="shared" si="1"/>
        <v>1016.96</v>
      </c>
      <c r="K81" s="195">
        <f>SUMIF(FALTAS!A:A,A81,FALTAS!D:D)</f>
        <v>0</v>
      </c>
    </row>
    <row r="82" spans="1:11" x14ac:dyDescent="0.2">
      <c r="A82" s="235">
        <v>112812</v>
      </c>
      <c r="B82" s="236" t="s">
        <v>429</v>
      </c>
      <c r="C82" s="236" t="s">
        <v>19</v>
      </c>
      <c r="D82" s="236" t="s">
        <v>146</v>
      </c>
      <c r="E82" s="237">
        <v>43617</v>
      </c>
      <c r="F82" s="236" t="s">
        <v>1234</v>
      </c>
      <c r="G82" s="237">
        <v>45119</v>
      </c>
      <c r="H82" s="234">
        <f>SUMIF(VA!B:B,A82,VA!I:I)</f>
        <v>359.46</v>
      </c>
      <c r="I82" s="33">
        <f>SUMIF(VR!B:B,A82,VR!I:I)</f>
        <v>657.5</v>
      </c>
      <c r="J82" s="4">
        <f t="shared" si="1"/>
        <v>1016.96</v>
      </c>
      <c r="K82" s="195">
        <f>SUMIF(FALTAS!A:A,A82,FALTAS!D:D)</f>
        <v>0</v>
      </c>
    </row>
    <row r="83" spans="1:11" x14ac:dyDescent="0.2">
      <c r="A83" s="235">
        <v>112815</v>
      </c>
      <c r="B83" s="236" t="s">
        <v>431</v>
      </c>
      <c r="C83" s="236" t="s">
        <v>10</v>
      </c>
      <c r="D83" s="236" t="s">
        <v>5</v>
      </c>
      <c r="E83" s="237">
        <v>43617</v>
      </c>
      <c r="F83" s="236" t="s">
        <v>1234</v>
      </c>
      <c r="G83" s="237">
        <v>44960</v>
      </c>
      <c r="H83" s="234">
        <f>SUMIF(VA!B:B,A83,VA!I:I)</f>
        <v>359.46</v>
      </c>
      <c r="I83" s="33">
        <f>SUMIF(VR!B:B,A83,VR!I:I)</f>
        <v>657.5</v>
      </c>
      <c r="J83" s="4">
        <f t="shared" si="1"/>
        <v>1016.96</v>
      </c>
      <c r="K83" s="195">
        <f>SUMIF(FALTAS!A:A,A83,FALTAS!D:D)</f>
        <v>0</v>
      </c>
    </row>
    <row r="84" spans="1:11" x14ac:dyDescent="0.2">
      <c r="A84" s="235">
        <v>118049</v>
      </c>
      <c r="B84" s="236" t="s">
        <v>1398</v>
      </c>
      <c r="C84" s="236" t="s">
        <v>0</v>
      </c>
      <c r="D84" s="236" t="s">
        <v>5</v>
      </c>
      <c r="E84" s="237">
        <v>44567</v>
      </c>
      <c r="F84" s="236" t="s">
        <v>1234</v>
      </c>
      <c r="G84" s="237">
        <v>45119</v>
      </c>
      <c r="H84" s="234">
        <f>SUMIF(VA!B:B,A84,VA!I:I)</f>
        <v>359.46</v>
      </c>
      <c r="I84" s="33">
        <f>SUMIF(VR!B:B,A84,VR!I:I)</f>
        <v>657.5</v>
      </c>
      <c r="J84" s="4">
        <f t="shared" si="1"/>
        <v>1016.96</v>
      </c>
      <c r="K84" s="195">
        <f>SUMIF(FALTAS!A:A,A84,FALTAS!D:D)</f>
        <v>0</v>
      </c>
    </row>
    <row r="85" spans="1:11" x14ac:dyDescent="0.2">
      <c r="A85" s="235">
        <v>113058</v>
      </c>
      <c r="B85" s="236" t="s">
        <v>565</v>
      </c>
      <c r="C85" s="236" t="s">
        <v>8</v>
      </c>
      <c r="D85" s="236" t="s">
        <v>2</v>
      </c>
      <c r="E85" s="237">
        <v>43617</v>
      </c>
      <c r="F85" s="236" t="s">
        <v>1234</v>
      </c>
      <c r="G85" s="237">
        <v>45149</v>
      </c>
      <c r="H85" s="234">
        <f>SUMIF(VA!B:B,A85,VA!I:I)</f>
        <v>359.46</v>
      </c>
      <c r="I85" s="33">
        <f>SUMIF(VR!B:B,A85,VR!I:I)</f>
        <v>657.5</v>
      </c>
      <c r="J85" s="4">
        <f t="shared" si="1"/>
        <v>1016.96</v>
      </c>
      <c r="K85" s="195">
        <f>SUMIF(FALTAS!A:A,A85,FALTAS!D:D)</f>
        <v>0</v>
      </c>
    </row>
    <row r="86" spans="1:11" x14ac:dyDescent="0.2">
      <c r="A86" s="235">
        <v>112824</v>
      </c>
      <c r="B86" s="236" t="s">
        <v>438</v>
      </c>
      <c r="C86" s="236" t="s">
        <v>10</v>
      </c>
      <c r="D86" s="236" t="s">
        <v>2</v>
      </c>
      <c r="E86" s="237">
        <v>43617</v>
      </c>
      <c r="F86" s="236" t="s">
        <v>1235</v>
      </c>
      <c r="G86" s="237">
        <v>45147</v>
      </c>
      <c r="H86" s="234">
        <f>SUMIF(VA!B:B,A86,VA!I:I)</f>
        <v>359.46</v>
      </c>
      <c r="I86" s="33">
        <f>SUMIF(VR!B:B,A86,VR!I:I)</f>
        <v>657.5</v>
      </c>
      <c r="J86" s="4">
        <f t="shared" si="1"/>
        <v>1016.96</v>
      </c>
      <c r="K86" s="195">
        <f>SUMIF(FALTAS!A:A,A86,FALTAS!D:D)</f>
        <v>0</v>
      </c>
    </row>
    <row r="87" spans="1:11" x14ac:dyDescent="0.2">
      <c r="A87" s="235">
        <v>113086</v>
      </c>
      <c r="B87" s="236" t="s">
        <v>581</v>
      </c>
      <c r="C87" s="236" t="s">
        <v>1589</v>
      </c>
      <c r="D87" s="236" t="s">
        <v>15</v>
      </c>
      <c r="E87" s="237">
        <v>43617</v>
      </c>
      <c r="F87" s="236" t="s">
        <v>1234</v>
      </c>
      <c r="G87" s="237">
        <v>45149</v>
      </c>
      <c r="H87" s="234">
        <f>SUMIF(VA!B:B,A87,VA!I:I)</f>
        <v>359.46</v>
      </c>
      <c r="I87" s="33">
        <f>SUMIF(VR!B:B,A87,VR!I:I)</f>
        <v>657.5</v>
      </c>
      <c r="J87" s="4">
        <f t="shared" si="1"/>
        <v>1016.96</v>
      </c>
      <c r="K87" s="195">
        <f>SUMIF(FALTAS!A:A,A87,FALTAS!D:D)</f>
        <v>0</v>
      </c>
    </row>
    <row r="88" spans="1:11" x14ac:dyDescent="0.2">
      <c r="A88" s="235">
        <v>112995</v>
      </c>
      <c r="B88" s="236" t="s">
        <v>538</v>
      </c>
      <c r="C88" s="236" t="s">
        <v>19</v>
      </c>
      <c r="D88" s="236" t="s">
        <v>2</v>
      </c>
      <c r="E88" s="237">
        <v>43617</v>
      </c>
      <c r="F88" s="236" t="s">
        <v>1234</v>
      </c>
      <c r="G88" s="237">
        <v>45119</v>
      </c>
      <c r="H88" s="234">
        <f>SUMIF(VA!B:B,A88,VA!I:I)</f>
        <v>359.46</v>
      </c>
      <c r="I88" s="33">
        <f>SUMIF(VR!B:B,A88,VR!I:I)</f>
        <v>657.5</v>
      </c>
      <c r="J88" s="4">
        <f t="shared" si="1"/>
        <v>1016.96</v>
      </c>
      <c r="K88" s="195">
        <f>SUMIF(FALTAS!A:A,A88,FALTAS!D:D)</f>
        <v>0</v>
      </c>
    </row>
    <row r="89" spans="1:11" x14ac:dyDescent="0.2">
      <c r="A89" s="235">
        <v>116330</v>
      </c>
      <c r="B89" s="236" t="s">
        <v>1212</v>
      </c>
      <c r="C89" s="236" t="s">
        <v>0</v>
      </c>
      <c r="D89" s="236" t="s">
        <v>5</v>
      </c>
      <c r="E89" s="237">
        <v>44308</v>
      </c>
      <c r="F89" s="236" t="s">
        <v>1235</v>
      </c>
      <c r="G89" s="237">
        <v>45147</v>
      </c>
      <c r="H89" s="234">
        <f>SUMIF(VA!B:B,A89,VA!I:I)</f>
        <v>359.46</v>
      </c>
      <c r="I89" s="33">
        <f>SUMIF(VR!B:B,A89,VR!I:I)</f>
        <v>657.5</v>
      </c>
      <c r="J89" s="4">
        <f t="shared" si="1"/>
        <v>1016.96</v>
      </c>
      <c r="K89" s="195">
        <f>SUMIF(FALTAS!A:A,A89,FALTAS!D:D)</f>
        <v>0</v>
      </c>
    </row>
    <row r="90" spans="1:11" x14ac:dyDescent="0.2">
      <c r="A90" s="235">
        <v>113103</v>
      </c>
      <c r="B90" s="236" t="s">
        <v>588</v>
      </c>
      <c r="C90" s="236" t="s">
        <v>8</v>
      </c>
      <c r="D90" s="236" t="s">
        <v>5</v>
      </c>
      <c r="E90" s="237">
        <v>43617</v>
      </c>
      <c r="F90" s="236" t="s">
        <v>1235</v>
      </c>
      <c r="G90" s="237">
        <v>45147</v>
      </c>
      <c r="H90" s="234">
        <f>SUMIF(VA!B:B,A90,VA!I:I)</f>
        <v>359.46</v>
      </c>
      <c r="I90" s="33">
        <f>SUMIF(VR!B:B,A90,VR!I:I)</f>
        <v>657.5</v>
      </c>
      <c r="J90" s="4">
        <f t="shared" si="1"/>
        <v>1016.96</v>
      </c>
      <c r="K90" s="195">
        <f>SUMIF(FALTAS!A:A,A90,FALTAS!D:D)</f>
        <v>0</v>
      </c>
    </row>
    <row r="91" spans="1:11" x14ac:dyDescent="0.2">
      <c r="A91" s="235">
        <v>113109</v>
      </c>
      <c r="B91" s="236" t="s">
        <v>590</v>
      </c>
      <c r="C91" s="236" t="s">
        <v>8</v>
      </c>
      <c r="D91" s="236" t="s">
        <v>39</v>
      </c>
      <c r="E91" s="237">
        <v>43617</v>
      </c>
      <c r="F91" s="236" t="s">
        <v>1234</v>
      </c>
      <c r="G91" s="237">
        <v>45086</v>
      </c>
      <c r="H91" s="234">
        <f>SUMIF(VA!B:B,A91,VA!I:I)</f>
        <v>359.46</v>
      </c>
      <c r="I91" s="33">
        <f>SUMIF(VR!B:B,A91,VR!I:I)</f>
        <v>657.5</v>
      </c>
      <c r="J91" s="4">
        <f t="shared" si="1"/>
        <v>1016.96</v>
      </c>
      <c r="K91" s="195">
        <f>SUMIF(FALTAS!A:A,A91,FALTAS!D:D)</f>
        <v>0</v>
      </c>
    </row>
    <row r="92" spans="1:11" x14ac:dyDescent="0.2">
      <c r="A92" s="235">
        <v>113117</v>
      </c>
      <c r="B92" s="236" t="s">
        <v>595</v>
      </c>
      <c r="C92" s="236" t="s">
        <v>32</v>
      </c>
      <c r="D92" s="236" t="s">
        <v>5</v>
      </c>
      <c r="E92" s="237">
        <v>43617</v>
      </c>
      <c r="F92" s="236" t="s">
        <v>1234</v>
      </c>
      <c r="G92" s="237">
        <v>44867</v>
      </c>
      <c r="H92" s="234">
        <f>SUMIF(VA!B:B,A92,VA!I:I)</f>
        <v>359.46</v>
      </c>
      <c r="I92" s="33">
        <f>SUMIF(VR!B:B,A92,VR!I:I)</f>
        <v>657.5</v>
      </c>
      <c r="J92" s="4">
        <f t="shared" si="1"/>
        <v>1016.96</v>
      </c>
      <c r="K92" s="195">
        <f>SUMIF(FALTAS!A:A,A92,FALTAS!D:D)</f>
        <v>0</v>
      </c>
    </row>
    <row r="93" spans="1:11" x14ac:dyDescent="0.2">
      <c r="A93" s="235">
        <v>113124</v>
      </c>
      <c r="B93" s="236" t="s">
        <v>600</v>
      </c>
      <c r="C93" s="236" t="s">
        <v>1589</v>
      </c>
      <c r="D93" s="236" t="s">
        <v>22</v>
      </c>
      <c r="E93" s="237">
        <v>43617</v>
      </c>
      <c r="F93" s="236" t="s">
        <v>1234</v>
      </c>
      <c r="G93" s="237">
        <v>44993</v>
      </c>
      <c r="H93" s="234">
        <f>SUMIF(VA!B:B,A93,VA!I:I)</f>
        <v>359.46</v>
      </c>
      <c r="I93" s="33">
        <f>SUMIF(VR!B:B,A93,VR!I:I)</f>
        <v>657.5</v>
      </c>
      <c r="J93" s="4">
        <f t="shared" si="1"/>
        <v>1016.96</v>
      </c>
      <c r="K93" s="195">
        <f>SUMIF(FALTAS!A:A,A93,FALTAS!D:D)</f>
        <v>0</v>
      </c>
    </row>
    <row r="94" spans="1:11" x14ac:dyDescent="0.2">
      <c r="A94" s="235">
        <v>121817</v>
      </c>
      <c r="B94" s="236" t="s">
        <v>1606</v>
      </c>
      <c r="C94" s="236" t="s">
        <v>1591</v>
      </c>
      <c r="D94" s="236" t="s">
        <v>1464</v>
      </c>
      <c r="E94" s="237">
        <v>45019</v>
      </c>
      <c r="F94" s="236" t="s">
        <v>1234</v>
      </c>
      <c r="G94" s="237">
        <v>45019</v>
      </c>
      <c r="H94" s="234">
        <f>SUMIF(VA!B:B,A94,VA!I:I)</f>
        <v>0</v>
      </c>
      <c r="I94" s="33">
        <f>SUMIF(VR!B:B,A94,VR!I:I)</f>
        <v>657.5</v>
      </c>
      <c r="J94" s="4">
        <f t="shared" si="1"/>
        <v>657.5</v>
      </c>
      <c r="K94" s="195">
        <f>SUMIF(FALTAS!A:A,A94,FALTAS!D:D)</f>
        <v>0</v>
      </c>
    </row>
    <row r="95" spans="1:11" x14ac:dyDescent="0.2">
      <c r="A95" s="235">
        <v>113135</v>
      </c>
      <c r="B95" s="236" t="s">
        <v>605</v>
      </c>
      <c r="C95" s="236" t="s">
        <v>19</v>
      </c>
      <c r="D95" s="236" t="s">
        <v>2</v>
      </c>
      <c r="E95" s="237">
        <v>43617</v>
      </c>
      <c r="F95" s="236" t="s">
        <v>1234</v>
      </c>
      <c r="G95" s="237">
        <v>45149</v>
      </c>
      <c r="H95" s="234">
        <f>SUMIF(VA!B:B,A95,VA!I:I)</f>
        <v>359.46</v>
      </c>
      <c r="I95" s="33">
        <f>SUMIF(VR!B:B,A95,VR!I:I)</f>
        <v>657.5</v>
      </c>
      <c r="J95" s="4">
        <f t="shared" si="1"/>
        <v>1016.96</v>
      </c>
      <c r="K95" s="195">
        <f>SUMIF(FALTAS!A:A,A95,FALTAS!D:D)</f>
        <v>0</v>
      </c>
    </row>
    <row r="96" spans="1:11" x14ac:dyDescent="0.2">
      <c r="A96" s="235">
        <v>121672</v>
      </c>
      <c r="B96" s="236" t="s">
        <v>1593</v>
      </c>
      <c r="C96" s="236" t="s">
        <v>32</v>
      </c>
      <c r="D96" s="236" t="s">
        <v>5</v>
      </c>
      <c r="E96" s="237">
        <v>44994</v>
      </c>
      <c r="F96" s="236" t="s">
        <v>1234</v>
      </c>
      <c r="G96" s="237">
        <v>44994</v>
      </c>
      <c r="H96" s="234">
        <f>SUMIF(VA!B:B,A96,VA!I:I)</f>
        <v>359.46</v>
      </c>
      <c r="I96" s="33">
        <f>SUMIF(VR!B:B,A96,VR!I:I)</f>
        <v>657.5</v>
      </c>
      <c r="J96" s="4">
        <f t="shared" si="1"/>
        <v>1016.96</v>
      </c>
      <c r="K96" s="195">
        <f>SUMIF(FALTAS!A:A,A96,FALTAS!D:D)</f>
        <v>0</v>
      </c>
    </row>
    <row r="97" spans="1:11" x14ac:dyDescent="0.2">
      <c r="A97" s="235">
        <v>113139</v>
      </c>
      <c r="B97" s="236" t="s">
        <v>608</v>
      </c>
      <c r="C97" s="236" t="s">
        <v>10</v>
      </c>
      <c r="D97" s="236" t="s">
        <v>2</v>
      </c>
      <c r="E97" s="237">
        <v>43617</v>
      </c>
      <c r="F97" s="236" t="s">
        <v>1235</v>
      </c>
      <c r="G97" s="237">
        <v>45147</v>
      </c>
      <c r="H97" s="234">
        <f>SUMIF(VA!B:B,A97,VA!I:I)</f>
        <v>359.46</v>
      </c>
      <c r="I97" s="33">
        <f>SUMIF(VR!B:B,A97,VR!I:I)</f>
        <v>657.5</v>
      </c>
      <c r="J97" s="4">
        <f t="shared" si="1"/>
        <v>1016.96</v>
      </c>
      <c r="K97" s="195">
        <f>SUMIF(FALTAS!A:A,A97,FALTAS!D:D)</f>
        <v>0</v>
      </c>
    </row>
    <row r="98" spans="1:11" x14ac:dyDescent="0.2">
      <c r="A98" s="235">
        <v>113760</v>
      </c>
      <c r="B98" s="236" t="s">
        <v>1518</v>
      </c>
      <c r="C98" s="236" t="s">
        <v>1589</v>
      </c>
      <c r="D98" s="236" t="s">
        <v>1663</v>
      </c>
      <c r="E98" s="237">
        <v>43621</v>
      </c>
      <c r="F98" s="236" t="s">
        <v>1235</v>
      </c>
      <c r="G98" s="237">
        <v>45147</v>
      </c>
      <c r="H98" s="234">
        <f>SUMIF(VA!B:B,A98,VA!I:I)</f>
        <v>359.46</v>
      </c>
      <c r="I98" s="33">
        <f>SUMIF(VR!B:B,A98,VR!I:I)</f>
        <v>657.5</v>
      </c>
      <c r="J98" s="4">
        <f t="shared" si="1"/>
        <v>1016.96</v>
      </c>
      <c r="K98" s="195">
        <f>SUMIF(FALTAS!A:A,A98,FALTAS!D:D)</f>
        <v>0</v>
      </c>
    </row>
    <row r="99" spans="1:11" x14ac:dyDescent="0.2">
      <c r="A99" s="235">
        <v>114682</v>
      </c>
      <c r="B99" s="236" t="s">
        <v>1067</v>
      </c>
      <c r="C99" s="236" t="s">
        <v>10</v>
      </c>
      <c r="D99" s="236" t="s">
        <v>5</v>
      </c>
      <c r="E99" s="237">
        <v>43874</v>
      </c>
      <c r="F99" s="236" t="s">
        <v>1234</v>
      </c>
      <c r="G99" s="237">
        <v>44715</v>
      </c>
      <c r="H99" s="234">
        <f>SUMIF(VA!B:B,A99,VA!I:I)</f>
        <v>359.46</v>
      </c>
      <c r="I99" s="33">
        <f>SUMIF(VR!B:B,A99,VR!I:I)</f>
        <v>657.5</v>
      </c>
      <c r="J99" s="4">
        <f t="shared" si="1"/>
        <v>1016.96</v>
      </c>
      <c r="K99" s="195">
        <f>SUMIF(FALTAS!A:A,A99,FALTAS!D:D)</f>
        <v>0</v>
      </c>
    </row>
    <row r="100" spans="1:11" x14ac:dyDescent="0.2">
      <c r="A100" s="235">
        <v>113151</v>
      </c>
      <c r="B100" s="236" t="s">
        <v>615</v>
      </c>
      <c r="C100" s="236" t="s">
        <v>32</v>
      </c>
      <c r="D100" s="236" t="s">
        <v>5</v>
      </c>
      <c r="E100" s="237">
        <v>43617</v>
      </c>
      <c r="F100" s="236" t="s">
        <v>1234</v>
      </c>
      <c r="G100" s="237">
        <v>44898</v>
      </c>
      <c r="H100" s="234">
        <f>SUMIF(VA!B:B,A100,VA!I:I)</f>
        <v>359.46</v>
      </c>
      <c r="I100" s="33">
        <f>SUMIF(VR!B:B,A100,VR!I:I)</f>
        <v>657.5</v>
      </c>
      <c r="J100" s="4">
        <f t="shared" si="1"/>
        <v>1016.96</v>
      </c>
      <c r="K100" s="195">
        <f>SUMIF(FALTAS!A:A,A100,FALTAS!D:D)</f>
        <v>0</v>
      </c>
    </row>
    <row r="101" spans="1:11" x14ac:dyDescent="0.2">
      <c r="A101" s="235">
        <v>122440</v>
      </c>
      <c r="B101" s="236" t="s">
        <v>1693</v>
      </c>
      <c r="C101" s="236" t="s">
        <v>1589</v>
      </c>
      <c r="D101" s="236" t="s">
        <v>5</v>
      </c>
      <c r="E101" s="237">
        <v>45117</v>
      </c>
      <c r="F101" s="236" t="s">
        <v>1234</v>
      </c>
      <c r="G101" s="237">
        <v>45117</v>
      </c>
      <c r="H101" s="234">
        <f>SUMIF(VA!B:B,A101,VA!I:I)</f>
        <v>359.46</v>
      </c>
      <c r="I101" s="33">
        <f>SUMIF(VR!B:B,A101,VR!I:I)</f>
        <v>657.5</v>
      </c>
      <c r="J101" s="4">
        <f t="shared" si="1"/>
        <v>1016.96</v>
      </c>
      <c r="K101" s="195">
        <f>SUMIF(FALTAS!A:A,A101,FALTAS!D:D)</f>
        <v>0</v>
      </c>
    </row>
    <row r="102" spans="1:11" x14ac:dyDescent="0.2">
      <c r="A102" s="235">
        <v>114968</v>
      </c>
      <c r="B102" s="236" t="s">
        <v>1135</v>
      </c>
      <c r="C102" s="236" t="s">
        <v>1589</v>
      </c>
      <c r="D102" s="236" t="s">
        <v>5</v>
      </c>
      <c r="E102" s="237">
        <v>43917</v>
      </c>
      <c r="F102" s="236" t="s">
        <v>1234</v>
      </c>
      <c r="G102" s="237">
        <v>45086</v>
      </c>
      <c r="H102" s="234">
        <f>SUMIF(VA!B:B,A102,VA!I:I)</f>
        <v>359.46</v>
      </c>
      <c r="I102" s="33">
        <f>SUMIF(VR!B:B,A102,VR!I:I)</f>
        <v>657.5</v>
      </c>
      <c r="J102" s="4">
        <f t="shared" si="1"/>
        <v>1016.96</v>
      </c>
      <c r="K102" s="195">
        <f>SUMIF(FALTAS!A:A,A102,FALTAS!D:D)</f>
        <v>0</v>
      </c>
    </row>
    <row r="103" spans="1:11" x14ac:dyDescent="0.2">
      <c r="A103" s="235">
        <v>113171</v>
      </c>
      <c r="B103" s="236" t="s">
        <v>628</v>
      </c>
      <c r="C103" s="236" t="s">
        <v>1589</v>
      </c>
      <c r="D103" s="236" t="s">
        <v>5</v>
      </c>
      <c r="E103" s="237">
        <v>43617</v>
      </c>
      <c r="F103" s="236" t="s">
        <v>1234</v>
      </c>
      <c r="G103" s="237">
        <v>44930</v>
      </c>
      <c r="H103" s="234">
        <f>SUMIF(VA!B:B,A103,VA!I:I)</f>
        <v>359.46</v>
      </c>
      <c r="I103" s="33">
        <f>SUMIF(VR!B:B,A103,VR!I:I)</f>
        <v>657.5</v>
      </c>
      <c r="J103" s="4">
        <f t="shared" si="1"/>
        <v>1016.96</v>
      </c>
      <c r="K103" s="195">
        <f>SUMIF(FALTAS!A:A,A103,FALTAS!D:D)</f>
        <v>0</v>
      </c>
    </row>
    <row r="104" spans="1:11" x14ac:dyDescent="0.2">
      <c r="A104" s="235">
        <v>114683</v>
      </c>
      <c r="B104" s="236" t="s">
        <v>1068</v>
      </c>
      <c r="C104" s="236" t="s">
        <v>19</v>
      </c>
      <c r="D104" s="236" t="s">
        <v>2</v>
      </c>
      <c r="E104" s="237">
        <v>43874</v>
      </c>
      <c r="F104" s="236" t="s">
        <v>1234</v>
      </c>
      <c r="G104" s="237">
        <v>45086</v>
      </c>
      <c r="H104" s="234">
        <f>SUMIF(VA!B:B,A104,VA!I:I)</f>
        <v>359.46</v>
      </c>
      <c r="I104" s="33">
        <f>SUMIF(VR!B:B,A104,VR!I:I)</f>
        <v>657.5</v>
      </c>
      <c r="J104" s="4">
        <f t="shared" si="1"/>
        <v>1016.96</v>
      </c>
      <c r="K104" s="195">
        <f>SUMIF(FALTAS!A:A,A104,FALTAS!D:D)</f>
        <v>0</v>
      </c>
    </row>
    <row r="105" spans="1:11" x14ac:dyDescent="0.2">
      <c r="A105" s="235">
        <v>113173</v>
      </c>
      <c r="B105" s="236" t="s">
        <v>630</v>
      </c>
      <c r="C105" s="236" t="s">
        <v>19</v>
      </c>
      <c r="D105" s="236" t="s">
        <v>5</v>
      </c>
      <c r="E105" s="237">
        <v>43617</v>
      </c>
      <c r="F105" s="236" t="s">
        <v>1235</v>
      </c>
      <c r="G105" s="237">
        <v>45147</v>
      </c>
      <c r="H105" s="234">
        <f>SUMIF(VA!B:B,A105,VA!I:I)</f>
        <v>359.46</v>
      </c>
      <c r="I105" s="33">
        <f>SUMIF(VR!B:B,A105,VR!I:I)</f>
        <v>657.5</v>
      </c>
      <c r="J105" s="4">
        <f t="shared" si="1"/>
        <v>1016.96</v>
      </c>
      <c r="K105" s="195">
        <f>SUMIF(FALTAS!A:A,A105,FALTAS!D:D)</f>
        <v>0</v>
      </c>
    </row>
    <row r="106" spans="1:11" x14ac:dyDescent="0.2">
      <c r="A106" s="235">
        <v>114616</v>
      </c>
      <c r="B106" s="236" t="s">
        <v>1064</v>
      </c>
      <c r="C106" s="236" t="s">
        <v>1589</v>
      </c>
      <c r="D106" s="236" t="s">
        <v>15</v>
      </c>
      <c r="E106" s="237">
        <v>43840</v>
      </c>
      <c r="F106" s="236" t="s">
        <v>1707</v>
      </c>
      <c r="G106" s="237">
        <v>45156</v>
      </c>
      <c r="H106" s="234">
        <f>SUMIF(VA!B:B,A106,VA!I:I)</f>
        <v>0</v>
      </c>
      <c r="I106" s="33">
        <f>SUMIF(VR!B:B,A106,VR!I:I)</f>
        <v>0</v>
      </c>
      <c r="J106" s="4">
        <f t="shared" si="1"/>
        <v>0</v>
      </c>
      <c r="K106" s="195">
        <f>SUMIF(FALTAS!A:A,A106,FALTAS!D:D)</f>
        <v>0</v>
      </c>
    </row>
    <row r="107" spans="1:11" x14ac:dyDescent="0.2">
      <c r="A107" s="235">
        <v>122438</v>
      </c>
      <c r="B107" s="236" t="s">
        <v>1694</v>
      </c>
      <c r="C107" s="236" t="s">
        <v>1589</v>
      </c>
      <c r="D107" s="236" t="s">
        <v>5</v>
      </c>
      <c r="E107" s="237">
        <v>45117</v>
      </c>
      <c r="F107" s="236" t="s">
        <v>1234</v>
      </c>
      <c r="G107" s="237">
        <v>45117</v>
      </c>
      <c r="H107" s="234">
        <f>SUMIF(VA!B:B,A107,VA!I:I)</f>
        <v>359.46</v>
      </c>
      <c r="I107" s="33">
        <f>SUMIF(VR!B:B,A107,VR!I:I)</f>
        <v>657.5</v>
      </c>
      <c r="J107" s="4">
        <f t="shared" si="1"/>
        <v>1016.96</v>
      </c>
      <c r="K107" s="195">
        <f>SUMIF(FALTAS!A:A,A107,FALTAS!D:D)</f>
        <v>0</v>
      </c>
    </row>
    <row r="108" spans="1:11" x14ac:dyDescent="0.2">
      <c r="A108" s="235">
        <v>114529</v>
      </c>
      <c r="B108" s="236" t="s">
        <v>1053</v>
      </c>
      <c r="C108" s="236" t="s">
        <v>1589</v>
      </c>
      <c r="D108" s="236" t="s">
        <v>5</v>
      </c>
      <c r="E108" s="237">
        <v>43813</v>
      </c>
      <c r="F108" s="236" t="s">
        <v>1234</v>
      </c>
      <c r="G108" s="237">
        <v>44960</v>
      </c>
      <c r="H108" s="234">
        <f>SUMIF(VA!B:B,A108,VA!I:I)</f>
        <v>359.46</v>
      </c>
      <c r="I108" s="33">
        <f>SUMIF(VR!B:B,A108,VR!I:I)</f>
        <v>657.5</v>
      </c>
      <c r="J108" s="4">
        <f t="shared" si="1"/>
        <v>1016.96</v>
      </c>
      <c r="K108" s="195">
        <f>SUMIF(FALTAS!A:A,A108,FALTAS!D:D)</f>
        <v>0</v>
      </c>
    </row>
    <row r="109" spans="1:11" x14ac:dyDescent="0.2">
      <c r="A109" s="235">
        <v>113186</v>
      </c>
      <c r="B109" s="236" t="s">
        <v>636</v>
      </c>
      <c r="C109" s="236" t="s">
        <v>8</v>
      </c>
      <c r="D109" s="236" t="s">
        <v>2</v>
      </c>
      <c r="E109" s="237">
        <v>43617</v>
      </c>
      <c r="F109" s="236" t="s">
        <v>1234</v>
      </c>
      <c r="G109" s="237">
        <v>45056</v>
      </c>
      <c r="H109" s="234">
        <f>SUMIF(VA!B:B,A109,VA!I:I)</f>
        <v>359.46</v>
      </c>
      <c r="I109" s="33">
        <f>SUMIF(VR!B:B,A109,VR!I:I)</f>
        <v>657.5</v>
      </c>
      <c r="J109" s="4">
        <f t="shared" si="1"/>
        <v>1016.96</v>
      </c>
      <c r="K109" s="195">
        <f>SUMIF(FALTAS!A:A,A109,FALTAS!D:D)</f>
        <v>0</v>
      </c>
    </row>
    <row r="110" spans="1:11" x14ac:dyDescent="0.2">
      <c r="A110" s="235">
        <v>120187</v>
      </c>
      <c r="B110" s="236" t="s">
        <v>1498</v>
      </c>
      <c r="C110" s="236" t="s">
        <v>1589</v>
      </c>
      <c r="D110" s="236" t="s">
        <v>5</v>
      </c>
      <c r="E110" s="237">
        <v>44791</v>
      </c>
      <c r="F110" s="236" t="s">
        <v>1234</v>
      </c>
      <c r="G110" s="237">
        <v>44791</v>
      </c>
      <c r="H110" s="234">
        <f>SUMIF(VA!B:B,A110,VA!I:I)</f>
        <v>359.46</v>
      </c>
      <c r="I110" s="33">
        <f>SUMIF(VR!B:B,A110,VR!I:I)</f>
        <v>657.5</v>
      </c>
      <c r="J110" s="4">
        <f t="shared" si="1"/>
        <v>1016.96</v>
      </c>
      <c r="K110" s="195">
        <f>SUMIF(FALTAS!A:A,A110,FALTAS!D:D)</f>
        <v>0</v>
      </c>
    </row>
    <row r="111" spans="1:11" x14ac:dyDescent="0.2">
      <c r="A111" s="235">
        <v>113792</v>
      </c>
      <c r="B111" s="236" t="s">
        <v>984</v>
      </c>
      <c r="C111" s="236" t="s">
        <v>1589</v>
      </c>
      <c r="D111" s="236" t="s">
        <v>385</v>
      </c>
      <c r="E111" s="237">
        <v>43627</v>
      </c>
      <c r="F111" s="236" t="s">
        <v>1234</v>
      </c>
      <c r="G111" s="237">
        <v>44960</v>
      </c>
      <c r="H111" s="234">
        <f>SUMIF(VA!B:B,A111,VA!I:I)</f>
        <v>359.46</v>
      </c>
      <c r="I111" s="33">
        <f>SUMIF(VR!B:B,A111,VR!I:I)</f>
        <v>657.5</v>
      </c>
      <c r="J111" s="4">
        <f t="shared" si="1"/>
        <v>1016.96</v>
      </c>
      <c r="K111" s="195">
        <f>SUMIF(FALTAS!A:A,A111,FALTAS!D:D)</f>
        <v>0</v>
      </c>
    </row>
    <row r="112" spans="1:11" x14ac:dyDescent="0.2">
      <c r="A112" s="235">
        <v>114760</v>
      </c>
      <c r="B112" s="236" t="s">
        <v>1098</v>
      </c>
      <c r="C112" s="236" t="s">
        <v>1589</v>
      </c>
      <c r="D112" s="236" t="s">
        <v>282</v>
      </c>
      <c r="E112" s="237">
        <v>43874</v>
      </c>
      <c r="F112" s="236" t="s">
        <v>1234</v>
      </c>
      <c r="G112" s="237">
        <v>45023</v>
      </c>
      <c r="H112" s="234">
        <f>SUMIF(VA!B:B,A112,VA!I:I)</f>
        <v>359.46</v>
      </c>
      <c r="I112" s="33">
        <f>SUMIF(VR!B:B,A112,VR!I:I)</f>
        <v>657.5</v>
      </c>
      <c r="J112" s="4">
        <f t="shared" si="1"/>
        <v>1016.96</v>
      </c>
      <c r="K112" s="195">
        <f>SUMIF(FALTAS!A:A,A112,FALTAS!D:D)</f>
        <v>0</v>
      </c>
    </row>
    <row r="113" spans="1:11" x14ac:dyDescent="0.2">
      <c r="A113" s="235">
        <v>113213</v>
      </c>
      <c r="B113" s="236" t="s">
        <v>652</v>
      </c>
      <c r="C113" s="236" t="s">
        <v>1589</v>
      </c>
      <c r="D113" s="236" t="s">
        <v>15</v>
      </c>
      <c r="E113" s="237">
        <v>43617</v>
      </c>
      <c r="F113" s="236" t="s">
        <v>1234</v>
      </c>
      <c r="G113" s="237">
        <v>44898</v>
      </c>
      <c r="H113" s="234">
        <f>SUMIF(VA!B:B,A113,VA!I:I)</f>
        <v>359.46</v>
      </c>
      <c r="I113" s="33">
        <f>SUMIF(VR!B:B,A113,VR!I:I)</f>
        <v>657.5</v>
      </c>
      <c r="J113" s="4">
        <f t="shared" si="1"/>
        <v>1016.96</v>
      </c>
      <c r="K113" s="195">
        <f>SUMIF(FALTAS!A:A,A113,FALTAS!D:D)</f>
        <v>0</v>
      </c>
    </row>
    <row r="114" spans="1:11" x14ac:dyDescent="0.2">
      <c r="A114" s="235">
        <v>113219</v>
      </c>
      <c r="B114" s="236" t="s">
        <v>655</v>
      </c>
      <c r="C114" s="236" t="s">
        <v>1589</v>
      </c>
      <c r="D114" s="236" t="s">
        <v>15</v>
      </c>
      <c r="E114" s="237">
        <v>43617</v>
      </c>
      <c r="F114" s="236" t="s">
        <v>1234</v>
      </c>
      <c r="G114" s="237">
        <v>45119</v>
      </c>
      <c r="H114" s="234">
        <f>SUMIF(VA!B:B,A114,VA!I:I)</f>
        <v>359.46</v>
      </c>
      <c r="I114" s="33">
        <f>SUMIF(VR!B:B,A114,VR!I:I)</f>
        <v>657.5</v>
      </c>
      <c r="J114" s="4">
        <f t="shared" si="1"/>
        <v>1016.96</v>
      </c>
      <c r="K114" s="195">
        <f>SUMIF(FALTAS!A:A,A114,FALTAS!D:D)</f>
        <v>0</v>
      </c>
    </row>
    <row r="115" spans="1:11" x14ac:dyDescent="0.2">
      <c r="A115" s="235">
        <v>113223</v>
      </c>
      <c r="B115" s="236" t="s">
        <v>656</v>
      </c>
      <c r="C115" s="236" t="s">
        <v>8</v>
      </c>
      <c r="D115" s="236" t="s">
        <v>5</v>
      </c>
      <c r="E115" s="237">
        <v>43617</v>
      </c>
      <c r="F115" s="236" t="s">
        <v>1234</v>
      </c>
      <c r="G115" s="237">
        <v>44806</v>
      </c>
      <c r="H115" s="234">
        <f>SUMIF(VA!B:B,A115,VA!I:I)</f>
        <v>359.46</v>
      </c>
      <c r="I115" s="33">
        <f>SUMIF(VR!B:B,A115,VR!I:I)</f>
        <v>657.5</v>
      </c>
      <c r="J115" s="4">
        <f t="shared" si="1"/>
        <v>1016.96</v>
      </c>
      <c r="K115" s="195">
        <f>SUMIF(FALTAS!A:A,A115,FALTAS!D:D)</f>
        <v>0</v>
      </c>
    </row>
    <row r="116" spans="1:11" x14ac:dyDescent="0.2">
      <c r="A116" s="235">
        <v>114684</v>
      </c>
      <c r="B116" s="236" t="s">
        <v>1069</v>
      </c>
      <c r="C116" s="236" t="s">
        <v>0</v>
      </c>
      <c r="D116" s="236" t="s">
        <v>2</v>
      </c>
      <c r="E116" s="237">
        <v>43874</v>
      </c>
      <c r="F116" s="236" t="s">
        <v>1234</v>
      </c>
      <c r="G116" s="237">
        <v>45149</v>
      </c>
      <c r="H116" s="234">
        <f>SUMIF(VA!B:B,A116,VA!I:I)</f>
        <v>359.46</v>
      </c>
      <c r="I116" s="33">
        <f>SUMIF(VR!B:B,A116,VR!I:I)</f>
        <v>657.5</v>
      </c>
      <c r="J116" s="4">
        <f t="shared" si="1"/>
        <v>1016.96</v>
      </c>
      <c r="K116" s="195">
        <f>SUMIF(FALTAS!A:A,A116,FALTAS!D:D)</f>
        <v>0</v>
      </c>
    </row>
    <row r="117" spans="1:11" x14ac:dyDescent="0.2">
      <c r="A117" s="235">
        <v>121449</v>
      </c>
      <c r="B117" s="236" t="s">
        <v>1558</v>
      </c>
      <c r="C117" s="236" t="s">
        <v>1589</v>
      </c>
      <c r="D117" s="236" t="s">
        <v>5</v>
      </c>
      <c r="E117" s="237">
        <v>44967</v>
      </c>
      <c r="F117" s="236" t="s">
        <v>1234</v>
      </c>
      <c r="G117" s="237">
        <v>44967</v>
      </c>
      <c r="H117" s="234">
        <f>SUMIF(VA!B:B,A117,VA!I:I)</f>
        <v>359.46</v>
      </c>
      <c r="I117" s="33">
        <f>SUMIF(VR!B:B,A117,VR!I:I)</f>
        <v>657.5</v>
      </c>
      <c r="J117" s="4">
        <f t="shared" si="1"/>
        <v>1016.96</v>
      </c>
      <c r="K117" s="195">
        <f>SUMIF(FALTAS!A:A,A117,FALTAS!D:D)</f>
        <v>0</v>
      </c>
    </row>
    <row r="118" spans="1:11" x14ac:dyDescent="0.2">
      <c r="A118" s="235">
        <v>113226</v>
      </c>
      <c r="B118" s="236" t="s">
        <v>659</v>
      </c>
      <c r="C118" s="236" t="s">
        <v>0</v>
      </c>
      <c r="D118" s="236" t="s">
        <v>2</v>
      </c>
      <c r="E118" s="237">
        <v>43617</v>
      </c>
      <c r="F118" s="236" t="s">
        <v>1234</v>
      </c>
      <c r="G118" s="237">
        <v>45149</v>
      </c>
      <c r="H118" s="234">
        <f>SUMIF(VA!B:B,A118,VA!I:I)</f>
        <v>359.46</v>
      </c>
      <c r="I118" s="33">
        <f>SUMIF(VR!B:B,A118,VR!I:I)</f>
        <v>657.5</v>
      </c>
      <c r="J118" s="4">
        <f t="shared" si="1"/>
        <v>1016.96</v>
      </c>
      <c r="K118" s="195">
        <f>SUMIF(FALTAS!A:A,A118,FALTAS!D:D)</f>
        <v>0</v>
      </c>
    </row>
    <row r="119" spans="1:11" x14ac:dyDescent="0.2">
      <c r="A119" s="235">
        <v>114546</v>
      </c>
      <c r="B119" s="236" t="s">
        <v>1057</v>
      </c>
      <c r="C119" s="236" t="s">
        <v>8</v>
      </c>
      <c r="D119" s="236" t="s">
        <v>2</v>
      </c>
      <c r="E119" s="237">
        <v>43817</v>
      </c>
      <c r="F119" s="236" t="s">
        <v>1234</v>
      </c>
      <c r="G119" s="237">
        <v>44685</v>
      </c>
      <c r="H119" s="234">
        <f>SUMIF(VA!B:B,A119,VA!I:I)</f>
        <v>359.46</v>
      </c>
      <c r="I119" s="33">
        <f>SUMIF(VR!B:B,A119,VR!I:I)</f>
        <v>657.5</v>
      </c>
      <c r="J119" s="4">
        <f t="shared" si="1"/>
        <v>1016.96</v>
      </c>
      <c r="K119" s="195">
        <f>SUMIF(FALTAS!A:A,A119,FALTAS!D:D)</f>
        <v>0</v>
      </c>
    </row>
    <row r="120" spans="1:11" x14ac:dyDescent="0.2">
      <c r="A120" s="235">
        <v>113232</v>
      </c>
      <c r="B120" s="236" t="s">
        <v>662</v>
      </c>
      <c r="C120" s="236" t="s">
        <v>1589</v>
      </c>
      <c r="D120" s="236" t="s">
        <v>7</v>
      </c>
      <c r="E120" s="237">
        <v>43617</v>
      </c>
      <c r="F120" s="236" t="s">
        <v>1234</v>
      </c>
      <c r="G120" s="237">
        <v>45023</v>
      </c>
      <c r="H120" s="234">
        <f>SUMIF(VA!B:B,A120,VA!I:I)</f>
        <v>359.46</v>
      </c>
      <c r="I120" s="33">
        <f>SUMIF(VR!B:B,A120,VR!I:I)</f>
        <v>657.5</v>
      </c>
      <c r="J120" s="4">
        <f t="shared" si="1"/>
        <v>1016.96</v>
      </c>
      <c r="K120" s="195">
        <f>SUMIF(FALTAS!A:A,A120,FALTAS!D:D)</f>
        <v>0</v>
      </c>
    </row>
    <row r="121" spans="1:11" x14ac:dyDescent="0.2">
      <c r="A121" s="235">
        <v>114685</v>
      </c>
      <c r="B121" s="236" t="s">
        <v>1070</v>
      </c>
      <c r="C121" s="236" t="s">
        <v>10</v>
      </c>
      <c r="D121" s="236" t="s">
        <v>2</v>
      </c>
      <c r="E121" s="237">
        <v>43874</v>
      </c>
      <c r="F121" s="236" t="s">
        <v>1234</v>
      </c>
      <c r="G121" s="237">
        <v>45086</v>
      </c>
      <c r="H121" s="234">
        <f>SUMIF(VA!B:B,A121,VA!I:I)</f>
        <v>359.46</v>
      </c>
      <c r="I121" s="33">
        <f>SUMIF(VR!B:B,A121,VR!I:I)</f>
        <v>657.5</v>
      </c>
      <c r="J121" s="4">
        <f t="shared" si="1"/>
        <v>1016.96</v>
      </c>
      <c r="K121" s="195">
        <f>SUMIF(FALTAS!A:A,A121,FALTAS!D:D)</f>
        <v>0</v>
      </c>
    </row>
    <row r="122" spans="1:11" x14ac:dyDescent="0.2">
      <c r="A122" s="235">
        <v>120163</v>
      </c>
      <c r="B122" s="236" t="s">
        <v>1499</v>
      </c>
      <c r="C122" s="236" t="s">
        <v>8</v>
      </c>
      <c r="D122" s="236" t="s">
        <v>39</v>
      </c>
      <c r="E122" s="237">
        <v>44791</v>
      </c>
      <c r="F122" s="236" t="s">
        <v>1234</v>
      </c>
      <c r="G122" s="237">
        <v>44791</v>
      </c>
      <c r="H122" s="234">
        <f>SUMIF(VA!B:B,A122,VA!I:I)</f>
        <v>359.46</v>
      </c>
      <c r="I122" s="33">
        <f>SUMIF(VR!B:B,A122,VR!I:I)</f>
        <v>657.5</v>
      </c>
      <c r="J122" s="4">
        <f t="shared" si="1"/>
        <v>1016.96</v>
      </c>
      <c r="K122" s="195">
        <f>SUMIF(FALTAS!A:A,A122,FALTAS!D:D)</f>
        <v>0</v>
      </c>
    </row>
    <row r="123" spans="1:11" x14ac:dyDescent="0.2">
      <c r="A123" s="235">
        <v>113251</v>
      </c>
      <c r="B123" s="236" t="s">
        <v>671</v>
      </c>
      <c r="C123" s="236" t="s">
        <v>1589</v>
      </c>
      <c r="D123" s="236" t="s">
        <v>15</v>
      </c>
      <c r="E123" s="237">
        <v>43617</v>
      </c>
      <c r="F123" s="236" t="s">
        <v>1234</v>
      </c>
      <c r="G123" s="237">
        <v>44867</v>
      </c>
      <c r="H123" s="234">
        <f>SUMIF(VA!B:B,A123,VA!I:I)</f>
        <v>359.46</v>
      </c>
      <c r="I123" s="33">
        <f>SUMIF(VR!B:B,A123,VR!I:I)</f>
        <v>657.5</v>
      </c>
      <c r="J123" s="4">
        <f t="shared" si="1"/>
        <v>1016.96</v>
      </c>
      <c r="K123" s="195">
        <f>SUMIF(FALTAS!A:A,A123,FALTAS!D:D)</f>
        <v>0</v>
      </c>
    </row>
    <row r="124" spans="1:11" x14ac:dyDescent="0.2">
      <c r="A124" s="235">
        <v>118646</v>
      </c>
      <c r="B124" s="236" t="s">
        <v>1399</v>
      </c>
      <c r="C124" s="236" t="s">
        <v>0</v>
      </c>
      <c r="D124" s="236" t="s">
        <v>5</v>
      </c>
      <c r="E124" s="237">
        <v>44582</v>
      </c>
      <c r="F124" s="236" t="s">
        <v>1234</v>
      </c>
      <c r="G124" s="237">
        <v>44582</v>
      </c>
      <c r="H124" s="234">
        <f>SUMIF(VA!B:B,A124,VA!I:I)</f>
        <v>347.47</v>
      </c>
      <c r="I124" s="33">
        <f>SUMIF(VR!B:B,A124,VR!I:I)</f>
        <v>631.20000000000005</v>
      </c>
      <c r="J124" s="4">
        <f t="shared" si="1"/>
        <v>978.67000000000007</v>
      </c>
      <c r="K124" s="195">
        <f>SUMIF(FALTAS!A:A,A124,FALTAS!D:D)</f>
        <v>1</v>
      </c>
    </row>
    <row r="125" spans="1:11" x14ac:dyDescent="0.2">
      <c r="A125" s="235">
        <v>113253</v>
      </c>
      <c r="B125" s="236" t="s">
        <v>672</v>
      </c>
      <c r="C125" s="236" t="s">
        <v>8</v>
      </c>
      <c r="D125" s="236" t="s">
        <v>146</v>
      </c>
      <c r="E125" s="237">
        <v>43617</v>
      </c>
      <c r="F125" s="236" t="s">
        <v>1234</v>
      </c>
      <c r="G125" s="237">
        <v>44835</v>
      </c>
      <c r="H125" s="234">
        <f>SUMIF(VA!B:B,A125,VA!I:I)</f>
        <v>359.46</v>
      </c>
      <c r="I125" s="33">
        <f>SUMIF(VR!B:B,A125,VR!I:I)</f>
        <v>657.5</v>
      </c>
      <c r="J125" s="4">
        <f t="shared" si="1"/>
        <v>1016.96</v>
      </c>
      <c r="K125" s="195">
        <f>SUMIF(FALTAS!A:A,A125,FALTAS!D:D)</f>
        <v>0</v>
      </c>
    </row>
    <row r="126" spans="1:11" x14ac:dyDescent="0.2">
      <c r="A126" s="235">
        <v>114687</v>
      </c>
      <c r="B126" s="236" t="s">
        <v>1071</v>
      </c>
      <c r="C126" s="236" t="s">
        <v>19</v>
      </c>
      <c r="D126" s="236" t="s">
        <v>2</v>
      </c>
      <c r="E126" s="237">
        <v>43874</v>
      </c>
      <c r="F126" s="236" t="s">
        <v>1234</v>
      </c>
      <c r="G126" s="237">
        <v>45086</v>
      </c>
      <c r="H126" s="234">
        <f>SUMIF(VA!B:B,A126,VA!I:I)</f>
        <v>359.46</v>
      </c>
      <c r="I126" s="33">
        <f>SUMIF(VR!B:B,A126,VR!I:I)</f>
        <v>657.5</v>
      </c>
      <c r="J126" s="4">
        <f t="shared" si="1"/>
        <v>1016.96</v>
      </c>
      <c r="K126" s="195">
        <f>SUMIF(FALTAS!A:A,A126,FALTAS!D:D)</f>
        <v>0</v>
      </c>
    </row>
    <row r="127" spans="1:11" x14ac:dyDescent="0.2">
      <c r="A127" s="235">
        <v>113899</v>
      </c>
      <c r="B127" s="236" t="s">
        <v>990</v>
      </c>
      <c r="C127" s="236" t="s">
        <v>1589</v>
      </c>
      <c r="D127" s="236" t="s">
        <v>15</v>
      </c>
      <c r="E127" s="237">
        <v>43668</v>
      </c>
      <c r="F127" s="236" t="s">
        <v>1234</v>
      </c>
      <c r="G127" s="237">
        <v>44898</v>
      </c>
      <c r="H127" s="234">
        <f>SUMIF(VA!B:B,A127,VA!I:I)</f>
        <v>359.46</v>
      </c>
      <c r="I127" s="33">
        <f>SUMIF(VR!B:B,A127,VR!I:I)</f>
        <v>657.5</v>
      </c>
      <c r="J127" s="4">
        <f t="shared" si="1"/>
        <v>1016.96</v>
      </c>
      <c r="K127" s="195">
        <f>SUMIF(FALTAS!A:A,A127,FALTAS!D:D)</f>
        <v>0</v>
      </c>
    </row>
    <row r="128" spans="1:11" x14ac:dyDescent="0.2">
      <c r="A128" s="235">
        <v>113258</v>
      </c>
      <c r="B128" s="236" t="s">
        <v>674</v>
      </c>
      <c r="C128" s="236" t="s">
        <v>8</v>
      </c>
      <c r="D128" s="236" t="s">
        <v>5</v>
      </c>
      <c r="E128" s="237">
        <v>43617</v>
      </c>
      <c r="F128" s="236" t="s">
        <v>1234</v>
      </c>
      <c r="G128" s="237">
        <v>44835</v>
      </c>
      <c r="H128" s="234">
        <f>SUMIF(VA!B:B,A128,VA!I:I)</f>
        <v>359.46</v>
      </c>
      <c r="I128" s="33">
        <f>SUMIF(VR!B:B,A128,VR!I:I)</f>
        <v>657.5</v>
      </c>
      <c r="J128" s="4">
        <f t="shared" si="1"/>
        <v>1016.96</v>
      </c>
      <c r="K128" s="195">
        <f>SUMIF(FALTAS!A:A,A128,FALTAS!D:D)</f>
        <v>0</v>
      </c>
    </row>
    <row r="129" spans="1:11" x14ac:dyDescent="0.2">
      <c r="A129" s="235">
        <v>113302</v>
      </c>
      <c r="B129" s="236" t="s">
        <v>696</v>
      </c>
      <c r="C129" s="236" t="s">
        <v>8</v>
      </c>
      <c r="D129" s="236" t="s">
        <v>2</v>
      </c>
      <c r="E129" s="237">
        <v>43617</v>
      </c>
      <c r="F129" s="236" t="s">
        <v>1234</v>
      </c>
      <c r="G129" s="237">
        <v>44960</v>
      </c>
      <c r="H129" s="234">
        <f>SUMIF(VA!B:B,A129,VA!I:I)</f>
        <v>359.46</v>
      </c>
      <c r="I129" s="33">
        <f>SUMIF(VR!B:B,A129,VR!I:I)</f>
        <v>657.5</v>
      </c>
      <c r="J129" s="4">
        <f t="shared" si="1"/>
        <v>1016.96</v>
      </c>
      <c r="K129" s="195">
        <f>SUMIF(FALTAS!A:A,A129,FALTAS!D:D)</f>
        <v>0</v>
      </c>
    </row>
    <row r="130" spans="1:11" x14ac:dyDescent="0.2">
      <c r="A130" s="235">
        <v>113415</v>
      </c>
      <c r="B130" s="236" t="s">
        <v>766</v>
      </c>
      <c r="C130" s="236" t="s">
        <v>0</v>
      </c>
      <c r="D130" s="236" t="s">
        <v>2</v>
      </c>
      <c r="E130" s="237">
        <v>43617</v>
      </c>
      <c r="F130" s="236" t="s">
        <v>1234</v>
      </c>
      <c r="G130" s="237">
        <v>45149</v>
      </c>
      <c r="H130" s="234">
        <f>SUMIF(VA!B:B,A130,VA!I:I)</f>
        <v>359.46</v>
      </c>
      <c r="I130" s="33">
        <f>SUMIF(VR!B:B,A130,VR!I:I)</f>
        <v>657.5</v>
      </c>
      <c r="J130" s="4">
        <f t="shared" ref="J130:J193" si="2">H130+I130</f>
        <v>1016.96</v>
      </c>
      <c r="K130" s="195">
        <f>SUMIF(FALTAS!A:A,A130,FALTAS!D:D)</f>
        <v>0</v>
      </c>
    </row>
    <row r="131" spans="1:11" x14ac:dyDescent="0.2">
      <c r="A131" s="235">
        <v>113310</v>
      </c>
      <c r="B131" s="236" t="s">
        <v>702</v>
      </c>
      <c r="C131" s="236" t="s">
        <v>1589</v>
      </c>
      <c r="D131" s="236" t="s">
        <v>15</v>
      </c>
      <c r="E131" s="237">
        <v>43617</v>
      </c>
      <c r="F131" s="236" t="s">
        <v>1234</v>
      </c>
      <c r="G131" s="237">
        <v>45023</v>
      </c>
      <c r="H131" s="234">
        <f>SUMIF(VA!B:B,A131,VA!I:I)</f>
        <v>359.46</v>
      </c>
      <c r="I131" s="33">
        <f>SUMIF(VR!B:B,A131,VR!I:I)</f>
        <v>657.5</v>
      </c>
      <c r="J131" s="4">
        <f t="shared" si="2"/>
        <v>1016.96</v>
      </c>
      <c r="K131" s="195">
        <f>SUMIF(FALTAS!A:A,A131,FALTAS!D:D)</f>
        <v>0</v>
      </c>
    </row>
    <row r="132" spans="1:11" x14ac:dyDescent="0.2">
      <c r="A132" s="235">
        <v>113419</v>
      </c>
      <c r="B132" s="236" t="s">
        <v>770</v>
      </c>
      <c r="C132" s="236" t="s">
        <v>1589</v>
      </c>
      <c r="D132" s="236" t="s">
        <v>771</v>
      </c>
      <c r="E132" s="237">
        <v>43617</v>
      </c>
      <c r="F132" s="236" t="s">
        <v>1234</v>
      </c>
      <c r="G132" s="237">
        <v>45056</v>
      </c>
      <c r="H132" s="234">
        <f>SUMIF(VA!B:B,A132,VA!I:I)</f>
        <v>359.46</v>
      </c>
      <c r="I132" s="33">
        <f>SUMIF(VR!B:B,A132,VR!I:I)</f>
        <v>657.5</v>
      </c>
      <c r="J132" s="4">
        <f t="shared" si="2"/>
        <v>1016.96</v>
      </c>
      <c r="K132" s="195">
        <f>SUMIF(FALTAS!A:A,A132,FALTAS!D:D)</f>
        <v>0</v>
      </c>
    </row>
    <row r="133" spans="1:11" x14ac:dyDescent="0.2">
      <c r="A133" s="235">
        <v>113334</v>
      </c>
      <c r="B133" s="236" t="s">
        <v>714</v>
      </c>
      <c r="C133" s="236" t="s">
        <v>1589</v>
      </c>
      <c r="D133" s="236" t="s">
        <v>282</v>
      </c>
      <c r="E133" s="237">
        <v>43617</v>
      </c>
      <c r="F133" s="236" t="s">
        <v>1234</v>
      </c>
      <c r="G133" s="237">
        <v>45119</v>
      </c>
      <c r="H133" s="234">
        <f>SUMIF(VA!B:B,A133,VA!I:I)</f>
        <v>359.46</v>
      </c>
      <c r="I133" s="33">
        <f>SUMIF(VR!B:B,A133,VR!I:I)</f>
        <v>657.5</v>
      </c>
      <c r="J133" s="4">
        <f t="shared" si="2"/>
        <v>1016.96</v>
      </c>
      <c r="K133" s="195">
        <f>SUMIF(FALTAS!A:A,A133,FALTAS!D:D)</f>
        <v>0</v>
      </c>
    </row>
    <row r="134" spans="1:11" x14ac:dyDescent="0.2">
      <c r="A134" s="235">
        <v>113355</v>
      </c>
      <c r="B134" s="236" t="s">
        <v>725</v>
      </c>
      <c r="C134" s="236" t="s">
        <v>0</v>
      </c>
      <c r="D134" s="236" t="s">
        <v>5</v>
      </c>
      <c r="E134" s="237">
        <v>43617</v>
      </c>
      <c r="F134" s="236" t="s">
        <v>1234</v>
      </c>
      <c r="G134" s="237">
        <v>44835</v>
      </c>
      <c r="H134" s="234">
        <f>SUMIF(VA!B:B,A134,VA!I:I)</f>
        <v>359.46</v>
      </c>
      <c r="I134" s="33">
        <f>SUMIF(VR!B:B,A134,VR!I:I)</f>
        <v>657.5</v>
      </c>
      <c r="J134" s="4">
        <f t="shared" si="2"/>
        <v>1016.96</v>
      </c>
      <c r="K134" s="195">
        <f>SUMIF(FALTAS!A:A,A134,FALTAS!D:D)</f>
        <v>0</v>
      </c>
    </row>
    <row r="135" spans="1:11" x14ac:dyDescent="0.2">
      <c r="A135" s="235">
        <v>116969</v>
      </c>
      <c r="B135" s="236" t="s">
        <v>1239</v>
      </c>
      <c r="C135" s="236" t="s">
        <v>8</v>
      </c>
      <c r="D135" s="236" t="s">
        <v>5</v>
      </c>
      <c r="E135" s="237">
        <v>44419</v>
      </c>
      <c r="F135" s="236" t="s">
        <v>1234</v>
      </c>
      <c r="G135" s="237">
        <v>45086</v>
      </c>
      <c r="H135" s="234">
        <f>SUMIF(VA!B:B,A135,VA!I:I)</f>
        <v>359.46</v>
      </c>
      <c r="I135" s="33">
        <f>SUMIF(VR!B:B,A135,VR!I:I)</f>
        <v>657.5</v>
      </c>
      <c r="J135" s="4">
        <f t="shared" si="2"/>
        <v>1016.96</v>
      </c>
      <c r="K135" s="195">
        <f>SUMIF(FALTAS!A:A,A135,FALTAS!D:D)</f>
        <v>0</v>
      </c>
    </row>
    <row r="136" spans="1:11" x14ac:dyDescent="0.2">
      <c r="A136" s="235">
        <v>113431</v>
      </c>
      <c r="B136" s="236" t="s">
        <v>776</v>
      </c>
      <c r="C136" s="236" t="s">
        <v>0</v>
      </c>
      <c r="D136" s="236" t="s">
        <v>2</v>
      </c>
      <c r="E136" s="237">
        <v>43617</v>
      </c>
      <c r="F136" s="236" t="s">
        <v>1235</v>
      </c>
      <c r="G136" s="237">
        <v>45147</v>
      </c>
      <c r="H136" s="234">
        <f>SUMIF(VA!B:B,A136,VA!I:I)</f>
        <v>359.46</v>
      </c>
      <c r="I136" s="33">
        <f>SUMIF(VR!B:B,A136,VR!I:I)</f>
        <v>657.5</v>
      </c>
      <c r="J136" s="4">
        <f t="shared" si="2"/>
        <v>1016.96</v>
      </c>
      <c r="K136" s="195">
        <f>SUMIF(FALTAS!A:A,A136,FALTAS!D:D)</f>
        <v>0</v>
      </c>
    </row>
    <row r="137" spans="1:11" x14ac:dyDescent="0.2">
      <c r="A137" s="235">
        <v>113369</v>
      </c>
      <c r="B137" s="236" t="s">
        <v>736</v>
      </c>
      <c r="C137" s="236" t="s">
        <v>10</v>
      </c>
      <c r="D137" s="236" t="s">
        <v>2</v>
      </c>
      <c r="E137" s="237">
        <v>43617</v>
      </c>
      <c r="F137" s="236" t="s">
        <v>1234</v>
      </c>
      <c r="G137" s="237">
        <v>44960</v>
      </c>
      <c r="H137" s="234">
        <f>SUMIF(VA!B:B,A137,VA!I:I)</f>
        <v>359.46</v>
      </c>
      <c r="I137" s="33">
        <f>SUMIF(VR!B:B,A137,VR!I:I)</f>
        <v>657.5</v>
      </c>
      <c r="J137" s="4">
        <f t="shared" si="2"/>
        <v>1016.96</v>
      </c>
      <c r="K137" s="195">
        <f>SUMIF(FALTAS!A:A,A137,FALTAS!D:D)</f>
        <v>0</v>
      </c>
    </row>
    <row r="138" spans="1:11" x14ac:dyDescent="0.2">
      <c r="A138" s="235">
        <v>121673</v>
      </c>
      <c r="B138" s="236" t="s">
        <v>1594</v>
      </c>
      <c r="C138" s="236" t="s">
        <v>0</v>
      </c>
      <c r="D138" s="236" t="s">
        <v>5</v>
      </c>
      <c r="E138" s="237">
        <v>44994</v>
      </c>
      <c r="F138" s="236" t="s">
        <v>1285</v>
      </c>
      <c r="G138" s="237">
        <v>45139</v>
      </c>
      <c r="H138" s="234">
        <f>SUMIF(VA!B:B,A138,VA!I:I)</f>
        <v>0</v>
      </c>
      <c r="I138" s="33">
        <f>SUMIF(VR!B:B,A138,VR!I:I)</f>
        <v>0</v>
      </c>
      <c r="J138" s="4">
        <f t="shared" si="2"/>
        <v>0</v>
      </c>
      <c r="K138" s="195">
        <f>SUMIF(FALTAS!A:A,A138,FALTAS!D:D)</f>
        <v>0</v>
      </c>
    </row>
    <row r="139" spans="1:11" x14ac:dyDescent="0.2">
      <c r="A139" s="235">
        <v>113438</v>
      </c>
      <c r="B139" s="236" t="s">
        <v>782</v>
      </c>
      <c r="C139" s="236" t="s">
        <v>19</v>
      </c>
      <c r="D139" s="236" t="s">
        <v>5</v>
      </c>
      <c r="E139" s="237">
        <v>43617</v>
      </c>
      <c r="F139" s="236" t="s">
        <v>1234</v>
      </c>
      <c r="G139" s="237">
        <v>45023</v>
      </c>
      <c r="H139" s="234">
        <f>SUMIF(VA!B:B,A139,VA!I:I)</f>
        <v>359.46</v>
      </c>
      <c r="I139" s="33">
        <f>SUMIF(VR!B:B,A139,VR!I:I)</f>
        <v>657.5</v>
      </c>
      <c r="J139" s="4">
        <f t="shared" si="2"/>
        <v>1016.96</v>
      </c>
      <c r="K139" s="195">
        <f>SUMIF(FALTAS!A:A,A139,FALTAS!D:D)</f>
        <v>0</v>
      </c>
    </row>
    <row r="140" spans="1:11" x14ac:dyDescent="0.2">
      <c r="A140" s="235">
        <v>113379</v>
      </c>
      <c r="B140" s="236" t="s">
        <v>742</v>
      </c>
      <c r="C140" s="236" t="s">
        <v>8</v>
      </c>
      <c r="D140" s="236" t="s">
        <v>39</v>
      </c>
      <c r="E140" s="237">
        <v>43617</v>
      </c>
      <c r="F140" s="236" t="s">
        <v>1234</v>
      </c>
      <c r="G140" s="237">
        <v>45119</v>
      </c>
      <c r="H140" s="234">
        <f>SUMIF(VA!B:B,A140,VA!I:I)</f>
        <v>359.46</v>
      </c>
      <c r="I140" s="33">
        <f>SUMIF(VR!B:B,A140,VR!I:I)</f>
        <v>657.5</v>
      </c>
      <c r="J140" s="4">
        <f t="shared" si="2"/>
        <v>1016.96</v>
      </c>
      <c r="K140" s="195">
        <f>SUMIF(FALTAS!A:A,A140,FALTAS!D:D)</f>
        <v>0</v>
      </c>
    </row>
    <row r="141" spans="1:11" x14ac:dyDescent="0.2">
      <c r="A141" s="235">
        <v>113445</v>
      </c>
      <c r="B141" s="236" t="s">
        <v>785</v>
      </c>
      <c r="C141" s="236" t="s">
        <v>8</v>
      </c>
      <c r="D141" s="236" t="s">
        <v>5</v>
      </c>
      <c r="E141" s="237">
        <v>43617</v>
      </c>
      <c r="F141" s="236" t="s">
        <v>1234</v>
      </c>
      <c r="G141" s="237">
        <v>44898</v>
      </c>
      <c r="H141" s="234">
        <f>SUMIF(VA!B:B,A141,VA!I:I)</f>
        <v>359.46</v>
      </c>
      <c r="I141" s="33">
        <f>SUMIF(VR!B:B,A141,VR!I:I)</f>
        <v>657.5</v>
      </c>
      <c r="J141" s="4">
        <f t="shared" si="2"/>
        <v>1016.96</v>
      </c>
      <c r="K141" s="195">
        <f>SUMIF(FALTAS!A:A,A141,FALTAS!D:D)</f>
        <v>0</v>
      </c>
    </row>
    <row r="142" spans="1:11" x14ac:dyDescent="0.2">
      <c r="A142" s="235">
        <v>113388</v>
      </c>
      <c r="B142" s="236" t="s">
        <v>747</v>
      </c>
      <c r="C142" s="236" t="s">
        <v>0</v>
      </c>
      <c r="D142" s="236" t="s">
        <v>2</v>
      </c>
      <c r="E142" s="237">
        <v>43617</v>
      </c>
      <c r="F142" s="236" t="s">
        <v>1234</v>
      </c>
      <c r="G142" s="237">
        <v>45149</v>
      </c>
      <c r="H142" s="234">
        <f>SUMIF(VA!B:B,A142,VA!I:I)</f>
        <v>359.46</v>
      </c>
      <c r="I142" s="33">
        <f>SUMIF(VR!B:B,A142,VR!I:I)</f>
        <v>657.5</v>
      </c>
      <c r="J142" s="4">
        <f t="shared" si="2"/>
        <v>1016.96</v>
      </c>
      <c r="K142" s="195">
        <f>SUMIF(FALTAS!A:A,A142,FALTAS!D:D)</f>
        <v>0</v>
      </c>
    </row>
    <row r="143" spans="1:11" x14ac:dyDescent="0.2">
      <c r="A143" s="235">
        <v>113396</v>
      </c>
      <c r="B143" s="236" t="s">
        <v>755</v>
      </c>
      <c r="C143" s="236" t="s">
        <v>19</v>
      </c>
      <c r="D143" s="236" t="s">
        <v>5</v>
      </c>
      <c r="E143" s="237">
        <v>43617</v>
      </c>
      <c r="F143" s="236" t="s">
        <v>1234</v>
      </c>
      <c r="G143" s="237">
        <v>45023</v>
      </c>
      <c r="H143" s="234">
        <f>SUMIF(VA!B:B,A143,VA!I:I)</f>
        <v>359.46</v>
      </c>
      <c r="I143" s="33">
        <f>SUMIF(VR!B:B,A143,VR!I:I)</f>
        <v>657.5</v>
      </c>
      <c r="J143" s="4">
        <f t="shared" si="2"/>
        <v>1016.96</v>
      </c>
      <c r="K143" s="195">
        <f>SUMIF(FALTAS!A:A,A143,FALTAS!D:D)</f>
        <v>0</v>
      </c>
    </row>
    <row r="144" spans="1:11" x14ac:dyDescent="0.2">
      <c r="A144" s="235">
        <v>113400</v>
      </c>
      <c r="B144" s="236" t="s">
        <v>757</v>
      </c>
      <c r="C144" s="236" t="s">
        <v>1589</v>
      </c>
      <c r="D144" s="236" t="s">
        <v>22</v>
      </c>
      <c r="E144" s="237">
        <v>43617</v>
      </c>
      <c r="F144" s="236" t="s">
        <v>1235</v>
      </c>
      <c r="G144" s="237">
        <v>45147</v>
      </c>
      <c r="H144" s="234">
        <f>SUMIF(VA!B:B,A144,VA!I:I)</f>
        <v>359.46</v>
      </c>
      <c r="I144" s="33">
        <f>SUMIF(VR!B:B,A144,VR!I:I)</f>
        <v>657.5</v>
      </c>
      <c r="J144" s="4">
        <f t="shared" si="2"/>
        <v>1016.96</v>
      </c>
      <c r="K144" s="195">
        <f>SUMIF(FALTAS!A:A,A144,FALTAS!D:D)</f>
        <v>0</v>
      </c>
    </row>
    <row r="145" spans="1:11" x14ac:dyDescent="0.2">
      <c r="A145" s="235">
        <v>113482</v>
      </c>
      <c r="B145" s="236" t="s">
        <v>805</v>
      </c>
      <c r="C145" s="236" t="s">
        <v>1589</v>
      </c>
      <c r="D145" s="236" t="s">
        <v>582</v>
      </c>
      <c r="E145" s="237">
        <v>43617</v>
      </c>
      <c r="F145" s="236" t="s">
        <v>1234</v>
      </c>
      <c r="G145" s="237">
        <v>45119</v>
      </c>
      <c r="H145" s="234">
        <f>SUMIF(VA!B:B,A145,VA!I:I)</f>
        <v>359.46</v>
      </c>
      <c r="I145" s="33">
        <f>SUMIF(VR!B:B,A145,VR!I:I)</f>
        <v>657.5</v>
      </c>
      <c r="J145" s="4">
        <f t="shared" si="2"/>
        <v>1016.96</v>
      </c>
      <c r="K145" s="195">
        <f>SUMIF(FALTAS!A:A,A145,FALTAS!D:D)</f>
        <v>0</v>
      </c>
    </row>
    <row r="146" spans="1:11" x14ac:dyDescent="0.2">
      <c r="A146" s="235">
        <v>116970</v>
      </c>
      <c r="B146" s="236" t="s">
        <v>1240</v>
      </c>
      <c r="C146" s="236" t="s">
        <v>32</v>
      </c>
      <c r="D146" s="236" t="s">
        <v>5</v>
      </c>
      <c r="E146" s="237">
        <v>44419</v>
      </c>
      <c r="F146" s="236" t="s">
        <v>1234</v>
      </c>
      <c r="G146" s="237">
        <v>45086</v>
      </c>
      <c r="H146" s="234">
        <f>SUMIF(VA!B:B,A146,VA!I:I)</f>
        <v>359.46</v>
      </c>
      <c r="I146" s="33">
        <f>SUMIF(VR!B:B,A146,VR!I:I)</f>
        <v>657.5</v>
      </c>
      <c r="J146" s="4">
        <f t="shared" si="2"/>
        <v>1016.96</v>
      </c>
      <c r="K146" s="195">
        <f>SUMIF(FALTAS!A:A,A146,FALTAS!D:D)</f>
        <v>0</v>
      </c>
    </row>
    <row r="147" spans="1:11" x14ac:dyDescent="0.2">
      <c r="A147" s="235">
        <v>113490</v>
      </c>
      <c r="B147" s="236" t="s">
        <v>809</v>
      </c>
      <c r="C147" s="236" t="s">
        <v>1589</v>
      </c>
      <c r="D147" s="236" t="s">
        <v>385</v>
      </c>
      <c r="E147" s="237">
        <v>43617</v>
      </c>
      <c r="F147" s="236" t="s">
        <v>1234</v>
      </c>
      <c r="G147" s="237">
        <v>44993</v>
      </c>
      <c r="H147" s="234">
        <f>SUMIF(VA!B:B,A147,VA!I:I)</f>
        <v>359.46</v>
      </c>
      <c r="I147" s="33">
        <f>SUMIF(VR!B:B,A147,VR!I:I)</f>
        <v>657.5</v>
      </c>
      <c r="J147" s="4">
        <f t="shared" si="2"/>
        <v>1016.96</v>
      </c>
      <c r="K147" s="195">
        <f>SUMIF(FALTAS!A:A,A147,FALTAS!D:D)</f>
        <v>0</v>
      </c>
    </row>
    <row r="148" spans="1:11" x14ac:dyDescent="0.2">
      <c r="A148" s="235">
        <v>113711</v>
      </c>
      <c r="B148" s="236" t="s">
        <v>929</v>
      </c>
      <c r="C148" s="236" t="s">
        <v>1591</v>
      </c>
      <c r="D148" s="236" t="s">
        <v>930</v>
      </c>
      <c r="E148" s="237">
        <v>43619</v>
      </c>
      <c r="F148" s="236" t="s">
        <v>1234</v>
      </c>
      <c r="G148" s="237">
        <v>44888</v>
      </c>
      <c r="H148" s="234">
        <f>SUMIF(VA!B:B,A148,VA!I:I)</f>
        <v>359.46</v>
      </c>
      <c r="I148" s="33">
        <f>SUMIF(VR!B:B,A148,VR!I:I)</f>
        <v>657.5</v>
      </c>
      <c r="J148" s="4">
        <f t="shared" si="2"/>
        <v>1016.96</v>
      </c>
      <c r="K148" s="195">
        <f>SUMIF(FALTAS!A:A,A148,FALTAS!D:D)</f>
        <v>0</v>
      </c>
    </row>
    <row r="149" spans="1:11" x14ac:dyDescent="0.2">
      <c r="A149" s="235">
        <v>115225</v>
      </c>
      <c r="B149" s="236" t="s">
        <v>1150</v>
      </c>
      <c r="C149" s="236" t="s">
        <v>19</v>
      </c>
      <c r="D149" s="236" t="s">
        <v>5</v>
      </c>
      <c r="E149" s="237">
        <v>44018</v>
      </c>
      <c r="F149" s="236" t="s">
        <v>1234</v>
      </c>
      <c r="G149" s="237">
        <v>45086</v>
      </c>
      <c r="H149" s="234">
        <f>SUMIF(VA!B:B,A149,VA!I:I)</f>
        <v>359.46</v>
      </c>
      <c r="I149" s="33">
        <f>SUMIF(VR!B:B,A149,VR!I:I)</f>
        <v>657.5</v>
      </c>
      <c r="J149" s="4">
        <f t="shared" si="2"/>
        <v>1016.96</v>
      </c>
      <c r="K149" s="195">
        <f>SUMIF(FALTAS!A:A,A149,FALTAS!D:D)</f>
        <v>0</v>
      </c>
    </row>
    <row r="150" spans="1:11" x14ac:dyDescent="0.2">
      <c r="A150" s="235">
        <v>113922</v>
      </c>
      <c r="B150" s="236" t="s">
        <v>992</v>
      </c>
      <c r="C150" s="236" t="s">
        <v>1589</v>
      </c>
      <c r="D150" s="236" t="s">
        <v>993</v>
      </c>
      <c r="E150" s="237">
        <v>43682</v>
      </c>
      <c r="F150" s="236" t="s">
        <v>1234</v>
      </c>
      <c r="G150" s="237">
        <v>45112</v>
      </c>
      <c r="H150" s="234">
        <f>SUMIF(VA!B:B,A150,VA!I:I)</f>
        <v>359.46</v>
      </c>
      <c r="I150" s="33">
        <f>SUMIF(VR!B:B,A150,VR!I:I)</f>
        <v>657.5</v>
      </c>
      <c r="J150" s="4">
        <f t="shared" si="2"/>
        <v>1016.96</v>
      </c>
      <c r="K150" s="195">
        <f>SUMIF(FALTAS!A:A,A150,FALTAS!D:D)</f>
        <v>0</v>
      </c>
    </row>
    <row r="151" spans="1:11" x14ac:dyDescent="0.2">
      <c r="A151" s="235">
        <v>118633</v>
      </c>
      <c r="B151" s="236" t="s">
        <v>1400</v>
      </c>
      <c r="C151" s="236" t="s">
        <v>0</v>
      </c>
      <c r="D151" s="236" t="s">
        <v>5</v>
      </c>
      <c r="E151" s="237">
        <v>44582</v>
      </c>
      <c r="F151" s="236" t="s">
        <v>1234</v>
      </c>
      <c r="G151" s="237">
        <v>44582</v>
      </c>
      <c r="H151" s="234">
        <f>SUMIF(VA!B:B,A151,VA!I:I)</f>
        <v>359.46</v>
      </c>
      <c r="I151" s="33">
        <f>SUMIF(VR!B:B,A151,VR!I:I)</f>
        <v>657.5</v>
      </c>
      <c r="J151" s="4">
        <f t="shared" si="2"/>
        <v>1016.96</v>
      </c>
      <c r="K151" s="195">
        <f>SUMIF(FALTAS!A:A,A151,FALTAS!D:D)</f>
        <v>0</v>
      </c>
    </row>
    <row r="152" spans="1:11" x14ac:dyDescent="0.2">
      <c r="A152" s="235">
        <v>113508</v>
      </c>
      <c r="B152" s="236" t="s">
        <v>818</v>
      </c>
      <c r="C152" s="236" t="s">
        <v>1589</v>
      </c>
      <c r="D152" s="236" t="s">
        <v>15</v>
      </c>
      <c r="E152" s="237">
        <v>43617</v>
      </c>
      <c r="F152" s="236" t="s">
        <v>1234</v>
      </c>
      <c r="G152" s="237">
        <v>45149</v>
      </c>
      <c r="H152" s="234">
        <f>SUMIF(VA!B:B,A152,VA!I:I)</f>
        <v>359.46</v>
      </c>
      <c r="I152" s="33">
        <f>SUMIF(VR!B:B,A152,VR!I:I)</f>
        <v>657.5</v>
      </c>
      <c r="J152" s="4">
        <f t="shared" si="2"/>
        <v>1016.96</v>
      </c>
      <c r="K152" s="195">
        <f>SUMIF(FALTAS!A:A,A152,FALTAS!D:D)</f>
        <v>0</v>
      </c>
    </row>
    <row r="153" spans="1:11" x14ac:dyDescent="0.2">
      <c r="A153" s="235">
        <v>113699</v>
      </c>
      <c r="B153" s="236" t="s">
        <v>926</v>
      </c>
      <c r="C153" s="236" t="s">
        <v>8</v>
      </c>
      <c r="D153" s="236" t="s">
        <v>2</v>
      </c>
      <c r="E153" s="237">
        <v>43617</v>
      </c>
      <c r="F153" s="236" t="s">
        <v>1234</v>
      </c>
      <c r="G153" s="237">
        <v>44960</v>
      </c>
      <c r="H153" s="234">
        <f>SUMIF(VA!B:B,A153,VA!I:I)</f>
        <v>359.46</v>
      </c>
      <c r="I153" s="33">
        <f>SUMIF(VR!B:B,A153,VR!I:I)</f>
        <v>657.5</v>
      </c>
      <c r="J153" s="4">
        <f t="shared" si="2"/>
        <v>1016.96</v>
      </c>
      <c r="K153" s="195">
        <f>SUMIF(FALTAS!A:A,A153,FALTAS!D:D)</f>
        <v>0</v>
      </c>
    </row>
    <row r="154" spans="1:11" x14ac:dyDescent="0.2">
      <c r="A154" s="235">
        <v>113515</v>
      </c>
      <c r="B154" s="236" t="s">
        <v>821</v>
      </c>
      <c r="C154" s="236" t="s">
        <v>10</v>
      </c>
      <c r="D154" s="236" t="s">
        <v>2</v>
      </c>
      <c r="E154" s="237">
        <v>43617</v>
      </c>
      <c r="F154" s="236" t="s">
        <v>1235</v>
      </c>
      <c r="G154" s="237">
        <v>45147</v>
      </c>
      <c r="H154" s="234">
        <f>SUMIF(VA!B:B,A154,VA!I:I)</f>
        <v>359.46</v>
      </c>
      <c r="I154" s="33">
        <f>SUMIF(VR!B:B,A154,VR!I:I)</f>
        <v>657.5</v>
      </c>
      <c r="J154" s="4">
        <f t="shared" si="2"/>
        <v>1016.96</v>
      </c>
      <c r="K154" s="195">
        <f>SUMIF(FALTAS!A:A,A154,FALTAS!D:D)</f>
        <v>0</v>
      </c>
    </row>
    <row r="155" spans="1:11" x14ac:dyDescent="0.2">
      <c r="A155" s="235">
        <v>113679</v>
      </c>
      <c r="B155" s="236" t="s">
        <v>356</v>
      </c>
      <c r="C155" s="236" t="s">
        <v>0</v>
      </c>
      <c r="D155" s="236" t="s">
        <v>2</v>
      </c>
      <c r="E155" s="237">
        <v>43617</v>
      </c>
      <c r="F155" s="236" t="s">
        <v>1234</v>
      </c>
      <c r="G155" s="237">
        <v>44993</v>
      </c>
      <c r="H155" s="234">
        <f>SUMIF(VA!B:B,A155,VA!I:I)</f>
        <v>359.46</v>
      </c>
      <c r="I155" s="33">
        <f>SUMIF(VR!B:B,A155,VR!I:I)</f>
        <v>657.5</v>
      </c>
      <c r="J155" s="4">
        <f t="shared" si="2"/>
        <v>1016.96</v>
      </c>
      <c r="K155" s="195">
        <f>SUMIF(FALTAS!A:A,A155,FALTAS!D:D)</f>
        <v>0</v>
      </c>
    </row>
    <row r="156" spans="1:11" x14ac:dyDescent="0.2">
      <c r="A156" s="235">
        <v>113529</v>
      </c>
      <c r="B156" s="236" t="s">
        <v>828</v>
      </c>
      <c r="C156" s="236" t="s">
        <v>1589</v>
      </c>
      <c r="D156" s="236" t="s">
        <v>15</v>
      </c>
      <c r="E156" s="237">
        <v>43617</v>
      </c>
      <c r="F156" s="236" t="s">
        <v>1234</v>
      </c>
      <c r="G156" s="237">
        <v>44744</v>
      </c>
      <c r="H156" s="234">
        <f>SUMIF(VA!B:B,A156,VA!I:I)</f>
        <v>359.46</v>
      </c>
      <c r="I156" s="33">
        <f>SUMIF(VR!B:B,A156,VR!I:I)</f>
        <v>657.5</v>
      </c>
      <c r="J156" s="4">
        <f t="shared" si="2"/>
        <v>1016.96</v>
      </c>
      <c r="K156" s="195">
        <f>SUMIF(FALTAS!A:A,A156,FALTAS!D:D)</f>
        <v>0</v>
      </c>
    </row>
    <row r="157" spans="1:11" x14ac:dyDescent="0.2">
      <c r="A157" s="235">
        <v>113533</v>
      </c>
      <c r="B157" s="236" t="s">
        <v>832</v>
      </c>
      <c r="C157" s="236" t="s">
        <v>10</v>
      </c>
      <c r="D157" s="236" t="s">
        <v>2</v>
      </c>
      <c r="E157" s="237">
        <v>43617</v>
      </c>
      <c r="F157" s="236" t="s">
        <v>1234</v>
      </c>
      <c r="G157" s="237">
        <v>45000</v>
      </c>
      <c r="H157" s="234">
        <f>SUMIF(VA!B:B,A157,VA!I:I)</f>
        <v>359.46</v>
      </c>
      <c r="I157" s="33">
        <f>SUMIF(VR!B:B,A157,VR!I:I)</f>
        <v>657.5</v>
      </c>
      <c r="J157" s="4">
        <f t="shared" si="2"/>
        <v>1016.96</v>
      </c>
      <c r="K157" s="195">
        <f>SUMIF(FALTAS!A:A,A157,FALTAS!D:D)</f>
        <v>0</v>
      </c>
    </row>
    <row r="158" spans="1:11" x14ac:dyDescent="0.2">
      <c r="A158" s="235">
        <v>113543</v>
      </c>
      <c r="B158" s="236" t="s">
        <v>838</v>
      </c>
      <c r="C158" s="236" t="s">
        <v>1589</v>
      </c>
      <c r="D158" s="236" t="s">
        <v>15</v>
      </c>
      <c r="E158" s="237">
        <v>43617</v>
      </c>
      <c r="F158" s="236" t="s">
        <v>1234</v>
      </c>
      <c r="G158" s="237">
        <v>44990</v>
      </c>
      <c r="H158" s="234">
        <f>SUMIF(VA!B:B,A158,VA!I:I)</f>
        <v>359.46</v>
      </c>
      <c r="I158" s="33">
        <f>SUMIF(VR!B:B,A158,VR!I:I)</f>
        <v>657.5</v>
      </c>
      <c r="J158" s="4">
        <f t="shared" si="2"/>
        <v>1016.96</v>
      </c>
      <c r="K158" s="195">
        <f>SUMIF(FALTAS!A:A,A158,FALTAS!D:D)</f>
        <v>0</v>
      </c>
    </row>
    <row r="159" spans="1:11" x14ac:dyDescent="0.2">
      <c r="A159" s="235">
        <v>113549</v>
      </c>
      <c r="B159" s="236" t="s">
        <v>843</v>
      </c>
      <c r="C159" s="236" t="s">
        <v>0</v>
      </c>
      <c r="D159" s="236" t="s">
        <v>5</v>
      </c>
      <c r="E159" s="237">
        <v>43617</v>
      </c>
      <c r="F159" s="236" t="s">
        <v>1234</v>
      </c>
      <c r="G159" s="237">
        <v>45143</v>
      </c>
      <c r="H159" s="234">
        <f>SUMIF(VA!B:B,A159,VA!I:I)</f>
        <v>323.51</v>
      </c>
      <c r="I159" s="33">
        <f>SUMIF(VR!B:B,A159,VR!I:I)</f>
        <v>578.6</v>
      </c>
      <c r="J159" s="4">
        <f t="shared" si="2"/>
        <v>902.11</v>
      </c>
      <c r="K159" s="195">
        <f>SUMIF(FALTAS!A:A,A159,FALTAS!D:D)</f>
        <v>3</v>
      </c>
    </row>
    <row r="160" spans="1:11" x14ac:dyDescent="0.2">
      <c r="A160" s="235">
        <v>113553</v>
      </c>
      <c r="B160" s="236" t="s">
        <v>847</v>
      </c>
      <c r="C160" s="236" t="s">
        <v>8</v>
      </c>
      <c r="D160" s="236" t="s">
        <v>2</v>
      </c>
      <c r="E160" s="237">
        <v>43617</v>
      </c>
      <c r="F160" s="236" t="s">
        <v>1235</v>
      </c>
      <c r="G160" s="237">
        <v>45147</v>
      </c>
      <c r="H160" s="234">
        <f>SUMIF(VA!B:B,A160,VA!I:I)</f>
        <v>359.46</v>
      </c>
      <c r="I160" s="33">
        <f>SUMIF(VR!B:B,A160,VR!I:I)</f>
        <v>657.5</v>
      </c>
      <c r="J160" s="4">
        <f t="shared" si="2"/>
        <v>1016.96</v>
      </c>
      <c r="K160" s="195">
        <f>SUMIF(FALTAS!A:A,A160,FALTAS!D:D)</f>
        <v>0</v>
      </c>
    </row>
    <row r="161" spans="1:11" x14ac:dyDescent="0.2">
      <c r="A161" s="235">
        <v>119644</v>
      </c>
      <c r="B161" s="236" t="s">
        <v>1462</v>
      </c>
      <c r="C161" s="236" t="s">
        <v>19</v>
      </c>
      <c r="D161" s="236" t="s">
        <v>5</v>
      </c>
      <c r="E161" s="237">
        <v>44725</v>
      </c>
      <c r="F161" s="236" t="s">
        <v>1234</v>
      </c>
      <c r="G161" s="237">
        <v>44725</v>
      </c>
      <c r="H161" s="234">
        <f>SUMIF(VA!B:B,A161,VA!I:I)</f>
        <v>359.46</v>
      </c>
      <c r="I161" s="33">
        <f>SUMIF(VR!B:B,A161,VR!I:I)</f>
        <v>657.5</v>
      </c>
      <c r="J161" s="4">
        <f t="shared" si="2"/>
        <v>1016.96</v>
      </c>
      <c r="K161" s="195">
        <f>SUMIF(FALTAS!A:A,A161,FALTAS!D:D)</f>
        <v>0</v>
      </c>
    </row>
    <row r="162" spans="1:11" x14ac:dyDescent="0.2">
      <c r="A162" s="235">
        <v>113558</v>
      </c>
      <c r="B162" s="236" t="s">
        <v>849</v>
      </c>
      <c r="C162" s="236" t="s">
        <v>0</v>
      </c>
      <c r="D162" s="236" t="s">
        <v>2</v>
      </c>
      <c r="E162" s="237">
        <v>43617</v>
      </c>
      <c r="F162" s="236" t="s">
        <v>1234</v>
      </c>
      <c r="G162" s="237">
        <v>45149</v>
      </c>
      <c r="H162" s="234">
        <f>SUMIF(VA!B:B,A162,VA!I:I)</f>
        <v>359.46</v>
      </c>
      <c r="I162" s="33">
        <f>SUMIF(VR!B:B,A162,VR!I:I)</f>
        <v>657.5</v>
      </c>
      <c r="J162" s="4">
        <f t="shared" si="2"/>
        <v>1016.96</v>
      </c>
      <c r="K162" s="195">
        <f>SUMIF(FALTAS!A:A,A162,FALTAS!D:D)</f>
        <v>0</v>
      </c>
    </row>
    <row r="163" spans="1:11" x14ac:dyDescent="0.2">
      <c r="A163" s="235">
        <v>113561</v>
      </c>
      <c r="B163" s="236" t="s">
        <v>852</v>
      </c>
      <c r="C163" s="236" t="s">
        <v>10</v>
      </c>
      <c r="D163" s="236" t="s">
        <v>2</v>
      </c>
      <c r="E163" s="237">
        <v>43617</v>
      </c>
      <c r="F163" s="236" t="s">
        <v>1234</v>
      </c>
      <c r="G163" s="237">
        <v>44993</v>
      </c>
      <c r="H163" s="234">
        <f>SUMIF(VA!B:B,A163,VA!I:I)</f>
        <v>359.46</v>
      </c>
      <c r="I163" s="33">
        <f>SUMIF(VR!B:B,A163,VR!I:I)</f>
        <v>657.5</v>
      </c>
      <c r="J163" s="4">
        <f t="shared" si="2"/>
        <v>1016.96</v>
      </c>
      <c r="K163" s="195">
        <f>SUMIF(FALTAS!A:A,A163,FALTAS!D:D)</f>
        <v>0</v>
      </c>
    </row>
    <row r="164" spans="1:11" x14ac:dyDescent="0.2">
      <c r="A164" s="235">
        <v>114973</v>
      </c>
      <c r="B164" s="236" t="s">
        <v>1136</v>
      </c>
      <c r="C164" s="236" t="s">
        <v>1589</v>
      </c>
      <c r="D164" s="236" t="s">
        <v>282</v>
      </c>
      <c r="E164" s="237">
        <v>43917</v>
      </c>
      <c r="F164" s="236" t="s">
        <v>1234</v>
      </c>
      <c r="G164" s="237">
        <v>45056</v>
      </c>
      <c r="H164" s="234">
        <f>SUMIF(VA!B:B,A164,VA!I:I)</f>
        <v>359.46</v>
      </c>
      <c r="I164" s="33">
        <f>SUMIF(VR!B:B,A164,VR!I:I)</f>
        <v>657.5</v>
      </c>
      <c r="J164" s="4">
        <f t="shared" si="2"/>
        <v>1016.96</v>
      </c>
      <c r="K164" s="195">
        <f>SUMIF(FALTAS!A:A,A164,FALTAS!D:D)</f>
        <v>0</v>
      </c>
    </row>
    <row r="165" spans="1:11" x14ac:dyDescent="0.2">
      <c r="A165" s="235">
        <v>113588</v>
      </c>
      <c r="B165" s="236" t="s">
        <v>864</v>
      </c>
      <c r="C165" s="236" t="s">
        <v>8</v>
      </c>
      <c r="D165" s="236" t="s">
        <v>2</v>
      </c>
      <c r="E165" s="237">
        <v>43617</v>
      </c>
      <c r="F165" s="236" t="s">
        <v>1235</v>
      </c>
      <c r="G165" s="237">
        <v>45147</v>
      </c>
      <c r="H165" s="234">
        <f>SUMIF(VA!B:B,A165,VA!I:I)</f>
        <v>359.46</v>
      </c>
      <c r="I165" s="33">
        <f>SUMIF(VR!B:B,A165,VR!I:I)</f>
        <v>657.5</v>
      </c>
      <c r="J165" s="4">
        <f t="shared" si="2"/>
        <v>1016.96</v>
      </c>
      <c r="K165" s="195">
        <f>SUMIF(FALTAS!A:A,A165,FALTAS!D:D)</f>
        <v>0</v>
      </c>
    </row>
    <row r="166" spans="1:11" x14ac:dyDescent="0.2">
      <c r="A166" s="235">
        <v>113625</v>
      </c>
      <c r="B166" s="236" t="s">
        <v>881</v>
      </c>
      <c r="C166" s="236" t="s">
        <v>0</v>
      </c>
      <c r="D166" s="236" t="s">
        <v>5</v>
      </c>
      <c r="E166" s="237">
        <v>43617</v>
      </c>
      <c r="F166" s="236" t="s">
        <v>1234</v>
      </c>
      <c r="G166" s="237">
        <v>44835</v>
      </c>
      <c r="H166" s="234">
        <f>SUMIF(VA!B:B,A166,VA!I:I)</f>
        <v>359.46</v>
      </c>
      <c r="I166" s="33">
        <f>SUMIF(VR!B:B,A166,VR!I:I)</f>
        <v>657.5</v>
      </c>
      <c r="J166" s="4">
        <f t="shared" si="2"/>
        <v>1016.96</v>
      </c>
      <c r="K166" s="195">
        <f>SUMIF(FALTAS!A:A,A166,FALTAS!D:D)</f>
        <v>0</v>
      </c>
    </row>
    <row r="167" spans="1:11" x14ac:dyDescent="0.2">
      <c r="A167" s="235">
        <v>113631</v>
      </c>
      <c r="B167" s="236" t="s">
        <v>886</v>
      </c>
      <c r="C167" s="236" t="s">
        <v>10</v>
      </c>
      <c r="D167" s="236" t="s">
        <v>2</v>
      </c>
      <c r="E167" s="237">
        <v>43617</v>
      </c>
      <c r="F167" s="236" t="s">
        <v>1234</v>
      </c>
      <c r="G167" s="237">
        <v>44898</v>
      </c>
      <c r="H167" s="234">
        <f>SUMIF(VA!B:B,A167,VA!I:I)</f>
        <v>359.46</v>
      </c>
      <c r="I167" s="33">
        <f>SUMIF(VR!B:B,A167,VR!I:I)</f>
        <v>657.5</v>
      </c>
      <c r="J167" s="4">
        <f t="shared" si="2"/>
        <v>1016.96</v>
      </c>
      <c r="K167" s="195">
        <f>SUMIF(FALTAS!A:A,A167,FALTAS!D:D)</f>
        <v>0</v>
      </c>
    </row>
    <row r="168" spans="1:11" x14ac:dyDescent="0.2">
      <c r="A168" s="235">
        <v>113666</v>
      </c>
      <c r="B168" s="236" t="s">
        <v>906</v>
      </c>
      <c r="C168" s="236" t="s">
        <v>1589</v>
      </c>
      <c r="D168" s="236" t="s">
        <v>255</v>
      </c>
      <c r="E168" s="237">
        <v>43617</v>
      </c>
      <c r="F168" s="236" t="s">
        <v>1234</v>
      </c>
      <c r="G168" s="237">
        <v>45023</v>
      </c>
      <c r="H168" s="234">
        <f>SUMIF(VA!B:B,A168,VA!I:I)</f>
        <v>359.46</v>
      </c>
      <c r="I168" s="33">
        <f>SUMIF(VR!B:B,A168,VR!I:I)</f>
        <v>657.5</v>
      </c>
      <c r="J168" s="4">
        <f t="shared" si="2"/>
        <v>1016.96</v>
      </c>
      <c r="K168" s="195">
        <f>SUMIF(FALTAS!A:A,A168,FALTAS!D:D)</f>
        <v>0</v>
      </c>
    </row>
    <row r="169" spans="1:11" x14ac:dyDescent="0.2">
      <c r="A169" s="235">
        <v>113677</v>
      </c>
      <c r="B169" s="236" t="s">
        <v>913</v>
      </c>
      <c r="C169" s="236" t="s">
        <v>10</v>
      </c>
      <c r="D169" s="236" t="s">
        <v>2</v>
      </c>
      <c r="E169" s="237">
        <v>43617</v>
      </c>
      <c r="F169" s="236" t="s">
        <v>1234</v>
      </c>
      <c r="G169" s="237">
        <v>44960</v>
      </c>
      <c r="H169" s="234">
        <f>SUMIF(VA!B:B,A169,VA!I:I)</f>
        <v>359.46</v>
      </c>
      <c r="I169" s="33">
        <f>SUMIF(VR!B:B,A169,VR!I:I)</f>
        <v>657.5</v>
      </c>
      <c r="J169" s="4">
        <f t="shared" si="2"/>
        <v>1016.96</v>
      </c>
      <c r="K169" s="195">
        <f>SUMIF(FALTAS!A:A,A169,FALTAS!D:D)</f>
        <v>0</v>
      </c>
    </row>
    <row r="170" spans="1:11" x14ac:dyDescent="0.2">
      <c r="A170" s="235">
        <v>113694</v>
      </c>
      <c r="B170" s="236" t="s">
        <v>923</v>
      </c>
      <c r="C170" s="236" t="s">
        <v>1589</v>
      </c>
      <c r="D170" s="236" t="s">
        <v>15</v>
      </c>
      <c r="E170" s="237">
        <v>43617</v>
      </c>
      <c r="F170" s="236" t="s">
        <v>1234</v>
      </c>
      <c r="G170" s="237">
        <v>44898</v>
      </c>
      <c r="H170" s="234">
        <f>SUMIF(VA!B:B,A170,VA!I:I)</f>
        <v>359.46</v>
      </c>
      <c r="I170" s="33">
        <f>SUMIF(VR!B:B,A170,VR!I:I)</f>
        <v>657.5</v>
      </c>
      <c r="J170" s="4">
        <f t="shared" si="2"/>
        <v>1016.96</v>
      </c>
      <c r="K170" s="195">
        <f>SUMIF(FALTAS!A:A,A170,FALTAS!D:D)</f>
        <v>0</v>
      </c>
    </row>
    <row r="171" spans="1:11" x14ac:dyDescent="0.2">
      <c r="A171" s="235">
        <v>113696</v>
      </c>
      <c r="B171" s="236" t="s">
        <v>924</v>
      </c>
      <c r="C171" s="236" t="s">
        <v>19</v>
      </c>
      <c r="D171" s="236" t="s">
        <v>5</v>
      </c>
      <c r="E171" s="237">
        <v>43617</v>
      </c>
      <c r="F171" s="236" t="s">
        <v>1234</v>
      </c>
      <c r="G171" s="237">
        <v>45023</v>
      </c>
      <c r="H171" s="234">
        <f>SUMIF(VA!B:B,A171,VA!I:I)</f>
        <v>359.46</v>
      </c>
      <c r="I171" s="33">
        <f>SUMIF(VR!B:B,A171,VR!I:I)</f>
        <v>657.5</v>
      </c>
      <c r="J171" s="4">
        <f t="shared" si="2"/>
        <v>1016.96</v>
      </c>
      <c r="K171" s="195">
        <f>SUMIF(FALTAS!A:A,A171,FALTAS!D:D)</f>
        <v>0</v>
      </c>
    </row>
    <row r="172" spans="1:11" x14ac:dyDescent="0.2">
      <c r="A172" s="235">
        <v>113693</v>
      </c>
      <c r="B172" s="236" t="s">
        <v>922</v>
      </c>
      <c r="C172" s="236" t="s">
        <v>0</v>
      </c>
      <c r="D172" s="236" t="s">
        <v>2</v>
      </c>
      <c r="E172" s="237">
        <v>43617</v>
      </c>
      <c r="F172" s="236" t="s">
        <v>1234</v>
      </c>
      <c r="G172" s="237">
        <v>45070</v>
      </c>
      <c r="H172" s="234">
        <f>SUMIF(VA!B:B,A172,VA!I:I)</f>
        <v>359.46</v>
      </c>
      <c r="I172" s="33">
        <f>SUMIF(VR!B:B,A172,VR!I:I)</f>
        <v>657.5</v>
      </c>
      <c r="J172" s="4">
        <f t="shared" si="2"/>
        <v>1016.96</v>
      </c>
      <c r="K172" s="195">
        <f>SUMIF(FALTAS!A:A,A172,FALTAS!D:D)</f>
        <v>0</v>
      </c>
    </row>
    <row r="173" spans="1:11" x14ac:dyDescent="0.2">
      <c r="A173" s="235">
        <v>113686</v>
      </c>
      <c r="B173" s="236" t="s">
        <v>437</v>
      </c>
      <c r="C173" s="236" t="s">
        <v>32</v>
      </c>
      <c r="D173" s="236" t="s">
        <v>2</v>
      </c>
      <c r="E173" s="237">
        <v>43617</v>
      </c>
      <c r="F173" s="236" t="s">
        <v>1234</v>
      </c>
      <c r="G173" s="237">
        <v>45119</v>
      </c>
      <c r="H173" s="234">
        <f>SUMIF(VA!B:B,A173,VA!I:I)</f>
        <v>359.46</v>
      </c>
      <c r="I173" s="33">
        <f>SUMIF(VR!B:B,A173,VR!I:I)</f>
        <v>657.5</v>
      </c>
      <c r="J173" s="4">
        <f t="shared" si="2"/>
        <v>1016.96</v>
      </c>
      <c r="K173" s="195">
        <f>SUMIF(FALTAS!A:A,A173,FALTAS!D:D)</f>
        <v>0</v>
      </c>
    </row>
    <row r="174" spans="1:11" x14ac:dyDescent="0.2">
      <c r="A174" s="235">
        <v>113681</v>
      </c>
      <c r="B174" s="236" t="s">
        <v>915</v>
      </c>
      <c r="C174" s="236" t="s">
        <v>0</v>
      </c>
      <c r="D174" s="236" t="s">
        <v>2</v>
      </c>
      <c r="E174" s="237">
        <v>43617</v>
      </c>
      <c r="F174" s="236" t="s">
        <v>1234</v>
      </c>
      <c r="G174" s="237">
        <v>44867</v>
      </c>
      <c r="H174" s="234">
        <f>SUMIF(VA!B:B,A174,VA!I:I)</f>
        <v>359.46</v>
      </c>
      <c r="I174" s="33">
        <f>SUMIF(VR!B:B,A174,VR!I:I)</f>
        <v>657.5</v>
      </c>
      <c r="J174" s="4">
        <f t="shared" si="2"/>
        <v>1016.96</v>
      </c>
      <c r="K174" s="195">
        <f>SUMIF(FALTAS!A:A,A174,FALTAS!D:D)</f>
        <v>0</v>
      </c>
    </row>
    <row r="175" spans="1:11" x14ac:dyDescent="0.2">
      <c r="A175" s="235">
        <v>113698</v>
      </c>
      <c r="B175" s="236" t="s">
        <v>925</v>
      </c>
      <c r="C175" s="236" t="s">
        <v>1589</v>
      </c>
      <c r="D175" s="236" t="s">
        <v>5</v>
      </c>
      <c r="E175" s="237">
        <v>43617</v>
      </c>
      <c r="F175" s="236" t="s">
        <v>1234</v>
      </c>
      <c r="G175" s="237">
        <v>44806</v>
      </c>
      <c r="H175" s="234">
        <f>SUMIF(VA!B:B,A175,VA!I:I)</f>
        <v>359.46</v>
      </c>
      <c r="I175" s="33">
        <f>SUMIF(VR!B:B,A175,VR!I:I)</f>
        <v>657.5</v>
      </c>
      <c r="J175" s="4">
        <f t="shared" si="2"/>
        <v>1016.96</v>
      </c>
      <c r="K175" s="195">
        <f>SUMIF(FALTAS!A:A,A175,FALTAS!D:D)</f>
        <v>0</v>
      </c>
    </row>
    <row r="176" spans="1:11" x14ac:dyDescent="0.2">
      <c r="A176" s="235">
        <v>114523</v>
      </c>
      <c r="B176" s="236" t="s">
        <v>1049</v>
      </c>
      <c r="C176" s="236" t="s">
        <v>1589</v>
      </c>
      <c r="D176" s="236" t="s">
        <v>15</v>
      </c>
      <c r="E176" s="237">
        <v>43813</v>
      </c>
      <c r="F176" s="236" t="s">
        <v>1234</v>
      </c>
      <c r="G176" s="237">
        <v>44960</v>
      </c>
      <c r="H176" s="234">
        <f>SUMIF(VA!B:B,A176,VA!I:I)</f>
        <v>359.46</v>
      </c>
      <c r="I176" s="33">
        <f>SUMIF(VR!B:B,A176,VR!I:I)</f>
        <v>657.5</v>
      </c>
      <c r="J176" s="4">
        <f t="shared" si="2"/>
        <v>1016.96</v>
      </c>
      <c r="K176" s="195">
        <f>SUMIF(FALTAS!A:A,A176,FALTAS!D:D)</f>
        <v>0</v>
      </c>
    </row>
    <row r="177" spans="1:11" x14ac:dyDescent="0.2">
      <c r="A177" s="235">
        <v>113704</v>
      </c>
      <c r="B177" s="236" t="s">
        <v>927</v>
      </c>
      <c r="C177" s="236" t="s">
        <v>8</v>
      </c>
      <c r="D177" s="236" t="s">
        <v>2</v>
      </c>
      <c r="E177" s="237">
        <v>43617</v>
      </c>
      <c r="F177" s="236" t="s">
        <v>1235</v>
      </c>
      <c r="G177" s="237">
        <v>45147</v>
      </c>
      <c r="H177" s="234">
        <f>SUMIF(VA!B:B,A177,VA!I:I)</f>
        <v>359.46</v>
      </c>
      <c r="I177" s="33">
        <f>SUMIF(VR!B:B,A177,VR!I:I)</f>
        <v>657.5</v>
      </c>
      <c r="J177" s="4">
        <f t="shared" si="2"/>
        <v>1016.96</v>
      </c>
      <c r="K177" s="195">
        <f>SUMIF(FALTAS!A:A,A177,FALTAS!D:D)</f>
        <v>0</v>
      </c>
    </row>
    <row r="178" spans="1:11" x14ac:dyDescent="0.2">
      <c r="A178" s="235">
        <v>113690</v>
      </c>
      <c r="B178" s="236" t="s">
        <v>920</v>
      </c>
      <c r="C178" s="236" t="s">
        <v>8</v>
      </c>
      <c r="D178" s="236" t="s">
        <v>2</v>
      </c>
      <c r="E178" s="237">
        <v>43617</v>
      </c>
      <c r="F178" s="236" t="s">
        <v>1234</v>
      </c>
      <c r="G178" s="237">
        <v>44960</v>
      </c>
      <c r="H178" s="234">
        <f>SUMIF(VA!B:B,A178,VA!I:I)</f>
        <v>359.46</v>
      </c>
      <c r="I178" s="33">
        <f>SUMIF(VR!B:B,A178,VR!I:I)</f>
        <v>657.5</v>
      </c>
      <c r="J178" s="4">
        <f t="shared" si="2"/>
        <v>1016.96</v>
      </c>
      <c r="K178" s="195">
        <f>SUMIF(FALTAS!A:A,A178,FALTAS!D:D)</f>
        <v>0</v>
      </c>
    </row>
    <row r="179" spans="1:11" x14ac:dyDescent="0.2">
      <c r="A179" s="235">
        <v>121849</v>
      </c>
      <c r="B179" s="236" t="s">
        <v>1613</v>
      </c>
      <c r="C179" s="236" t="s">
        <v>0</v>
      </c>
      <c r="D179" s="236" t="s">
        <v>5</v>
      </c>
      <c r="E179" s="237">
        <v>45022</v>
      </c>
      <c r="F179" s="236" t="s">
        <v>1234</v>
      </c>
      <c r="G179" s="237">
        <v>45022</v>
      </c>
      <c r="H179" s="234">
        <f>SUMIF(VA!B:B,A179,VA!I:I)</f>
        <v>347.47</v>
      </c>
      <c r="I179" s="33">
        <f>SUMIF(VR!B:B,A179,VR!I:I)</f>
        <v>631.20000000000005</v>
      </c>
      <c r="J179" s="4">
        <f t="shared" si="2"/>
        <v>978.67000000000007</v>
      </c>
      <c r="K179" s="195">
        <f>SUMIF(FALTAS!A:A,A179,FALTAS!D:D)</f>
        <v>1</v>
      </c>
    </row>
    <row r="180" spans="1:11" x14ac:dyDescent="0.2">
      <c r="A180" s="235">
        <v>119754</v>
      </c>
      <c r="B180" s="236" t="s">
        <v>1463</v>
      </c>
      <c r="C180" s="236" t="s">
        <v>1591</v>
      </c>
      <c r="D180" s="236" t="s">
        <v>1464</v>
      </c>
      <c r="E180" s="237">
        <v>44734</v>
      </c>
      <c r="F180" s="236" t="s">
        <v>1234</v>
      </c>
      <c r="G180" s="237">
        <v>44734</v>
      </c>
      <c r="H180" s="234">
        <f>SUMIF(VA!B:B,A180,VA!I:I)</f>
        <v>0</v>
      </c>
      <c r="I180" s="33">
        <f>SUMIF(VR!B:B,A180,VR!I:I)</f>
        <v>657.5</v>
      </c>
      <c r="J180" s="4">
        <f t="shared" si="2"/>
        <v>657.5</v>
      </c>
      <c r="K180" s="195">
        <f>SUMIF(FALTAS!A:A,A180,FALTAS!D:D)</f>
        <v>0</v>
      </c>
    </row>
    <row r="181" spans="1:11" x14ac:dyDescent="0.2">
      <c r="A181" s="235">
        <v>118056</v>
      </c>
      <c r="B181" s="236" t="s">
        <v>1401</v>
      </c>
      <c r="C181" s="236" t="s">
        <v>0</v>
      </c>
      <c r="D181" s="236" t="s">
        <v>5</v>
      </c>
      <c r="E181" s="237">
        <v>44567</v>
      </c>
      <c r="F181" s="236" t="s">
        <v>1234</v>
      </c>
      <c r="G181" s="237">
        <v>44567</v>
      </c>
      <c r="H181" s="234">
        <f>SUMIF(VA!B:B,A181,VA!I:I)</f>
        <v>359.46</v>
      </c>
      <c r="I181" s="33">
        <f>SUMIF(VR!B:B,A181,VR!I:I)</f>
        <v>657.5</v>
      </c>
      <c r="J181" s="4">
        <f t="shared" si="2"/>
        <v>1016.96</v>
      </c>
      <c r="K181" s="195">
        <f>SUMIF(FALTAS!A:A,A181,FALTAS!D:D)</f>
        <v>0</v>
      </c>
    </row>
    <row r="182" spans="1:11" x14ac:dyDescent="0.2">
      <c r="A182" s="235">
        <v>113682</v>
      </c>
      <c r="B182" s="236" t="s">
        <v>916</v>
      </c>
      <c r="C182" s="236" t="s">
        <v>1589</v>
      </c>
      <c r="D182" s="236" t="s">
        <v>5</v>
      </c>
      <c r="E182" s="237">
        <v>43617</v>
      </c>
      <c r="F182" s="236" t="s">
        <v>1234</v>
      </c>
      <c r="G182" s="237">
        <v>45149</v>
      </c>
      <c r="H182" s="234">
        <f>SUMIF(VA!B:B,A182,VA!I:I)</f>
        <v>359.46</v>
      </c>
      <c r="I182" s="33">
        <f>SUMIF(VR!B:B,A182,VR!I:I)</f>
        <v>657.5</v>
      </c>
      <c r="J182" s="4">
        <f t="shared" si="2"/>
        <v>1016.96</v>
      </c>
      <c r="K182" s="195">
        <f>SUMIF(FALTAS!A:A,A182,FALTAS!D:D)</f>
        <v>0</v>
      </c>
    </row>
    <row r="183" spans="1:11" x14ac:dyDescent="0.2">
      <c r="A183" s="235">
        <v>113678</v>
      </c>
      <c r="B183" s="236" t="s">
        <v>914</v>
      </c>
      <c r="C183" s="236" t="s">
        <v>0</v>
      </c>
      <c r="D183" s="236" t="s">
        <v>5</v>
      </c>
      <c r="E183" s="237">
        <v>43617</v>
      </c>
      <c r="F183" s="236" t="s">
        <v>1234</v>
      </c>
      <c r="G183" s="237">
        <v>45056</v>
      </c>
      <c r="H183" s="234">
        <f>SUMIF(VA!B:B,A183,VA!I:I)</f>
        <v>347.47</v>
      </c>
      <c r="I183" s="33">
        <f>SUMIF(VR!B:B,A183,VR!I:I)</f>
        <v>631.20000000000005</v>
      </c>
      <c r="J183" s="4">
        <f t="shared" si="2"/>
        <v>978.67000000000007</v>
      </c>
      <c r="K183" s="195">
        <f>SUMIF(FALTAS!A:A,A183,FALTAS!D:D)</f>
        <v>1</v>
      </c>
    </row>
    <row r="184" spans="1:11" x14ac:dyDescent="0.2">
      <c r="A184" s="235">
        <v>113930</v>
      </c>
      <c r="B184" s="236" t="s">
        <v>995</v>
      </c>
      <c r="C184" s="236" t="s">
        <v>1591</v>
      </c>
      <c r="D184" s="236" t="s">
        <v>996</v>
      </c>
      <c r="E184" s="237">
        <v>43682</v>
      </c>
      <c r="F184" s="236" t="s">
        <v>1234</v>
      </c>
      <c r="G184" s="237">
        <v>45130</v>
      </c>
      <c r="H184" s="234">
        <f>SUMIF(VA!B:B,A184,VA!I:I)</f>
        <v>359.46</v>
      </c>
      <c r="I184" s="33">
        <f>SUMIF(VR!B:B,A184,VR!I:I)</f>
        <v>657.5</v>
      </c>
      <c r="J184" s="4">
        <f t="shared" si="2"/>
        <v>1016.96</v>
      </c>
      <c r="K184" s="195">
        <f>SUMIF(FALTAS!A:A,A184,FALTAS!D:D)</f>
        <v>0</v>
      </c>
    </row>
    <row r="185" spans="1:11" x14ac:dyDescent="0.2">
      <c r="A185" s="235">
        <v>113692</v>
      </c>
      <c r="B185" s="236" t="s">
        <v>921</v>
      </c>
      <c r="C185" s="236" t="s">
        <v>1589</v>
      </c>
      <c r="D185" s="236" t="s">
        <v>282</v>
      </c>
      <c r="E185" s="237">
        <v>43617</v>
      </c>
      <c r="F185" s="236" t="s">
        <v>1234</v>
      </c>
      <c r="G185" s="237">
        <v>44835</v>
      </c>
      <c r="H185" s="234">
        <f>SUMIF(VA!B:B,A185,VA!I:I)</f>
        <v>359.46</v>
      </c>
      <c r="I185" s="33">
        <f>SUMIF(VR!B:B,A185,VR!I:I)</f>
        <v>657.5</v>
      </c>
      <c r="J185" s="4">
        <f t="shared" si="2"/>
        <v>1016.96</v>
      </c>
      <c r="K185" s="195">
        <f>SUMIF(FALTAS!A:A,A185,FALTAS!D:D)</f>
        <v>0</v>
      </c>
    </row>
    <row r="186" spans="1:11" x14ac:dyDescent="0.2">
      <c r="A186" s="235">
        <v>113683</v>
      </c>
      <c r="B186" s="236" t="s">
        <v>917</v>
      </c>
      <c r="C186" s="236" t="s">
        <v>0</v>
      </c>
      <c r="D186" s="236" t="s">
        <v>2</v>
      </c>
      <c r="E186" s="237">
        <v>43617</v>
      </c>
      <c r="F186" s="236" t="s">
        <v>1235</v>
      </c>
      <c r="G186" s="237">
        <v>45147</v>
      </c>
      <c r="H186" s="234">
        <f>SUMIF(VA!B:B,A186,VA!I:I)</f>
        <v>359.46</v>
      </c>
      <c r="I186" s="33">
        <f>SUMIF(VR!B:B,A186,VR!I:I)</f>
        <v>657.5</v>
      </c>
      <c r="J186" s="4">
        <f t="shared" si="2"/>
        <v>1016.96</v>
      </c>
      <c r="K186" s="195">
        <f>SUMIF(FALTAS!A:A,A186,FALTAS!D:D)</f>
        <v>0</v>
      </c>
    </row>
    <row r="187" spans="1:11" x14ac:dyDescent="0.2">
      <c r="A187" s="235">
        <v>113585</v>
      </c>
      <c r="B187" s="236" t="s">
        <v>861</v>
      </c>
      <c r="C187" s="236" t="s">
        <v>19</v>
      </c>
      <c r="D187" s="236" t="s">
        <v>2</v>
      </c>
      <c r="E187" s="237">
        <v>43617</v>
      </c>
      <c r="F187" s="236" t="s">
        <v>1234</v>
      </c>
      <c r="G187" s="237">
        <v>45119</v>
      </c>
      <c r="H187" s="234">
        <f>SUMIF(VA!B:B,A187,VA!I:I)</f>
        <v>359.46</v>
      </c>
      <c r="I187" s="33">
        <f>SUMIF(VR!B:B,A187,VR!I:I)</f>
        <v>657.5</v>
      </c>
      <c r="J187" s="4">
        <f t="shared" si="2"/>
        <v>1016.96</v>
      </c>
      <c r="K187" s="195">
        <f>SUMIF(FALTAS!A:A,A187,FALTAS!D:D)</f>
        <v>0</v>
      </c>
    </row>
    <row r="188" spans="1:11" x14ac:dyDescent="0.2">
      <c r="A188" s="235">
        <v>116972</v>
      </c>
      <c r="B188" s="236" t="s">
        <v>1241</v>
      </c>
      <c r="C188" s="236" t="s">
        <v>0</v>
      </c>
      <c r="D188" s="236" t="s">
        <v>5</v>
      </c>
      <c r="E188" s="237">
        <v>44419</v>
      </c>
      <c r="F188" s="236" t="s">
        <v>1234</v>
      </c>
      <c r="G188" s="237">
        <v>45086</v>
      </c>
      <c r="H188" s="234">
        <f>SUMIF(VA!B:B,A188,VA!I:I)</f>
        <v>359.46</v>
      </c>
      <c r="I188" s="33">
        <f>SUMIF(VR!B:B,A188,VR!I:I)</f>
        <v>657.5</v>
      </c>
      <c r="J188" s="4">
        <f t="shared" si="2"/>
        <v>1016.96</v>
      </c>
      <c r="K188" s="195">
        <f>SUMIF(FALTAS!A:A,A188,FALTAS!D:D)</f>
        <v>0</v>
      </c>
    </row>
    <row r="189" spans="1:11" x14ac:dyDescent="0.2">
      <c r="A189" s="235">
        <v>113763</v>
      </c>
      <c r="B189" s="236" t="s">
        <v>969</v>
      </c>
      <c r="C189" s="236" t="s">
        <v>1589</v>
      </c>
      <c r="D189" s="236" t="s">
        <v>416</v>
      </c>
      <c r="E189" s="237">
        <v>43621</v>
      </c>
      <c r="F189" s="236" t="s">
        <v>1234</v>
      </c>
      <c r="G189" s="237">
        <v>45149</v>
      </c>
      <c r="H189" s="234">
        <f>SUMIF(VA!B:B,A189,VA!I:I)</f>
        <v>359.46</v>
      </c>
      <c r="I189" s="33">
        <f>SUMIF(VR!B:B,A189,VR!I:I)</f>
        <v>657.5</v>
      </c>
      <c r="J189" s="4">
        <f t="shared" si="2"/>
        <v>1016.96</v>
      </c>
      <c r="K189" s="195">
        <f>SUMIF(FALTAS!A:A,A189,FALTAS!D:D)</f>
        <v>0</v>
      </c>
    </row>
    <row r="190" spans="1:11" x14ac:dyDescent="0.2">
      <c r="A190" s="235">
        <v>122028</v>
      </c>
      <c r="B190" s="236" t="s">
        <v>1636</v>
      </c>
      <c r="C190" s="236" t="s">
        <v>1589</v>
      </c>
      <c r="D190" s="236" t="s">
        <v>120</v>
      </c>
      <c r="E190" s="237">
        <v>45054</v>
      </c>
      <c r="F190" s="236" t="s">
        <v>1234</v>
      </c>
      <c r="G190" s="237">
        <v>45054</v>
      </c>
      <c r="H190" s="234">
        <f>SUMIF(VA!B:B,A190,VA!I:I)</f>
        <v>359.46</v>
      </c>
      <c r="I190" s="33">
        <f>SUMIF(VR!B:B,A190,VR!I:I)</f>
        <v>657.5</v>
      </c>
      <c r="J190" s="4">
        <f t="shared" si="2"/>
        <v>1016.96</v>
      </c>
      <c r="K190" s="195">
        <f>SUMIF(FALTAS!A:A,A190,FALTAS!D:D)</f>
        <v>0</v>
      </c>
    </row>
    <row r="191" spans="1:11" x14ac:dyDescent="0.2">
      <c r="A191" s="235">
        <v>117238</v>
      </c>
      <c r="B191" s="236" t="s">
        <v>1260</v>
      </c>
      <c r="C191" s="236" t="s">
        <v>1589</v>
      </c>
      <c r="D191" s="236" t="s">
        <v>5</v>
      </c>
      <c r="E191" s="237">
        <v>44487</v>
      </c>
      <c r="F191" s="236" t="s">
        <v>1234</v>
      </c>
      <c r="G191" s="237">
        <v>44898</v>
      </c>
      <c r="H191" s="234">
        <f>SUMIF(VA!B:B,A191,VA!I:I)</f>
        <v>359.46</v>
      </c>
      <c r="I191" s="33">
        <f>SUMIF(VR!B:B,A191,VR!I:I)</f>
        <v>657.5</v>
      </c>
      <c r="J191" s="4">
        <f t="shared" si="2"/>
        <v>1016.96</v>
      </c>
      <c r="K191" s="195">
        <f>SUMIF(FALTAS!A:A,A191,FALTAS!D:D)</f>
        <v>0</v>
      </c>
    </row>
    <row r="192" spans="1:11" x14ac:dyDescent="0.2">
      <c r="A192" s="235">
        <v>121320</v>
      </c>
      <c r="B192" s="236" t="s">
        <v>1532</v>
      </c>
      <c r="C192" s="236" t="s">
        <v>10</v>
      </c>
      <c r="D192" s="236" t="s">
        <v>2</v>
      </c>
      <c r="E192" s="237">
        <v>44945</v>
      </c>
      <c r="F192" s="236" t="s">
        <v>1234</v>
      </c>
      <c r="G192" s="237">
        <v>44945</v>
      </c>
      <c r="H192" s="234">
        <f>SUMIF(VA!B:B,A192,VA!I:I)</f>
        <v>359.46</v>
      </c>
      <c r="I192" s="33">
        <f>SUMIF(VR!B:B,A192,VR!I:I)</f>
        <v>657.5</v>
      </c>
      <c r="J192" s="4">
        <f t="shared" si="2"/>
        <v>1016.96</v>
      </c>
      <c r="K192" s="195">
        <f>SUMIF(FALTAS!A:A,A192,FALTAS!D:D)</f>
        <v>0</v>
      </c>
    </row>
    <row r="193" spans="1:11" x14ac:dyDescent="0.2">
      <c r="A193" s="235">
        <v>114266</v>
      </c>
      <c r="B193" s="236" t="s">
        <v>1031</v>
      </c>
      <c r="C193" s="236" t="s">
        <v>0</v>
      </c>
      <c r="D193" s="236" t="s">
        <v>2</v>
      </c>
      <c r="E193" s="237">
        <v>43804</v>
      </c>
      <c r="F193" s="236" t="s">
        <v>1234</v>
      </c>
      <c r="G193" s="237">
        <v>45086</v>
      </c>
      <c r="H193" s="234">
        <f>SUMIF(VA!B:B,A193,VA!I:I)</f>
        <v>359.46</v>
      </c>
      <c r="I193" s="33">
        <f>SUMIF(VR!B:B,A193,VR!I:I)</f>
        <v>657.5</v>
      </c>
      <c r="J193" s="4">
        <f t="shared" si="2"/>
        <v>1016.96</v>
      </c>
      <c r="K193" s="195">
        <f>SUMIF(FALTAS!A:A,A193,FALTAS!D:D)</f>
        <v>0</v>
      </c>
    </row>
    <row r="194" spans="1:11" x14ac:dyDescent="0.2">
      <c r="A194" s="235">
        <v>113568</v>
      </c>
      <c r="B194" s="236" t="s">
        <v>855</v>
      </c>
      <c r="C194" s="236" t="s">
        <v>1589</v>
      </c>
      <c r="D194" s="236" t="s">
        <v>15</v>
      </c>
      <c r="E194" s="237">
        <v>43617</v>
      </c>
      <c r="F194" s="236" t="s">
        <v>1234</v>
      </c>
      <c r="G194" s="237">
        <v>45119</v>
      </c>
      <c r="H194" s="234">
        <f>SUMIF(VA!B:B,A194,VA!I:I)</f>
        <v>359.46</v>
      </c>
      <c r="I194" s="33">
        <f>SUMIF(VR!B:B,A194,VR!I:I)</f>
        <v>657.5</v>
      </c>
      <c r="J194" s="4">
        <f t="shared" ref="J194:J257" si="3">H194+I194</f>
        <v>1016.96</v>
      </c>
      <c r="K194" s="195">
        <f>SUMIF(FALTAS!A:A,A194,FALTAS!D:D)</f>
        <v>0</v>
      </c>
    </row>
    <row r="195" spans="1:11" x14ac:dyDescent="0.2">
      <c r="A195" s="235">
        <v>121857</v>
      </c>
      <c r="B195" s="236" t="s">
        <v>1614</v>
      </c>
      <c r="C195" s="236" t="s">
        <v>0</v>
      </c>
      <c r="D195" s="236" t="s">
        <v>5</v>
      </c>
      <c r="E195" s="237">
        <v>45022</v>
      </c>
      <c r="F195" s="236" t="s">
        <v>1234</v>
      </c>
      <c r="G195" s="237">
        <v>45022</v>
      </c>
      <c r="H195" s="234">
        <f>SUMIF(VA!B:B,A195,VA!I:I)</f>
        <v>359.46</v>
      </c>
      <c r="I195" s="33">
        <f>SUMIF(VR!B:B,A195,VR!I:I)</f>
        <v>657.5</v>
      </c>
      <c r="J195" s="4">
        <f t="shared" si="3"/>
        <v>1016.96</v>
      </c>
      <c r="K195" s="195">
        <f>SUMIF(FALTAS!A:A,A195,FALTAS!D:D)</f>
        <v>0</v>
      </c>
    </row>
    <row r="196" spans="1:11" x14ac:dyDescent="0.2">
      <c r="A196" s="235">
        <v>113560</v>
      </c>
      <c r="B196" s="236" t="s">
        <v>851</v>
      </c>
      <c r="C196" s="236" t="s">
        <v>10</v>
      </c>
      <c r="D196" s="236" t="s">
        <v>5</v>
      </c>
      <c r="E196" s="237">
        <v>43617</v>
      </c>
      <c r="F196" s="236" t="s">
        <v>1234</v>
      </c>
      <c r="G196" s="237">
        <v>45050</v>
      </c>
      <c r="H196" s="234">
        <f>SUMIF(VA!B:B,A196,VA!I:I)</f>
        <v>359.46</v>
      </c>
      <c r="I196" s="33">
        <f>SUMIF(VR!B:B,A196,VR!I:I)</f>
        <v>657.5</v>
      </c>
      <c r="J196" s="4">
        <f t="shared" si="3"/>
        <v>1016.96</v>
      </c>
      <c r="K196" s="195">
        <f>SUMIF(FALTAS!A:A,A196,FALTAS!D:D)</f>
        <v>0</v>
      </c>
    </row>
    <row r="197" spans="1:11" x14ac:dyDescent="0.2">
      <c r="A197" s="235">
        <v>113550</v>
      </c>
      <c r="B197" s="236" t="s">
        <v>844</v>
      </c>
      <c r="C197" s="236" t="s">
        <v>10</v>
      </c>
      <c r="D197" s="236" t="s">
        <v>5</v>
      </c>
      <c r="E197" s="237">
        <v>43617</v>
      </c>
      <c r="F197" s="236" t="s">
        <v>1234</v>
      </c>
      <c r="G197" s="237">
        <v>44960</v>
      </c>
      <c r="H197" s="234">
        <f>SUMIF(VA!B:B,A197,VA!I:I)</f>
        <v>359.46</v>
      </c>
      <c r="I197" s="33">
        <f>SUMIF(VR!B:B,A197,VR!I:I)</f>
        <v>657.5</v>
      </c>
      <c r="J197" s="4">
        <f t="shared" si="3"/>
        <v>1016.96</v>
      </c>
      <c r="K197" s="195">
        <f>SUMIF(FALTAS!A:A,A197,FALTAS!D:D)</f>
        <v>0</v>
      </c>
    </row>
    <row r="198" spans="1:11" x14ac:dyDescent="0.2">
      <c r="A198" s="235">
        <v>113546</v>
      </c>
      <c r="B198" s="236" t="s">
        <v>840</v>
      </c>
      <c r="C198" s="236" t="s">
        <v>1589</v>
      </c>
      <c r="D198" s="236" t="s">
        <v>22</v>
      </c>
      <c r="E198" s="237">
        <v>43617</v>
      </c>
      <c r="F198" s="236" t="s">
        <v>1235</v>
      </c>
      <c r="G198" s="237">
        <v>45147</v>
      </c>
      <c r="H198" s="234">
        <f>SUMIF(VA!B:B,A198,VA!I:I)</f>
        <v>359.46</v>
      </c>
      <c r="I198" s="33">
        <f>SUMIF(VR!B:B,A198,VR!I:I)</f>
        <v>657.5</v>
      </c>
      <c r="J198" s="4">
        <f t="shared" si="3"/>
        <v>1016.96</v>
      </c>
      <c r="K198" s="195">
        <f>SUMIF(FALTAS!A:A,A198,FALTAS!D:D)</f>
        <v>0</v>
      </c>
    </row>
    <row r="199" spans="1:11" x14ac:dyDescent="0.2">
      <c r="A199" s="235">
        <v>113545</v>
      </c>
      <c r="B199" s="236" t="s">
        <v>839</v>
      </c>
      <c r="C199" s="236" t="s">
        <v>8</v>
      </c>
      <c r="D199" s="236" t="s">
        <v>2</v>
      </c>
      <c r="E199" s="237">
        <v>43617</v>
      </c>
      <c r="F199" s="236" t="s">
        <v>1234</v>
      </c>
      <c r="G199" s="237">
        <v>44960</v>
      </c>
      <c r="H199" s="234">
        <f>SUMIF(VA!B:B,A199,VA!I:I)</f>
        <v>359.46</v>
      </c>
      <c r="I199" s="33">
        <f>SUMIF(VR!B:B,A199,VR!I:I)</f>
        <v>657.5</v>
      </c>
      <c r="J199" s="4">
        <f t="shared" si="3"/>
        <v>1016.96</v>
      </c>
      <c r="K199" s="195">
        <f>SUMIF(FALTAS!A:A,A199,FALTAS!D:D)</f>
        <v>0</v>
      </c>
    </row>
    <row r="200" spans="1:11" x14ac:dyDescent="0.2">
      <c r="A200" s="235">
        <v>121947</v>
      </c>
      <c r="B200" s="236" t="s">
        <v>1615</v>
      </c>
      <c r="C200" s="236" t="s">
        <v>1591</v>
      </c>
      <c r="D200" s="236" t="s">
        <v>1464</v>
      </c>
      <c r="E200" s="237">
        <v>45040</v>
      </c>
      <c r="F200" s="236" t="s">
        <v>1234</v>
      </c>
      <c r="G200" s="237">
        <v>45040</v>
      </c>
      <c r="H200" s="234">
        <f>SUMIF(VA!B:B,A200,VA!I:I)</f>
        <v>0</v>
      </c>
      <c r="I200" s="33">
        <f>SUMIF(VR!B:B,A200,VR!I:I)</f>
        <v>657.5</v>
      </c>
      <c r="J200" s="4">
        <f t="shared" si="3"/>
        <v>657.5</v>
      </c>
      <c r="K200" s="195">
        <f>SUMIF(FALTAS!A:A,A200,FALTAS!D:D)</f>
        <v>0</v>
      </c>
    </row>
    <row r="201" spans="1:11" x14ac:dyDescent="0.2">
      <c r="A201" s="235">
        <v>113540</v>
      </c>
      <c r="B201" s="236" t="s">
        <v>836</v>
      </c>
      <c r="C201" s="236" t="s">
        <v>1589</v>
      </c>
      <c r="D201" s="236" t="s">
        <v>15</v>
      </c>
      <c r="E201" s="237">
        <v>43617</v>
      </c>
      <c r="F201" s="236" t="s">
        <v>1234</v>
      </c>
      <c r="G201" s="237">
        <v>44960</v>
      </c>
      <c r="H201" s="234">
        <f>SUMIF(VA!B:B,A201,VA!I:I)</f>
        <v>359.46</v>
      </c>
      <c r="I201" s="33">
        <f>SUMIF(VR!B:B,A201,VR!I:I)</f>
        <v>657.5</v>
      </c>
      <c r="J201" s="4">
        <f t="shared" si="3"/>
        <v>1016.96</v>
      </c>
      <c r="K201" s="195">
        <f>SUMIF(FALTAS!A:A,A201,FALTAS!D:D)</f>
        <v>0</v>
      </c>
    </row>
    <row r="202" spans="1:11" x14ac:dyDescent="0.2">
      <c r="A202" s="235">
        <v>120356</v>
      </c>
      <c r="B202" s="236" t="s">
        <v>1512</v>
      </c>
      <c r="C202" s="236" t="s">
        <v>32</v>
      </c>
      <c r="D202" s="236" t="s">
        <v>5</v>
      </c>
      <c r="E202" s="237">
        <v>44820</v>
      </c>
      <c r="F202" s="236" t="s">
        <v>1234</v>
      </c>
      <c r="G202" s="237">
        <v>44820</v>
      </c>
      <c r="H202" s="234">
        <f>SUMIF(VA!B:B,A202,VA!I:I)</f>
        <v>359.46</v>
      </c>
      <c r="I202" s="33">
        <f>SUMIF(VR!B:B,A202,VR!I:I)</f>
        <v>657.5</v>
      </c>
      <c r="J202" s="4">
        <f t="shared" si="3"/>
        <v>1016.96</v>
      </c>
      <c r="K202" s="195">
        <f>SUMIF(FALTAS!A:A,A202,FALTAS!D:D)</f>
        <v>0</v>
      </c>
    </row>
    <row r="203" spans="1:11" x14ac:dyDescent="0.2">
      <c r="A203" s="235">
        <v>122410</v>
      </c>
      <c r="B203" s="236" t="s">
        <v>1695</v>
      </c>
      <c r="C203" s="236" t="s">
        <v>1589</v>
      </c>
      <c r="D203" s="236" t="s">
        <v>5</v>
      </c>
      <c r="E203" s="237">
        <v>45117</v>
      </c>
      <c r="F203" s="236" t="s">
        <v>1234</v>
      </c>
      <c r="G203" s="237">
        <v>45117</v>
      </c>
      <c r="H203" s="234">
        <f>SUMIF(VA!B:B,A203,VA!I:I)</f>
        <v>359.46</v>
      </c>
      <c r="I203" s="33">
        <f>SUMIF(VR!B:B,A203,VR!I:I)</f>
        <v>657.5</v>
      </c>
      <c r="J203" s="4">
        <f t="shared" si="3"/>
        <v>1016.96</v>
      </c>
      <c r="K203" s="195">
        <f>SUMIF(FALTAS!A:A,A203,FALTAS!D:D)</f>
        <v>0</v>
      </c>
    </row>
    <row r="204" spans="1:11" x14ac:dyDescent="0.2">
      <c r="A204" s="235">
        <v>121848</v>
      </c>
      <c r="B204" s="236" t="s">
        <v>1616</v>
      </c>
      <c r="C204" s="236" t="s">
        <v>8</v>
      </c>
      <c r="D204" s="236" t="s">
        <v>5</v>
      </c>
      <c r="E204" s="237">
        <v>45022</v>
      </c>
      <c r="F204" s="236" t="s">
        <v>1234</v>
      </c>
      <c r="G204" s="237">
        <v>45022</v>
      </c>
      <c r="H204" s="234">
        <f>SUMIF(VA!B:B,A204,VA!I:I)</f>
        <v>359.46</v>
      </c>
      <c r="I204" s="33">
        <f>SUMIF(VR!B:B,A204,VR!I:I)</f>
        <v>657.5</v>
      </c>
      <c r="J204" s="4">
        <f t="shared" si="3"/>
        <v>1016.96</v>
      </c>
      <c r="K204" s="195">
        <f>SUMIF(FALTAS!A:A,A204,FALTAS!D:D)</f>
        <v>0</v>
      </c>
    </row>
    <row r="205" spans="1:11" x14ac:dyDescent="0.2">
      <c r="A205" s="235">
        <v>112169</v>
      </c>
      <c r="B205" s="236" t="s">
        <v>1</v>
      </c>
      <c r="C205" s="236" t="s">
        <v>0</v>
      </c>
      <c r="D205" s="236" t="s">
        <v>2</v>
      </c>
      <c r="E205" s="237">
        <v>43617</v>
      </c>
      <c r="F205" s="236" t="s">
        <v>1234</v>
      </c>
      <c r="G205" s="237">
        <v>44776</v>
      </c>
      <c r="H205" s="234">
        <f>SUMIF(VA!B:B,A205,VA!I:I)</f>
        <v>359.46</v>
      </c>
      <c r="I205" s="33">
        <f>SUMIF(VR!B:B,A205,VR!I:I)</f>
        <v>657.5</v>
      </c>
      <c r="J205" s="4">
        <f t="shared" si="3"/>
        <v>1016.96</v>
      </c>
      <c r="K205" s="195">
        <f>SUMIF(FALTAS!A:A,A205,FALTAS!D:D)</f>
        <v>0</v>
      </c>
    </row>
    <row r="206" spans="1:11" x14ac:dyDescent="0.2">
      <c r="A206" s="235">
        <v>112170</v>
      </c>
      <c r="B206" s="236" t="s">
        <v>3</v>
      </c>
      <c r="C206" s="236" t="s">
        <v>0</v>
      </c>
      <c r="D206" s="236" t="s">
        <v>2</v>
      </c>
      <c r="E206" s="237">
        <v>43617</v>
      </c>
      <c r="F206" s="236" t="s">
        <v>1234</v>
      </c>
      <c r="G206" s="237">
        <v>45023</v>
      </c>
      <c r="H206" s="234">
        <f>SUMIF(VA!B:B,A206,VA!I:I)</f>
        <v>359.46</v>
      </c>
      <c r="I206" s="33">
        <f>SUMIF(VR!B:B,A206,VR!I:I)</f>
        <v>657.5</v>
      </c>
      <c r="J206" s="4">
        <f t="shared" si="3"/>
        <v>1016.96</v>
      </c>
      <c r="K206" s="195">
        <f>SUMIF(FALTAS!A:A,A206,FALTAS!D:D)</f>
        <v>0</v>
      </c>
    </row>
    <row r="207" spans="1:11" x14ac:dyDescent="0.2">
      <c r="A207" s="235">
        <v>114549</v>
      </c>
      <c r="B207" s="236" t="s">
        <v>1060</v>
      </c>
      <c r="C207" s="236" t="s">
        <v>0</v>
      </c>
      <c r="D207" s="236" t="s">
        <v>2</v>
      </c>
      <c r="E207" s="237">
        <v>43817</v>
      </c>
      <c r="F207" s="236" t="s">
        <v>1234</v>
      </c>
      <c r="G207" s="237">
        <v>45119</v>
      </c>
      <c r="H207" s="234">
        <f>SUMIF(VA!B:B,A207,VA!I:I)</f>
        <v>359.46</v>
      </c>
      <c r="I207" s="33">
        <f>SUMIF(VR!B:B,A207,VR!I:I)</f>
        <v>657.5</v>
      </c>
      <c r="J207" s="4">
        <f t="shared" si="3"/>
        <v>1016.96</v>
      </c>
      <c r="K207" s="195">
        <f>SUMIF(FALTAS!A:A,A207,FALTAS!D:D)</f>
        <v>0</v>
      </c>
    </row>
    <row r="208" spans="1:11" x14ac:dyDescent="0.2">
      <c r="A208" s="235">
        <v>116026</v>
      </c>
      <c r="B208" s="236" t="s">
        <v>1180</v>
      </c>
      <c r="C208" s="236" t="s">
        <v>0</v>
      </c>
      <c r="D208" s="236" t="s">
        <v>5</v>
      </c>
      <c r="E208" s="237">
        <v>44207</v>
      </c>
      <c r="F208" s="236" t="s">
        <v>1285</v>
      </c>
      <c r="G208" s="237">
        <v>45094</v>
      </c>
      <c r="H208" s="234">
        <f>SUMIF(VA!B:B,A208,VA!I:I)</f>
        <v>0</v>
      </c>
      <c r="I208" s="33">
        <f>SUMIF(VR!B:B,A208,VR!I:I)</f>
        <v>0</v>
      </c>
      <c r="J208" s="4">
        <f t="shared" si="3"/>
        <v>0</v>
      </c>
      <c r="K208" s="195">
        <f>SUMIF(FALTAS!A:A,A208,FALTAS!D:D)</f>
        <v>0</v>
      </c>
    </row>
    <row r="209" spans="1:11" x14ac:dyDescent="0.2">
      <c r="A209" s="235">
        <v>112177</v>
      </c>
      <c r="B209" s="236" t="s">
        <v>14</v>
      </c>
      <c r="C209" s="236" t="s">
        <v>1589</v>
      </c>
      <c r="D209" s="236" t="s">
        <v>15</v>
      </c>
      <c r="E209" s="237">
        <v>43617</v>
      </c>
      <c r="F209" s="236" t="s">
        <v>1234</v>
      </c>
      <c r="G209" s="237">
        <v>44867</v>
      </c>
      <c r="H209" s="234">
        <f>SUMIF(VA!B:B,A209,VA!I:I)</f>
        <v>359.46</v>
      </c>
      <c r="I209" s="33">
        <f>SUMIF(VR!B:B,A209,VR!I:I)</f>
        <v>657.5</v>
      </c>
      <c r="J209" s="4">
        <f t="shared" si="3"/>
        <v>1016.96</v>
      </c>
      <c r="K209" s="195">
        <f>SUMIF(FALTAS!A:A,A209,FALTAS!D:D)</f>
        <v>0</v>
      </c>
    </row>
    <row r="210" spans="1:11" x14ac:dyDescent="0.2">
      <c r="A210" s="235">
        <v>112179</v>
      </c>
      <c r="B210" s="236" t="s">
        <v>17</v>
      </c>
      <c r="C210" s="236" t="s">
        <v>10</v>
      </c>
      <c r="D210" s="236" t="s">
        <v>5</v>
      </c>
      <c r="E210" s="237">
        <v>43617</v>
      </c>
      <c r="F210" s="236" t="s">
        <v>1234</v>
      </c>
      <c r="G210" s="237">
        <v>44806</v>
      </c>
      <c r="H210" s="234">
        <f>SUMIF(VA!B:B,A210,VA!I:I)</f>
        <v>359.46</v>
      </c>
      <c r="I210" s="33">
        <f>SUMIF(VR!B:B,A210,VR!I:I)</f>
        <v>657.5</v>
      </c>
      <c r="J210" s="4">
        <f t="shared" si="3"/>
        <v>1016.96</v>
      </c>
      <c r="K210" s="195">
        <f>SUMIF(FALTAS!A:A,A210,FALTAS!D:D)</f>
        <v>0</v>
      </c>
    </row>
    <row r="211" spans="1:11" x14ac:dyDescent="0.2">
      <c r="A211" s="235">
        <v>115413</v>
      </c>
      <c r="B211" s="236" t="s">
        <v>1163</v>
      </c>
      <c r="C211" s="236" t="s">
        <v>19</v>
      </c>
      <c r="D211" s="236" t="s">
        <v>5</v>
      </c>
      <c r="E211" s="237">
        <v>44048</v>
      </c>
      <c r="F211" s="236" t="s">
        <v>1234</v>
      </c>
      <c r="G211" s="237">
        <v>45086</v>
      </c>
      <c r="H211" s="234">
        <f>SUMIF(VA!B:B,A211,VA!I:I)</f>
        <v>359.46</v>
      </c>
      <c r="I211" s="33">
        <f>SUMIF(VR!B:B,A211,VR!I:I)</f>
        <v>657.5</v>
      </c>
      <c r="J211" s="4">
        <f t="shared" si="3"/>
        <v>1016.96</v>
      </c>
      <c r="K211" s="195">
        <f>SUMIF(FALTAS!A:A,A211,FALTAS!D:D)</f>
        <v>0</v>
      </c>
    </row>
    <row r="212" spans="1:11" x14ac:dyDescent="0.2">
      <c r="A212" s="235">
        <v>112181</v>
      </c>
      <c r="B212" s="236" t="s">
        <v>1559</v>
      </c>
      <c r="C212" s="236" t="s">
        <v>8</v>
      </c>
      <c r="D212" s="236" t="s">
        <v>5</v>
      </c>
      <c r="E212" s="237">
        <v>43617</v>
      </c>
      <c r="F212" s="236" t="s">
        <v>1285</v>
      </c>
      <c r="G212" s="237">
        <v>44275</v>
      </c>
      <c r="H212" s="234">
        <f>SUMIF(VA!B:B,A212,VA!I:I)</f>
        <v>0</v>
      </c>
      <c r="I212" s="33">
        <f>SUMIF(VR!B:B,A212,VR!I:I)</f>
        <v>0</v>
      </c>
      <c r="J212" s="4">
        <f t="shared" si="3"/>
        <v>0</v>
      </c>
      <c r="K212" s="195">
        <f>SUMIF(FALTAS!A:A,A212,FALTAS!D:D)</f>
        <v>0</v>
      </c>
    </row>
    <row r="213" spans="1:11" x14ac:dyDescent="0.2">
      <c r="A213" s="235">
        <v>116008</v>
      </c>
      <c r="B213" s="236" t="s">
        <v>1175</v>
      </c>
      <c r="C213" s="236" t="s">
        <v>0</v>
      </c>
      <c r="D213" s="236" t="s">
        <v>5</v>
      </c>
      <c r="E213" s="237">
        <v>44207</v>
      </c>
      <c r="F213" s="236" t="s">
        <v>1234</v>
      </c>
      <c r="G213" s="237">
        <v>45149</v>
      </c>
      <c r="H213" s="234">
        <f>SUMIF(VA!B:B,A213,VA!I:I)</f>
        <v>359.46</v>
      </c>
      <c r="I213" s="33">
        <f>SUMIF(VR!B:B,A213,VR!I:I)</f>
        <v>657.5</v>
      </c>
      <c r="J213" s="4">
        <f t="shared" si="3"/>
        <v>1016.96</v>
      </c>
      <c r="K213" s="195">
        <f>SUMIF(FALTAS!A:A,A213,FALTAS!D:D)</f>
        <v>0</v>
      </c>
    </row>
    <row r="214" spans="1:11" x14ac:dyDescent="0.2">
      <c r="A214" s="235">
        <v>112183</v>
      </c>
      <c r="B214" s="236" t="s">
        <v>18</v>
      </c>
      <c r="C214" s="236" t="s">
        <v>10</v>
      </c>
      <c r="D214" s="236" t="s">
        <v>5</v>
      </c>
      <c r="E214" s="237">
        <v>43617</v>
      </c>
      <c r="F214" s="236" t="s">
        <v>1234</v>
      </c>
      <c r="G214" s="237">
        <v>44835</v>
      </c>
      <c r="H214" s="234">
        <f>SUMIF(VA!B:B,A214,VA!I:I)</f>
        <v>359.46</v>
      </c>
      <c r="I214" s="33">
        <f>SUMIF(VR!B:B,A214,VR!I:I)</f>
        <v>657.5</v>
      </c>
      <c r="J214" s="4">
        <f t="shared" si="3"/>
        <v>1016.96</v>
      </c>
      <c r="K214" s="195">
        <f>SUMIF(FALTAS!A:A,A214,FALTAS!D:D)</f>
        <v>0</v>
      </c>
    </row>
    <row r="215" spans="1:11" x14ac:dyDescent="0.2">
      <c r="A215" s="235">
        <v>112184</v>
      </c>
      <c r="B215" s="236" t="s">
        <v>20</v>
      </c>
      <c r="C215" s="236" t="s">
        <v>19</v>
      </c>
      <c r="D215" s="236" t="s">
        <v>2</v>
      </c>
      <c r="E215" s="237">
        <v>43617</v>
      </c>
      <c r="F215" s="236" t="s">
        <v>1234</v>
      </c>
      <c r="G215" s="237">
        <v>45149</v>
      </c>
      <c r="H215" s="234">
        <f>SUMIF(VA!B:B,A215,VA!I:I)</f>
        <v>359.46</v>
      </c>
      <c r="I215" s="33">
        <f>SUMIF(VR!B:B,A215,VR!I:I)</f>
        <v>657.5</v>
      </c>
      <c r="J215" s="4">
        <f t="shared" si="3"/>
        <v>1016.96</v>
      </c>
      <c r="K215" s="195">
        <f>SUMIF(FALTAS!A:A,A215,FALTAS!D:D)</f>
        <v>0</v>
      </c>
    </row>
    <row r="216" spans="1:11" x14ac:dyDescent="0.2">
      <c r="A216" s="235">
        <v>121436</v>
      </c>
      <c r="B216" s="236" t="s">
        <v>1560</v>
      </c>
      <c r="C216" s="236" t="s">
        <v>1589</v>
      </c>
      <c r="D216" s="236" t="s">
        <v>5</v>
      </c>
      <c r="E216" s="237">
        <v>44967</v>
      </c>
      <c r="F216" s="236" t="s">
        <v>1234</v>
      </c>
      <c r="G216" s="237">
        <v>44967</v>
      </c>
      <c r="H216" s="234">
        <f>SUMIF(VA!B:B,A216,VA!I:I)</f>
        <v>359.46</v>
      </c>
      <c r="I216" s="33">
        <f>SUMIF(VR!B:B,A216,VR!I:I)</f>
        <v>657.5</v>
      </c>
      <c r="J216" s="4">
        <f t="shared" si="3"/>
        <v>1016.96</v>
      </c>
      <c r="K216" s="195">
        <f>SUMIF(FALTAS!A:A,A216,FALTAS!D:D)</f>
        <v>0</v>
      </c>
    </row>
    <row r="217" spans="1:11" x14ac:dyDescent="0.2">
      <c r="A217" s="235">
        <v>118650</v>
      </c>
      <c r="B217" s="236" t="s">
        <v>1402</v>
      </c>
      <c r="C217" s="236" t="s">
        <v>1589</v>
      </c>
      <c r="D217" s="236" t="s">
        <v>5</v>
      </c>
      <c r="E217" s="237">
        <v>44582</v>
      </c>
      <c r="F217" s="236" t="s">
        <v>1234</v>
      </c>
      <c r="G217" s="237">
        <v>45023</v>
      </c>
      <c r="H217" s="234">
        <f>SUMIF(VA!B:B,A217,VA!I:I)</f>
        <v>359.46</v>
      </c>
      <c r="I217" s="33">
        <f>SUMIF(VR!B:B,A217,VR!I:I)</f>
        <v>657.5</v>
      </c>
      <c r="J217" s="4">
        <f t="shared" si="3"/>
        <v>1016.96</v>
      </c>
      <c r="K217" s="195">
        <f>SUMIF(FALTAS!A:A,A217,FALTAS!D:D)</f>
        <v>0</v>
      </c>
    </row>
    <row r="218" spans="1:11" x14ac:dyDescent="0.2">
      <c r="A218" s="235">
        <v>114253</v>
      </c>
      <c r="B218" s="236" t="s">
        <v>1021</v>
      </c>
      <c r="C218" s="236" t="s">
        <v>0</v>
      </c>
      <c r="D218" s="236" t="s">
        <v>5</v>
      </c>
      <c r="E218" s="237">
        <v>43804</v>
      </c>
      <c r="F218" s="236" t="s">
        <v>1234</v>
      </c>
      <c r="G218" s="237">
        <v>45143</v>
      </c>
      <c r="H218" s="234">
        <f>SUMIF(VA!B:B,A218,VA!I:I)</f>
        <v>359.46</v>
      </c>
      <c r="I218" s="33">
        <f>SUMIF(VR!B:B,A218,VR!I:I)</f>
        <v>657.5</v>
      </c>
      <c r="J218" s="4">
        <f t="shared" si="3"/>
        <v>1016.96</v>
      </c>
      <c r="K218" s="195">
        <f>SUMIF(FALTAS!A:A,A218,FALTAS!D:D)</f>
        <v>0</v>
      </c>
    </row>
    <row r="219" spans="1:11" x14ac:dyDescent="0.2">
      <c r="A219" s="235">
        <v>114691</v>
      </c>
      <c r="B219" s="236" t="s">
        <v>1072</v>
      </c>
      <c r="C219" s="236" t="s">
        <v>0</v>
      </c>
      <c r="D219" s="236" t="s">
        <v>5</v>
      </c>
      <c r="E219" s="237">
        <v>43874</v>
      </c>
      <c r="F219" s="236" t="s">
        <v>1235</v>
      </c>
      <c r="G219" s="237">
        <v>45147</v>
      </c>
      <c r="H219" s="234">
        <f>SUMIF(VA!B:B,A219,VA!I:I)</f>
        <v>311.52999999999997</v>
      </c>
      <c r="I219" s="33">
        <f>SUMIF(VR!B:B,A219,VR!I:I)</f>
        <v>657.5</v>
      </c>
      <c r="J219" s="4">
        <f t="shared" si="3"/>
        <v>969.03</v>
      </c>
      <c r="K219" s="195">
        <f>SUMIF(FALTAS!A:A,A219,FALTAS!D:D)</f>
        <v>4</v>
      </c>
    </row>
    <row r="220" spans="1:11" x14ac:dyDescent="0.2">
      <c r="A220" s="235">
        <v>112186</v>
      </c>
      <c r="B220" s="236" t="s">
        <v>1561</v>
      </c>
      <c r="C220" s="236" t="s">
        <v>1589</v>
      </c>
      <c r="D220" s="236" t="s">
        <v>5</v>
      </c>
      <c r="E220" s="237">
        <v>43620</v>
      </c>
      <c r="F220" s="236" t="s">
        <v>1234</v>
      </c>
      <c r="G220" s="237">
        <v>45048</v>
      </c>
      <c r="H220" s="234">
        <f>SUMIF(VA!B:B,A220,VA!I:I)</f>
        <v>359.46</v>
      </c>
      <c r="I220" s="33">
        <f>SUMIF(VR!B:B,A220,VR!I:I)</f>
        <v>657.5</v>
      </c>
      <c r="J220" s="4">
        <f t="shared" si="3"/>
        <v>1016.96</v>
      </c>
      <c r="K220" s="195">
        <f>SUMIF(FALTAS!A:A,A220,FALTAS!D:D)</f>
        <v>0</v>
      </c>
    </row>
    <row r="221" spans="1:11" x14ac:dyDescent="0.2">
      <c r="A221" s="235">
        <v>112187</v>
      </c>
      <c r="B221" s="236" t="s">
        <v>21</v>
      </c>
      <c r="C221" s="236" t="s">
        <v>1589</v>
      </c>
      <c r="D221" s="236" t="s">
        <v>22</v>
      </c>
      <c r="E221" s="237">
        <v>43617</v>
      </c>
      <c r="F221" s="236" t="s">
        <v>1234</v>
      </c>
      <c r="G221" s="237">
        <v>44898</v>
      </c>
      <c r="H221" s="234">
        <f>SUMIF(VA!B:B,A221,VA!I:I)</f>
        <v>359.46</v>
      </c>
      <c r="I221" s="33">
        <f>SUMIF(VR!B:B,A221,VR!I:I)</f>
        <v>657.5</v>
      </c>
      <c r="J221" s="4">
        <f t="shared" si="3"/>
        <v>1016.96</v>
      </c>
      <c r="K221" s="195">
        <f>SUMIF(FALTAS!A:A,A221,FALTAS!D:D)</f>
        <v>0</v>
      </c>
    </row>
    <row r="222" spans="1:11" x14ac:dyDescent="0.2">
      <c r="A222" s="235">
        <v>121674</v>
      </c>
      <c r="B222" s="236" t="s">
        <v>1595</v>
      </c>
      <c r="C222" s="236" t="s">
        <v>1589</v>
      </c>
      <c r="D222" s="236" t="s">
        <v>5</v>
      </c>
      <c r="E222" s="237">
        <v>44994</v>
      </c>
      <c r="F222" s="236" t="s">
        <v>1234</v>
      </c>
      <c r="G222" s="237">
        <v>44994</v>
      </c>
      <c r="H222" s="234">
        <f>SUMIF(VA!B:B,A222,VA!I:I)</f>
        <v>359.46</v>
      </c>
      <c r="I222" s="33">
        <f>SUMIF(VR!B:B,A222,VR!I:I)</f>
        <v>657.5</v>
      </c>
      <c r="J222" s="4">
        <f t="shared" si="3"/>
        <v>1016.96</v>
      </c>
      <c r="K222" s="195">
        <f>SUMIF(FALTAS!A:A,A222,FALTAS!D:D)</f>
        <v>0</v>
      </c>
    </row>
    <row r="223" spans="1:11" x14ac:dyDescent="0.2">
      <c r="A223" s="235">
        <v>114504</v>
      </c>
      <c r="B223" s="236" t="s">
        <v>1045</v>
      </c>
      <c r="C223" s="236" t="s">
        <v>0</v>
      </c>
      <c r="D223" s="236" t="s">
        <v>2</v>
      </c>
      <c r="E223" s="237">
        <v>43811</v>
      </c>
      <c r="F223" s="236" t="s">
        <v>1234</v>
      </c>
      <c r="G223" s="237">
        <v>45086</v>
      </c>
      <c r="H223" s="234">
        <f>SUMIF(VA!B:B,A223,VA!I:I)</f>
        <v>359.46</v>
      </c>
      <c r="I223" s="33">
        <f>SUMIF(VR!B:B,A223,VR!I:I)</f>
        <v>657.5</v>
      </c>
      <c r="J223" s="4">
        <f t="shared" si="3"/>
        <v>1016.96</v>
      </c>
      <c r="K223" s="195">
        <f>SUMIF(FALTAS!A:A,A223,FALTAS!D:D)</f>
        <v>0</v>
      </c>
    </row>
    <row r="224" spans="1:11" x14ac:dyDescent="0.2">
      <c r="A224" s="235">
        <v>112318</v>
      </c>
      <c r="B224" s="236" t="s">
        <v>104</v>
      </c>
      <c r="C224" s="236" t="s">
        <v>8</v>
      </c>
      <c r="D224" s="236" t="s">
        <v>2</v>
      </c>
      <c r="E224" s="237">
        <v>43617</v>
      </c>
      <c r="F224" s="236" t="s">
        <v>1235</v>
      </c>
      <c r="G224" s="237">
        <v>45147</v>
      </c>
      <c r="H224" s="234">
        <f>SUMIF(VA!B:B,A224,VA!I:I)</f>
        <v>359.46</v>
      </c>
      <c r="I224" s="33">
        <f>SUMIF(VR!B:B,A224,VR!I:I)</f>
        <v>657.5</v>
      </c>
      <c r="J224" s="4">
        <f t="shared" si="3"/>
        <v>1016.96</v>
      </c>
      <c r="K224" s="195">
        <f>SUMIF(FALTAS!A:A,A224,FALTAS!D:D)</f>
        <v>0</v>
      </c>
    </row>
    <row r="225" spans="1:11" x14ac:dyDescent="0.2">
      <c r="A225" s="235">
        <v>112324</v>
      </c>
      <c r="B225" s="236" t="s">
        <v>107</v>
      </c>
      <c r="C225" s="236" t="s">
        <v>0</v>
      </c>
      <c r="D225" s="236" t="s">
        <v>2</v>
      </c>
      <c r="E225" s="237">
        <v>43617</v>
      </c>
      <c r="F225" s="236" t="s">
        <v>1235</v>
      </c>
      <c r="G225" s="237">
        <v>45147</v>
      </c>
      <c r="H225" s="234">
        <f>SUMIF(VA!B:B,A225,VA!I:I)</f>
        <v>359.46</v>
      </c>
      <c r="I225" s="33">
        <f>SUMIF(VR!B:B,A225,VR!I:I)</f>
        <v>657.5</v>
      </c>
      <c r="J225" s="4">
        <f t="shared" si="3"/>
        <v>1016.96</v>
      </c>
      <c r="K225" s="195">
        <f>SUMIF(FALTAS!A:A,A225,FALTAS!D:D)</f>
        <v>0</v>
      </c>
    </row>
    <row r="226" spans="1:11" x14ac:dyDescent="0.2">
      <c r="A226" s="235">
        <v>112327</v>
      </c>
      <c r="B226" s="236" t="s">
        <v>109</v>
      </c>
      <c r="C226" s="236" t="s">
        <v>19</v>
      </c>
      <c r="D226" s="236" t="s">
        <v>5</v>
      </c>
      <c r="E226" s="237">
        <v>43617</v>
      </c>
      <c r="F226" s="236" t="s">
        <v>1234</v>
      </c>
      <c r="G226" s="237">
        <v>44960</v>
      </c>
      <c r="H226" s="234">
        <f>SUMIF(VA!B:B,A226,VA!I:I)</f>
        <v>359.46</v>
      </c>
      <c r="I226" s="33">
        <f>SUMIF(VR!B:B,A226,VR!I:I)</f>
        <v>657.5</v>
      </c>
      <c r="J226" s="4">
        <f t="shared" si="3"/>
        <v>1016.96</v>
      </c>
      <c r="K226" s="195">
        <f>SUMIF(FALTAS!A:A,A226,FALTAS!D:D)</f>
        <v>0</v>
      </c>
    </row>
    <row r="227" spans="1:11" x14ac:dyDescent="0.2">
      <c r="A227" s="235">
        <v>112334</v>
      </c>
      <c r="B227" s="236" t="s">
        <v>116</v>
      </c>
      <c r="C227" s="236" t="s">
        <v>19</v>
      </c>
      <c r="D227" s="236" t="s">
        <v>2</v>
      </c>
      <c r="E227" s="237">
        <v>43617</v>
      </c>
      <c r="F227" s="236" t="s">
        <v>1235</v>
      </c>
      <c r="G227" s="237">
        <v>45147</v>
      </c>
      <c r="H227" s="234">
        <f>SUMIF(VA!B:B,A227,VA!I:I)</f>
        <v>359.46</v>
      </c>
      <c r="I227" s="33">
        <f>SUMIF(VR!B:B,A227,VR!I:I)</f>
        <v>657.5</v>
      </c>
      <c r="J227" s="4">
        <f t="shared" si="3"/>
        <v>1016.96</v>
      </c>
      <c r="K227" s="195">
        <f>SUMIF(FALTAS!A:A,A227,FALTAS!D:D)</f>
        <v>0</v>
      </c>
    </row>
    <row r="228" spans="1:11" x14ac:dyDescent="0.2">
      <c r="A228" s="235">
        <v>112340</v>
      </c>
      <c r="B228" s="236" t="s">
        <v>119</v>
      </c>
      <c r="C228" s="236" t="s">
        <v>0</v>
      </c>
      <c r="D228" s="236" t="s">
        <v>146</v>
      </c>
      <c r="E228" s="237">
        <v>43617</v>
      </c>
      <c r="F228" s="236" t="s">
        <v>1234</v>
      </c>
      <c r="G228" s="237">
        <v>45071</v>
      </c>
      <c r="H228" s="234">
        <f>SUMIF(VA!B:B,A228,VA!I:I)</f>
        <v>359.46</v>
      </c>
      <c r="I228" s="33">
        <f>SUMIF(VR!B:B,A228,VR!I:I)</f>
        <v>657.5</v>
      </c>
      <c r="J228" s="4">
        <f t="shared" si="3"/>
        <v>1016.96</v>
      </c>
      <c r="K228" s="195">
        <f>SUMIF(FALTAS!A:A,A228,FALTAS!D:D)</f>
        <v>0</v>
      </c>
    </row>
    <row r="229" spans="1:11" x14ac:dyDescent="0.2">
      <c r="A229" s="235">
        <v>112348</v>
      </c>
      <c r="B229" s="236" t="s">
        <v>124</v>
      </c>
      <c r="C229" s="236" t="s">
        <v>8</v>
      </c>
      <c r="D229" s="236" t="s">
        <v>2</v>
      </c>
      <c r="E229" s="237">
        <v>43617</v>
      </c>
      <c r="F229" s="236" t="s">
        <v>1235</v>
      </c>
      <c r="G229" s="237">
        <v>45147</v>
      </c>
      <c r="H229" s="234">
        <f>SUMIF(VA!B:B,A229,VA!I:I)</f>
        <v>359.46</v>
      </c>
      <c r="I229" s="33">
        <f>SUMIF(VR!B:B,A229,VR!I:I)</f>
        <v>657.5</v>
      </c>
      <c r="J229" s="4">
        <f t="shared" si="3"/>
        <v>1016.96</v>
      </c>
      <c r="K229" s="195">
        <f>SUMIF(FALTAS!A:A,A229,FALTAS!D:D)</f>
        <v>0</v>
      </c>
    </row>
    <row r="230" spans="1:11" x14ac:dyDescent="0.2">
      <c r="A230" s="235">
        <v>122343</v>
      </c>
      <c r="B230" s="236" t="s">
        <v>1664</v>
      </c>
      <c r="C230" s="236" t="s">
        <v>8</v>
      </c>
      <c r="D230" s="236" t="s">
        <v>2</v>
      </c>
      <c r="E230" s="237">
        <v>45098</v>
      </c>
      <c r="F230" s="236" t="s">
        <v>1234</v>
      </c>
      <c r="G230" s="237">
        <v>45098</v>
      </c>
      <c r="H230" s="234">
        <f>SUMIF(VA!B:B,A230,VA!I:I)</f>
        <v>359.46</v>
      </c>
      <c r="I230" s="33">
        <f>SUMIF(VR!B:B,A230,VR!I:I)</f>
        <v>657.5</v>
      </c>
      <c r="J230" s="4">
        <f t="shared" si="3"/>
        <v>1016.96</v>
      </c>
      <c r="K230" s="195">
        <f>SUMIF(FALTAS!A:A,A230,FALTAS!D:D)</f>
        <v>0</v>
      </c>
    </row>
    <row r="231" spans="1:11" x14ac:dyDescent="0.2">
      <c r="A231" s="235">
        <v>112443</v>
      </c>
      <c r="B231" s="236" t="s">
        <v>184</v>
      </c>
      <c r="C231" s="236" t="s">
        <v>19</v>
      </c>
      <c r="D231" s="236" t="s">
        <v>5</v>
      </c>
      <c r="E231" s="237">
        <v>43617</v>
      </c>
      <c r="F231" s="236" t="s">
        <v>1235</v>
      </c>
      <c r="G231" s="237">
        <v>45147</v>
      </c>
      <c r="H231" s="234">
        <f>SUMIF(VA!B:B,A231,VA!I:I)</f>
        <v>359.46</v>
      </c>
      <c r="I231" s="33">
        <f>SUMIF(VR!B:B,A231,VR!I:I)</f>
        <v>657.5</v>
      </c>
      <c r="J231" s="4">
        <f t="shared" si="3"/>
        <v>1016.96</v>
      </c>
      <c r="K231" s="195">
        <f>SUMIF(FALTAS!A:A,A231,FALTAS!D:D)</f>
        <v>0</v>
      </c>
    </row>
    <row r="232" spans="1:11" x14ac:dyDescent="0.2">
      <c r="A232" s="235">
        <v>112490</v>
      </c>
      <c r="B232" s="236" t="s">
        <v>212</v>
      </c>
      <c r="C232" s="236" t="s">
        <v>1589</v>
      </c>
      <c r="D232" s="236" t="s">
        <v>22</v>
      </c>
      <c r="E232" s="237">
        <v>43617</v>
      </c>
      <c r="F232" s="236" t="s">
        <v>1234</v>
      </c>
      <c r="G232" s="237">
        <v>45023</v>
      </c>
      <c r="H232" s="234">
        <f>SUMIF(VA!B:B,A232,VA!I:I)</f>
        <v>359.46</v>
      </c>
      <c r="I232" s="33">
        <f>SUMIF(VR!B:B,A232,VR!I:I)</f>
        <v>657.5</v>
      </c>
      <c r="J232" s="4">
        <f t="shared" si="3"/>
        <v>1016.96</v>
      </c>
      <c r="K232" s="195">
        <f>SUMIF(FALTAS!A:A,A232,FALTAS!D:D)</f>
        <v>0</v>
      </c>
    </row>
    <row r="233" spans="1:11" x14ac:dyDescent="0.2">
      <c r="A233" s="235">
        <v>112502</v>
      </c>
      <c r="B233" s="236" t="s">
        <v>220</v>
      </c>
      <c r="C233" s="236" t="s">
        <v>1589</v>
      </c>
      <c r="D233" s="236" t="s">
        <v>15</v>
      </c>
      <c r="E233" s="237">
        <v>43617</v>
      </c>
      <c r="F233" s="236" t="s">
        <v>1235</v>
      </c>
      <c r="G233" s="237">
        <v>45147</v>
      </c>
      <c r="H233" s="234">
        <f>SUMIF(VA!B:B,A233,VA!I:I)</f>
        <v>359.46</v>
      </c>
      <c r="I233" s="33">
        <f>SUMIF(VR!B:B,A233,VR!I:I)</f>
        <v>657.5</v>
      </c>
      <c r="J233" s="4">
        <f t="shared" si="3"/>
        <v>1016.96</v>
      </c>
      <c r="K233" s="195">
        <f>SUMIF(FALTAS!A:A,A233,FALTAS!D:D)</f>
        <v>0</v>
      </c>
    </row>
    <row r="234" spans="1:11" x14ac:dyDescent="0.2">
      <c r="A234" s="235">
        <v>112521</v>
      </c>
      <c r="B234" s="236" t="s">
        <v>236</v>
      </c>
      <c r="C234" s="236" t="s">
        <v>8</v>
      </c>
      <c r="D234" s="236" t="s">
        <v>2</v>
      </c>
      <c r="E234" s="237">
        <v>43617</v>
      </c>
      <c r="F234" s="236" t="s">
        <v>1234</v>
      </c>
      <c r="G234" s="237">
        <v>45119</v>
      </c>
      <c r="H234" s="234">
        <f>SUMIF(VA!B:B,A234,VA!I:I)</f>
        <v>359.46</v>
      </c>
      <c r="I234" s="33">
        <f>SUMIF(VR!B:B,A234,VR!I:I)</f>
        <v>657.5</v>
      </c>
      <c r="J234" s="4">
        <f t="shared" si="3"/>
        <v>1016.96</v>
      </c>
      <c r="K234" s="195">
        <f>SUMIF(FALTAS!A:A,A234,FALTAS!D:D)</f>
        <v>0</v>
      </c>
    </row>
    <row r="235" spans="1:11" x14ac:dyDescent="0.2">
      <c r="A235" s="235">
        <v>113305</v>
      </c>
      <c r="B235" s="236" t="s">
        <v>698</v>
      </c>
      <c r="C235" s="236" t="s">
        <v>0</v>
      </c>
      <c r="D235" s="236" t="s">
        <v>2</v>
      </c>
      <c r="E235" s="237">
        <v>43617</v>
      </c>
      <c r="F235" s="236" t="s">
        <v>1234</v>
      </c>
      <c r="G235" s="237">
        <v>45056</v>
      </c>
      <c r="H235" s="234">
        <f>SUMIF(VA!B:B,A235,VA!I:I)</f>
        <v>359.46</v>
      </c>
      <c r="I235" s="33">
        <f>SUMIF(VR!B:B,A235,VR!I:I)</f>
        <v>657.5</v>
      </c>
      <c r="J235" s="4">
        <f t="shared" si="3"/>
        <v>1016.96</v>
      </c>
      <c r="K235" s="195">
        <f>SUMIF(FALTAS!A:A,A235,FALTAS!D:D)</f>
        <v>0</v>
      </c>
    </row>
    <row r="236" spans="1:11" x14ac:dyDescent="0.2">
      <c r="A236" s="235">
        <v>112525</v>
      </c>
      <c r="B236" s="236" t="s">
        <v>238</v>
      </c>
      <c r="C236" s="236" t="s">
        <v>1589</v>
      </c>
      <c r="D236" s="236" t="s">
        <v>15</v>
      </c>
      <c r="E236" s="237">
        <v>43617</v>
      </c>
      <c r="F236" s="236" t="s">
        <v>1234</v>
      </c>
      <c r="G236" s="237">
        <v>44867</v>
      </c>
      <c r="H236" s="234">
        <f>SUMIF(VA!B:B,A236,VA!I:I)</f>
        <v>359.46</v>
      </c>
      <c r="I236" s="33">
        <f>SUMIF(VR!B:B,A236,VR!I:I)</f>
        <v>657.5</v>
      </c>
      <c r="J236" s="4">
        <f t="shared" si="3"/>
        <v>1016.96</v>
      </c>
      <c r="K236" s="195">
        <f>SUMIF(FALTAS!A:A,A236,FALTAS!D:D)</f>
        <v>0</v>
      </c>
    </row>
    <row r="237" spans="1:11" x14ac:dyDescent="0.2">
      <c r="A237" s="235">
        <v>112527</v>
      </c>
      <c r="B237" s="236" t="s">
        <v>240</v>
      </c>
      <c r="C237" s="236" t="s">
        <v>1589</v>
      </c>
      <c r="D237" s="236" t="s">
        <v>15</v>
      </c>
      <c r="E237" s="237">
        <v>43617</v>
      </c>
      <c r="F237" s="236" t="s">
        <v>1234</v>
      </c>
      <c r="G237" s="237">
        <v>44806</v>
      </c>
      <c r="H237" s="234">
        <f>SUMIF(VA!B:B,A237,VA!I:I)</f>
        <v>359.46</v>
      </c>
      <c r="I237" s="33">
        <f>SUMIF(VR!B:B,A237,VR!I:I)</f>
        <v>657.5</v>
      </c>
      <c r="J237" s="4">
        <f t="shared" si="3"/>
        <v>1016.96</v>
      </c>
      <c r="K237" s="195">
        <f>SUMIF(FALTAS!A:A,A237,FALTAS!D:D)</f>
        <v>0</v>
      </c>
    </row>
    <row r="238" spans="1:11" x14ac:dyDescent="0.2">
      <c r="A238" s="235">
        <v>112530</v>
      </c>
      <c r="B238" s="236" t="s">
        <v>242</v>
      </c>
      <c r="C238" s="236" t="s">
        <v>1589</v>
      </c>
      <c r="D238" s="236" t="s">
        <v>15</v>
      </c>
      <c r="E238" s="237">
        <v>43617</v>
      </c>
      <c r="F238" s="236" t="s">
        <v>1234</v>
      </c>
      <c r="G238" s="237">
        <v>45149</v>
      </c>
      <c r="H238" s="234">
        <f>SUMIF(VA!B:B,A238,VA!I:I)</f>
        <v>359.46</v>
      </c>
      <c r="I238" s="33">
        <f>SUMIF(VR!B:B,A238,VR!I:I)</f>
        <v>657.5</v>
      </c>
      <c r="J238" s="4">
        <f t="shared" si="3"/>
        <v>1016.96</v>
      </c>
      <c r="K238" s="195">
        <f>SUMIF(FALTAS!A:A,A238,FALTAS!D:D)</f>
        <v>0</v>
      </c>
    </row>
    <row r="239" spans="1:11" x14ac:dyDescent="0.2">
      <c r="A239" s="235">
        <v>112532</v>
      </c>
      <c r="B239" s="236" t="s">
        <v>244</v>
      </c>
      <c r="C239" s="236" t="s">
        <v>10</v>
      </c>
      <c r="D239" s="236" t="s">
        <v>2</v>
      </c>
      <c r="E239" s="237">
        <v>43617</v>
      </c>
      <c r="F239" s="236" t="s">
        <v>1234</v>
      </c>
      <c r="G239" s="237">
        <v>45119</v>
      </c>
      <c r="H239" s="234">
        <f>SUMIF(VA!B:B,A239,VA!I:I)</f>
        <v>359.46</v>
      </c>
      <c r="I239" s="33">
        <f>SUMIF(VR!B:B,A239,VR!I:I)</f>
        <v>657.5</v>
      </c>
      <c r="J239" s="4">
        <f t="shared" si="3"/>
        <v>1016.96</v>
      </c>
      <c r="K239" s="195">
        <f>SUMIF(FALTAS!A:A,A239,FALTAS!D:D)</f>
        <v>0</v>
      </c>
    </row>
    <row r="240" spans="1:11" x14ac:dyDescent="0.2">
      <c r="A240" s="235">
        <v>112533</v>
      </c>
      <c r="B240" s="236" t="s">
        <v>245</v>
      </c>
      <c r="C240" s="236" t="s">
        <v>0</v>
      </c>
      <c r="D240" s="236" t="s">
        <v>2</v>
      </c>
      <c r="E240" s="237">
        <v>43617</v>
      </c>
      <c r="F240" s="236" t="s">
        <v>1234</v>
      </c>
      <c r="G240" s="237">
        <v>45056</v>
      </c>
      <c r="H240" s="234">
        <f>SUMIF(VA!B:B,A240,VA!I:I)</f>
        <v>359.46</v>
      </c>
      <c r="I240" s="33">
        <f>SUMIF(VR!B:B,A240,VR!I:I)</f>
        <v>657.5</v>
      </c>
      <c r="J240" s="4">
        <f t="shared" si="3"/>
        <v>1016.96</v>
      </c>
      <c r="K240" s="195">
        <f>SUMIF(FALTAS!A:A,A240,FALTAS!D:D)</f>
        <v>0</v>
      </c>
    </row>
    <row r="241" spans="1:11" x14ac:dyDescent="0.2">
      <c r="A241" s="235">
        <v>112535</v>
      </c>
      <c r="B241" s="236" t="s">
        <v>247</v>
      </c>
      <c r="C241" s="236" t="s">
        <v>8</v>
      </c>
      <c r="D241" s="236" t="s">
        <v>2</v>
      </c>
      <c r="E241" s="237">
        <v>43617</v>
      </c>
      <c r="F241" s="236" t="s">
        <v>1235</v>
      </c>
      <c r="G241" s="237">
        <v>45147</v>
      </c>
      <c r="H241" s="234">
        <f>SUMIF(VA!B:B,A241,VA!I:I)</f>
        <v>359.46</v>
      </c>
      <c r="I241" s="33">
        <f>SUMIF(VR!B:B,A241,VR!I:I)</f>
        <v>657.5</v>
      </c>
      <c r="J241" s="4">
        <f t="shared" si="3"/>
        <v>1016.96</v>
      </c>
      <c r="K241" s="195">
        <f>SUMIF(FALTAS!A:A,A241,FALTAS!D:D)</f>
        <v>0</v>
      </c>
    </row>
    <row r="242" spans="1:11" x14ac:dyDescent="0.2">
      <c r="A242" s="235">
        <v>112538</v>
      </c>
      <c r="B242" s="236" t="s">
        <v>249</v>
      </c>
      <c r="C242" s="236" t="s">
        <v>10</v>
      </c>
      <c r="D242" s="236" t="s">
        <v>2</v>
      </c>
      <c r="E242" s="237">
        <v>43617</v>
      </c>
      <c r="F242" s="236" t="s">
        <v>1234</v>
      </c>
      <c r="G242" s="237">
        <v>45149</v>
      </c>
      <c r="H242" s="234">
        <f>SUMIF(VA!B:B,A242,VA!I:I)</f>
        <v>359.46</v>
      </c>
      <c r="I242" s="33">
        <f>SUMIF(VR!B:B,A242,VR!I:I)</f>
        <v>657.5</v>
      </c>
      <c r="J242" s="4">
        <f t="shared" si="3"/>
        <v>1016.96</v>
      </c>
      <c r="K242" s="195">
        <f>SUMIF(FALTAS!A:A,A242,FALTAS!D:D)</f>
        <v>0</v>
      </c>
    </row>
    <row r="243" spans="1:11" x14ac:dyDescent="0.2">
      <c r="A243" s="235">
        <v>114537</v>
      </c>
      <c r="B243" s="236" t="s">
        <v>1054</v>
      </c>
      <c r="C243" s="236" t="s">
        <v>8</v>
      </c>
      <c r="D243" s="236" t="s">
        <v>5</v>
      </c>
      <c r="E243" s="237">
        <v>43817</v>
      </c>
      <c r="F243" s="236" t="s">
        <v>1235</v>
      </c>
      <c r="G243" s="237">
        <v>45147</v>
      </c>
      <c r="H243" s="234">
        <f>SUMIF(VA!B:B,A243,VA!I:I)</f>
        <v>359.46</v>
      </c>
      <c r="I243" s="33">
        <f>SUMIF(VR!B:B,A243,VR!I:I)</f>
        <v>657.5</v>
      </c>
      <c r="J243" s="4">
        <f t="shared" si="3"/>
        <v>1016.96</v>
      </c>
      <c r="K243" s="195">
        <f>SUMIF(FALTAS!A:A,A243,FALTAS!D:D)</f>
        <v>0</v>
      </c>
    </row>
    <row r="244" spans="1:11" x14ac:dyDescent="0.2">
      <c r="A244" s="235">
        <v>115218</v>
      </c>
      <c r="B244" s="236" t="s">
        <v>1147</v>
      </c>
      <c r="C244" s="236" t="s">
        <v>19</v>
      </c>
      <c r="D244" s="236" t="s">
        <v>5</v>
      </c>
      <c r="E244" s="237">
        <v>44018</v>
      </c>
      <c r="F244" s="236" t="s">
        <v>1234</v>
      </c>
      <c r="G244" s="237">
        <v>45056</v>
      </c>
      <c r="H244" s="234">
        <f>SUMIF(VA!B:B,A244,VA!I:I)</f>
        <v>359.46</v>
      </c>
      <c r="I244" s="33">
        <f>SUMIF(VR!B:B,A244,VR!I:I)</f>
        <v>657.5</v>
      </c>
      <c r="J244" s="4">
        <f t="shared" si="3"/>
        <v>1016.96</v>
      </c>
      <c r="K244" s="195">
        <f>SUMIF(FALTAS!A:A,A244,FALTAS!D:D)</f>
        <v>0</v>
      </c>
    </row>
    <row r="245" spans="1:11" x14ac:dyDescent="0.2">
      <c r="A245" s="235">
        <v>112544</v>
      </c>
      <c r="B245" s="236" t="s">
        <v>1562</v>
      </c>
      <c r="C245" s="236" t="s">
        <v>0</v>
      </c>
      <c r="D245" s="236" t="s">
        <v>2</v>
      </c>
      <c r="E245" s="237">
        <v>43617</v>
      </c>
      <c r="F245" s="236" t="s">
        <v>1285</v>
      </c>
      <c r="G245" s="237">
        <v>43713</v>
      </c>
      <c r="H245" s="234">
        <f>SUMIF(VA!B:B,A245,VA!I:I)</f>
        <v>0</v>
      </c>
      <c r="I245" s="33">
        <f>SUMIF(VR!B:B,A245,VR!I:I)</f>
        <v>0</v>
      </c>
      <c r="J245" s="4">
        <f t="shared" si="3"/>
        <v>0</v>
      </c>
      <c r="K245" s="195">
        <f>SUMIF(FALTAS!A:A,A245,FALTAS!D:D)</f>
        <v>0</v>
      </c>
    </row>
    <row r="246" spans="1:11" x14ac:dyDescent="0.2">
      <c r="A246" s="235">
        <v>112548</v>
      </c>
      <c r="B246" s="236" t="s">
        <v>258</v>
      </c>
      <c r="C246" s="236" t="s">
        <v>32</v>
      </c>
      <c r="D246" s="236" t="s">
        <v>39</v>
      </c>
      <c r="E246" s="237">
        <v>43617</v>
      </c>
      <c r="F246" s="236" t="s">
        <v>1234</v>
      </c>
      <c r="G246" s="237">
        <v>44867</v>
      </c>
      <c r="H246" s="234">
        <f>SUMIF(VA!B:B,A246,VA!I:I)</f>
        <v>359.46</v>
      </c>
      <c r="I246" s="33">
        <f>SUMIF(VR!B:B,A246,VR!I:I)</f>
        <v>657.5</v>
      </c>
      <c r="J246" s="4">
        <f t="shared" si="3"/>
        <v>1016.96</v>
      </c>
      <c r="K246" s="195">
        <f>SUMIF(FALTAS!A:A,A246,FALTAS!D:D)</f>
        <v>0</v>
      </c>
    </row>
    <row r="247" spans="1:11" x14ac:dyDescent="0.2">
      <c r="A247" s="235">
        <v>116072</v>
      </c>
      <c r="B247" s="236" t="s">
        <v>1183</v>
      </c>
      <c r="C247" s="236" t="s">
        <v>1589</v>
      </c>
      <c r="D247" s="236" t="s">
        <v>228</v>
      </c>
      <c r="E247" s="237">
        <v>44216</v>
      </c>
      <c r="F247" s="236" t="s">
        <v>1234</v>
      </c>
      <c r="G247" s="237">
        <v>45149</v>
      </c>
      <c r="H247" s="234">
        <f>SUMIF(VA!B:B,A247,VA!I:I)</f>
        <v>359.46</v>
      </c>
      <c r="I247" s="33">
        <f>SUMIF(VR!B:B,A247,VR!I:I)</f>
        <v>657.5</v>
      </c>
      <c r="J247" s="4">
        <f t="shared" si="3"/>
        <v>1016.96</v>
      </c>
      <c r="K247" s="195">
        <f>SUMIF(FALTAS!A:A,A247,FALTAS!D:D)</f>
        <v>0</v>
      </c>
    </row>
    <row r="248" spans="1:11" x14ac:dyDescent="0.2">
      <c r="A248" s="235">
        <v>112551</v>
      </c>
      <c r="B248" s="236" t="s">
        <v>260</v>
      </c>
      <c r="C248" s="236" t="s">
        <v>19</v>
      </c>
      <c r="D248" s="236" t="s">
        <v>39</v>
      </c>
      <c r="E248" s="237">
        <v>43617</v>
      </c>
      <c r="F248" s="236" t="s">
        <v>1234</v>
      </c>
      <c r="G248" s="237">
        <v>44867</v>
      </c>
      <c r="H248" s="234">
        <f>SUMIF(VA!B:B,A248,VA!I:I)</f>
        <v>359.46</v>
      </c>
      <c r="I248" s="33">
        <f>SUMIF(VR!B:B,A248,VR!I:I)</f>
        <v>657.5</v>
      </c>
      <c r="J248" s="4">
        <f t="shared" si="3"/>
        <v>1016.96</v>
      </c>
      <c r="K248" s="195">
        <f>SUMIF(FALTAS!A:A,A248,FALTAS!D:D)</f>
        <v>0</v>
      </c>
    </row>
    <row r="249" spans="1:11" x14ac:dyDescent="0.2">
      <c r="A249" s="235">
        <v>115415</v>
      </c>
      <c r="B249" s="236" t="s">
        <v>1164</v>
      </c>
      <c r="C249" s="236" t="s">
        <v>0</v>
      </c>
      <c r="D249" s="236" t="s">
        <v>5</v>
      </c>
      <c r="E249" s="237">
        <v>44048</v>
      </c>
      <c r="F249" s="236" t="s">
        <v>1234</v>
      </c>
      <c r="G249" s="237">
        <v>45086</v>
      </c>
      <c r="H249" s="234">
        <f>SUMIF(VA!B:B,A249,VA!I:I)</f>
        <v>359.46</v>
      </c>
      <c r="I249" s="33">
        <f>SUMIF(VR!B:B,A249,VR!I:I)</f>
        <v>657.5</v>
      </c>
      <c r="J249" s="4">
        <f t="shared" si="3"/>
        <v>1016.96</v>
      </c>
      <c r="K249" s="195">
        <f>SUMIF(FALTAS!A:A,A249,FALTAS!D:D)</f>
        <v>0</v>
      </c>
    </row>
    <row r="250" spans="1:11" x14ac:dyDescent="0.2">
      <c r="A250" s="235">
        <v>112553</v>
      </c>
      <c r="B250" s="236" t="s">
        <v>261</v>
      </c>
      <c r="C250" s="236" t="s">
        <v>8</v>
      </c>
      <c r="D250" s="236" t="s">
        <v>2</v>
      </c>
      <c r="E250" s="237">
        <v>43617</v>
      </c>
      <c r="F250" s="236" t="s">
        <v>1235</v>
      </c>
      <c r="G250" s="237">
        <v>45147</v>
      </c>
      <c r="H250" s="234">
        <f>SUMIF(VA!B:B,A250,VA!I:I)</f>
        <v>359.46</v>
      </c>
      <c r="I250" s="33">
        <f>SUMIF(VR!B:B,A250,VR!I:I)</f>
        <v>657.5</v>
      </c>
      <c r="J250" s="4">
        <f t="shared" si="3"/>
        <v>1016.96</v>
      </c>
      <c r="K250" s="195">
        <f>SUMIF(FALTAS!A:A,A250,FALTAS!D:D)</f>
        <v>0</v>
      </c>
    </row>
    <row r="251" spans="1:11" x14ac:dyDescent="0.2">
      <c r="A251" s="235">
        <v>112555</v>
      </c>
      <c r="B251" s="236" t="s">
        <v>262</v>
      </c>
      <c r="C251" s="236" t="s">
        <v>8</v>
      </c>
      <c r="D251" s="236" t="s">
        <v>2</v>
      </c>
      <c r="E251" s="237">
        <v>43617</v>
      </c>
      <c r="F251" s="236" t="s">
        <v>1235</v>
      </c>
      <c r="G251" s="237">
        <v>45147</v>
      </c>
      <c r="H251" s="234">
        <f>SUMIF(VA!B:B,A251,VA!I:I)</f>
        <v>359.46</v>
      </c>
      <c r="I251" s="33">
        <f>SUMIF(VR!B:B,A251,VR!I:I)</f>
        <v>657.5</v>
      </c>
      <c r="J251" s="4">
        <f t="shared" si="3"/>
        <v>1016.96</v>
      </c>
      <c r="K251" s="195">
        <f>SUMIF(FALTAS!A:A,A251,FALTAS!D:D)</f>
        <v>0</v>
      </c>
    </row>
    <row r="252" spans="1:11" x14ac:dyDescent="0.2">
      <c r="A252" s="235">
        <v>112557</v>
      </c>
      <c r="B252" s="236" t="s">
        <v>263</v>
      </c>
      <c r="C252" s="236" t="s">
        <v>1589</v>
      </c>
      <c r="D252" s="236" t="s">
        <v>22</v>
      </c>
      <c r="E252" s="237">
        <v>43617</v>
      </c>
      <c r="F252" s="236" t="s">
        <v>1234</v>
      </c>
      <c r="G252" s="237">
        <v>44930</v>
      </c>
      <c r="H252" s="234">
        <f>SUMIF(VA!B:B,A252,VA!I:I)</f>
        <v>359.46</v>
      </c>
      <c r="I252" s="33">
        <f>SUMIF(VR!B:B,A252,VR!I:I)</f>
        <v>657.5</v>
      </c>
      <c r="J252" s="4">
        <f t="shared" si="3"/>
        <v>1016.96</v>
      </c>
      <c r="K252" s="195">
        <f>SUMIF(FALTAS!A:A,A252,FALTAS!D:D)</f>
        <v>0</v>
      </c>
    </row>
    <row r="253" spans="1:11" x14ac:dyDescent="0.2">
      <c r="A253" s="235">
        <v>112559</v>
      </c>
      <c r="B253" s="236" t="s">
        <v>265</v>
      </c>
      <c r="C253" s="236" t="s">
        <v>0</v>
      </c>
      <c r="D253" s="236" t="s">
        <v>2</v>
      </c>
      <c r="E253" s="237">
        <v>43617</v>
      </c>
      <c r="F253" s="236" t="s">
        <v>1234</v>
      </c>
      <c r="G253" s="237">
        <v>45023</v>
      </c>
      <c r="H253" s="234">
        <f>SUMIF(VA!B:B,A253,VA!I:I)</f>
        <v>359.46</v>
      </c>
      <c r="I253" s="33">
        <f>SUMIF(VR!B:B,A253,VR!I:I)</f>
        <v>657.5</v>
      </c>
      <c r="J253" s="4">
        <f t="shared" si="3"/>
        <v>1016.96</v>
      </c>
      <c r="K253" s="195">
        <f>SUMIF(FALTAS!A:A,A253,FALTAS!D:D)</f>
        <v>0</v>
      </c>
    </row>
    <row r="254" spans="1:11" x14ac:dyDescent="0.2">
      <c r="A254" s="235">
        <v>112561</v>
      </c>
      <c r="B254" s="236" t="s">
        <v>266</v>
      </c>
      <c r="C254" s="236" t="s">
        <v>10</v>
      </c>
      <c r="D254" s="236" t="s">
        <v>2</v>
      </c>
      <c r="E254" s="237">
        <v>43617</v>
      </c>
      <c r="F254" s="236" t="s">
        <v>1234</v>
      </c>
      <c r="G254" s="237">
        <v>44930</v>
      </c>
      <c r="H254" s="234">
        <f>SUMIF(VA!B:B,A254,VA!I:I)</f>
        <v>359.46</v>
      </c>
      <c r="I254" s="33">
        <f>SUMIF(VR!B:B,A254,VR!I:I)</f>
        <v>657.5</v>
      </c>
      <c r="J254" s="4">
        <f t="shared" si="3"/>
        <v>1016.96</v>
      </c>
      <c r="K254" s="195">
        <f>SUMIF(FALTAS!A:A,A254,FALTAS!D:D)</f>
        <v>0</v>
      </c>
    </row>
    <row r="255" spans="1:11" x14ac:dyDescent="0.2">
      <c r="A255" s="235">
        <v>116731</v>
      </c>
      <c r="B255" s="236" t="s">
        <v>1227</v>
      </c>
      <c r="C255" s="236" t="s">
        <v>1589</v>
      </c>
      <c r="D255" s="236" t="s">
        <v>15</v>
      </c>
      <c r="E255" s="237">
        <v>44368</v>
      </c>
      <c r="F255" s="236" t="s">
        <v>1234</v>
      </c>
      <c r="G255" s="237">
        <v>45023</v>
      </c>
      <c r="H255" s="234">
        <f>SUMIF(VA!B:B,A255,VA!I:I)</f>
        <v>359.46</v>
      </c>
      <c r="I255" s="33">
        <f>SUMIF(VR!B:B,A255,VR!I:I)</f>
        <v>657.5</v>
      </c>
      <c r="J255" s="4">
        <f t="shared" si="3"/>
        <v>1016.96</v>
      </c>
      <c r="K255" s="195">
        <f>SUMIF(FALTAS!A:A,A255,FALTAS!D:D)</f>
        <v>0</v>
      </c>
    </row>
    <row r="256" spans="1:11" x14ac:dyDescent="0.2">
      <c r="A256" s="235">
        <v>112563</v>
      </c>
      <c r="B256" s="236" t="s">
        <v>267</v>
      </c>
      <c r="C256" s="236" t="s">
        <v>0</v>
      </c>
      <c r="D256" s="236" t="s">
        <v>2</v>
      </c>
      <c r="E256" s="237">
        <v>43617</v>
      </c>
      <c r="F256" s="236" t="s">
        <v>1234</v>
      </c>
      <c r="G256" s="237">
        <v>45023</v>
      </c>
      <c r="H256" s="234">
        <f>SUMIF(VA!B:B,A256,VA!I:I)</f>
        <v>359.46</v>
      </c>
      <c r="I256" s="33">
        <f>SUMIF(VR!B:B,A256,VR!I:I)</f>
        <v>657.5</v>
      </c>
      <c r="J256" s="4">
        <f t="shared" si="3"/>
        <v>1016.96</v>
      </c>
      <c r="K256" s="195">
        <f>SUMIF(FALTAS!A:A,A256,FALTAS!D:D)</f>
        <v>0</v>
      </c>
    </row>
    <row r="257" spans="1:11" x14ac:dyDescent="0.2">
      <c r="A257" s="235">
        <v>119109</v>
      </c>
      <c r="B257" s="236" t="s">
        <v>1440</v>
      </c>
      <c r="C257" s="236" t="s">
        <v>1589</v>
      </c>
      <c r="D257" s="236" t="s">
        <v>5</v>
      </c>
      <c r="E257" s="237">
        <v>44630</v>
      </c>
      <c r="F257" s="236" t="s">
        <v>1234</v>
      </c>
      <c r="G257" s="237">
        <v>45086</v>
      </c>
      <c r="H257" s="234">
        <f>SUMIF(VA!B:B,A257,VA!I:I)</f>
        <v>359.46</v>
      </c>
      <c r="I257" s="33">
        <f>SUMIF(VR!B:B,A257,VR!I:I)</f>
        <v>657.5</v>
      </c>
      <c r="J257" s="4">
        <f t="shared" si="3"/>
        <v>1016.96</v>
      </c>
      <c r="K257" s="195">
        <f>SUMIF(FALTAS!A:A,A257,FALTAS!D:D)</f>
        <v>0</v>
      </c>
    </row>
    <row r="258" spans="1:11" x14ac:dyDescent="0.2">
      <c r="A258" s="235">
        <v>116315</v>
      </c>
      <c r="B258" s="236" t="s">
        <v>1204</v>
      </c>
      <c r="C258" s="236" t="s">
        <v>32</v>
      </c>
      <c r="D258" s="236" t="s">
        <v>5</v>
      </c>
      <c r="E258" s="237">
        <v>44308</v>
      </c>
      <c r="F258" s="236" t="s">
        <v>1234</v>
      </c>
      <c r="G258" s="237">
        <v>45149</v>
      </c>
      <c r="H258" s="234">
        <f>SUMIF(VA!B:B,A258,VA!I:I)</f>
        <v>359.46</v>
      </c>
      <c r="I258" s="33">
        <f>SUMIF(VR!B:B,A258,VR!I:I)</f>
        <v>657.5</v>
      </c>
      <c r="J258" s="4">
        <f t="shared" ref="J258:J321" si="4">H258+I258</f>
        <v>1016.96</v>
      </c>
      <c r="K258" s="195">
        <f>SUMIF(FALTAS!A:A,A258,FALTAS!D:D)</f>
        <v>0</v>
      </c>
    </row>
    <row r="259" spans="1:11" x14ac:dyDescent="0.2">
      <c r="A259" s="235">
        <v>112568</v>
      </c>
      <c r="B259" s="236" t="s">
        <v>270</v>
      </c>
      <c r="C259" s="236" t="s">
        <v>1589</v>
      </c>
      <c r="D259" s="236" t="s">
        <v>15</v>
      </c>
      <c r="E259" s="237">
        <v>43617</v>
      </c>
      <c r="F259" s="236" t="s">
        <v>1234</v>
      </c>
      <c r="G259" s="237">
        <v>44806</v>
      </c>
      <c r="H259" s="234">
        <f>SUMIF(VA!B:B,A259,VA!I:I)</f>
        <v>359.46</v>
      </c>
      <c r="I259" s="33">
        <f>SUMIF(VR!B:B,A259,VR!I:I)</f>
        <v>657.5</v>
      </c>
      <c r="J259" s="4">
        <f t="shared" si="4"/>
        <v>1016.96</v>
      </c>
      <c r="K259" s="195">
        <f>SUMIF(FALTAS!A:A,A259,FALTAS!D:D)</f>
        <v>0</v>
      </c>
    </row>
    <row r="260" spans="1:11" x14ac:dyDescent="0.2">
      <c r="A260" s="235">
        <v>115406</v>
      </c>
      <c r="B260" s="236" t="s">
        <v>1160</v>
      </c>
      <c r="C260" s="236" t="s">
        <v>0</v>
      </c>
      <c r="D260" s="236" t="s">
        <v>5</v>
      </c>
      <c r="E260" s="237">
        <v>44048</v>
      </c>
      <c r="F260" s="236" t="s">
        <v>1234</v>
      </c>
      <c r="G260" s="237">
        <v>45086</v>
      </c>
      <c r="H260" s="234">
        <f>SUMIF(VA!B:B,A260,VA!I:I)</f>
        <v>359.46</v>
      </c>
      <c r="I260" s="33">
        <f>SUMIF(VR!B:B,A260,VR!I:I)</f>
        <v>657.5</v>
      </c>
      <c r="J260" s="4">
        <f t="shared" si="4"/>
        <v>1016.96</v>
      </c>
      <c r="K260" s="195">
        <f>SUMIF(FALTAS!A:A,A260,FALTAS!D:D)</f>
        <v>0</v>
      </c>
    </row>
    <row r="261" spans="1:11" x14ac:dyDescent="0.2">
      <c r="A261" s="235">
        <v>112576</v>
      </c>
      <c r="B261" s="236" t="s">
        <v>273</v>
      </c>
      <c r="C261" s="236" t="s">
        <v>8</v>
      </c>
      <c r="D261" s="236" t="s">
        <v>2</v>
      </c>
      <c r="E261" s="237">
        <v>43617</v>
      </c>
      <c r="F261" s="236" t="s">
        <v>1235</v>
      </c>
      <c r="G261" s="237">
        <v>45147</v>
      </c>
      <c r="H261" s="234">
        <f>SUMIF(VA!B:B,A261,VA!I:I)</f>
        <v>359.46</v>
      </c>
      <c r="I261" s="33">
        <f>SUMIF(VR!B:B,A261,VR!I:I)</f>
        <v>657.5</v>
      </c>
      <c r="J261" s="4">
        <f t="shared" si="4"/>
        <v>1016.96</v>
      </c>
      <c r="K261" s="195">
        <f>SUMIF(FALTAS!A:A,A261,FALTAS!D:D)</f>
        <v>0</v>
      </c>
    </row>
    <row r="262" spans="1:11" x14ac:dyDescent="0.2">
      <c r="A262" s="235">
        <v>112581</v>
      </c>
      <c r="B262" s="236" t="s">
        <v>277</v>
      </c>
      <c r="C262" s="236" t="s">
        <v>1589</v>
      </c>
      <c r="D262" s="236" t="s">
        <v>5</v>
      </c>
      <c r="E262" s="237">
        <v>43617</v>
      </c>
      <c r="F262" s="236" t="s">
        <v>1234</v>
      </c>
      <c r="G262" s="237">
        <v>44867</v>
      </c>
      <c r="H262" s="234">
        <f>SUMIF(VA!B:B,A262,VA!I:I)</f>
        <v>359.46</v>
      </c>
      <c r="I262" s="33">
        <f>SUMIF(VR!B:B,A262,VR!I:I)</f>
        <v>657.5</v>
      </c>
      <c r="J262" s="4">
        <f t="shared" si="4"/>
        <v>1016.96</v>
      </c>
      <c r="K262" s="195">
        <f>SUMIF(FALTAS!A:A,A262,FALTAS!D:D)</f>
        <v>0</v>
      </c>
    </row>
    <row r="263" spans="1:11" x14ac:dyDescent="0.2">
      <c r="A263" s="235">
        <v>112587</v>
      </c>
      <c r="B263" s="236" t="s">
        <v>280</v>
      </c>
      <c r="C263" s="236" t="s">
        <v>0</v>
      </c>
      <c r="D263" s="236" t="s">
        <v>2</v>
      </c>
      <c r="E263" s="237">
        <v>43617</v>
      </c>
      <c r="F263" s="236" t="s">
        <v>1234</v>
      </c>
      <c r="G263" s="237">
        <v>45023</v>
      </c>
      <c r="H263" s="234">
        <f>SUMIF(VA!B:B,A263,VA!I:I)</f>
        <v>359.46</v>
      </c>
      <c r="I263" s="33">
        <f>SUMIF(VR!B:B,A263,VR!I:I)</f>
        <v>657.5</v>
      </c>
      <c r="J263" s="4">
        <f t="shared" si="4"/>
        <v>1016.96</v>
      </c>
      <c r="K263" s="195">
        <f>SUMIF(FALTAS!A:A,A263,FALTAS!D:D)</f>
        <v>0</v>
      </c>
    </row>
    <row r="264" spans="1:11" x14ac:dyDescent="0.2">
      <c r="A264" s="235">
        <v>114805</v>
      </c>
      <c r="B264" s="236" t="s">
        <v>1107</v>
      </c>
      <c r="C264" s="236" t="s">
        <v>1589</v>
      </c>
      <c r="D264" s="236" t="s">
        <v>15</v>
      </c>
      <c r="E264" s="237">
        <v>43881</v>
      </c>
      <c r="F264" s="236" t="s">
        <v>1234</v>
      </c>
      <c r="G264" s="237">
        <v>45056</v>
      </c>
      <c r="H264" s="234">
        <f>SUMIF(VA!B:B,A264,VA!I:I)</f>
        <v>359.46</v>
      </c>
      <c r="I264" s="33">
        <f>SUMIF(VR!B:B,A264,VR!I:I)</f>
        <v>657.5</v>
      </c>
      <c r="J264" s="4">
        <f t="shared" si="4"/>
        <v>1016.96</v>
      </c>
      <c r="K264" s="195">
        <f>SUMIF(FALTAS!A:A,A264,FALTAS!D:D)</f>
        <v>0</v>
      </c>
    </row>
    <row r="265" spans="1:11" x14ac:dyDescent="0.2">
      <c r="A265" s="235">
        <v>114526</v>
      </c>
      <c r="B265" s="236" t="s">
        <v>1051</v>
      </c>
      <c r="C265" s="236" t="s">
        <v>1589</v>
      </c>
      <c r="D265" s="236" t="s">
        <v>15</v>
      </c>
      <c r="E265" s="237">
        <v>43813</v>
      </c>
      <c r="F265" s="236" t="s">
        <v>1234</v>
      </c>
      <c r="G265" s="237">
        <v>44960</v>
      </c>
      <c r="H265" s="234">
        <f>SUMIF(VA!B:B,A265,VA!I:I)</f>
        <v>359.46</v>
      </c>
      <c r="I265" s="33">
        <f>SUMIF(VR!B:B,A265,VR!I:I)</f>
        <v>657.5</v>
      </c>
      <c r="J265" s="4">
        <f t="shared" si="4"/>
        <v>1016.96</v>
      </c>
      <c r="K265" s="195">
        <f>SUMIF(FALTAS!A:A,A265,FALTAS!D:D)</f>
        <v>0</v>
      </c>
    </row>
    <row r="266" spans="1:11" x14ac:dyDescent="0.2">
      <c r="A266" s="235">
        <v>121328</v>
      </c>
      <c r="B266" s="236" t="s">
        <v>1533</v>
      </c>
      <c r="C266" s="236" t="s">
        <v>8</v>
      </c>
      <c r="D266" s="236" t="s">
        <v>5</v>
      </c>
      <c r="E266" s="237">
        <v>44945</v>
      </c>
      <c r="F266" s="236" t="s">
        <v>1234</v>
      </c>
      <c r="G266" s="237">
        <v>44945</v>
      </c>
      <c r="H266" s="234">
        <f>SUMIF(VA!B:B,A266,VA!I:I)</f>
        <v>359.46</v>
      </c>
      <c r="I266" s="33">
        <f>SUMIF(VR!B:B,A266,VR!I:I)</f>
        <v>657.5</v>
      </c>
      <c r="J266" s="4">
        <f t="shared" si="4"/>
        <v>1016.96</v>
      </c>
      <c r="K266" s="195">
        <f>SUMIF(FALTAS!A:A,A266,FALTAS!D:D)</f>
        <v>0</v>
      </c>
    </row>
    <row r="267" spans="1:11" x14ac:dyDescent="0.2">
      <c r="A267" s="235">
        <v>112594</v>
      </c>
      <c r="B267" s="236" t="s">
        <v>284</v>
      </c>
      <c r="C267" s="236" t="s">
        <v>32</v>
      </c>
      <c r="D267" s="236" t="s">
        <v>2</v>
      </c>
      <c r="E267" s="237">
        <v>43617</v>
      </c>
      <c r="F267" s="236" t="s">
        <v>1234</v>
      </c>
      <c r="G267" s="237">
        <v>44930</v>
      </c>
      <c r="H267" s="234">
        <f>SUMIF(VA!B:B,A267,VA!I:I)</f>
        <v>359.46</v>
      </c>
      <c r="I267" s="33">
        <f>SUMIF(VR!B:B,A267,VR!I:I)</f>
        <v>657.5</v>
      </c>
      <c r="J267" s="4">
        <f t="shared" si="4"/>
        <v>1016.96</v>
      </c>
      <c r="K267" s="195">
        <f>SUMIF(FALTAS!A:A,A267,FALTAS!D:D)</f>
        <v>0</v>
      </c>
    </row>
    <row r="268" spans="1:11" x14ac:dyDescent="0.2">
      <c r="A268" s="235">
        <v>114693</v>
      </c>
      <c r="B268" s="236" t="s">
        <v>1073</v>
      </c>
      <c r="C268" s="236" t="s">
        <v>0</v>
      </c>
      <c r="D268" s="236" t="s">
        <v>5</v>
      </c>
      <c r="E268" s="237">
        <v>43874</v>
      </c>
      <c r="F268" s="236" t="s">
        <v>1234</v>
      </c>
      <c r="G268" s="237">
        <v>45149</v>
      </c>
      <c r="H268" s="234">
        <f>SUMIF(VA!B:B,A268,VA!I:I)</f>
        <v>359.46</v>
      </c>
      <c r="I268" s="33">
        <f>SUMIF(VR!B:B,A268,VR!I:I)</f>
        <v>657.5</v>
      </c>
      <c r="J268" s="4">
        <f t="shared" si="4"/>
        <v>1016.96</v>
      </c>
      <c r="K268" s="195">
        <f>SUMIF(FALTAS!A:A,A268,FALTAS!D:D)</f>
        <v>0</v>
      </c>
    </row>
    <row r="269" spans="1:11" x14ac:dyDescent="0.2">
      <c r="A269" s="235">
        <v>112610</v>
      </c>
      <c r="B269" s="236" t="s">
        <v>295</v>
      </c>
      <c r="C269" s="236" t="s">
        <v>19</v>
      </c>
      <c r="D269" s="236" t="s">
        <v>5</v>
      </c>
      <c r="E269" s="237">
        <v>43617</v>
      </c>
      <c r="F269" s="236" t="s">
        <v>1234</v>
      </c>
      <c r="G269" s="237">
        <v>44806</v>
      </c>
      <c r="H269" s="234">
        <f>SUMIF(VA!B:B,A269,VA!I:I)</f>
        <v>359.46</v>
      </c>
      <c r="I269" s="33">
        <f>SUMIF(VR!B:B,A269,VR!I:I)</f>
        <v>657.5</v>
      </c>
      <c r="J269" s="4">
        <f t="shared" si="4"/>
        <v>1016.96</v>
      </c>
      <c r="K269" s="195">
        <f>SUMIF(FALTAS!A:A,A269,FALTAS!D:D)</f>
        <v>0</v>
      </c>
    </row>
    <row r="270" spans="1:11" x14ac:dyDescent="0.2">
      <c r="A270" s="235">
        <v>112613</v>
      </c>
      <c r="B270" s="236" t="s">
        <v>298</v>
      </c>
      <c r="C270" s="236" t="s">
        <v>8</v>
      </c>
      <c r="D270" s="236" t="s">
        <v>5</v>
      </c>
      <c r="E270" s="237">
        <v>43617</v>
      </c>
      <c r="F270" s="236" t="s">
        <v>1234</v>
      </c>
      <c r="G270" s="237">
        <v>45056</v>
      </c>
      <c r="H270" s="234">
        <f>SUMIF(VA!B:B,A270,VA!I:I)</f>
        <v>359.46</v>
      </c>
      <c r="I270" s="33">
        <f>SUMIF(VR!B:B,A270,VR!I:I)</f>
        <v>657.5</v>
      </c>
      <c r="J270" s="4">
        <f t="shared" si="4"/>
        <v>1016.96</v>
      </c>
      <c r="K270" s="195">
        <f>SUMIF(FALTAS!A:A,A270,FALTAS!D:D)</f>
        <v>0</v>
      </c>
    </row>
    <row r="271" spans="1:11" x14ac:dyDescent="0.2">
      <c r="A271" s="235">
        <v>112620</v>
      </c>
      <c r="B271" s="236" t="s">
        <v>304</v>
      </c>
      <c r="C271" s="236" t="s">
        <v>10</v>
      </c>
      <c r="D271" s="236" t="s">
        <v>5</v>
      </c>
      <c r="E271" s="237">
        <v>43617</v>
      </c>
      <c r="F271" s="236" t="s">
        <v>1234</v>
      </c>
      <c r="G271" s="237">
        <v>45149</v>
      </c>
      <c r="H271" s="234">
        <f>SUMIF(VA!B:B,A271,VA!I:I)</f>
        <v>359.46</v>
      </c>
      <c r="I271" s="33">
        <f>SUMIF(VR!B:B,A271,VR!I:I)</f>
        <v>657.5</v>
      </c>
      <c r="J271" s="4">
        <f t="shared" si="4"/>
        <v>1016.96</v>
      </c>
      <c r="K271" s="195">
        <f>SUMIF(FALTAS!A:A,A271,FALTAS!D:D)</f>
        <v>0</v>
      </c>
    </row>
    <row r="272" spans="1:11" x14ac:dyDescent="0.2">
      <c r="A272" s="235">
        <v>112634</v>
      </c>
      <c r="B272" s="236" t="s">
        <v>312</v>
      </c>
      <c r="C272" s="236" t="s">
        <v>0</v>
      </c>
      <c r="D272" s="236" t="s">
        <v>2</v>
      </c>
      <c r="E272" s="237">
        <v>43617</v>
      </c>
      <c r="F272" s="236" t="s">
        <v>1234</v>
      </c>
      <c r="G272" s="237">
        <v>45169</v>
      </c>
      <c r="H272" s="234">
        <f>SUMIF(VA!B:B,A272,VA!I:I)</f>
        <v>359.46</v>
      </c>
      <c r="I272" s="33">
        <f>SUMIF(VR!B:B,A272,VR!I:I)</f>
        <v>657.5</v>
      </c>
      <c r="J272" s="4">
        <f t="shared" si="4"/>
        <v>1016.96</v>
      </c>
      <c r="K272" s="195">
        <f>SUMIF(FALTAS!A:A,A272,FALTAS!D:D)</f>
        <v>0</v>
      </c>
    </row>
    <row r="273" spans="1:11" x14ac:dyDescent="0.2">
      <c r="A273" s="235">
        <v>116712</v>
      </c>
      <c r="B273" s="236" t="s">
        <v>1218</v>
      </c>
      <c r="C273" s="236" t="s">
        <v>10</v>
      </c>
      <c r="D273" s="236" t="s">
        <v>5</v>
      </c>
      <c r="E273" s="237">
        <v>44368</v>
      </c>
      <c r="F273" s="236" t="s">
        <v>1234</v>
      </c>
      <c r="G273" s="237">
        <v>44989</v>
      </c>
      <c r="H273" s="234">
        <f>SUMIF(VA!B:B,A273,VA!I:I)</f>
        <v>359.46</v>
      </c>
      <c r="I273" s="33">
        <f>SUMIF(VR!B:B,A273,VR!I:I)</f>
        <v>657.5</v>
      </c>
      <c r="J273" s="4">
        <f t="shared" si="4"/>
        <v>1016.96</v>
      </c>
      <c r="K273" s="195">
        <f>SUMIF(FALTAS!A:A,A273,FALTAS!D:D)</f>
        <v>0</v>
      </c>
    </row>
    <row r="274" spans="1:11" x14ac:dyDescent="0.2">
      <c r="A274" s="235">
        <v>116973</v>
      </c>
      <c r="B274" s="236" t="s">
        <v>1242</v>
      </c>
      <c r="C274" s="236" t="s">
        <v>0</v>
      </c>
      <c r="D274" s="236" t="s">
        <v>5</v>
      </c>
      <c r="E274" s="237">
        <v>44419</v>
      </c>
      <c r="F274" s="236" t="s">
        <v>1234</v>
      </c>
      <c r="G274" s="237">
        <v>45086</v>
      </c>
      <c r="H274" s="234">
        <f>SUMIF(VA!B:B,A274,VA!I:I)</f>
        <v>335.49</v>
      </c>
      <c r="I274" s="33">
        <f>SUMIF(VR!B:B,A274,VR!I:I)</f>
        <v>604.9</v>
      </c>
      <c r="J274" s="4">
        <f t="shared" si="4"/>
        <v>940.39</v>
      </c>
      <c r="K274" s="195">
        <f>SUMIF(FALTAS!A:A,A274,FALTAS!D:D)</f>
        <v>2</v>
      </c>
    </row>
    <row r="275" spans="1:11" x14ac:dyDescent="0.2">
      <c r="A275" s="235">
        <v>112797</v>
      </c>
      <c r="B275" s="236" t="s">
        <v>417</v>
      </c>
      <c r="C275" s="236" t="s">
        <v>0</v>
      </c>
      <c r="D275" s="236" t="s">
        <v>2</v>
      </c>
      <c r="E275" s="237">
        <v>43617</v>
      </c>
      <c r="F275" s="236" t="s">
        <v>1234</v>
      </c>
      <c r="G275" s="237">
        <v>44989</v>
      </c>
      <c r="H275" s="234">
        <f>SUMIF(VA!B:B,A275,VA!I:I)</f>
        <v>359.46</v>
      </c>
      <c r="I275" s="33">
        <f>SUMIF(VR!B:B,A275,VR!I:I)</f>
        <v>657.5</v>
      </c>
      <c r="J275" s="4">
        <f t="shared" si="4"/>
        <v>1016.96</v>
      </c>
      <c r="K275" s="195">
        <f>SUMIF(FALTAS!A:A,A275,FALTAS!D:D)</f>
        <v>0</v>
      </c>
    </row>
    <row r="276" spans="1:11" x14ac:dyDescent="0.2">
      <c r="A276" s="235">
        <v>112851</v>
      </c>
      <c r="B276" s="236" t="s">
        <v>454</v>
      </c>
      <c r="C276" s="236" t="s">
        <v>8</v>
      </c>
      <c r="D276" s="236" t="s">
        <v>5</v>
      </c>
      <c r="E276" s="237">
        <v>43617</v>
      </c>
      <c r="F276" s="236" t="s">
        <v>1234</v>
      </c>
      <c r="G276" s="237">
        <v>44867</v>
      </c>
      <c r="H276" s="234">
        <f>SUMIF(VA!B:B,A276,VA!I:I)</f>
        <v>359.46</v>
      </c>
      <c r="I276" s="33">
        <f>SUMIF(VR!B:B,A276,VR!I:I)</f>
        <v>657.5</v>
      </c>
      <c r="J276" s="4">
        <f t="shared" si="4"/>
        <v>1016.96</v>
      </c>
      <c r="K276" s="195">
        <f>SUMIF(FALTAS!A:A,A276,FALTAS!D:D)</f>
        <v>0</v>
      </c>
    </row>
    <row r="277" spans="1:11" x14ac:dyDescent="0.2">
      <c r="A277" s="235">
        <v>112855</v>
      </c>
      <c r="B277" s="236" t="s">
        <v>456</v>
      </c>
      <c r="C277" s="236" t="s">
        <v>0</v>
      </c>
      <c r="D277" s="236" t="s">
        <v>5</v>
      </c>
      <c r="E277" s="237">
        <v>43617</v>
      </c>
      <c r="F277" s="236" t="s">
        <v>1234</v>
      </c>
      <c r="G277" s="237">
        <v>45023</v>
      </c>
      <c r="H277" s="234">
        <f>SUMIF(VA!B:B,A277,VA!I:I)</f>
        <v>359.46</v>
      </c>
      <c r="I277" s="33">
        <f>SUMIF(VR!B:B,A277,VR!I:I)</f>
        <v>657.5</v>
      </c>
      <c r="J277" s="4">
        <f t="shared" si="4"/>
        <v>1016.96</v>
      </c>
      <c r="K277" s="195">
        <f>SUMIF(FALTAS!A:A,A277,FALTAS!D:D)</f>
        <v>0</v>
      </c>
    </row>
    <row r="278" spans="1:11" x14ac:dyDescent="0.2">
      <c r="A278" s="235">
        <v>112860</v>
      </c>
      <c r="B278" s="236" t="s">
        <v>458</v>
      </c>
      <c r="C278" s="236" t="s">
        <v>1589</v>
      </c>
      <c r="D278" s="236" t="s">
        <v>5</v>
      </c>
      <c r="E278" s="237">
        <v>43617</v>
      </c>
      <c r="F278" s="236" t="s">
        <v>1234</v>
      </c>
      <c r="G278" s="237">
        <v>44835</v>
      </c>
      <c r="H278" s="234">
        <f>SUMIF(VA!B:B,A278,VA!I:I)</f>
        <v>359.46</v>
      </c>
      <c r="I278" s="33">
        <f>SUMIF(VR!B:B,A278,VR!I:I)</f>
        <v>657.5</v>
      </c>
      <c r="J278" s="4">
        <f t="shared" si="4"/>
        <v>1016.96</v>
      </c>
      <c r="K278" s="195">
        <f>SUMIF(FALTAS!A:A,A278,FALTAS!D:D)</f>
        <v>0</v>
      </c>
    </row>
    <row r="279" spans="1:11" x14ac:dyDescent="0.2">
      <c r="A279" s="235">
        <v>112865</v>
      </c>
      <c r="B279" s="236" t="s">
        <v>461</v>
      </c>
      <c r="C279" s="236" t="s">
        <v>19</v>
      </c>
      <c r="D279" s="236" t="s">
        <v>2</v>
      </c>
      <c r="E279" s="237">
        <v>43617</v>
      </c>
      <c r="F279" s="236" t="s">
        <v>1234</v>
      </c>
      <c r="G279" s="237">
        <v>44867</v>
      </c>
      <c r="H279" s="234">
        <f>SUMIF(VA!B:B,A279,VA!I:I)</f>
        <v>359.46</v>
      </c>
      <c r="I279" s="33">
        <f>SUMIF(VR!B:B,A279,VR!I:I)</f>
        <v>657.5</v>
      </c>
      <c r="J279" s="4">
        <f t="shared" si="4"/>
        <v>1016.96</v>
      </c>
      <c r="K279" s="195">
        <f>SUMIF(FALTAS!A:A,A279,FALTAS!D:D)</f>
        <v>0</v>
      </c>
    </row>
    <row r="280" spans="1:11" x14ac:dyDescent="0.2">
      <c r="A280" s="235">
        <v>113769</v>
      </c>
      <c r="B280" s="236" t="s">
        <v>973</v>
      </c>
      <c r="C280" s="236" t="s">
        <v>1589</v>
      </c>
      <c r="D280" s="236" t="s">
        <v>974</v>
      </c>
      <c r="E280" s="237">
        <v>43622</v>
      </c>
      <c r="F280" s="236" t="s">
        <v>1234</v>
      </c>
      <c r="G280" s="237">
        <v>45041</v>
      </c>
      <c r="H280" s="234">
        <f>SUMIF(VA!B:B,A280,VA!I:I)</f>
        <v>359.46</v>
      </c>
      <c r="I280" s="33">
        <f>SUMIF(VR!B:B,A280,VR!I:I)</f>
        <v>657.5</v>
      </c>
      <c r="J280" s="4">
        <f t="shared" si="4"/>
        <v>1016.96</v>
      </c>
      <c r="K280" s="195">
        <f>SUMIF(FALTAS!A:A,A280,FALTAS!D:D)</f>
        <v>0</v>
      </c>
    </row>
    <row r="281" spans="1:11" x14ac:dyDescent="0.2">
      <c r="A281" s="235">
        <v>114988</v>
      </c>
      <c r="B281" s="236" t="s">
        <v>1141</v>
      </c>
      <c r="C281" s="236" t="s">
        <v>1589</v>
      </c>
      <c r="D281" s="236" t="s">
        <v>282</v>
      </c>
      <c r="E281" s="237">
        <v>43918</v>
      </c>
      <c r="F281" s="236" t="s">
        <v>1234</v>
      </c>
      <c r="G281" s="237">
        <v>45056</v>
      </c>
      <c r="H281" s="234">
        <f>SUMIF(VA!B:B,A281,VA!I:I)</f>
        <v>359.46</v>
      </c>
      <c r="I281" s="33">
        <f>SUMIF(VR!B:B,A281,VR!I:I)</f>
        <v>657.5</v>
      </c>
      <c r="J281" s="4">
        <f t="shared" si="4"/>
        <v>1016.96</v>
      </c>
      <c r="K281" s="195">
        <f>SUMIF(FALTAS!A:A,A281,FALTAS!D:D)</f>
        <v>0</v>
      </c>
    </row>
    <row r="282" spans="1:11" x14ac:dyDescent="0.2">
      <c r="A282" s="235">
        <v>112875</v>
      </c>
      <c r="B282" s="236" t="s">
        <v>468</v>
      </c>
      <c r="C282" s="236" t="s">
        <v>1589</v>
      </c>
      <c r="D282" s="236" t="s">
        <v>15</v>
      </c>
      <c r="E282" s="237">
        <v>43620</v>
      </c>
      <c r="F282" s="236" t="s">
        <v>1234</v>
      </c>
      <c r="G282" s="237">
        <v>44898</v>
      </c>
      <c r="H282" s="234">
        <f>SUMIF(VA!B:B,A282,VA!I:I)</f>
        <v>359.46</v>
      </c>
      <c r="I282" s="33">
        <f>SUMIF(VR!B:B,A282,VR!I:I)</f>
        <v>657.5</v>
      </c>
      <c r="J282" s="4">
        <f t="shared" si="4"/>
        <v>1016.96</v>
      </c>
      <c r="K282" s="195">
        <f>SUMIF(FALTAS!A:A,A282,FALTAS!D:D)</f>
        <v>0</v>
      </c>
    </row>
    <row r="283" spans="1:11" x14ac:dyDescent="0.2">
      <c r="A283" s="235">
        <v>113766</v>
      </c>
      <c r="B283" s="236" t="s">
        <v>971</v>
      </c>
      <c r="C283" s="236" t="s">
        <v>1589</v>
      </c>
      <c r="D283" s="236" t="s">
        <v>722</v>
      </c>
      <c r="E283" s="237">
        <v>43622</v>
      </c>
      <c r="F283" s="236" t="s">
        <v>1234</v>
      </c>
      <c r="G283" s="237">
        <v>45056</v>
      </c>
      <c r="H283" s="234">
        <f>SUMIF(VA!B:B,A283,VA!I:I)</f>
        <v>359.46</v>
      </c>
      <c r="I283" s="33">
        <f>SUMIF(VR!B:B,A283,VR!I:I)</f>
        <v>657.5</v>
      </c>
      <c r="J283" s="4">
        <f t="shared" si="4"/>
        <v>1016.96</v>
      </c>
      <c r="K283" s="195">
        <f>SUMIF(FALTAS!A:A,A283,FALTAS!D:D)</f>
        <v>0</v>
      </c>
    </row>
    <row r="284" spans="1:11" x14ac:dyDescent="0.2">
      <c r="A284" s="235">
        <v>112883</v>
      </c>
      <c r="B284" s="236" t="s">
        <v>475</v>
      </c>
      <c r="C284" s="236" t="s">
        <v>0</v>
      </c>
      <c r="D284" s="236" t="s">
        <v>5</v>
      </c>
      <c r="E284" s="237">
        <v>43617</v>
      </c>
      <c r="F284" s="236" t="s">
        <v>1234</v>
      </c>
      <c r="G284" s="237">
        <v>44806</v>
      </c>
      <c r="H284" s="234">
        <f>SUMIF(VA!B:B,A284,VA!I:I)</f>
        <v>359.46</v>
      </c>
      <c r="I284" s="33">
        <f>SUMIF(VR!B:B,A284,VR!I:I)</f>
        <v>657.5</v>
      </c>
      <c r="J284" s="4">
        <f t="shared" si="4"/>
        <v>1016.96</v>
      </c>
      <c r="K284" s="195">
        <f>SUMIF(FALTAS!A:A,A284,FALTAS!D:D)</f>
        <v>0</v>
      </c>
    </row>
    <row r="285" spans="1:11" x14ac:dyDescent="0.2">
      <c r="A285" s="235">
        <v>112891</v>
      </c>
      <c r="B285" s="236" t="s">
        <v>479</v>
      </c>
      <c r="C285" s="236" t="s">
        <v>19</v>
      </c>
      <c r="D285" s="236" t="s">
        <v>2</v>
      </c>
      <c r="E285" s="237">
        <v>43617</v>
      </c>
      <c r="F285" s="236" t="s">
        <v>1235</v>
      </c>
      <c r="G285" s="237">
        <v>45147</v>
      </c>
      <c r="H285" s="234">
        <f>SUMIF(VA!B:B,A285,VA!I:I)</f>
        <v>359.46</v>
      </c>
      <c r="I285" s="33">
        <f>SUMIF(VR!B:B,A285,VR!I:I)</f>
        <v>657.5</v>
      </c>
      <c r="J285" s="4">
        <f t="shared" si="4"/>
        <v>1016.96</v>
      </c>
      <c r="K285" s="195">
        <f>SUMIF(FALTAS!A:A,A285,FALTAS!D:D)</f>
        <v>0</v>
      </c>
    </row>
    <row r="286" spans="1:11" x14ac:dyDescent="0.2">
      <c r="A286" s="235">
        <v>112900</v>
      </c>
      <c r="B286" s="236" t="s">
        <v>487</v>
      </c>
      <c r="C286" s="236" t="s">
        <v>10</v>
      </c>
      <c r="D286" s="236" t="s">
        <v>5</v>
      </c>
      <c r="E286" s="237">
        <v>43617</v>
      </c>
      <c r="F286" s="236" t="s">
        <v>1234</v>
      </c>
      <c r="G286" s="237">
        <v>45056</v>
      </c>
      <c r="H286" s="234">
        <f>SUMIF(VA!B:B,A286,VA!I:I)</f>
        <v>359.46</v>
      </c>
      <c r="I286" s="33">
        <f>SUMIF(VR!B:B,A286,VR!I:I)</f>
        <v>657.5</v>
      </c>
      <c r="J286" s="4">
        <f t="shared" si="4"/>
        <v>1016.96</v>
      </c>
      <c r="K286" s="195">
        <f>SUMIF(FALTAS!A:A,A286,FALTAS!D:D)</f>
        <v>0</v>
      </c>
    </row>
    <row r="287" spans="1:11" x14ac:dyDescent="0.2">
      <c r="A287" s="235">
        <v>112916</v>
      </c>
      <c r="B287" s="236" t="s">
        <v>496</v>
      </c>
      <c r="C287" s="236" t="s">
        <v>19</v>
      </c>
      <c r="D287" s="236" t="s">
        <v>2</v>
      </c>
      <c r="E287" s="237">
        <v>43617</v>
      </c>
      <c r="F287" s="236" t="s">
        <v>1235</v>
      </c>
      <c r="G287" s="237">
        <v>45147</v>
      </c>
      <c r="H287" s="234">
        <f>SUMIF(VA!B:B,A287,VA!I:I)</f>
        <v>359.46</v>
      </c>
      <c r="I287" s="33">
        <f>SUMIF(VR!B:B,A287,VR!I:I)</f>
        <v>657.5</v>
      </c>
      <c r="J287" s="4">
        <f t="shared" si="4"/>
        <v>1016.96</v>
      </c>
      <c r="K287" s="195">
        <f>SUMIF(FALTAS!A:A,A287,FALTAS!D:D)</f>
        <v>0</v>
      </c>
    </row>
    <row r="288" spans="1:11" x14ac:dyDescent="0.2">
      <c r="A288" s="235">
        <v>112534</v>
      </c>
      <c r="B288" s="236" t="s">
        <v>246</v>
      </c>
      <c r="C288" s="236" t="s">
        <v>1589</v>
      </c>
      <c r="D288" s="236" t="s">
        <v>5</v>
      </c>
      <c r="E288" s="237">
        <v>43617</v>
      </c>
      <c r="F288" s="236" t="s">
        <v>1234</v>
      </c>
      <c r="G288" s="237">
        <v>45119</v>
      </c>
      <c r="H288" s="234">
        <f>SUMIF(VA!B:B,A288,VA!I:I)</f>
        <v>359.46</v>
      </c>
      <c r="I288" s="33">
        <f>SUMIF(VR!B:B,A288,VR!I:I)</f>
        <v>657.5</v>
      </c>
      <c r="J288" s="4">
        <f t="shared" si="4"/>
        <v>1016.96</v>
      </c>
      <c r="K288" s="195">
        <f>SUMIF(FALTAS!A:A,A288,FALTAS!D:D)</f>
        <v>0</v>
      </c>
    </row>
    <row r="289" spans="1:12" x14ac:dyDescent="0.2">
      <c r="A289" s="235">
        <v>114913</v>
      </c>
      <c r="B289" s="236" t="s">
        <v>1110</v>
      </c>
      <c r="C289" s="236" t="s">
        <v>1589</v>
      </c>
      <c r="D289" s="236" t="s">
        <v>481</v>
      </c>
      <c r="E289" s="237">
        <v>43916</v>
      </c>
      <c r="F289" s="236" t="s">
        <v>1234</v>
      </c>
      <c r="G289" s="237">
        <v>45149</v>
      </c>
      <c r="H289" s="234">
        <f>SUMIF(VA!B:B,A289,VA!I:I)</f>
        <v>359.46</v>
      </c>
      <c r="I289" s="33">
        <f>SUMIF(VR!B:B,A289,VR!I:I)</f>
        <v>657.5</v>
      </c>
      <c r="J289" s="4">
        <f t="shared" si="4"/>
        <v>1016.96</v>
      </c>
      <c r="K289" s="195">
        <f>SUMIF(FALTAS!A:A,A289,FALTAS!D:D)</f>
        <v>0</v>
      </c>
    </row>
    <row r="290" spans="1:12" x14ac:dyDescent="0.2">
      <c r="A290" s="235">
        <v>112537</v>
      </c>
      <c r="B290" s="236" t="s">
        <v>248</v>
      </c>
      <c r="C290" s="236" t="s">
        <v>10</v>
      </c>
      <c r="D290" s="236" t="s">
        <v>5</v>
      </c>
      <c r="E290" s="237">
        <v>43617</v>
      </c>
      <c r="F290" s="236" t="s">
        <v>1234</v>
      </c>
      <c r="G290" s="237">
        <v>44835</v>
      </c>
      <c r="H290" s="234">
        <f>SUMIF(VA!B:B,A290,VA!I:I)</f>
        <v>359.46</v>
      </c>
      <c r="I290" s="33">
        <f>SUMIF(VR!B:B,A290,VR!I:I)</f>
        <v>657.5</v>
      </c>
      <c r="J290" s="4">
        <f t="shared" si="4"/>
        <v>1016.96</v>
      </c>
      <c r="K290" s="195">
        <f>SUMIF(FALTAS!A:A,A290,FALTAS!D:D)</f>
        <v>0</v>
      </c>
    </row>
    <row r="291" spans="1:12" x14ac:dyDescent="0.2">
      <c r="A291" s="235">
        <v>112539</v>
      </c>
      <c r="B291" s="236" t="s">
        <v>250</v>
      </c>
      <c r="C291" s="236" t="s">
        <v>0</v>
      </c>
      <c r="D291" s="236" t="s">
        <v>2</v>
      </c>
      <c r="E291" s="237">
        <v>43617</v>
      </c>
      <c r="F291" s="236" t="s">
        <v>1234</v>
      </c>
      <c r="G291" s="237">
        <v>44806</v>
      </c>
      <c r="H291" s="234">
        <f>SUMIF(VA!B:B,A291,VA!I:I)</f>
        <v>359.46</v>
      </c>
      <c r="I291" s="33">
        <f>SUMIF(VR!B:B,A291,VR!I:I)</f>
        <v>657.5</v>
      </c>
      <c r="J291" s="4">
        <f t="shared" si="4"/>
        <v>1016.96</v>
      </c>
      <c r="K291" s="195">
        <f>SUMIF(FALTAS!A:A,A291,FALTAS!D:D)</f>
        <v>0</v>
      </c>
    </row>
    <row r="292" spans="1:12" x14ac:dyDescent="0.2">
      <c r="A292" s="235">
        <v>112540</v>
      </c>
      <c r="B292" s="236" t="s">
        <v>251</v>
      </c>
      <c r="C292" s="236" t="s">
        <v>0</v>
      </c>
      <c r="D292" s="236" t="s">
        <v>5</v>
      </c>
      <c r="E292" s="237">
        <v>43617</v>
      </c>
      <c r="F292" s="236" t="s">
        <v>1234</v>
      </c>
      <c r="G292" s="237">
        <v>45119</v>
      </c>
      <c r="H292" s="234">
        <f>SUMIF(VA!B:B,A292,VA!I:I)</f>
        <v>359.46</v>
      </c>
      <c r="I292" s="33">
        <f>SUMIF(VR!B:B,A292,VR!I:I)</f>
        <v>657.5</v>
      </c>
      <c r="J292" s="4">
        <f t="shared" si="4"/>
        <v>1016.96</v>
      </c>
      <c r="K292" s="195">
        <f>SUMIF(FALTAS!A:A,A292,FALTAS!D:D)</f>
        <v>0</v>
      </c>
    </row>
    <row r="293" spans="1:12" x14ac:dyDescent="0.2">
      <c r="A293" s="235">
        <v>113775</v>
      </c>
      <c r="B293" s="236" t="s">
        <v>976</v>
      </c>
      <c r="C293" s="236" t="s">
        <v>1589</v>
      </c>
      <c r="D293" s="236" t="s">
        <v>977</v>
      </c>
      <c r="E293" s="237">
        <v>43623</v>
      </c>
      <c r="F293" s="236" t="s">
        <v>1234</v>
      </c>
      <c r="G293" s="237">
        <v>45119</v>
      </c>
      <c r="H293" s="234">
        <f>SUMIF(VA!B:B,A293,VA!I:I)</f>
        <v>359.46</v>
      </c>
      <c r="I293" s="33">
        <f>SUMIF(VR!B:B,A293,VR!I:I)</f>
        <v>657.5</v>
      </c>
      <c r="J293" s="4">
        <f t="shared" si="4"/>
        <v>1016.96</v>
      </c>
      <c r="K293" s="195">
        <f>SUMIF(FALTAS!A:A,A293,FALTAS!D:D)</f>
        <v>0</v>
      </c>
    </row>
    <row r="294" spans="1:12" x14ac:dyDescent="0.2">
      <c r="A294" s="235">
        <v>122573</v>
      </c>
      <c r="B294" s="236" t="s">
        <v>1696</v>
      </c>
      <c r="C294" s="236" t="s">
        <v>1589</v>
      </c>
      <c r="D294" s="236" t="s">
        <v>15</v>
      </c>
      <c r="E294" s="237">
        <v>45131</v>
      </c>
      <c r="F294" s="236" t="s">
        <v>1234</v>
      </c>
      <c r="G294" s="237">
        <v>45131</v>
      </c>
      <c r="H294" s="234">
        <f>SUMIF(VA!B:B,A294,VA!I:I)</f>
        <v>359.46</v>
      </c>
      <c r="I294" s="33">
        <f>SUMIF(VR!B:B,A294,VR!I:I)</f>
        <v>657.5</v>
      </c>
      <c r="J294" s="4">
        <f t="shared" si="4"/>
        <v>1016.96</v>
      </c>
      <c r="K294" s="195">
        <f>SUMIF(FALTAS!A:A,A294,FALTAS!D:D)</f>
        <v>0</v>
      </c>
    </row>
    <row r="295" spans="1:12" x14ac:dyDescent="0.2">
      <c r="A295" s="235">
        <v>112821</v>
      </c>
      <c r="B295" s="236" t="s">
        <v>435</v>
      </c>
      <c r="C295" s="236" t="s">
        <v>1589</v>
      </c>
      <c r="D295" s="236" t="s">
        <v>15</v>
      </c>
      <c r="E295" s="237">
        <v>43617</v>
      </c>
      <c r="F295" s="236" t="s">
        <v>1234</v>
      </c>
      <c r="G295" s="237">
        <v>44806</v>
      </c>
      <c r="H295" s="234">
        <f>SUMIF(VA!B:B,A295,VA!I:I)</f>
        <v>359.46</v>
      </c>
      <c r="I295" s="33">
        <f>SUMIF(VR!B:B,A295,VR!I:I)</f>
        <v>657.5</v>
      </c>
      <c r="J295" s="4">
        <f t="shared" si="4"/>
        <v>1016.96</v>
      </c>
      <c r="K295" s="195">
        <f>SUMIF(FALTAS!A:A,A295,FALTAS!D:D)</f>
        <v>0</v>
      </c>
    </row>
    <row r="296" spans="1:12" x14ac:dyDescent="0.2">
      <c r="A296" s="235">
        <v>114907</v>
      </c>
      <c r="B296" s="236" t="s">
        <v>1108</v>
      </c>
      <c r="C296" s="236" t="s">
        <v>1589</v>
      </c>
      <c r="D296" s="236" t="s">
        <v>5</v>
      </c>
      <c r="E296" s="237">
        <v>43916</v>
      </c>
      <c r="F296" s="236" t="s">
        <v>1234</v>
      </c>
      <c r="G296" s="237">
        <v>45056</v>
      </c>
      <c r="H296" s="234">
        <f>SUMIF(VA!B:B,A296,VA!I:I)</f>
        <v>359.46</v>
      </c>
      <c r="I296" s="33">
        <f>SUMIF(VR!B:B,A296,VR!I:I)</f>
        <v>657.5</v>
      </c>
      <c r="J296" s="4">
        <f t="shared" si="4"/>
        <v>1016.96</v>
      </c>
      <c r="K296" s="195">
        <f>SUMIF(FALTAS!A:A,A296,FALTAS!D:D)</f>
        <v>0</v>
      </c>
    </row>
    <row r="297" spans="1:12" x14ac:dyDescent="0.2">
      <c r="A297" s="235">
        <v>112827</v>
      </c>
      <c r="B297" s="236" t="s">
        <v>440</v>
      </c>
      <c r="C297" s="236" t="s">
        <v>1589</v>
      </c>
      <c r="D297" s="236" t="s">
        <v>22</v>
      </c>
      <c r="E297" s="237">
        <v>43617</v>
      </c>
      <c r="F297" s="236" t="s">
        <v>1234</v>
      </c>
      <c r="G297" s="237">
        <v>44867</v>
      </c>
      <c r="H297" s="234">
        <f>SUMIF(VA!B:B,A297,VA!I:I)</f>
        <v>359.46</v>
      </c>
      <c r="I297" s="33">
        <f>SUMIF(VR!B:B,A297,VR!I:I)</f>
        <v>657.5</v>
      </c>
      <c r="J297" s="4">
        <f t="shared" si="4"/>
        <v>1016.96</v>
      </c>
      <c r="K297" s="195">
        <f>SUMIF(FALTAS!A:A,A297,FALTAS!D:D)</f>
        <v>0</v>
      </c>
    </row>
    <row r="298" spans="1:12" x14ac:dyDescent="0.2">
      <c r="A298" s="235">
        <v>112834</v>
      </c>
      <c r="B298" s="236" t="s">
        <v>445</v>
      </c>
      <c r="C298" s="236" t="s">
        <v>8</v>
      </c>
      <c r="D298" s="236" t="s">
        <v>2</v>
      </c>
      <c r="E298" s="237">
        <v>43617</v>
      </c>
      <c r="F298" s="236" t="s">
        <v>1234</v>
      </c>
      <c r="G298" s="237">
        <v>44867</v>
      </c>
      <c r="H298" s="234">
        <f>SUMIF(VA!B:B,A298,VA!I:I)</f>
        <v>359.46</v>
      </c>
      <c r="I298" s="33">
        <f>SUMIF(VR!B:B,A298,VR!I:I)</f>
        <v>657.5</v>
      </c>
      <c r="J298" s="4">
        <f t="shared" si="4"/>
        <v>1016.96</v>
      </c>
      <c r="K298" s="195">
        <f>SUMIF(FALTAS!A:A,A298,FALTAS!D:D)</f>
        <v>0</v>
      </c>
    </row>
    <row r="299" spans="1:12" s="328" customFormat="1" x14ac:dyDescent="0.2">
      <c r="A299" s="321">
        <v>112843</v>
      </c>
      <c r="B299" s="322" t="s">
        <v>449</v>
      </c>
      <c r="C299" s="322" t="s">
        <v>0</v>
      </c>
      <c r="D299" s="322" t="s">
        <v>5</v>
      </c>
      <c r="E299" s="323">
        <v>43617</v>
      </c>
      <c r="F299" s="322" t="s">
        <v>1235</v>
      </c>
      <c r="G299" s="323">
        <v>45147</v>
      </c>
      <c r="H299" s="324">
        <f>SUMIF(VA!B:B,A299,VA!I:I)</f>
        <v>347.47</v>
      </c>
      <c r="I299" s="325">
        <f>SUMIF(VR!B:B,A299,VR!I:I)</f>
        <v>631.20000000000005</v>
      </c>
      <c r="J299" s="326">
        <f t="shared" si="4"/>
        <v>978.67000000000007</v>
      </c>
      <c r="K299" s="327">
        <f>SUMIF(FALTAS!A:A,A299,FALTAS!D:D)</f>
        <v>1</v>
      </c>
    </row>
    <row r="300" spans="1:12" x14ac:dyDescent="0.2">
      <c r="A300" s="235">
        <v>112922</v>
      </c>
      <c r="B300" s="236" t="s">
        <v>500</v>
      </c>
      <c r="C300" s="236" t="s">
        <v>1589</v>
      </c>
      <c r="D300" s="236" t="s">
        <v>22</v>
      </c>
      <c r="E300" s="237">
        <v>43617</v>
      </c>
      <c r="F300" s="236" t="s">
        <v>1235</v>
      </c>
      <c r="G300" s="237">
        <v>45147</v>
      </c>
      <c r="H300" s="234">
        <f>SUMIF(VA!B:B,A300,VA!I:I)</f>
        <v>359.46</v>
      </c>
      <c r="I300" s="33">
        <f>SUMIF(VR!B:B,A300,VR!I:I)</f>
        <v>657.5</v>
      </c>
      <c r="J300" s="4">
        <f t="shared" si="4"/>
        <v>1016.96</v>
      </c>
      <c r="K300" s="195">
        <f>SUMIF(FALTAS!A:A,A300,FALTAS!D:D)</f>
        <v>0</v>
      </c>
      <c r="L300" s="329">
        <f>J298-J299</f>
        <v>38.289999999999964</v>
      </c>
    </row>
    <row r="301" spans="1:12" x14ac:dyDescent="0.2">
      <c r="A301" s="235">
        <v>112930</v>
      </c>
      <c r="B301" s="236" t="s">
        <v>505</v>
      </c>
      <c r="C301" s="236" t="s">
        <v>10</v>
      </c>
      <c r="D301" s="236" t="s">
        <v>5</v>
      </c>
      <c r="E301" s="237">
        <v>43617</v>
      </c>
      <c r="F301" s="236" t="s">
        <v>1285</v>
      </c>
      <c r="G301" s="237">
        <v>45132</v>
      </c>
      <c r="H301" s="234">
        <f>SUMIF(VA!B:B,A301,VA!I:I)</f>
        <v>0</v>
      </c>
      <c r="I301" s="33">
        <f>SUMIF(VR!B:B,A301,VR!I:I)</f>
        <v>0</v>
      </c>
      <c r="J301" s="4">
        <f t="shared" si="4"/>
        <v>0</v>
      </c>
      <c r="K301" s="195">
        <f>SUMIF(FALTAS!A:A,A301,FALTAS!D:D)</f>
        <v>0</v>
      </c>
    </row>
    <row r="302" spans="1:12" x14ac:dyDescent="0.2">
      <c r="A302" s="235">
        <v>116331</v>
      </c>
      <c r="B302" s="236" t="s">
        <v>1563</v>
      </c>
      <c r="C302" s="236" t="s">
        <v>0</v>
      </c>
      <c r="D302" s="236" t="s">
        <v>5</v>
      </c>
      <c r="E302" s="237">
        <v>44308</v>
      </c>
      <c r="F302" s="236" t="s">
        <v>1234</v>
      </c>
      <c r="G302" s="237">
        <v>44986</v>
      </c>
      <c r="H302" s="234">
        <f>SUMIF(VA!B:B,A302,VA!I:I)</f>
        <v>95.85</v>
      </c>
      <c r="I302" s="33">
        <f>SUMIF(VR!B:B,A302,VR!I:I)</f>
        <v>78.900000000000006</v>
      </c>
      <c r="J302" s="4">
        <f t="shared" si="4"/>
        <v>174.75</v>
      </c>
      <c r="K302" s="195">
        <f>SUMIF(FALTAS!A:A,A302,FALTAS!D:D)</f>
        <v>22</v>
      </c>
    </row>
    <row r="303" spans="1:12" x14ac:dyDescent="0.2">
      <c r="A303" s="235">
        <v>114418</v>
      </c>
      <c r="B303" s="236" t="s">
        <v>1040</v>
      </c>
      <c r="C303" s="236" t="s">
        <v>0</v>
      </c>
      <c r="D303" s="236" t="s">
        <v>2</v>
      </c>
      <c r="E303" s="237">
        <v>43811</v>
      </c>
      <c r="F303" s="236" t="s">
        <v>1234</v>
      </c>
      <c r="G303" s="237">
        <v>45119</v>
      </c>
      <c r="H303" s="234">
        <f>SUMIF(VA!B:B,A303,VA!I:I)</f>
        <v>359.46</v>
      </c>
      <c r="I303" s="33">
        <f>SUMIF(VR!B:B,A303,VR!I:I)</f>
        <v>657.5</v>
      </c>
      <c r="J303" s="4">
        <f t="shared" si="4"/>
        <v>1016.96</v>
      </c>
      <c r="K303" s="195">
        <f>SUMIF(FALTAS!A:A,A303,FALTAS!D:D)</f>
        <v>0</v>
      </c>
    </row>
    <row r="304" spans="1:12" x14ac:dyDescent="0.2">
      <c r="A304" s="235">
        <v>112936</v>
      </c>
      <c r="B304" s="236" t="s">
        <v>507</v>
      </c>
      <c r="C304" s="236" t="s">
        <v>19</v>
      </c>
      <c r="D304" s="236" t="s">
        <v>2</v>
      </c>
      <c r="E304" s="237">
        <v>43617</v>
      </c>
      <c r="F304" s="236" t="s">
        <v>1235</v>
      </c>
      <c r="G304" s="237">
        <v>45147</v>
      </c>
      <c r="H304" s="234">
        <f>SUMIF(VA!B:B,A304,VA!I:I)</f>
        <v>359.46</v>
      </c>
      <c r="I304" s="33">
        <f>SUMIF(VR!B:B,A304,VR!I:I)</f>
        <v>657.5</v>
      </c>
      <c r="J304" s="4">
        <f t="shared" si="4"/>
        <v>1016.96</v>
      </c>
      <c r="K304" s="195">
        <f>SUMIF(FALTAS!A:A,A304,FALTAS!D:D)</f>
        <v>0</v>
      </c>
    </row>
    <row r="305" spans="1:11" x14ac:dyDescent="0.2">
      <c r="A305" s="235">
        <v>112942</v>
      </c>
      <c r="B305" s="236" t="s">
        <v>511</v>
      </c>
      <c r="C305" s="236" t="s">
        <v>1589</v>
      </c>
      <c r="D305" s="236" t="s">
        <v>15</v>
      </c>
      <c r="E305" s="237">
        <v>43620</v>
      </c>
      <c r="F305" s="236" t="s">
        <v>1234</v>
      </c>
      <c r="G305" s="237">
        <v>44930</v>
      </c>
      <c r="H305" s="234">
        <f>SUMIF(VA!B:B,A305,VA!I:I)</f>
        <v>359.46</v>
      </c>
      <c r="I305" s="33">
        <f>SUMIF(VR!B:B,A305,VR!I:I)</f>
        <v>657.5</v>
      </c>
      <c r="J305" s="4">
        <f t="shared" si="4"/>
        <v>1016.96</v>
      </c>
      <c r="K305" s="195">
        <f>SUMIF(FALTAS!A:A,A305,FALTAS!D:D)</f>
        <v>0</v>
      </c>
    </row>
    <row r="306" spans="1:11" x14ac:dyDescent="0.2">
      <c r="A306" s="235">
        <v>113774</v>
      </c>
      <c r="B306" s="236" t="s">
        <v>975</v>
      </c>
      <c r="C306" s="236" t="s">
        <v>10</v>
      </c>
      <c r="D306" s="236" t="s">
        <v>146</v>
      </c>
      <c r="E306" s="237">
        <v>43623</v>
      </c>
      <c r="F306" s="236" t="s">
        <v>1234</v>
      </c>
      <c r="G306" s="237">
        <v>44957</v>
      </c>
      <c r="H306" s="234">
        <f>SUMIF(VA!B:B,A306,VA!I:I)</f>
        <v>359.46</v>
      </c>
      <c r="I306" s="33">
        <f>SUMIF(VR!B:B,A306,VR!I:I)</f>
        <v>657.5</v>
      </c>
      <c r="J306" s="4">
        <f t="shared" si="4"/>
        <v>1016.96</v>
      </c>
      <c r="K306" s="195">
        <f>SUMIF(FALTAS!A:A,A306,FALTAS!D:D)</f>
        <v>0</v>
      </c>
    </row>
    <row r="307" spans="1:11" x14ac:dyDescent="0.2">
      <c r="A307" s="235">
        <v>116716</v>
      </c>
      <c r="B307" s="236" t="s">
        <v>1220</v>
      </c>
      <c r="C307" s="236" t="s">
        <v>8</v>
      </c>
      <c r="D307" s="236" t="s">
        <v>2</v>
      </c>
      <c r="E307" s="237">
        <v>44368</v>
      </c>
      <c r="F307" s="236" t="s">
        <v>1234</v>
      </c>
      <c r="G307" s="237">
        <v>45103</v>
      </c>
      <c r="H307" s="234">
        <f>SUMIF(VA!B:B,A307,VA!I:I)</f>
        <v>359.46</v>
      </c>
      <c r="I307" s="33">
        <f>SUMIF(VR!B:B,A307,VR!I:I)</f>
        <v>657.5</v>
      </c>
      <c r="J307" s="4">
        <f t="shared" si="4"/>
        <v>1016.96</v>
      </c>
      <c r="K307" s="195">
        <f>SUMIF(FALTAS!A:A,A307,FALTAS!D:D)</f>
        <v>0</v>
      </c>
    </row>
    <row r="308" spans="1:11" x14ac:dyDescent="0.2">
      <c r="A308" s="235">
        <v>121948</v>
      </c>
      <c r="B308" s="236" t="s">
        <v>1617</v>
      </c>
      <c r="C308" s="236" t="s">
        <v>1591</v>
      </c>
      <c r="D308" s="236" t="s">
        <v>1464</v>
      </c>
      <c r="E308" s="237">
        <v>45040</v>
      </c>
      <c r="F308" s="236" t="s">
        <v>1234</v>
      </c>
      <c r="G308" s="237">
        <v>45040</v>
      </c>
      <c r="H308" s="234">
        <f>SUMIF(VA!B:B,A308,VA!I:I)</f>
        <v>0</v>
      </c>
      <c r="I308" s="33">
        <f>SUMIF(VR!B:B,A308,VR!I:I)</f>
        <v>657.5</v>
      </c>
      <c r="J308" s="4">
        <f t="shared" si="4"/>
        <v>657.5</v>
      </c>
      <c r="K308" s="195">
        <f>SUMIF(FALTAS!A:A,A308,FALTAS!D:D)</f>
        <v>0</v>
      </c>
    </row>
    <row r="309" spans="1:11" x14ac:dyDescent="0.2">
      <c r="A309" s="235">
        <v>112950</v>
      </c>
      <c r="B309" s="236" t="s">
        <v>516</v>
      </c>
      <c r="C309" s="236" t="s">
        <v>0</v>
      </c>
      <c r="D309" s="236" t="s">
        <v>2</v>
      </c>
      <c r="E309" s="237">
        <v>43617</v>
      </c>
      <c r="F309" s="236" t="s">
        <v>1234</v>
      </c>
      <c r="G309" s="237">
        <v>44835</v>
      </c>
      <c r="H309" s="234">
        <f>SUMIF(VA!B:B,A309,VA!I:I)</f>
        <v>359.46</v>
      </c>
      <c r="I309" s="33">
        <f>SUMIF(VR!B:B,A309,VR!I:I)</f>
        <v>657.5</v>
      </c>
      <c r="J309" s="4">
        <f t="shared" si="4"/>
        <v>1016.96</v>
      </c>
      <c r="K309" s="195">
        <f>SUMIF(FALTAS!A:A,A309,FALTAS!D:D)</f>
        <v>0</v>
      </c>
    </row>
    <row r="310" spans="1:11" x14ac:dyDescent="0.2">
      <c r="A310" s="235">
        <v>114695</v>
      </c>
      <c r="B310" s="236" t="s">
        <v>1074</v>
      </c>
      <c r="C310" s="236" t="s">
        <v>19</v>
      </c>
      <c r="D310" s="236" t="s">
        <v>2</v>
      </c>
      <c r="E310" s="237">
        <v>43874</v>
      </c>
      <c r="F310" s="236" t="s">
        <v>1234</v>
      </c>
      <c r="G310" s="237">
        <v>45119</v>
      </c>
      <c r="H310" s="234">
        <f>SUMIF(VA!B:B,A310,VA!I:I)</f>
        <v>359.46</v>
      </c>
      <c r="I310" s="33">
        <f>SUMIF(VR!B:B,A310,VR!I:I)</f>
        <v>657.5</v>
      </c>
      <c r="J310" s="4">
        <f t="shared" si="4"/>
        <v>1016.96</v>
      </c>
      <c r="K310" s="195">
        <f>SUMIF(FALTAS!A:A,A310,FALTAS!D:D)</f>
        <v>0</v>
      </c>
    </row>
    <row r="311" spans="1:11" x14ac:dyDescent="0.2">
      <c r="A311" s="235">
        <v>112954</v>
      </c>
      <c r="B311" s="236" t="s">
        <v>519</v>
      </c>
      <c r="C311" s="236" t="s">
        <v>8</v>
      </c>
      <c r="D311" s="236" t="s">
        <v>2</v>
      </c>
      <c r="E311" s="237">
        <v>43617</v>
      </c>
      <c r="F311" s="236" t="s">
        <v>1234</v>
      </c>
      <c r="G311" s="237">
        <v>44993</v>
      </c>
      <c r="H311" s="234">
        <f>SUMIF(VA!B:B,A311,VA!I:I)</f>
        <v>359.46</v>
      </c>
      <c r="I311" s="33">
        <f>SUMIF(VR!B:B,A311,VR!I:I)</f>
        <v>657.5</v>
      </c>
      <c r="J311" s="4">
        <f t="shared" si="4"/>
        <v>1016.96</v>
      </c>
      <c r="K311" s="195">
        <f>SUMIF(FALTAS!A:A,A311,FALTAS!D:D)</f>
        <v>0</v>
      </c>
    </row>
    <row r="312" spans="1:11" x14ac:dyDescent="0.2">
      <c r="A312" s="235">
        <v>112956</v>
      </c>
      <c r="B312" s="236" t="s">
        <v>520</v>
      </c>
      <c r="C312" s="236" t="s">
        <v>19</v>
      </c>
      <c r="D312" s="236" t="s">
        <v>5</v>
      </c>
      <c r="E312" s="237">
        <v>43617</v>
      </c>
      <c r="F312" s="236" t="s">
        <v>1234</v>
      </c>
      <c r="G312" s="237">
        <v>45023</v>
      </c>
      <c r="H312" s="234">
        <f>SUMIF(VA!B:B,A312,VA!I:I)</f>
        <v>359.46</v>
      </c>
      <c r="I312" s="33">
        <f>SUMIF(VR!B:B,A312,VR!I:I)</f>
        <v>657.5</v>
      </c>
      <c r="J312" s="4">
        <f t="shared" si="4"/>
        <v>1016.96</v>
      </c>
      <c r="K312" s="195">
        <f>SUMIF(FALTAS!A:A,A312,FALTAS!D:D)</f>
        <v>0</v>
      </c>
    </row>
    <row r="313" spans="1:11" x14ac:dyDescent="0.2">
      <c r="A313" s="235">
        <v>112961</v>
      </c>
      <c r="B313" s="236" t="s">
        <v>523</v>
      </c>
      <c r="C313" s="236" t="s">
        <v>1589</v>
      </c>
      <c r="D313" s="236" t="s">
        <v>15</v>
      </c>
      <c r="E313" s="237">
        <v>43617</v>
      </c>
      <c r="F313" s="236" t="s">
        <v>1234</v>
      </c>
      <c r="G313" s="237">
        <v>45023</v>
      </c>
      <c r="H313" s="234">
        <f>SUMIF(VA!B:B,A313,VA!I:I)</f>
        <v>359.46</v>
      </c>
      <c r="I313" s="33">
        <f>SUMIF(VR!B:B,A313,VR!I:I)</f>
        <v>657.5</v>
      </c>
      <c r="J313" s="4">
        <f t="shared" si="4"/>
        <v>1016.96</v>
      </c>
      <c r="K313" s="195">
        <f>SUMIF(FALTAS!A:A,A313,FALTAS!D:D)</f>
        <v>0</v>
      </c>
    </row>
    <row r="314" spans="1:11" x14ac:dyDescent="0.2">
      <c r="A314" s="235">
        <v>114500</v>
      </c>
      <c r="B314" s="236" t="s">
        <v>1044</v>
      </c>
      <c r="C314" s="236" t="s">
        <v>0</v>
      </c>
      <c r="D314" s="236" t="s">
        <v>5</v>
      </c>
      <c r="E314" s="237">
        <v>43811</v>
      </c>
      <c r="F314" s="236" t="s">
        <v>1234</v>
      </c>
      <c r="G314" s="237">
        <v>45149</v>
      </c>
      <c r="H314" s="234">
        <f>SUMIF(VA!B:B,A314,VA!I:I)</f>
        <v>335.49</v>
      </c>
      <c r="I314" s="33">
        <f>SUMIF(VR!B:B,A314,VR!I:I)</f>
        <v>604.9</v>
      </c>
      <c r="J314" s="4">
        <f t="shared" si="4"/>
        <v>940.39</v>
      </c>
      <c r="K314" s="195">
        <f>SUMIF(FALTAS!A:A,A314,FALTAS!D:D)</f>
        <v>2</v>
      </c>
    </row>
    <row r="315" spans="1:11" x14ac:dyDescent="0.2">
      <c r="A315" s="235">
        <v>116326</v>
      </c>
      <c r="B315" s="236" t="s">
        <v>1210</v>
      </c>
      <c r="C315" s="236" t="s">
        <v>10</v>
      </c>
      <c r="D315" s="236" t="s">
        <v>5</v>
      </c>
      <c r="E315" s="237">
        <v>44308</v>
      </c>
      <c r="F315" s="236" t="s">
        <v>1234</v>
      </c>
      <c r="G315" s="237">
        <v>44989</v>
      </c>
      <c r="H315" s="234">
        <f>SUMIF(VA!B:B,A315,VA!I:I)</f>
        <v>359.46</v>
      </c>
      <c r="I315" s="33">
        <f>SUMIF(VR!B:B,A315,VR!I:I)</f>
        <v>657.5</v>
      </c>
      <c r="J315" s="4">
        <f t="shared" si="4"/>
        <v>1016.96</v>
      </c>
      <c r="K315" s="195">
        <f>SUMIF(FALTAS!A:A,A315,FALTAS!D:D)</f>
        <v>0</v>
      </c>
    </row>
    <row r="316" spans="1:11" x14ac:dyDescent="0.2">
      <c r="A316" s="235">
        <v>113023</v>
      </c>
      <c r="B316" s="236" t="s">
        <v>547</v>
      </c>
      <c r="C316" s="236" t="s">
        <v>1589</v>
      </c>
      <c r="D316" s="236" t="s">
        <v>15</v>
      </c>
      <c r="E316" s="237">
        <v>43617</v>
      </c>
      <c r="F316" s="236" t="s">
        <v>1234</v>
      </c>
      <c r="G316" s="237">
        <v>44806</v>
      </c>
      <c r="H316" s="234">
        <f>SUMIF(VA!B:B,A316,VA!I:I)</f>
        <v>359.46</v>
      </c>
      <c r="I316" s="33">
        <f>SUMIF(VR!B:B,A316,VR!I:I)</f>
        <v>657.5</v>
      </c>
      <c r="J316" s="4">
        <f t="shared" si="4"/>
        <v>1016.96</v>
      </c>
      <c r="K316" s="195">
        <f>SUMIF(FALTAS!A:A,A316,FALTAS!D:D)</f>
        <v>0</v>
      </c>
    </row>
    <row r="317" spans="1:11" x14ac:dyDescent="0.2">
      <c r="A317" s="235">
        <v>113068</v>
      </c>
      <c r="B317" s="236" t="s">
        <v>569</v>
      </c>
      <c r="C317" s="236" t="s">
        <v>1589</v>
      </c>
      <c r="D317" s="236" t="s">
        <v>22</v>
      </c>
      <c r="E317" s="237">
        <v>43617</v>
      </c>
      <c r="F317" s="236" t="s">
        <v>1234</v>
      </c>
      <c r="G317" s="237">
        <v>44806</v>
      </c>
      <c r="H317" s="234">
        <f>SUMIF(VA!B:B,A317,VA!I:I)</f>
        <v>359.46</v>
      </c>
      <c r="I317" s="33">
        <f>SUMIF(VR!B:B,A317,VR!I:I)</f>
        <v>657.5</v>
      </c>
      <c r="J317" s="4">
        <f t="shared" si="4"/>
        <v>1016.96</v>
      </c>
      <c r="K317" s="195">
        <f>SUMIF(FALTAS!A:A,A317,FALTAS!D:D)</f>
        <v>0</v>
      </c>
    </row>
    <row r="318" spans="1:11" x14ac:dyDescent="0.2">
      <c r="A318" s="235">
        <v>121030</v>
      </c>
      <c r="B318" s="236" t="s">
        <v>1521</v>
      </c>
      <c r="C318" s="236" t="s">
        <v>10</v>
      </c>
      <c r="D318" s="236" t="s">
        <v>2</v>
      </c>
      <c r="E318" s="237">
        <v>44900</v>
      </c>
      <c r="F318" s="236" t="s">
        <v>1234</v>
      </c>
      <c r="G318" s="237">
        <v>44900</v>
      </c>
      <c r="H318" s="234">
        <f>SUMIF(VA!B:B,A318,VA!I:I)</f>
        <v>359.46</v>
      </c>
      <c r="I318" s="33">
        <f>SUMIF(VR!B:B,A318,VR!I:I)</f>
        <v>657.5</v>
      </c>
      <c r="J318" s="4">
        <f t="shared" si="4"/>
        <v>1016.96</v>
      </c>
      <c r="K318" s="195">
        <f>SUMIF(FALTAS!A:A,A318,FALTAS!D:D)</f>
        <v>0</v>
      </c>
    </row>
    <row r="319" spans="1:11" x14ac:dyDescent="0.2">
      <c r="A319" s="235">
        <v>113107</v>
      </c>
      <c r="B319" s="236" t="s">
        <v>589</v>
      </c>
      <c r="C319" s="236" t="s">
        <v>8</v>
      </c>
      <c r="D319" s="236" t="s">
        <v>2</v>
      </c>
      <c r="E319" s="237">
        <v>43617</v>
      </c>
      <c r="F319" s="236" t="s">
        <v>1234</v>
      </c>
      <c r="G319" s="237">
        <v>45023</v>
      </c>
      <c r="H319" s="234">
        <f>SUMIF(VA!B:B,A319,VA!I:I)</f>
        <v>359.46</v>
      </c>
      <c r="I319" s="33">
        <f>SUMIF(VR!B:B,A319,VR!I:I)</f>
        <v>657.5</v>
      </c>
      <c r="J319" s="4">
        <f t="shared" si="4"/>
        <v>1016.96</v>
      </c>
      <c r="K319" s="195">
        <f>SUMIF(FALTAS!A:A,A319,FALTAS!D:D)</f>
        <v>0</v>
      </c>
    </row>
    <row r="320" spans="1:11" x14ac:dyDescent="0.2">
      <c r="A320" s="235">
        <v>113119</v>
      </c>
      <c r="B320" s="236" t="s">
        <v>597</v>
      </c>
      <c r="C320" s="236" t="s">
        <v>1589</v>
      </c>
      <c r="D320" s="236" t="s">
        <v>22</v>
      </c>
      <c r="E320" s="237">
        <v>43617</v>
      </c>
      <c r="F320" s="236" t="s">
        <v>1234</v>
      </c>
      <c r="G320" s="237">
        <v>44806</v>
      </c>
      <c r="H320" s="234">
        <f>SUMIF(VA!B:B,A320,VA!I:I)</f>
        <v>359.46</v>
      </c>
      <c r="I320" s="33">
        <f>SUMIF(VR!B:B,A320,VR!I:I)</f>
        <v>657.5</v>
      </c>
      <c r="J320" s="4">
        <f t="shared" si="4"/>
        <v>1016.96</v>
      </c>
      <c r="K320" s="195">
        <f>SUMIF(FALTAS!A:A,A320,FALTAS!D:D)</f>
        <v>0</v>
      </c>
    </row>
    <row r="321" spans="1:11" x14ac:dyDescent="0.2">
      <c r="A321" s="235">
        <v>113157</v>
      </c>
      <c r="B321" s="236" t="s">
        <v>618</v>
      </c>
      <c r="C321" s="236" t="s">
        <v>32</v>
      </c>
      <c r="D321" s="236" t="s">
        <v>2</v>
      </c>
      <c r="E321" s="237">
        <v>43617</v>
      </c>
      <c r="F321" s="236" t="s">
        <v>1234</v>
      </c>
      <c r="G321" s="237">
        <v>45149</v>
      </c>
      <c r="H321" s="234">
        <f>SUMIF(VA!B:B,A321,VA!I:I)</f>
        <v>359.46</v>
      </c>
      <c r="I321" s="33">
        <f>SUMIF(VR!B:B,A321,VR!I:I)</f>
        <v>657.5</v>
      </c>
      <c r="J321" s="4">
        <f t="shared" si="4"/>
        <v>1016.96</v>
      </c>
      <c r="K321" s="195">
        <f>SUMIF(FALTAS!A:A,A321,FALTAS!D:D)</f>
        <v>0</v>
      </c>
    </row>
    <row r="322" spans="1:11" x14ac:dyDescent="0.2">
      <c r="A322" s="235">
        <v>113204</v>
      </c>
      <c r="B322" s="236" t="s">
        <v>646</v>
      </c>
      <c r="C322" s="236" t="s">
        <v>0</v>
      </c>
      <c r="D322" s="236" t="s">
        <v>5</v>
      </c>
      <c r="E322" s="237">
        <v>43617</v>
      </c>
      <c r="F322" s="236" t="s">
        <v>1234</v>
      </c>
      <c r="G322" s="237">
        <v>45023</v>
      </c>
      <c r="H322" s="234">
        <f>SUMIF(VA!B:B,A322,VA!I:I)</f>
        <v>359.46</v>
      </c>
      <c r="I322" s="33">
        <f>SUMIF(VR!B:B,A322,VR!I:I)</f>
        <v>657.5</v>
      </c>
      <c r="J322" s="4">
        <f t="shared" ref="J322:J385" si="5">H322+I322</f>
        <v>1016.96</v>
      </c>
      <c r="K322" s="195">
        <f>SUMIF(FALTAS!A:A,A322,FALTAS!D:D)</f>
        <v>0</v>
      </c>
    </row>
    <row r="323" spans="1:11" x14ac:dyDescent="0.2">
      <c r="A323" s="235">
        <v>116001</v>
      </c>
      <c r="B323" s="236" t="s">
        <v>1170</v>
      </c>
      <c r="C323" s="236" t="s">
        <v>0</v>
      </c>
      <c r="D323" s="236" t="s">
        <v>2</v>
      </c>
      <c r="E323" s="237">
        <v>44207</v>
      </c>
      <c r="F323" s="236" t="s">
        <v>1234</v>
      </c>
      <c r="G323" s="237">
        <v>45086</v>
      </c>
      <c r="H323" s="234">
        <f>SUMIF(VA!B:B,A323,VA!I:I)</f>
        <v>359.46</v>
      </c>
      <c r="I323" s="33">
        <f>SUMIF(VR!B:B,A323,VR!I:I)</f>
        <v>657.5</v>
      </c>
      <c r="J323" s="4">
        <f t="shared" si="5"/>
        <v>1016.96</v>
      </c>
      <c r="K323" s="195">
        <f>SUMIF(FALTAS!A:A,A323,FALTAS!D:D)</f>
        <v>0</v>
      </c>
    </row>
    <row r="324" spans="1:11" x14ac:dyDescent="0.2">
      <c r="A324" s="235">
        <v>113712</v>
      </c>
      <c r="B324" s="236" t="s">
        <v>931</v>
      </c>
      <c r="C324" s="236" t="s">
        <v>10</v>
      </c>
      <c r="D324" s="236" t="s">
        <v>5</v>
      </c>
      <c r="E324" s="237">
        <v>43619</v>
      </c>
      <c r="F324" s="236" t="s">
        <v>1234</v>
      </c>
      <c r="G324" s="237">
        <v>45023</v>
      </c>
      <c r="H324" s="234">
        <f>SUMIF(VA!B:B,A324,VA!I:I)</f>
        <v>359.46</v>
      </c>
      <c r="I324" s="33">
        <f>SUMIF(VR!B:B,A324,VR!I:I)</f>
        <v>657.5</v>
      </c>
      <c r="J324" s="4">
        <f t="shared" si="5"/>
        <v>1016.96</v>
      </c>
      <c r="K324" s="195">
        <f>SUMIF(FALTAS!A:A,A324,FALTAS!D:D)</f>
        <v>0</v>
      </c>
    </row>
    <row r="325" spans="1:11" x14ac:dyDescent="0.2">
      <c r="A325" s="235">
        <v>121486</v>
      </c>
      <c r="B325" s="236" t="s">
        <v>1564</v>
      </c>
      <c r="C325" s="236" t="s">
        <v>1589</v>
      </c>
      <c r="D325" s="236" t="s">
        <v>15</v>
      </c>
      <c r="E325" s="237">
        <v>44967</v>
      </c>
      <c r="F325" s="236" t="s">
        <v>1234</v>
      </c>
      <c r="G325" s="237">
        <v>44967</v>
      </c>
      <c r="H325" s="234">
        <f>SUMIF(VA!B:B,A325,VA!I:I)</f>
        <v>359.46</v>
      </c>
      <c r="I325" s="33">
        <f>SUMIF(VR!B:B,A325,VR!I:I)</f>
        <v>657.5</v>
      </c>
      <c r="J325" s="4">
        <f t="shared" si="5"/>
        <v>1016.96</v>
      </c>
      <c r="K325" s="195">
        <f>SUMIF(FALTAS!A:A,A325,FALTAS!D:D)</f>
        <v>0</v>
      </c>
    </row>
    <row r="326" spans="1:11" x14ac:dyDescent="0.2">
      <c r="A326" s="235">
        <v>113309</v>
      </c>
      <c r="B326" s="236" t="s">
        <v>701</v>
      </c>
      <c r="C326" s="236" t="s">
        <v>0</v>
      </c>
      <c r="D326" s="236" t="s">
        <v>2</v>
      </c>
      <c r="E326" s="237">
        <v>43617</v>
      </c>
      <c r="F326" s="236" t="s">
        <v>1234</v>
      </c>
      <c r="G326" s="237">
        <v>44989</v>
      </c>
      <c r="H326" s="234">
        <f>SUMIF(VA!B:B,A326,VA!I:I)</f>
        <v>359.46</v>
      </c>
      <c r="I326" s="33">
        <f>SUMIF(VR!B:B,A326,VR!I:I)</f>
        <v>657.5</v>
      </c>
      <c r="J326" s="4">
        <f t="shared" si="5"/>
        <v>1016.96</v>
      </c>
      <c r="K326" s="195">
        <f>SUMIF(FALTAS!A:A,A326,FALTAS!D:D)</f>
        <v>0</v>
      </c>
    </row>
    <row r="327" spans="1:11" x14ac:dyDescent="0.2">
      <c r="A327" s="235">
        <v>113318</v>
      </c>
      <c r="B327" s="236" t="s">
        <v>705</v>
      </c>
      <c r="C327" s="236" t="s">
        <v>19</v>
      </c>
      <c r="D327" s="236" t="s">
        <v>2</v>
      </c>
      <c r="E327" s="237">
        <v>43617</v>
      </c>
      <c r="F327" s="236" t="s">
        <v>1234</v>
      </c>
      <c r="G327" s="237">
        <v>44898</v>
      </c>
      <c r="H327" s="234">
        <f>SUMIF(VA!B:B,A327,VA!I:I)</f>
        <v>359.46</v>
      </c>
      <c r="I327" s="33">
        <f>SUMIF(VR!B:B,A327,VR!I:I)</f>
        <v>657.5</v>
      </c>
      <c r="J327" s="4">
        <f t="shared" si="5"/>
        <v>1016.96</v>
      </c>
      <c r="K327" s="195">
        <f>SUMIF(FALTAS!A:A,A327,FALTAS!D:D)</f>
        <v>0</v>
      </c>
    </row>
    <row r="328" spans="1:11" x14ac:dyDescent="0.2">
      <c r="A328" s="235">
        <v>122334</v>
      </c>
      <c r="B328" s="236" t="s">
        <v>1665</v>
      </c>
      <c r="C328" s="236" t="s">
        <v>1589</v>
      </c>
      <c r="D328" s="236" t="s">
        <v>15</v>
      </c>
      <c r="E328" s="237">
        <v>45098</v>
      </c>
      <c r="F328" s="236" t="s">
        <v>1234</v>
      </c>
      <c r="G328" s="237">
        <v>45098</v>
      </c>
      <c r="H328" s="234">
        <f>SUMIF(VA!B:B,A328,VA!I:I)</f>
        <v>359.46</v>
      </c>
      <c r="I328" s="33">
        <f>SUMIF(VR!B:B,A328,VR!I:I)</f>
        <v>657.5</v>
      </c>
      <c r="J328" s="4">
        <f t="shared" si="5"/>
        <v>1016.96</v>
      </c>
      <c r="K328" s="195">
        <f>SUMIF(FALTAS!A:A,A328,FALTAS!D:D)</f>
        <v>0</v>
      </c>
    </row>
    <row r="329" spans="1:11" x14ac:dyDescent="0.2">
      <c r="A329" s="235">
        <v>116085</v>
      </c>
      <c r="B329" s="236" t="s">
        <v>1185</v>
      </c>
      <c r="C329" s="236" t="s">
        <v>1589</v>
      </c>
      <c r="D329" s="236" t="s">
        <v>15</v>
      </c>
      <c r="E329" s="237">
        <v>44235</v>
      </c>
      <c r="F329" s="236" t="s">
        <v>1234</v>
      </c>
      <c r="G329" s="237">
        <v>45086</v>
      </c>
      <c r="H329" s="234">
        <f>SUMIF(VA!B:B,A329,VA!I:I)</f>
        <v>359.46</v>
      </c>
      <c r="I329" s="33">
        <f>SUMIF(VR!B:B,A329,VR!I:I)</f>
        <v>657.5</v>
      </c>
      <c r="J329" s="4">
        <f t="shared" si="5"/>
        <v>1016.96</v>
      </c>
      <c r="K329" s="195">
        <f>SUMIF(FALTAS!A:A,A329,FALTAS!D:D)</f>
        <v>0</v>
      </c>
    </row>
    <row r="330" spans="1:11" x14ac:dyDescent="0.2">
      <c r="A330" s="235">
        <v>116225</v>
      </c>
      <c r="B330" s="236" t="s">
        <v>1194</v>
      </c>
      <c r="C330" s="236" t="s">
        <v>0</v>
      </c>
      <c r="D330" s="236" t="s">
        <v>5</v>
      </c>
      <c r="E330" s="237">
        <v>44273</v>
      </c>
      <c r="F330" s="236" t="s">
        <v>1285</v>
      </c>
      <c r="G330" s="237">
        <v>45129</v>
      </c>
      <c r="H330" s="234">
        <f>SUMIF(VA!B:B,A330,VA!I:I)</f>
        <v>0</v>
      </c>
      <c r="I330" s="33">
        <f>SUMIF(VR!B:B,A330,VR!I:I)</f>
        <v>0</v>
      </c>
      <c r="J330" s="4">
        <f t="shared" si="5"/>
        <v>0</v>
      </c>
      <c r="K330" s="195">
        <f>SUMIF(FALTAS!A:A,A330,FALTAS!D:D)</f>
        <v>0</v>
      </c>
    </row>
    <row r="331" spans="1:11" x14ac:dyDescent="0.2">
      <c r="A331" s="235">
        <v>113331</v>
      </c>
      <c r="B331" s="236" t="s">
        <v>713</v>
      </c>
      <c r="C331" s="236" t="s">
        <v>1589</v>
      </c>
      <c r="D331" s="236" t="s">
        <v>5</v>
      </c>
      <c r="E331" s="237">
        <v>43617</v>
      </c>
      <c r="F331" s="236" t="s">
        <v>1234</v>
      </c>
      <c r="G331" s="237">
        <v>45056</v>
      </c>
      <c r="H331" s="234">
        <f>SUMIF(VA!B:B,A331,VA!I:I)</f>
        <v>359.46</v>
      </c>
      <c r="I331" s="33">
        <f>SUMIF(VR!B:B,A331,VR!I:I)</f>
        <v>657.5</v>
      </c>
      <c r="J331" s="4">
        <f t="shared" si="5"/>
        <v>1016.96</v>
      </c>
      <c r="K331" s="195">
        <f>SUMIF(FALTAS!A:A,A331,FALTAS!D:D)</f>
        <v>0</v>
      </c>
    </row>
    <row r="332" spans="1:11" x14ac:dyDescent="0.2">
      <c r="A332" s="235">
        <v>113341</v>
      </c>
      <c r="B332" s="236" t="s">
        <v>718</v>
      </c>
      <c r="C332" s="236" t="s">
        <v>8</v>
      </c>
      <c r="D332" s="236" t="s">
        <v>2</v>
      </c>
      <c r="E332" s="237">
        <v>43617</v>
      </c>
      <c r="F332" s="236" t="s">
        <v>1234</v>
      </c>
      <c r="G332" s="237">
        <v>45149</v>
      </c>
      <c r="H332" s="234">
        <f>SUMIF(VA!B:B,A332,VA!I:I)</f>
        <v>359.46</v>
      </c>
      <c r="I332" s="33">
        <f>SUMIF(VR!B:B,A332,VR!I:I)</f>
        <v>657.5</v>
      </c>
      <c r="J332" s="4">
        <f t="shared" si="5"/>
        <v>1016.96</v>
      </c>
      <c r="K332" s="195">
        <f>SUMIF(FALTAS!A:A,A332,FALTAS!D:D)</f>
        <v>0</v>
      </c>
    </row>
    <row r="333" spans="1:11" x14ac:dyDescent="0.2">
      <c r="A333" s="235">
        <v>113349</v>
      </c>
      <c r="B333" s="236" t="s">
        <v>1287</v>
      </c>
      <c r="C333" s="236" t="s">
        <v>1589</v>
      </c>
      <c r="D333" s="236" t="s">
        <v>15</v>
      </c>
      <c r="E333" s="237">
        <v>43617</v>
      </c>
      <c r="F333" s="236" t="s">
        <v>1234</v>
      </c>
      <c r="G333" s="237">
        <v>44960</v>
      </c>
      <c r="H333" s="234">
        <f>SUMIF(VA!B:B,A333,VA!I:I)</f>
        <v>359.46</v>
      </c>
      <c r="I333" s="33">
        <f>SUMIF(VR!B:B,A333,VR!I:I)</f>
        <v>657.5</v>
      </c>
      <c r="J333" s="4">
        <f t="shared" si="5"/>
        <v>1016.96</v>
      </c>
      <c r="K333" s="195">
        <f>SUMIF(FALTAS!A:A,A333,FALTAS!D:D)</f>
        <v>0</v>
      </c>
    </row>
    <row r="334" spans="1:11" x14ac:dyDescent="0.2">
      <c r="A334" s="235">
        <v>113354</v>
      </c>
      <c r="B334" s="236" t="s">
        <v>724</v>
      </c>
      <c r="C334" s="236" t="s">
        <v>19</v>
      </c>
      <c r="D334" s="236" t="s">
        <v>5</v>
      </c>
      <c r="E334" s="237">
        <v>43617</v>
      </c>
      <c r="F334" s="236" t="s">
        <v>1234</v>
      </c>
      <c r="G334" s="237">
        <v>44835</v>
      </c>
      <c r="H334" s="234">
        <f>SUMIF(VA!B:B,A334,VA!I:I)</f>
        <v>359.46</v>
      </c>
      <c r="I334" s="33">
        <f>SUMIF(VR!B:B,A334,VR!I:I)</f>
        <v>657.5</v>
      </c>
      <c r="J334" s="4">
        <f t="shared" si="5"/>
        <v>1016.96</v>
      </c>
      <c r="K334" s="195">
        <f>SUMIF(FALTAS!A:A,A334,FALTAS!D:D)</f>
        <v>0</v>
      </c>
    </row>
    <row r="335" spans="1:11" x14ac:dyDescent="0.2">
      <c r="A335" s="235">
        <v>116974</v>
      </c>
      <c r="B335" s="236" t="s">
        <v>1243</v>
      </c>
      <c r="C335" s="236" t="s">
        <v>10</v>
      </c>
      <c r="D335" s="236" t="s">
        <v>5</v>
      </c>
      <c r="E335" s="237">
        <v>44419</v>
      </c>
      <c r="F335" s="236" t="s">
        <v>1234</v>
      </c>
      <c r="G335" s="237">
        <v>45086</v>
      </c>
      <c r="H335" s="234">
        <f>SUMIF(VA!B:B,A335,VA!I:I)</f>
        <v>359.46</v>
      </c>
      <c r="I335" s="33">
        <f>SUMIF(VR!B:B,A335,VR!I:I)</f>
        <v>657.5</v>
      </c>
      <c r="J335" s="4">
        <f t="shared" si="5"/>
        <v>1016.96</v>
      </c>
      <c r="K335" s="195">
        <f>SUMIF(FALTAS!A:A,A335,FALTAS!D:D)</f>
        <v>0</v>
      </c>
    </row>
    <row r="336" spans="1:11" x14ac:dyDescent="0.2">
      <c r="A336" s="235">
        <v>113739</v>
      </c>
      <c r="B336" s="236" t="s">
        <v>961</v>
      </c>
      <c r="C336" s="236" t="s">
        <v>1591</v>
      </c>
      <c r="D336" s="236" t="s">
        <v>1437</v>
      </c>
      <c r="E336" s="237">
        <v>43619</v>
      </c>
      <c r="F336" s="236" t="s">
        <v>1234</v>
      </c>
      <c r="G336" s="237">
        <v>45013</v>
      </c>
      <c r="H336" s="234">
        <f>SUMIF(VA!B:B,A336,VA!I:I)</f>
        <v>359.46</v>
      </c>
      <c r="I336" s="33">
        <f>SUMIF(VR!B:B,A336,VR!I:I)</f>
        <v>657.5</v>
      </c>
      <c r="J336" s="4">
        <f t="shared" si="5"/>
        <v>1016.96</v>
      </c>
      <c r="K336" s="195">
        <f>SUMIF(FALTAS!A:A,A336,FALTAS!D:D)</f>
        <v>0</v>
      </c>
    </row>
    <row r="337" spans="1:11" x14ac:dyDescent="0.2">
      <c r="A337" s="235">
        <v>113361</v>
      </c>
      <c r="B337" s="236" t="s">
        <v>729</v>
      </c>
      <c r="C337" s="236" t="s">
        <v>1589</v>
      </c>
      <c r="D337" s="236" t="s">
        <v>15</v>
      </c>
      <c r="E337" s="237">
        <v>43620</v>
      </c>
      <c r="F337" s="236" t="s">
        <v>1234</v>
      </c>
      <c r="G337" s="237">
        <v>45149</v>
      </c>
      <c r="H337" s="234">
        <f>SUMIF(VA!B:B,A337,VA!I:I)</f>
        <v>359.46</v>
      </c>
      <c r="I337" s="33">
        <f>SUMIF(VR!B:B,A337,VR!I:I)</f>
        <v>657.5</v>
      </c>
      <c r="J337" s="4">
        <f t="shared" si="5"/>
        <v>1016.96</v>
      </c>
      <c r="K337" s="195">
        <f>SUMIF(FALTAS!A:A,A337,FALTAS!D:D)</f>
        <v>0</v>
      </c>
    </row>
    <row r="338" spans="1:11" x14ac:dyDescent="0.2">
      <c r="A338" s="235">
        <v>113364</v>
      </c>
      <c r="B338" s="236" t="s">
        <v>732</v>
      </c>
      <c r="C338" s="236" t="s">
        <v>19</v>
      </c>
      <c r="D338" s="236" t="s">
        <v>2</v>
      </c>
      <c r="E338" s="237">
        <v>43617</v>
      </c>
      <c r="F338" s="236" t="s">
        <v>1234</v>
      </c>
      <c r="G338" s="237">
        <v>44960</v>
      </c>
      <c r="H338" s="234">
        <f>SUMIF(VA!B:B,A338,VA!I:I)</f>
        <v>359.46</v>
      </c>
      <c r="I338" s="33">
        <f>SUMIF(VR!B:B,A338,VR!I:I)</f>
        <v>657.5</v>
      </c>
      <c r="J338" s="4">
        <f t="shared" si="5"/>
        <v>1016.96</v>
      </c>
      <c r="K338" s="195">
        <f>SUMIF(FALTAS!A:A,A338,FALTAS!D:D)</f>
        <v>0</v>
      </c>
    </row>
    <row r="339" spans="1:11" x14ac:dyDescent="0.2">
      <c r="A339" s="235">
        <v>113368</v>
      </c>
      <c r="B339" s="236" t="s">
        <v>735</v>
      </c>
      <c r="C339" s="236" t="s">
        <v>19</v>
      </c>
      <c r="D339" s="236" t="s">
        <v>2</v>
      </c>
      <c r="E339" s="237">
        <v>43617</v>
      </c>
      <c r="F339" s="236" t="s">
        <v>1234</v>
      </c>
      <c r="G339" s="237">
        <v>44898</v>
      </c>
      <c r="H339" s="234">
        <f>SUMIF(VA!B:B,A339,VA!I:I)</f>
        <v>359.46</v>
      </c>
      <c r="I339" s="33">
        <f>SUMIF(VR!B:B,A339,VR!I:I)</f>
        <v>657.5</v>
      </c>
      <c r="J339" s="4">
        <f t="shared" si="5"/>
        <v>1016.96</v>
      </c>
      <c r="K339" s="195">
        <f>SUMIF(FALTAS!A:A,A339,FALTAS!D:D)</f>
        <v>0</v>
      </c>
    </row>
    <row r="340" spans="1:11" x14ac:dyDescent="0.2">
      <c r="A340" s="235">
        <v>113374</v>
      </c>
      <c r="B340" s="236" t="s">
        <v>738</v>
      </c>
      <c r="C340" s="236" t="s">
        <v>8</v>
      </c>
      <c r="D340" s="236" t="s">
        <v>2</v>
      </c>
      <c r="E340" s="237">
        <v>43617</v>
      </c>
      <c r="F340" s="236" t="s">
        <v>1234</v>
      </c>
      <c r="G340" s="237">
        <v>44993</v>
      </c>
      <c r="H340" s="234">
        <f>SUMIF(VA!B:B,A340,VA!I:I)</f>
        <v>359.46</v>
      </c>
      <c r="I340" s="33">
        <f>SUMIF(VR!B:B,A340,VR!I:I)</f>
        <v>657.5</v>
      </c>
      <c r="J340" s="4">
        <f t="shared" si="5"/>
        <v>1016.96</v>
      </c>
      <c r="K340" s="195">
        <f>SUMIF(FALTAS!A:A,A340,FALTAS!D:D)</f>
        <v>0</v>
      </c>
    </row>
    <row r="341" spans="1:11" x14ac:dyDescent="0.2">
      <c r="A341" s="235">
        <v>117358</v>
      </c>
      <c r="B341" s="236" t="s">
        <v>1268</v>
      </c>
      <c r="C341" s="236" t="s">
        <v>1589</v>
      </c>
      <c r="D341" s="236" t="s">
        <v>15</v>
      </c>
      <c r="E341" s="237">
        <v>44508</v>
      </c>
      <c r="F341" s="236" t="s">
        <v>1234</v>
      </c>
      <c r="G341" s="237">
        <v>44930</v>
      </c>
      <c r="H341" s="234">
        <f>SUMIF(VA!B:B,A341,VA!I:I)</f>
        <v>359.46</v>
      </c>
      <c r="I341" s="33">
        <f>SUMIF(VR!B:B,A341,VR!I:I)</f>
        <v>657.5</v>
      </c>
      <c r="J341" s="4">
        <f t="shared" si="5"/>
        <v>1016.96</v>
      </c>
      <c r="K341" s="195">
        <f>SUMIF(FALTAS!A:A,A341,FALTAS!D:D)</f>
        <v>0</v>
      </c>
    </row>
    <row r="342" spans="1:11" x14ac:dyDescent="0.2">
      <c r="A342" s="235">
        <v>121675</v>
      </c>
      <c r="B342" s="236" t="s">
        <v>1596</v>
      </c>
      <c r="C342" s="236" t="s">
        <v>10</v>
      </c>
      <c r="D342" s="236" t="s">
        <v>5</v>
      </c>
      <c r="E342" s="237">
        <v>44994</v>
      </c>
      <c r="F342" s="236" t="s">
        <v>1234</v>
      </c>
      <c r="G342" s="237">
        <v>44994</v>
      </c>
      <c r="H342" s="234">
        <f>SUMIF(VA!B:B,A342,VA!I:I)</f>
        <v>359.46</v>
      </c>
      <c r="I342" s="33">
        <f>SUMIF(VR!B:B,A342,VR!I:I)</f>
        <v>657.5</v>
      </c>
      <c r="J342" s="4">
        <f t="shared" si="5"/>
        <v>1016.96</v>
      </c>
      <c r="K342" s="195">
        <f>SUMIF(FALTAS!A:A,A342,FALTAS!D:D)</f>
        <v>0</v>
      </c>
    </row>
    <row r="343" spans="1:11" x14ac:dyDescent="0.2">
      <c r="A343" s="235">
        <v>119645</v>
      </c>
      <c r="B343" s="236" t="s">
        <v>1465</v>
      </c>
      <c r="C343" s="236" t="s">
        <v>0</v>
      </c>
      <c r="D343" s="236" t="s">
        <v>5</v>
      </c>
      <c r="E343" s="237">
        <v>44725</v>
      </c>
      <c r="F343" s="236" t="s">
        <v>1234</v>
      </c>
      <c r="G343" s="237">
        <v>44725</v>
      </c>
      <c r="H343" s="234">
        <f>SUMIF(VA!B:B,A343,VA!I:I)</f>
        <v>359.46</v>
      </c>
      <c r="I343" s="33">
        <f>SUMIF(VR!B:B,A343,VR!I:I)</f>
        <v>657.5</v>
      </c>
      <c r="J343" s="4">
        <f t="shared" si="5"/>
        <v>1016.96</v>
      </c>
      <c r="K343" s="195">
        <f>SUMIF(FALTAS!A:A,A343,FALTAS!D:D)</f>
        <v>0</v>
      </c>
    </row>
    <row r="344" spans="1:11" x14ac:dyDescent="0.2">
      <c r="A344" s="235">
        <v>116226</v>
      </c>
      <c r="B344" s="236" t="s">
        <v>1195</v>
      </c>
      <c r="C344" s="236" t="s">
        <v>0</v>
      </c>
      <c r="D344" s="236" t="s">
        <v>5</v>
      </c>
      <c r="E344" s="237">
        <v>44273</v>
      </c>
      <c r="F344" s="236" t="s">
        <v>1234</v>
      </c>
      <c r="G344" s="237">
        <v>44924</v>
      </c>
      <c r="H344" s="234">
        <f>SUMIF(VA!B:B,A344,VA!I:I)</f>
        <v>311.52999999999997</v>
      </c>
      <c r="I344" s="33">
        <f>SUMIF(VR!B:B,A344,VR!I:I)</f>
        <v>552.30000000000007</v>
      </c>
      <c r="J344" s="4">
        <f t="shared" si="5"/>
        <v>863.83</v>
      </c>
      <c r="K344" s="195">
        <f>SUMIF(FALTAS!A:A,A344,FALTAS!D:D)</f>
        <v>4</v>
      </c>
    </row>
    <row r="345" spans="1:11" x14ac:dyDescent="0.2">
      <c r="A345" s="235">
        <v>113390</v>
      </c>
      <c r="B345" s="236" t="s">
        <v>749</v>
      </c>
      <c r="C345" s="236" t="s">
        <v>10</v>
      </c>
      <c r="D345" s="236" t="s">
        <v>470</v>
      </c>
      <c r="E345" s="237">
        <v>43617</v>
      </c>
      <c r="F345" s="236" t="s">
        <v>1234</v>
      </c>
      <c r="G345" s="237">
        <v>45119</v>
      </c>
      <c r="H345" s="234">
        <f>SUMIF(VA!B:B,A345,VA!I:I)</f>
        <v>359.46</v>
      </c>
      <c r="I345" s="33">
        <f>SUMIF(VR!B:B,A345,VR!I:I)</f>
        <v>657.5</v>
      </c>
      <c r="J345" s="4">
        <f t="shared" si="5"/>
        <v>1016.96</v>
      </c>
      <c r="K345" s="195">
        <f>SUMIF(FALTAS!A:A,A345,FALTAS!D:D)</f>
        <v>0</v>
      </c>
    </row>
    <row r="346" spans="1:11" x14ac:dyDescent="0.2">
      <c r="A346" s="235">
        <v>113392</v>
      </c>
      <c r="B346" s="236" t="s">
        <v>752</v>
      </c>
      <c r="C346" s="236" t="s">
        <v>10</v>
      </c>
      <c r="D346" s="236" t="s">
        <v>2</v>
      </c>
      <c r="E346" s="237">
        <v>43617</v>
      </c>
      <c r="F346" s="236" t="s">
        <v>1234</v>
      </c>
      <c r="G346" s="237">
        <v>44960</v>
      </c>
      <c r="H346" s="234">
        <f>SUMIF(VA!B:B,A346,VA!I:I)</f>
        <v>359.46</v>
      </c>
      <c r="I346" s="33">
        <f>SUMIF(VR!B:B,A346,VR!I:I)</f>
        <v>657.5</v>
      </c>
      <c r="J346" s="4">
        <f t="shared" si="5"/>
        <v>1016.96</v>
      </c>
      <c r="K346" s="195">
        <f>SUMIF(FALTAS!A:A,A346,FALTAS!D:D)</f>
        <v>0</v>
      </c>
    </row>
    <row r="347" spans="1:11" x14ac:dyDescent="0.2">
      <c r="A347" s="235">
        <v>113404</v>
      </c>
      <c r="B347" s="236" t="s">
        <v>750</v>
      </c>
      <c r="C347" s="236" t="s">
        <v>8</v>
      </c>
      <c r="D347" s="236" t="s">
        <v>182</v>
      </c>
      <c r="E347" s="237">
        <v>43617</v>
      </c>
      <c r="F347" s="236" t="s">
        <v>1234</v>
      </c>
      <c r="G347" s="237">
        <v>45119</v>
      </c>
      <c r="H347" s="234">
        <f>SUMIF(VA!B:B,A347,VA!I:I)</f>
        <v>359.46</v>
      </c>
      <c r="I347" s="33">
        <f>SUMIF(VR!B:B,A347,VR!I:I)</f>
        <v>657.5</v>
      </c>
      <c r="J347" s="4">
        <f t="shared" si="5"/>
        <v>1016.96</v>
      </c>
      <c r="K347" s="195">
        <f>SUMIF(FALTAS!A:A,A347,FALTAS!D:D)</f>
        <v>0</v>
      </c>
    </row>
    <row r="348" spans="1:11" x14ac:dyDescent="0.2">
      <c r="A348" s="235">
        <v>112825</v>
      </c>
      <c r="B348" s="236" t="s">
        <v>439</v>
      </c>
      <c r="C348" s="236" t="s">
        <v>1589</v>
      </c>
      <c r="D348" s="236" t="s">
        <v>15</v>
      </c>
      <c r="E348" s="237">
        <v>43617</v>
      </c>
      <c r="F348" s="236" t="s">
        <v>1234</v>
      </c>
      <c r="G348" s="237">
        <v>44990</v>
      </c>
      <c r="H348" s="234">
        <f>SUMIF(VA!B:B,A348,VA!I:I)</f>
        <v>359.46</v>
      </c>
      <c r="I348" s="33">
        <f>SUMIF(VR!B:B,A348,VR!I:I)</f>
        <v>657.5</v>
      </c>
      <c r="J348" s="4">
        <f t="shared" si="5"/>
        <v>1016.96</v>
      </c>
      <c r="K348" s="195">
        <f>SUMIF(FALTAS!A:A,A348,FALTAS!D:D)</f>
        <v>0</v>
      </c>
    </row>
    <row r="349" spans="1:11" x14ac:dyDescent="0.2">
      <c r="A349" s="235">
        <v>112830</v>
      </c>
      <c r="B349" s="236" t="s">
        <v>442</v>
      </c>
      <c r="C349" s="236" t="s">
        <v>10</v>
      </c>
      <c r="D349" s="236" t="s">
        <v>5</v>
      </c>
      <c r="E349" s="237">
        <v>43617</v>
      </c>
      <c r="F349" s="236" t="s">
        <v>1234</v>
      </c>
      <c r="G349" s="237">
        <v>44930</v>
      </c>
      <c r="H349" s="234">
        <f>SUMIF(VA!B:B,A349,VA!I:I)</f>
        <v>359.46</v>
      </c>
      <c r="I349" s="33">
        <f>SUMIF(VR!B:B,A349,VR!I:I)</f>
        <v>657.5</v>
      </c>
      <c r="J349" s="4">
        <f t="shared" si="5"/>
        <v>1016.96</v>
      </c>
      <c r="K349" s="195">
        <f>SUMIF(FALTAS!A:A,A349,FALTAS!D:D)</f>
        <v>0</v>
      </c>
    </row>
    <row r="350" spans="1:11" x14ac:dyDescent="0.2">
      <c r="A350" s="235">
        <v>112838</v>
      </c>
      <c r="B350" s="236" t="s">
        <v>447</v>
      </c>
      <c r="C350" s="236" t="s">
        <v>1589</v>
      </c>
      <c r="D350" s="236" t="s">
        <v>15</v>
      </c>
      <c r="E350" s="237">
        <v>43617</v>
      </c>
      <c r="F350" s="236" t="s">
        <v>1234</v>
      </c>
      <c r="G350" s="237">
        <v>45149</v>
      </c>
      <c r="H350" s="234">
        <f>SUMIF(VA!B:B,A350,VA!I:I)</f>
        <v>359.46</v>
      </c>
      <c r="I350" s="33">
        <f>SUMIF(VR!B:B,A350,VR!I:I)</f>
        <v>657.5</v>
      </c>
      <c r="J350" s="4">
        <f t="shared" si="5"/>
        <v>1016.96</v>
      </c>
      <c r="K350" s="195">
        <f>SUMIF(FALTAS!A:A,A350,FALTAS!D:D)</f>
        <v>0</v>
      </c>
    </row>
    <row r="351" spans="1:11" x14ac:dyDescent="0.2">
      <c r="A351" s="235">
        <v>113726</v>
      </c>
      <c r="B351" s="236" t="s">
        <v>945</v>
      </c>
      <c r="C351" s="236" t="s">
        <v>0</v>
      </c>
      <c r="D351" s="236" t="s">
        <v>5</v>
      </c>
      <c r="E351" s="237">
        <v>43619</v>
      </c>
      <c r="F351" s="236" t="s">
        <v>1234</v>
      </c>
      <c r="G351" s="237">
        <v>45056</v>
      </c>
      <c r="H351" s="234">
        <f>SUMIF(VA!B:B,A351,VA!I:I)</f>
        <v>359.46</v>
      </c>
      <c r="I351" s="33">
        <f>SUMIF(VR!B:B,A351,VR!I:I)</f>
        <v>657.5</v>
      </c>
      <c r="J351" s="4">
        <f t="shared" si="5"/>
        <v>1016.96</v>
      </c>
      <c r="K351" s="195">
        <f>SUMIF(FALTAS!A:A,A351,FALTAS!D:D)</f>
        <v>0</v>
      </c>
    </row>
    <row r="352" spans="1:11" x14ac:dyDescent="0.2">
      <c r="A352" s="235">
        <v>112847</v>
      </c>
      <c r="B352" s="236" t="s">
        <v>451</v>
      </c>
      <c r="C352" s="236" t="s">
        <v>10</v>
      </c>
      <c r="D352" s="236" t="s">
        <v>39</v>
      </c>
      <c r="E352" s="237">
        <v>43617</v>
      </c>
      <c r="F352" s="236" t="s">
        <v>1235</v>
      </c>
      <c r="G352" s="237">
        <v>45147</v>
      </c>
      <c r="H352" s="234">
        <f>SUMIF(VA!B:B,A352,VA!I:I)</f>
        <v>359.46</v>
      </c>
      <c r="I352" s="33">
        <f>SUMIF(VR!B:B,A352,VR!I:I)</f>
        <v>657.5</v>
      </c>
      <c r="J352" s="4">
        <f t="shared" si="5"/>
        <v>1016.96</v>
      </c>
      <c r="K352" s="195">
        <f>SUMIF(FALTAS!A:A,A352,FALTAS!D:D)</f>
        <v>0</v>
      </c>
    </row>
    <row r="353" spans="1:11" x14ac:dyDescent="0.2">
      <c r="A353" s="235">
        <v>112850</v>
      </c>
      <c r="B353" s="236" t="s">
        <v>453</v>
      </c>
      <c r="C353" s="236" t="s">
        <v>1589</v>
      </c>
      <c r="D353" s="236" t="s">
        <v>15</v>
      </c>
      <c r="E353" s="237">
        <v>43617</v>
      </c>
      <c r="F353" s="236" t="s">
        <v>1234</v>
      </c>
      <c r="G353" s="237">
        <v>45023</v>
      </c>
      <c r="H353" s="234">
        <f>SUMIF(VA!B:B,A353,VA!I:I)</f>
        <v>359.46</v>
      </c>
      <c r="I353" s="33">
        <f>SUMIF(VR!B:B,A353,VR!I:I)</f>
        <v>657.5</v>
      </c>
      <c r="J353" s="4">
        <f t="shared" si="5"/>
        <v>1016.96</v>
      </c>
      <c r="K353" s="195">
        <f>SUMIF(FALTAS!A:A,A353,FALTAS!D:D)</f>
        <v>0</v>
      </c>
    </row>
    <row r="354" spans="1:11" x14ac:dyDescent="0.2">
      <c r="A354" s="235">
        <v>112858</v>
      </c>
      <c r="B354" s="236" t="s">
        <v>457</v>
      </c>
      <c r="C354" s="236" t="s">
        <v>1589</v>
      </c>
      <c r="D354" s="236" t="s">
        <v>15</v>
      </c>
      <c r="E354" s="237">
        <v>43617</v>
      </c>
      <c r="F354" s="236" t="s">
        <v>1234</v>
      </c>
      <c r="G354" s="237">
        <v>44930</v>
      </c>
      <c r="H354" s="234">
        <f>SUMIF(VA!B:B,A354,VA!I:I)</f>
        <v>359.46</v>
      </c>
      <c r="I354" s="33">
        <f>SUMIF(VR!B:B,A354,VR!I:I)</f>
        <v>657.5</v>
      </c>
      <c r="J354" s="4">
        <f t="shared" si="5"/>
        <v>1016.96</v>
      </c>
      <c r="K354" s="195">
        <f>SUMIF(FALTAS!A:A,A354,FALTAS!D:D)</f>
        <v>0</v>
      </c>
    </row>
    <row r="355" spans="1:11" x14ac:dyDescent="0.2">
      <c r="A355" s="235">
        <v>112866</v>
      </c>
      <c r="B355" s="236" t="s">
        <v>462</v>
      </c>
      <c r="C355" s="236" t="s">
        <v>8</v>
      </c>
      <c r="D355" s="236" t="s">
        <v>2</v>
      </c>
      <c r="E355" s="237">
        <v>43617</v>
      </c>
      <c r="F355" s="236" t="s">
        <v>1234</v>
      </c>
      <c r="G355" s="237">
        <v>44993</v>
      </c>
      <c r="H355" s="234">
        <f>SUMIF(VA!B:B,A355,VA!I:I)</f>
        <v>359.46</v>
      </c>
      <c r="I355" s="33">
        <f>SUMIF(VR!B:B,A355,VR!I:I)</f>
        <v>657.5</v>
      </c>
      <c r="J355" s="4">
        <f t="shared" si="5"/>
        <v>1016.96</v>
      </c>
      <c r="K355" s="195">
        <f>SUMIF(FALTAS!A:A,A355,FALTAS!D:D)</f>
        <v>0</v>
      </c>
    </row>
    <row r="356" spans="1:11" x14ac:dyDescent="0.2">
      <c r="A356" s="235">
        <v>112867</v>
      </c>
      <c r="B356" s="236" t="s">
        <v>463</v>
      </c>
      <c r="C356" s="236" t="s">
        <v>8</v>
      </c>
      <c r="D356" s="236" t="s">
        <v>2</v>
      </c>
      <c r="E356" s="237">
        <v>43617</v>
      </c>
      <c r="F356" s="236" t="s">
        <v>1234</v>
      </c>
      <c r="G356" s="237">
        <v>45023</v>
      </c>
      <c r="H356" s="234">
        <f>SUMIF(VA!B:B,A356,VA!I:I)</f>
        <v>359.46</v>
      </c>
      <c r="I356" s="33">
        <f>SUMIF(VR!B:B,A356,VR!I:I)</f>
        <v>657.5</v>
      </c>
      <c r="J356" s="4">
        <f t="shared" si="5"/>
        <v>1016.96</v>
      </c>
      <c r="K356" s="195">
        <f>SUMIF(FALTAS!A:A,A356,FALTAS!D:D)</f>
        <v>0</v>
      </c>
    </row>
    <row r="357" spans="1:11" x14ac:dyDescent="0.2">
      <c r="A357" s="235">
        <v>112874</v>
      </c>
      <c r="B357" s="236" t="s">
        <v>467</v>
      </c>
      <c r="C357" s="236" t="s">
        <v>1589</v>
      </c>
      <c r="D357" s="236" t="s">
        <v>15</v>
      </c>
      <c r="E357" s="237">
        <v>43617</v>
      </c>
      <c r="F357" s="236" t="s">
        <v>1234</v>
      </c>
      <c r="G357" s="237">
        <v>44960</v>
      </c>
      <c r="H357" s="234">
        <f>SUMIF(VA!B:B,A357,VA!I:I)</f>
        <v>359.46</v>
      </c>
      <c r="I357" s="33">
        <f>SUMIF(VR!B:B,A357,VR!I:I)</f>
        <v>657.5</v>
      </c>
      <c r="J357" s="4">
        <f t="shared" si="5"/>
        <v>1016.96</v>
      </c>
      <c r="K357" s="195">
        <f>SUMIF(FALTAS!A:A,A357,FALTAS!D:D)</f>
        <v>0</v>
      </c>
    </row>
    <row r="358" spans="1:11" x14ac:dyDescent="0.2">
      <c r="A358" s="235">
        <v>112881</v>
      </c>
      <c r="B358" s="236" t="s">
        <v>473</v>
      </c>
      <c r="C358" s="236" t="s">
        <v>0</v>
      </c>
      <c r="D358" s="236" t="s">
        <v>2</v>
      </c>
      <c r="E358" s="237">
        <v>43617</v>
      </c>
      <c r="F358" s="236" t="s">
        <v>1234</v>
      </c>
      <c r="G358" s="237">
        <v>45056</v>
      </c>
      <c r="H358" s="234">
        <f>SUMIF(VA!B:B,A358,VA!I:I)</f>
        <v>359.46</v>
      </c>
      <c r="I358" s="33">
        <f>SUMIF(VR!B:B,A358,VR!I:I)</f>
        <v>657.5</v>
      </c>
      <c r="J358" s="4">
        <f t="shared" si="5"/>
        <v>1016.96</v>
      </c>
      <c r="K358" s="195">
        <f>SUMIF(FALTAS!A:A,A358,FALTAS!D:D)</f>
        <v>0</v>
      </c>
    </row>
    <row r="359" spans="1:11" x14ac:dyDescent="0.2">
      <c r="A359" s="235">
        <v>112878</v>
      </c>
      <c r="B359" s="236" t="s">
        <v>472</v>
      </c>
      <c r="C359" s="236" t="s">
        <v>1589</v>
      </c>
      <c r="D359" s="236" t="s">
        <v>15</v>
      </c>
      <c r="E359" s="237">
        <v>43617</v>
      </c>
      <c r="F359" s="236" t="s">
        <v>1234</v>
      </c>
      <c r="G359" s="237">
        <v>45096</v>
      </c>
      <c r="H359" s="234">
        <f>SUMIF(VA!B:B,A359,VA!I:I)</f>
        <v>359.46</v>
      </c>
      <c r="I359" s="33">
        <f>SUMIF(VR!B:B,A359,VR!I:I)</f>
        <v>657.5</v>
      </c>
      <c r="J359" s="4">
        <f t="shared" si="5"/>
        <v>1016.96</v>
      </c>
      <c r="K359" s="195">
        <f>SUMIF(FALTAS!A:A,A359,FALTAS!D:D)</f>
        <v>0</v>
      </c>
    </row>
    <row r="360" spans="1:11" x14ac:dyDescent="0.2">
      <c r="A360" s="235">
        <v>119662</v>
      </c>
      <c r="B360" s="236" t="s">
        <v>1466</v>
      </c>
      <c r="C360" s="236" t="s">
        <v>1589</v>
      </c>
      <c r="D360" s="236" t="s">
        <v>15</v>
      </c>
      <c r="E360" s="237">
        <v>44725</v>
      </c>
      <c r="F360" s="236" t="s">
        <v>1234</v>
      </c>
      <c r="G360" s="237">
        <v>44725</v>
      </c>
      <c r="H360" s="234">
        <f>SUMIF(VA!B:B,A360,VA!I:I)</f>
        <v>359.46</v>
      </c>
      <c r="I360" s="33">
        <f>SUMIF(VR!B:B,A360,VR!I:I)</f>
        <v>657.5</v>
      </c>
      <c r="J360" s="4">
        <f t="shared" si="5"/>
        <v>1016.96</v>
      </c>
      <c r="K360" s="195">
        <f>SUMIF(FALTAS!A:A,A360,FALTAS!D:D)</f>
        <v>0</v>
      </c>
    </row>
    <row r="361" spans="1:11" x14ac:dyDescent="0.2">
      <c r="A361" s="235">
        <v>115231</v>
      </c>
      <c r="B361" s="236" t="s">
        <v>1152</v>
      </c>
      <c r="C361" s="236" t="s">
        <v>1589</v>
      </c>
      <c r="D361" s="236" t="s">
        <v>5</v>
      </c>
      <c r="E361" s="237">
        <v>44018</v>
      </c>
      <c r="F361" s="236" t="s">
        <v>1234</v>
      </c>
      <c r="G361" s="237">
        <v>44806</v>
      </c>
      <c r="H361" s="234">
        <f>SUMIF(VA!B:B,A361,VA!I:I)</f>
        <v>359.46</v>
      </c>
      <c r="I361" s="33">
        <f>SUMIF(VR!B:B,A361,VR!I:I)</f>
        <v>657.5</v>
      </c>
      <c r="J361" s="4">
        <f t="shared" si="5"/>
        <v>1016.96</v>
      </c>
      <c r="K361" s="195">
        <f>SUMIF(FALTAS!A:A,A361,FALTAS!D:D)</f>
        <v>0</v>
      </c>
    </row>
    <row r="362" spans="1:11" x14ac:dyDescent="0.2">
      <c r="A362" s="235">
        <v>113416</v>
      </c>
      <c r="B362" s="236" t="s">
        <v>767</v>
      </c>
      <c r="C362" s="236" t="s">
        <v>0</v>
      </c>
      <c r="D362" s="236" t="s">
        <v>2</v>
      </c>
      <c r="E362" s="237">
        <v>43617</v>
      </c>
      <c r="F362" s="236" t="s">
        <v>1234</v>
      </c>
      <c r="G362" s="237">
        <v>44930</v>
      </c>
      <c r="H362" s="234">
        <f>SUMIF(VA!B:B,A362,VA!I:I)</f>
        <v>359.46</v>
      </c>
      <c r="I362" s="33">
        <f>SUMIF(VR!B:B,A362,VR!I:I)</f>
        <v>657.5</v>
      </c>
      <c r="J362" s="4">
        <f t="shared" si="5"/>
        <v>1016.96</v>
      </c>
      <c r="K362" s="195">
        <f>SUMIF(FALTAS!A:A,A362,FALTAS!D:D)</f>
        <v>0</v>
      </c>
    </row>
    <row r="363" spans="1:11" x14ac:dyDescent="0.2">
      <c r="A363" s="235">
        <v>117359</v>
      </c>
      <c r="B363" s="236" t="s">
        <v>1269</v>
      </c>
      <c r="C363" s="236" t="s">
        <v>1589</v>
      </c>
      <c r="D363" s="236" t="s">
        <v>15</v>
      </c>
      <c r="E363" s="237">
        <v>44508</v>
      </c>
      <c r="F363" s="236" t="s">
        <v>1234</v>
      </c>
      <c r="G363" s="237">
        <v>44993</v>
      </c>
      <c r="H363" s="234">
        <f>SUMIF(VA!B:B,A363,VA!I:I)</f>
        <v>359.46</v>
      </c>
      <c r="I363" s="33">
        <f>SUMIF(VR!B:B,A363,VR!I:I)</f>
        <v>657.5</v>
      </c>
      <c r="J363" s="4">
        <f t="shared" si="5"/>
        <v>1016.96</v>
      </c>
      <c r="K363" s="195">
        <f>SUMIF(FALTAS!A:A,A363,FALTAS!D:D)</f>
        <v>0</v>
      </c>
    </row>
    <row r="364" spans="1:11" x14ac:dyDescent="0.2">
      <c r="A364" s="235">
        <v>114977</v>
      </c>
      <c r="B364" s="236" t="s">
        <v>1138</v>
      </c>
      <c r="C364" s="236" t="s">
        <v>1589</v>
      </c>
      <c r="D364" s="236" t="s">
        <v>5</v>
      </c>
      <c r="E364" s="237">
        <v>43917</v>
      </c>
      <c r="F364" s="236" t="s">
        <v>1234</v>
      </c>
      <c r="G364" s="237">
        <v>45086</v>
      </c>
      <c r="H364" s="234">
        <f>SUMIF(VA!B:B,A364,VA!I:I)</f>
        <v>359.46</v>
      </c>
      <c r="I364" s="33">
        <f>SUMIF(VR!B:B,A364,VR!I:I)</f>
        <v>657.5</v>
      </c>
      <c r="J364" s="4">
        <f t="shared" si="5"/>
        <v>1016.96</v>
      </c>
      <c r="K364" s="195">
        <f>SUMIF(FALTAS!A:A,A364,FALTAS!D:D)</f>
        <v>0</v>
      </c>
    </row>
    <row r="365" spans="1:11" x14ac:dyDescent="0.2">
      <c r="A365" s="235">
        <v>113442</v>
      </c>
      <c r="B365" s="236" t="s">
        <v>784</v>
      </c>
      <c r="C365" s="236" t="s">
        <v>0</v>
      </c>
      <c r="D365" s="236" t="s">
        <v>2</v>
      </c>
      <c r="E365" s="237">
        <v>43617</v>
      </c>
      <c r="F365" s="236" t="s">
        <v>1234</v>
      </c>
      <c r="G365" s="237">
        <v>44960</v>
      </c>
      <c r="H365" s="234">
        <f>SUMIF(VA!B:B,A365,VA!I:I)</f>
        <v>359.46</v>
      </c>
      <c r="I365" s="33">
        <f>SUMIF(VR!B:B,A365,VR!I:I)</f>
        <v>657.5</v>
      </c>
      <c r="J365" s="4">
        <f t="shared" si="5"/>
        <v>1016.96</v>
      </c>
      <c r="K365" s="195">
        <f>SUMIF(FALTAS!A:A,A365,FALTAS!D:D)</f>
        <v>0</v>
      </c>
    </row>
    <row r="366" spans="1:11" x14ac:dyDescent="0.2">
      <c r="A366" s="235">
        <v>115216</v>
      </c>
      <c r="B366" s="236" t="s">
        <v>1146</v>
      </c>
      <c r="C366" s="236" t="s">
        <v>8</v>
      </c>
      <c r="D366" s="236" t="s">
        <v>5</v>
      </c>
      <c r="E366" s="237">
        <v>44018</v>
      </c>
      <c r="F366" s="236" t="s">
        <v>1234</v>
      </c>
      <c r="G366" s="237">
        <v>45086</v>
      </c>
      <c r="H366" s="234">
        <f>SUMIF(VA!B:B,A366,VA!I:I)</f>
        <v>359.46</v>
      </c>
      <c r="I366" s="33">
        <f>SUMIF(VR!B:B,A366,VR!I:I)</f>
        <v>657.5</v>
      </c>
      <c r="J366" s="4">
        <f t="shared" si="5"/>
        <v>1016.96</v>
      </c>
      <c r="K366" s="195">
        <f>SUMIF(FALTAS!A:A,A366,FALTAS!D:D)</f>
        <v>0</v>
      </c>
    </row>
    <row r="367" spans="1:11" x14ac:dyDescent="0.2">
      <c r="A367" s="235">
        <v>113447</v>
      </c>
      <c r="B367" s="236" t="s">
        <v>786</v>
      </c>
      <c r="C367" s="236" t="s">
        <v>1589</v>
      </c>
      <c r="D367" s="236" t="s">
        <v>722</v>
      </c>
      <c r="E367" s="237">
        <v>43617</v>
      </c>
      <c r="F367" s="236" t="s">
        <v>1234</v>
      </c>
      <c r="G367" s="237">
        <v>44937</v>
      </c>
      <c r="H367" s="234">
        <f>SUMIF(VA!B:B,A367,VA!I:I)</f>
        <v>359.46</v>
      </c>
      <c r="I367" s="33">
        <f>SUMIF(VR!B:B,A367,VR!I:I)</f>
        <v>657.5</v>
      </c>
      <c r="J367" s="4">
        <f t="shared" si="5"/>
        <v>1016.96</v>
      </c>
      <c r="K367" s="195">
        <f>SUMIF(FALTAS!A:A,A367,FALTAS!D:D)</f>
        <v>0</v>
      </c>
    </row>
    <row r="368" spans="1:11" x14ac:dyDescent="0.2">
      <c r="A368" s="235">
        <v>113457</v>
      </c>
      <c r="B368" s="236" t="s">
        <v>790</v>
      </c>
      <c r="C368" s="236" t="s">
        <v>32</v>
      </c>
      <c r="D368" s="236" t="s">
        <v>2</v>
      </c>
      <c r="E368" s="237">
        <v>43617</v>
      </c>
      <c r="F368" s="236" t="s">
        <v>1234</v>
      </c>
      <c r="G368" s="237">
        <v>45023</v>
      </c>
      <c r="H368" s="234">
        <f>SUMIF(VA!B:B,A368,VA!I:I)</f>
        <v>359.46</v>
      </c>
      <c r="I368" s="33">
        <f>SUMIF(VR!B:B,A368,VR!I:I)</f>
        <v>657.5</v>
      </c>
      <c r="J368" s="4">
        <f t="shared" si="5"/>
        <v>1016.96</v>
      </c>
      <c r="K368" s="195">
        <f>SUMIF(FALTAS!A:A,A368,FALTAS!D:D)</f>
        <v>0</v>
      </c>
    </row>
    <row r="369" spans="1:11" x14ac:dyDescent="0.2">
      <c r="A369" s="235">
        <v>122574</v>
      </c>
      <c r="B369" s="236" t="s">
        <v>1697</v>
      </c>
      <c r="C369" s="236" t="s">
        <v>1589</v>
      </c>
      <c r="D369" s="236" t="s">
        <v>15</v>
      </c>
      <c r="E369" s="237">
        <v>45131</v>
      </c>
      <c r="F369" s="236" t="s">
        <v>1234</v>
      </c>
      <c r="G369" s="237">
        <v>45131</v>
      </c>
      <c r="H369" s="234">
        <f>SUMIF(VA!B:B,A369,VA!I:I)</f>
        <v>359.46</v>
      </c>
      <c r="I369" s="33">
        <f>SUMIF(VR!B:B,A369,VR!I:I)</f>
        <v>657.5</v>
      </c>
      <c r="J369" s="4">
        <f t="shared" si="5"/>
        <v>1016.96</v>
      </c>
      <c r="K369" s="195">
        <f>SUMIF(FALTAS!A:A,A369,FALTAS!D:D)</f>
        <v>0</v>
      </c>
    </row>
    <row r="370" spans="1:11" x14ac:dyDescent="0.2">
      <c r="A370" s="235">
        <v>113460</v>
      </c>
      <c r="B370" s="236" t="s">
        <v>793</v>
      </c>
      <c r="C370" s="236" t="s">
        <v>1589</v>
      </c>
      <c r="D370" s="236" t="s">
        <v>22</v>
      </c>
      <c r="E370" s="237">
        <v>43617</v>
      </c>
      <c r="F370" s="236" t="s">
        <v>1234</v>
      </c>
      <c r="G370" s="237">
        <v>45056</v>
      </c>
      <c r="H370" s="234">
        <f>SUMIF(VA!B:B,A370,VA!I:I)</f>
        <v>359.46</v>
      </c>
      <c r="I370" s="33">
        <f>SUMIF(VR!B:B,A370,VR!I:I)</f>
        <v>657.5</v>
      </c>
      <c r="J370" s="4">
        <f t="shared" si="5"/>
        <v>1016.96</v>
      </c>
      <c r="K370" s="195">
        <f>SUMIF(FALTAS!A:A,A370,FALTAS!D:D)</f>
        <v>0</v>
      </c>
    </row>
    <row r="371" spans="1:11" x14ac:dyDescent="0.2">
      <c r="A371" s="235">
        <v>113469</v>
      </c>
      <c r="B371" s="236" t="s">
        <v>798</v>
      </c>
      <c r="C371" s="236" t="s">
        <v>0</v>
      </c>
      <c r="D371" s="236" t="s">
        <v>5</v>
      </c>
      <c r="E371" s="237">
        <v>43617</v>
      </c>
      <c r="F371" s="236" t="s">
        <v>1234</v>
      </c>
      <c r="G371" s="237">
        <v>45023</v>
      </c>
      <c r="H371" s="234">
        <f>SUMIF(VA!B:B,A371,VA!I:I)</f>
        <v>359.46</v>
      </c>
      <c r="I371" s="33">
        <f>SUMIF(VR!B:B,A371,VR!I:I)</f>
        <v>657.5</v>
      </c>
      <c r="J371" s="4">
        <f t="shared" si="5"/>
        <v>1016.96</v>
      </c>
      <c r="K371" s="195">
        <f>SUMIF(FALTAS!A:A,A371,FALTAS!D:D)</f>
        <v>0</v>
      </c>
    </row>
    <row r="372" spans="1:11" x14ac:dyDescent="0.2">
      <c r="A372" s="235">
        <v>113491</v>
      </c>
      <c r="B372" s="236" t="s">
        <v>810</v>
      </c>
      <c r="C372" s="236" t="s">
        <v>32</v>
      </c>
      <c r="D372" s="236" t="s">
        <v>5</v>
      </c>
      <c r="E372" s="237">
        <v>43617</v>
      </c>
      <c r="F372" s="236" t="s">
        <v>1234</v>
      </c>
      <c r="G372" s="237">
        <v>44930</v>
      </c>
      <c r="H372" s="234">
        <f>SUMIF(VA!B:B,A372,VA!I:I)</f>
        <v>359.46</v>
      </c>
      <c r="I372" s="33">
        <f>SUMIF(VR!B:B,A372,VR!I:I)</f>
        <v>657.5</v>
      </c>
      <c r="J372" s="4">
        <f t="shared" si="5"/>
        <v>1016.96</v>
      </c>
      <c r="K372" s="195">
        <f>SUMIF(FALTAS!A:A,A372,FALTAS!D:D)</f>
        <v>0</v>
      </c>
    </row>
    <row r="373" spans="1:11" x14ac:dyDescent="0.2">
      <c r="A373" s="235">
        <v>113495</v>
      </c>
      <c r="B373" s="236" t="s">
        <v>1565</v>
      </c>
      <c r="C373" s="236" t="s">
        <v>32</v>
      </c>
      <c r="D373" s="236" t="s">
        <v>5</v>
      </c>
      <c r="E373" s="237">
        <v>43617</v>
      </c>
      <c r="F373" s="236" t="s">
        <v>1516</v>
      </c>
      <c r="G373" s="237">
        <v>44114</v>
      </c>
      <c r="H373" s="234">
        <f>SUMIF(VA!B:B,A373,VA!I:I)</f>
        <v>0</v>
      </c>
      <c r="I373" s="33">
        <f>SUMIF(VR!B:B,A373,VR!I:I)</f>
        <v>0</v>
      </c>
      <c r="J373" s="4">
        <f t="shared" si="5"/>
        <v>0</v>
      </c>
      <c r="K373" s="195">
        <f>SUMIF(FALTAS!A:A,A373,FALTAS!D:D)</f>
        <v>0</v>
      </c>
    </row>
    <row r="374" spans="1:11" x14ac:dyDescent="0.2">
      <c r="A374" s="235">
        <v>113498</v>
      </c>
      <c r="B374" s="236" t="s">
        <v>813</v>
      </c>
      <c r="C374" s="236" t="s">
        <v>19</v>
      </c>
      <c r="D374" s="236" t="s">
        <v>5</v>
      </c>
      <c r="E374" s="237">
        <v>43617</v>
      </c>
      <c r="F374" s="236" t="s">
        <v>1234</v>
      </c>
      <c r="G374" s="237">
        <v>44835</v>
      </c>
      <c r="H374" s="234">
        <f>SUMIF(VA!B:B,A374,VA!I:I)</f>
        <v>359.46</v>
      </c>
      <c r="I374" s="33">
        <f>SUMIF(VR!B:B,A374,VR!I:I)</f>
        <v>657.5</v>
      </c>
      <c r="J374" s="4">
        <f t="shared" si="5"/>
        <v>1016.96</v>
      </c>
      <c r="K374" s="195">
        <f>SUMIF(FALTAS!A:A,A374,FALTAS!D:D)</f>
        <v>0</v>
      </c>
    </row>
    <row r="375" spans="1:11" x14ac:dyDescent="0.2">
      <c r="A375" s="235">
        <v>113510</v>
      </c>
      <c r="B375" s="236" t="s">
        <v>819</v>
      </c>
      <c r="C375" s="236" t="s">
        <v>1589</v>
      </c>
      <c r="D375" s="236" t="s">
        <v>15</v>
      </c>
      <c r="E375" s="237">
        <v>43617</v>
      </c>
      <c r="F375" s="236" t="s">
        <v>1234</v>
      </c>
      <c r="G375" s="237">
        <v>44993</v>
      </c>
      <c r="H375" s="234">
        <f>SUMIF(VA!B:B,A375,VA!I:I)</f>
        <v>359.46</v>
      </c>
      <c r="I375" s="33">
        <f>SUMIF(VR!B:B,A375,VR!I:I)</f>
        <v>657.5</v>
      </c>
      <c r="J375" s="4">
        <f t="shared" si="5"/>
        <v>1016.96</v>
      </c>
      <c r="K375" s="195">
        <f>SUMIF(FALTAS!A:A,A375,FALTAS!D:D)</f>
        <v>0</v>
      </c>
    </row>
    <row r="376" spans="1:11" x14ac:dyDescent="0.2">
      <c r="A376" s="235">
        <v>113512</v>
      </c>
      <c r="B376" s="236" t="s">
        <v>820</v>
      </c>
      <c r="C376" s="236" t="s">
        <v>8</v>
      </c>
      <c r="D376" s="236" t="s">
        <v>5</v>
      </c>
      <c r="E376" s="237">
        <v>43617</v>
      </c>
      <c r="F376" s="236" t="s">
        <v>1234</v>
      </c>
      <c r="G376" s="237">
        <v>44776</v>
      </c>
      <c r="H376" s="234">
        <f>SUMIF(VA!B:B,A376,VA!I:I)</f>
        <v>359.46</v>
      </c>
      <c r="I376" s="33">
        <f>SUMIF(VR!B:B,A376,VR!I:I)</f>
        <v>657.5</v>
      </c>
      <c r="J376" s="4">
        <f t="shared" si="5"/>
        <v>1016.96</v>
      </c>
      <c r="K376" s="195">
        <f>SUMIF(FALTAS!A:A,A376,FALTAS!D:D)</f>
        <v>0</v>
      </c>
    </row>
    <row r="377" spans="1:11" x14ac:dyDescent="0.2">
      <c r="A377" s="235">
        <v>113516</v>
      </c>
      <c r="B377" s="236" t="s">
        <v>822</v>
      </c>
      <c r="C377" s="236" t="s">
        <v>10</v>
      </c>
      <c r="D377" s="236" t="s">
        <v>2</v>
      </c>
      <c r="E377" s="237">
        <v>43617</v>
      </c>
      <c r="F377" s="236" t="s">
        <v>1234</v>
      </c>
      <c r="G377" s="237">
        <v>44989</v>
      </c>
      <c r="H377" s="234">
        <f>SUMIF(VA!B:B,A377,VA!I:I)</f>
        <v>359.46</v>
      </c>
      <c r="I377" s="33">
        <f>SUMIF(VR!B:B,A377,VR!I:I)</f>
        <v>657.5</v>
      </c>
      <c r="J377" s="4">
        <f t="shared" si="5"/>
        <v>1016.96</v>
      </c>
      <c r="K377" s="195">
        <f>SUMIF(FALTAS!A:A,A377,FALTAS!D:D)</f>
        <v>0</v>
      </c>
    </row>
    <row r="378" spans="1:11" x14ac:dyDescent="0.2">
      <c r="A378" s="235">
        <v>114108</v>
      </c>
      <c r="B378" s="236" t="s">
        <v>1012</v>
      </c>
      <c r="C378" s="236" t="s">
        <v>8</v>
      </c>
      <c r="D378" s="236" t="s">
        <v>5</v>
      </c>
      <c r="E378" s="237">
        <v>43728</v>
      </c>
      <c r="F378" s="236" t="s">
        <v>1234</v>
      </c>
      <c r="G378" s="237">
        <v>44960</v>
      </c>
      <c r="H378" s="234">
        <f>SUMIF(VA!B:B,A378,VA!I:I)</f>
        <v>359.46</v>
      </c>
      <c r="I378" s="33">
        <f>SUMIF(VR!B:B,A378,VR!I:I)</f>
        <v>657.5</v>
      </c>
      <c r="J378" s="4">
        <f t="shared" si="5"/>
        <v>1016.96</v>
      </c>
      <c r="K378" s="195">
        <f>SUMIF(FALTAS!A:A,A378,FALTAS!D:D)</f>
        <v>0</v>
      </c>
    </row>
    <row r="379" spans="1:11" x14ac:dyDescent="0.2">
      <c r="A379" s="235">
        <v>113521</v>
      </c>
      <c r="B379" s="236" t="s">
        <v>825</v>
      </c>
      <c r="C379" s="236" t="s">
        <v>0</v>
      </c>
      <c r="D379" s="236" t="s">
        <v>2</v>
      </c>
      <c r="E379" s="237">
        <v>43617</v>
      </c>
      <c r="F379" s="236" t="s">
        <v>1234</v>
      </c>
      <c r="G379" s="237">
        <v>45056</v>
      </c>
      <c r="H379" s="234">
        <f>SUMIF(VA!B:B,A379,VA!I:I)</f>
        <v>359.46</v>
      </c>
      <c r="I379" s="33">
        <f>SUMIF(VR!B:B,A379,VR!I:I)</f>
        <v>657.5</v>
      </c>
      <c r="J379" s="4">
        <f t="shared" si="5"/>
        <v>1016.96</v>
      </c>
      <c r="K379" s="195">
        <f>SUMIF(FALTAS!A:A,A379,FALTAS!D:D)</f>
        <v>0</v>
      </c>
    </row>
    <row r="380" spans="1:11" x14ac:dyDescent="0.2">
      <c r="A380" s="235">
        <v>116327</v>
      </c>
      <c r="B380" s="236" t="s">
        <v>1522</v>
      </c>
      <c r="C380" s="236" t="s">
        <v>0</v>
      </c>
      <c r="D380" s="236" t="s">
        <v>5</v>
      </c>
      <c r="E380" s="237">
        <v>44308</v>
      </c>
      <c r="F380" s="236" t="s">
        <v>1234</v>
      </c>
      <c r="G380" s="237">
        <v>45042</v>
      </c>
      <c r="H380" s="234">
        <f>SUMIF(VA!B:B,A380,VA!I:I)</f>
        <v>359.46</v>
      </c>
      <c r="I380" s="33">
        <f>SUMIF(VR!B:B,A380,VR!I:I)</f>
        <v>657.5</v>
      </c>
      <c r="J380" s="4">
        <f t="shared" si="5"/>
        <v>1016.96</v>
      </c>
      <c r="K380" s="195">
        <f>SUMIF(FALTAS!A:A,A380,FALTAS!D:D)</f>
        <v>0</v>
      </c>
    </row>
    <row r="381" spans="1:11" x14ac:dyDescent="0.2">
      <c r="A381" s="235">
        <v>113524</v>
      </c>
      <c r="B381" s="236" t="s">
        <v>826</v>
      </c>
      <c r="C381" s="236" t="s">
        <v>19</v>
      </c>
      <c r="D381" s="236" t="s">
        <v>5</v>
      </c>
      <c r="E381" s="237">
        <v>43617</v>
      </c>
      <c r="F381" s="236" t="s">
        <v>1234</v>
      </c>
      <c r="G381" s="237">
        <v>44835</v>
      </c>
      <c r="H381" s="234">
        <f>SUMIF(VA!B:B,A381,VA!I:I)</f>
        <v>359.46</v>
      </c>
      <c r="I381" s="33">
        <f>SUMIF(VR!B:B,A381,VR!I:I)</f>
        <v>657.5</v>
      </c>
      <c r="J381" s="4">
        <f t="shared" si="5"/>
        <v>1016.96</v>
      </c>
      <c r="K381" s="195">
        <f>SUMIF(FALTAS!A:A,A381,FALTAS!D:D)</f>
        <v>0</v>
      </c>
    </row>
    <row r="382" spans="1:11" x14ac:dyDescent="0.2">
      <c r="A382" s="235">
        <v>113530</v>
      </c>
      <c r="B382" s="236" t="s">
        <v>829</v>
      </c>
      <c r="C382" s="236" t="s">
        <v>0</v>
      </c>
      <c r="D382" s="236" t="s">
        <v>2</v>
      </c>
      <c r="E382" s="237">
        <v>43617</v>
      </c>
      <c r="F382" s="236" t="s">
        <v>1234</v>
      </c>
      <c r="G382" s="237">
        <v>44867</v>
      </c>
      <c r="H382" s="234">
        <f>SUMIF(VA!B:B,A382,VA!I:I)</f>
        <v>359.46</v>
      </c>
      <c r="I382" s="33">
        <f>SUMIF(VR!B:B,A382,VR!I:I)</f>
        <v>657.5</v>
      </c>
      <c r="J382" s="4">
        <f t="shared" si="5"/>
        <v>1016.96</v>
      </c>
      <c r="K382" s="195">
        <f>SUMIF(FALTAS!A:A,A382,FALTAS!D:D)</f>
        <v>0</v>
      </c>
    </row>
    <row r="383" spans="1:11" x14ac:dyDescent="0.2">
      <c r="A383" s="235">
        <v>113532</v>
      </c>
      <c r="B383" s="236" t="s">
        <v>831</v>
      </c>
      <c r="C383" s="236" t="s">
        <v>10</v>
      </c>
      <c r="D383" s="236" t="s">
        <v>5</v>
      </c>
      <c r="E383" s="237">
        <v>43617</v>
      </c>
      <c r="F383" s="236" t="s">
        <v>1234</v>
      </c>
      <c r="G383" s="237">
        <v>45149</v>
      </c>
      <c r="H383" s="234">
        <f>SUMIF(VA!B:B,A383,VA!I:I)</f>
        <v>359.46</v>
      </c>
      <c r="I383" s="33">
        <f>SUMIF(VR!B:B,A383,VR!I:I)</f>
        <v>657.5</v>
      </c>
      <c r="J383" s="4">
        <f t="shared" si="5"/>
        <v>1016.96</v>
      </c>
      <c r="K383" s="195">
        <f>SUMIF(FALTAS!A:A,A383,FALTAS!D:D)</f>
        <v>0</v>
      </c>
    </row>
    <row r="384" spans="1:11" x14ac:dyDescent="0.2">
      <c r="A384" s="235">
        <v>113535</v>
      </c>
      <c r="B384" s="236" t="s">
        <v>833</v>
      </c>
      <c r="C384" s="236" t="s">
        <v>1589</v>
      </c>
      <c r="D384" s="236" t="s">
        <v>1449</v>
      </c>
      <c r="E384" s="237">
        <v>43617</v>
      </c>
      <c r="F384" s="236" t="s">
        <v>1234</v>
      </c>
      <c r="G384" s="237">
        <v>44867</v>
      </c>
      <c r="H384" s="234">
        <f>SUMIF(VA!B:B,A384,VA!I:I)</f>
        <v>359.46</v>
      </c>
      <c r="I384" s="33">
        <f>SUMIF(VR!B:B,A384,VR!I:I)</f>
        <v>657.5</v>
      </c>
      <c r="J384" s="4">
        <f t="shared" si="5"/>
        <v>1016.96</v>
      </c>
      <c r="K384" s="195">
        <f>SUMIF(FALTAS!A:A,A384,FALTAS!D:D)</f>
        <v>0</v>
      </c>
    </row>
    <row r="385" spans="1:11" x14ac:dyDescent="0.2">
      <c r="A385" s="235">
        <v>113537</v>
      </c>
      <c r="B385" s="236" t="s">
        <v>835</v>
      </c>
      <c r="C385" s="236" t="s">
        <v>0</v>
      </c>
      <c r="D385" s="236" t="s">
        <v>2</v>
      </c>
      <c r="E385" s="237">
        <v>43617</v>
      </c>
      <c r="F385" s="236" t="s">
        <v>1234</v>
      </c>
      <c r="G385" s="237">
        <v>44960</v>
      </c>
      <c r="H385" s="234">
        <f>SUMIF(VA!B:B,A385,VA!I:I)</f>
        <v>359.46</v>
      </c>
      <c r="I385" s="33">
        <f>SUMIF(VR!B:B,A385,VR!I:I)</f>
        <v>657.5</v>
      </c>
      <c r="J385" s="4">
        <f t="shared" si="5"/>
        <v>1016.96</v>
      </c>
      <c r="K385" s="195">
        <f>SUMIF(FALTAS!A:A,A385,FALTAS!D:D)</f>
        <v>0</v>
      </c>
    </row>
    <row r="386" spans="1:11" x14ac:dyDescent="0.2">
      <c r="A386" s="235">
        <v>113541</v>
      </c>
      <c r="B386" s="236" t="s">
        <v>837</v>
      </c>
      <c r="C386" s="236" t="s">
        <v>1589</v>
      </c>
      <c r="D386" s="236" t="s">
        <v>7</v>
      </c>
      <c r="E386" s="237">
        <v>43617</v>
      </c>
      <c r="F386" s="236" t="s">
        <v>1234</v>
      </c>
      <c r="G386" s="237">
        <v>44867</v>
      </c>
      <c r="H386" s="234">
        <f>SUMIF(VA!B:B,A386,VA!I:I)</f>
        <v>359.46</v>
      </c>
      <c r="I386" s="33">
        <f>SUMIF(VR!B:B,A386,VR!I:I)</f>
        <v>657.5</v>
      </c>
      <c r="J386" s="4">
        <f t="shared" ref="J386:J449" si="6">H386+I386</f>
        <v>1016.96</v>
      </c>
      <c r="K386" s="195">
        <f>SUMIF(FALTAS!A:A,A386,FALTAS!D:D)</f>
        <v>0</v>
      </c>
    </row>
    <row r="387" spans="1:11" x14ac:dyDescent="0.2">
      <c r="A387" s="235">
        <v>113548</v>
      </c>
      <c r="B387" s="236" t="s">
        <v>842</v>
      </c>
      <c r="C387" s="236" t="s">
        <v>0</v>
      </c>
      <c r="D387" s="236" t="s">
        <v>5</v>
      </c>
      <c r="E387" s="237">
        <v>43617</v>
      </c>
      <c r="F387" s="236" t="s">
        <v>1234</v>
      </c>
      <c r="G387" s="237">
        <v>44993</v>
      </c>
      <c r="H387" s="234">
        <f>SUMIF(VA!B:B,A387,VA!I:I)</f>
        <v>359.46</v>
      </c>
      <c r="I387" s="33">
        <f>SUMIF(VR!B:B,A387,VR!I:I)</f>
        <v>657.5</v>
      </c>
      <c r="J387" s="4">
        <f t="shared" si="6"/>
        <v>1016.96</v>
      </c>
      <c r="K387" s="195">
        <f>SUMIF(FALTAS!A:A,A387,FALTAS!D:D)</f>
        <v>0</v>
      </c>
    </row>
    <row r="388" spans="1:11" x14ac:dyDescent="0.2">
      <c r="A388" s="235">
        <v>113551</v>
      </c>
      <c r="B388" s="236" t="s">
        <v>845</v>
      </c>
      <c r="C388" s="236" t="s">
        <v>0</v>
      </c>
      <c r="D388" s="236" t="s">
        <v>2</v>
      </c>
      <c r="E388" s="237">
        <v>43617</v>
      </c>
      <c r="F388" s="236" t="s">
        <v>1234</v>
      </c>
      <c r="G388" s="237">
        <v>45023</v>
      </c>
      <c r="H388" s="234">
        <f>SUMIF(VA!B:B,A388,VA!I:I)</f>
        <v>359.46</v>
      </c>
      <c r="I388" s="33">
        <f>SUMIF(VR!B:B,A388,VR!I:I)</f>
        <v>657.5</v>
      </c>
      <c r="J388" s="4">
        <f t="shared" si="6"/>
        <v>1016.96</v>
      </c>
      <c r="K388" s="195">
        <f>SUMIF(FALTAS!A:A,A388,FALTAS!D:D)</f>
        <v>0</v>
      </c>
    </row>
    <row r="389" spans="1:11" x14ac:dyDescent="0.2">
      <c r="A389" s="235">
        <v>114697</v>
      </c>
      <c r="B389" s="236" t="s">
        <v>1075</v>
      </c>
      <c r="C389" s="236" t="s">
        <v>32</v>
      </c>
      <c r="D389" s="236" t="s">
        <v>39</v>
      </c>
      <c r="E389" s="237">
        <v>43874</v>
      </c>
      <c r="F389" s="236" t="s">
        <v>1234</v>
      </c>
      <c r="G389" s="237">
        <v>45086</v>
      </c>
      <c r="H389" s="234">
        <f>SUMIF(VA!B:B,A389,VA!I:I)</f>
        <v>359.46</v>
      </c>
      <c r="I389" s="33">
        <f>SUMIF(VR!B:B,A389,VR!I:I)</f>
        <v>657.5</v>
      </c>
      <c r="J389" s="4">
        <f t="shared" si="6"/>
        <v>1016.96</v>
      </c>
      <c r="K389" s="195">
        <f>SUMIF(FALTAS!A:A,A389,FALTAS!D:D)</f>
        <v>0</v>
      </c>
    </row>
    <row r="390" spans="1:11" x14ac:dyDescent="0.2">
      <c r="A390" s="235">
        <v>113594</v>
      </c>
      <c r="B390" s="236" t="s">
        <v>867</v>
      </c>
      <c r="C390" s="236" t="s">
        <v>0</v>
      </c>
      <c r="D390" s="236" t="s">
        <v>5</v>
      </c>
      <c r="E390" s="237">
        <v>43617</v>
      </c>
      <c r="F390" s="236" t="s">
        <v>1234</v>
      </c>
      <c r="G390" s="237">
        <v>45149</v>
      </c>
      <c r="H390" s="234">
        <f>SUMIF(VA!B:B,A390,VA!I:I)</f>
        <v>359.46</v>
      </c>
      <c r="I390" s="33">
        <f>SUMIF(VR!B:B,A390,VR!I:I)</f>
        <v>657.5</v>
      </c>
      <c r="J390" s="4">
        <f t="shared" si="6"/>
        <v>1016.96</v>
      </c>
      <c r="K390" s="195">
        <f>SUMIF(FALTAS!A:A,A390,FALTAS!D:D)</f>
        <v>0</v>
      </c>
    </row>
    <row r="391" spans="1:11" x14ac:dyDescent="0.2">
      <c r="A391" s="235">
        <v>113566</v>
      </c>
      <c r="B391" s="236" t="s">
        <v>854</v>
      </c>
      <c r="C391" s="236" t="s">
        <v>0</v>
      </c>
      <c r="D391" s="236" t="s">
        <v>2</v>
      </c>
      <c r="E391" s="237">
        <v>43617</v>
      </c>
      <c r="F391" s="236" t="s">
        <v>1234</v>
      </c>
      <c r="G391" s="237">
        <v>44960</v>
      </c>
      <c r="H391" s="234">
        <f>SUMIF(VA!B:B,A391,VA!I:I)</f>
        <v>359.46</v>
      </c>
      <c r="I391" s="33">
        <f>SUMIF(VR!B:B,A391,VR!I:I)</f>
        <v>657.5</v>
      </c>
      <c r="J391" s="4">
        <f t="shared" si="6"/>
        <v>1016.96</v>
      </c>
      <c r="K391" s="195">
        <f>SUMIF(FALTAS!A:A,A391,FALTAS!D:D)</f>
        <v>0</v>
      </c>
    </row>
    <row r="392" spans="1:11" x14ac:dyDescent="0.2">
      <c r="A392" s="235">
        <v>113597</v>
      </c>
      <c r="B392" s="236" t="s">
        <v>868</v>
      </c>
      <c r="C392" s="236" t="s">
        <v>8</v>
      </c>
      <c r="D392" s="236" t="s">
        <v>2</v>
      </c>
      <c r="E392" s="237">
        <v>43617</v>
      </c>
      <c r="F392" s="236" t="s">
        <v>1234</v>
      </c>
      <c r="G392" s="237">
        <v>44993</v>
      </c>
      <c r="H392" s="234">
        <f>SUMIF(VA!B:B,A392,VA!I:I)</f>
        <v>359.46</v>
      </c>
      <c r="I392" s="33">
        <f>SUMIF(VR!B:B,A392,VR!I:I)</f>
        <v>657.5</v>
      </c>
      <c r="J392" s="4">
        <f t="shared" si="6"/>
        <v>1016.96</v>
      </c>
      <c r="K392" s="195">
        <f>SUMIF(FALTAS!A:A,A392,FALTAS!D:D)</f>
        <v>0</v>
      </c>
    </row>
    <row r="393" spans="1:11" x14ac:dyDescent="0.2">
      <c r="A393" s="235">
        <v>113579</v>
      </c>
      <c r="B393" s="236" t="s">
        <v>858</v>
      </c>
      <c r="C393" s="236" t="s">
        <v>8</v>
      </c>
      <c r="D393" s="236" t="s">
        <v>2</v>
      </c>
      <c r="E393" s="237">
        <v>43617</v>
      </c>
      <c r="F393" s="236" t="s">
        <v>1234</v>
      </c>
      <c r="G393" s="237">
        <v>44960</v>
      </c>
      <c r="H393" s="234">
        <f>SUMIF(VA!B:B,A393,VA!I:I)</f>
        <v>359.46</v>
      </c>
      <c r="I393" s="33">
        <f>SUMIF(VR!B:B,A393,VR!I:I)</f>
        <v>657.5</v>
      </c>
      <c r="J393" s="4">
        <f t="shared" si="6"/>
        <v>1016.96</v>
      </c>
      <c r="K393" s="195">
        <f>SUMIF(FALTAS!A:A,A393,FALTAS!D:D)</f>
        <v>0</v>
      </c>
    </row>
    <row r="394" spans="1:11" x14ac:dyDescent="0.2">
      <c r="A394" s="235">
        <v>113584</v>
      </c>
      <c r="B394" s="236" t="s">
        <v>860</v>
      </c>
      <c r="C394" s="236" t="s">
        <v>0</v>
      </c>
      <c r="D394" s="236" t="s">
        <v>39</v>
      </c>
      <c r="E394" s="237">
        <v>43617</v>
      </c>
      <c r="F394" s="236" t="s">
        <v>1234</v>
      </c>
      <c r="G394" s="237">
        <v>45149</v>
      </c>
      <c r="H394" s="234">
        <f>SUMIF(VA!B:B,A394,VA!I:I)</f>
        <v>359.46</v>
      </c>
      <c r="I394" s="33">
        <f>SUMIF(VR!B:B,A394,VR!I:I)</f>
        <v>657.5</v>
      </c>
      <c r="J394" s="4">
        <f t="shared" si="6"/>
        <v>1016.96</v>
      </c>
      <c r="K394" s="195">
        <f>SUMIF(FALTAS!A:A,A394,FALTAS!D:D)</f>
        <v>0</v>
      </c>
    </row>
    <row r="395" spans="1:11" x14ac:dyDescent="0.2">
      <c r="A395" s="235">
        <v>113586</v>
      </c>
      <c r="B395" s="236" t="s">
        <v>862</v>
      </c>
      <c r="C395" s="236" t="s">
        <v>10</v>
      </c>
      <c r="D395" s="236" t="s">
        <v>2</v>
      </c>
      <c r="E395" s="237">
        <v>43617</v>
      </c>
      <c r="F395" s="236" t="s">
        <v>1234</v>
      </c>
      <c r="G395" s="237">
        <v>45000</v>
      </c>
      <c r="H395" s="234">
        <f>SUMIF(VA!B:B,A395,VA!I:I)</f>
        <v>359.46</v>
      </c>
      <c r="I395" s="33">
        <f>SUMIF(VR!B:B,A395,VR!I:I)</f>
        <v>657.5</v>
      </c>
      <c r="J395" s="4">
        <f t="shared" si="6"/>
        <v>1016.96</v>
      </c>
      <c r="K395" s="195">
        <f>SUMIF(FALTAS!A:A,A395,FALTAS!D:D)</f>
        <v>0</v>
      </c>
    </row>
    <row r="396" spans="1:11" x14ac:dyDescent="0.2">
      <c r="A396" s="235">
        <v>113589</v>
      </c>
      <c r="B396" s="236" t="s">
        <v>1404</v>
      </c>
      <c r="C396" s="236" t="s">
        <v>10</v>
      </c>
      <c r="D396" s="236" t="s">
        <v>5</v>
      </c>
      <c r="E396" s="237">
        <v>43617</v>
      </c>
      <c r="F396" s="236" t="s">
        <v>1234</v>
      </c>
      <c r="G396" s="237">
        <v>44588</v>
      </c>
      <c r="H396" s="234">
        <f>SUMIF(VA!B:B,A396,VA!I:I)</f>
        <v>359.46</v>
      </c>
      <c r="I396" s="33">
        <f>SUMIF(VR!B:B,A396,VR!I:I)</f>
        <v>657.5</v>
      </c>
      <c r="J396" s="4">
        <f t="shared" si="6"/>
        <v>1016.96</v>
      </c>
      <c r="K396" s="195">
        <f>SUMIF(FALTAS!A:A,A396,FALTAS!D:D)</f>
        <v>0</v>
      </c>
    </row>
    <row r="397" spans="1:11" x14ac:dyDescent="0.2">
      <c r="A397" s="235">
        <v>114525</v>
      </c>
      <c r="B397" s="236" t="s">
        <v>1050</v>
      </c>
      <c r="C397" s="236" t="s">
        <v>1589</v>
      </c>
      <c r="D397" s="236" t="s">
        <v>15</v>
      </c>
      <c r="E397" s="237">
        <v>43813</v>
      </c>
      <c r="F397" s="236" t="s">
        <v>1234</v>
      </c>
      <c r="G397" s="237">
        <v>45023</v>
      </c>
      <c r="H397" s="234">
        <f>SUMIF(VA!B:B,A397,VA!I:I)</f>
        <v>359.46</v>
      </c>
      <c r="I397" s="33">
        <f>SUMIF(VR!B:B,A397,VR!I:I)</f>
        <v>657.5</v>
      </c>
      <c r="J397" s="4">
        <f t="shared" si="6"/>
        <v>1016.96</v>
      </c>
      <c r="K397" s="195">
        <f>SUMIF(FALTAS!A:A,A397,FALTAS!D:D)</f>
        <v>0</v>
      </c>
    </row>
    <row r="398" spans="1:11" x14ac:dyDescent="0.2">
      <c r="A398" s="235">
        <v>113590</v>
      </c>
      <c r="B398" s="236" t="s">
        <v>865</v>
      </c>
      <c r="C398" s="236" t="s">
        <v>10</v>
      </c>
      <c r="D398" s="236" t="s">
        <v>5</v>
      </c>
      <c r="E398" s="237">
        <v>43617</v>
      </c>
      <c r="F398" s="236" t="s">
        <v>1234</v>
      </c>
      <c r="G398" s="237">
        <v>44960</v>
      </c>
      <c r="H398" s="234">
        <f>SUMIF(VA!B:B,A398,VA!I:I)</f>
        <v>359.46</v>
      </c>
      <c r="I398" s="33">
        <f>SUMIF(VR!B:B,A398,VR!I:I)</f>
        <v>657.5</v>
      </c>
      <c r="J398" s="4">
        <f t="shared" si="6"/>
        <v>1016.96</v>
      </c>
      <c r="K398" s="195">
        <f>SUMIF(FALTAS!A:A,A398,FALTAS!D:D)</f>
        <v>0</v>
      </c>
    </row>
    <row r="399" spans="1:11" x14ac:dyDescent="0.2">
      <c r="A399" s="235">
        <v>122085</v>
      </c>
      <c r="B399" s="236" t="s">
        <v>1637</v>
      </c>
      <c r="C399" s="236" t="s">
        <v>8</v>
      </c>
      <c r="D399" s="236" t="s">
        <v>5</v>
      </c>
      <c r="E399" s="237">
        <v>45061</v>
      </c>
      <c r="F399" s="236" t="s">
        <v>1234</v>
      </c>
      <c r="G399" s="237">
        <v>45061</v>
      </c>
      <c r="H399" s="234">
        <f>SUMIF(VA!B:B,A399,VA!I:I)</f>
        <v>0</v>
      </c>
      <c r="I399" s="33">
        <f>SUMIF(VR!B:B,A399,VR!I:I)</f>
        <v>0</v>
      </c>
      <c r="J399" s="4">
        <f t="shared" si="6"/>
        <v>0</v>
      </c>
      <c r="K399" s="195">
        <f>SUMIF(FALTAS!A:A,A399,FALTAS!D:D)</f>
        <v>26</v>
      </c>
    </row>
    <row r="400" spans="1:11" x14ac:dyDescent="0.2">
      <c r="A400" s="235">
        <v>113592</v>
      </c>
      <c r="B400" s="236" t="s">
        <v>866</v>
      </c>
      <c r="C400" s="236" t="s">
        <v>1589</v>
      </c>
      <c r="D400" s="236" t="s">
        <v>15</v>
      </c>
      <c r="E400" s="237">
        <v>43617</v>
      </c>
      <c r="F400" s="236" t="s">
        <v>1234</v>
      </c>
      <c r="G400" s="237">
        <v>44898</v>
      </c>
      <c r="H400" s="234">
        <f>SUMIF(VA!B:B,A400,VA!I:I)</f>
        <v>359.46</v>
      </c>
      <c r="I400" s="33">
        <f>SUMIF(VR!B:B,A400,VR!I:I)</f>
        <v>657.5</v>
      </c>
      <c r="J400" s="4">
        <f t="shared" si="6"/>
        <v>1016.96</v>
      </c>
      <c r="K400" s="195">
        <f>SUMIF(FALTAS!A:A,A400,FALTAS!D:D)</f>
        <v>0</v>
      </c>
    </row>
    <row r="401" spans="1:11" x14ac:dyDescent="0.2">
      <c r="A401" s="235">
        <v>121428</v>
      </c>
      <c r="B401" s="236" t="s">
        <v>1566</v>
      </c>
      <c r="C401" s="236" t="s">
        <v>1589</v>
      </c>
      <c r="D401" s="236" t="s">
        <v>5</v>
      </c>
      <c r="E401" s="237">
        <v>44967</v>
      </c>
      <c r="F401" s="236" t="s">
        <v>1234</v>
      </c>
      <c r="G401" s="237">
        <v>44967</v>
      </c>
      <c r="H401" s="234">
        <f>SUMIF(VA!B:B,A401,VA!I:I)</f>
        <v>359.46</v>
      </c>
      <c r="I401" s="33">
        <f>SUMIF(VR!B:B,A401,VR!I:I)</f>
        <v>657.5</v>
      </c>
      <c r="J401" s="4">
        <f t="shared" si="6"/>
        <v>1016.96</v>
      </c>
      <c r="K401" s="195">
        <f>SUMIF(FALTAS!A:A,A401,FALTAS!D:D)</f>
        <v>0</v>
      </c>
    </row>
    <row r="402" spans="1:11" x14ac:dyDescent="0.2">
      <c r="A402" s="235">
        <v>113603</v>
      </c>
      <c r="B402" s="236" t="s">
        <v>871</v>
      </c>
      <c r="C402" s="236" t="s">
        <v>8</v>
      </c>
      <c r="D402" s="236" t="s">
        <v>39</v>
      </c>
      <c r="E402" s="237">
        <v>43617</v>
      </c>
      <c r="F402" s="236" t="s">
        <v>1234</v>
      </c>
      <c r="G402" s="237">
        <v>45149</v>
      </c>
      <c r="H402" s="234">
        <f>SUMIF(VA!B:B,A402,VA!I:I)</f>
        <v>347.47</v>
      </c>
      <c r="I402" s="33">
        <f>SUMIF(VR!B:B,A402,VR!I:I)</f>
        <v>631.20000000000005</v>
      </c>
      <c r="J402" s="4">
        <f t="shared" si="6"/>
        <v>978.67000000000007</v>
      </c>
      <c r="K402" s="195">
        <f>SUMIF(FALTAS!A:A,A402,FALTAS!D:D)</f>
        <v>1</v>
      </c>
    </row>
    <row r="403" spans="1:11" x14ac:dyDescent="0.2">
      <c r="A403" s="235">
        <v>113607</v>
      </c>
      <c r="B403" s="236" t="s">
        <v>872</v>
      </c>
      <c r="C403" s="236" t="s">
        <v>1589</v>
      </c>
      <c r="D403" s="236" t="s">
        <v>15</v>
      </c>
      <c r="E403" s="237">
        <v>43617</v>
      </c>
      <c r="F403" s="236" t="s">
        <v>1234</v>
      </c>
      <c r="G403" s="237">
        <v>44930</v>
      </c>
      <c r="H403" s="234">
        <f>SUMIF(VA!B:B,A403,VA!I:I)</f>
        <v>359.46</v>
      </c>
      <c r="I403" s="33">
        <f>SUMIF(VR!B:B,A403,VR!I:I)</f>
        <v>657.5</v>
      </c>
      <c r="J403" s="4">
        <f t="shared" si="6"/>
        <v>1016.96</v>
      </c>
      <c r="K403" s="195">
        <f>SUMIF(FALTAS!A:A,A403,FALTAS!D:D)</f>
        <v>0</v>
      </c>
    </row>
    <row r="404" spans="1:11" x14ac:dyDescent="0.2">
      <c r="A404" s="235">
        <v>113609</v>
      </c>
      <c r="B404" s="236" t="s">
        <v>874</v>
      </c>
      <c r="C404" s="236" t="s">
        <v>10</v>
      </c>
      <c r="D404" s="236" t="s">
        <v>5</v>
      </c>
      <c r="E404" s="237">
        <v>43617</v>
      </c>
      <c r="F404" s="236" t="s">
        <v>1234</v>
      </c>
      <c r="G404" s="237">
        <v>44898</v>
      </c>
      <c r="H404" s="234">
        <f>SUMIF(VA!B:B,A404,VA!I:I)</f>
        <v>359.46</v>
      </c>
      <c r="I404" s="33">
        <f>SUMIF(VR!B:B,A404,VR!I:I)</f>
        <v>657.5</v>
      </c>
      <c r="J404" s="4">
        <f t="shared" si="6"/>
        <v>1016.96</v>
      </c>
      <c r="K404" s="195">
        <f>SUMIF(FALTAS!A:A,A404,FALTAS!D:D)</f>
        <v>0</v>
      </c>
    </row>
    <row r="405" spans="1:11" x14ac:dyDescent="0.2">
      <c r="A405" s="235">
        <v>113661</v>
      </c>
      <c r="B405" s="236" t="s">
        <v>903</v>
      </c>
      <c r="C405" s="236" t="s">
        <v>8</v>
      </c>
      <c r="D405" s="236" t="s">
        <v>2</v>
      </c>
      <c r="E405" s="237">
        <v>43617</v>
      </c>
      <c r="F405" s="236" t="s">
        <v>1234</v>
      </c>
      <c r="G405" s="237">
        <v>44960</v>
      </c>
      <c r="H405" s="234">
        <f>SUMIF(VA!B:B,A405,VA!I:I)</f>
        <v>359.46</v>
      </c>
      <c r="I405" s="33">
        <f>SUMIF(VR!B:B,A405,VR!I:I)</f>
        <v>657.5</v>
      </c>
      <c r="J405" s="4">
        <f t="shared" si="6"/>
        <v>1016.96</v>
      </c>
      <c r="K405" s="195">
        <f>SUMIF(FALTAS!A:A,A405,FALTAS!D:D)</f>
        <v>0</v>
      </c>
    </row>
    <row r="406" spans="1:11" x14ac:dyDescent="0.2">
      <c r="A406" s="235">
        <v>113612</v>
      </c>
      <c r="B406" s="236" t="s">
        <v>876</v>
      </c>
      <c r="C406" s="236" t="s">
        <v>8</v>
      </c>
      <c r="D406" s="236" t="s">
        <v>2</v>
      </c>
      <c r="E406" s="237">
        <v>43617</v>
      </c>
      <c r="F406" s="236" t="s">
        <v>1234</v>
      </c>
      <c r="G406" s="237">
        <v>45119</v>
      </c>
      <c r="H406" s="234">
        <f>SUMIF(VA!B:B,A406,VA!I:I)</f>
        <v>359.46</v>
      </c>
      <c r="I406" s="33">
        <f>SUMIF(VR!B:B,A406,VR!I:I)</f>
        <v>657.5</v>
      </c>
      <c r="J406" s="4">
        <f t="shared" si="6"/>
        <v>1016.96</v>
      </c>
      <c r="K406" s="195">
        <f>SUMIF(FALTAS!A:A,A406,FALTAS!D:D)</f>
        <v>0</v>
      </c>
    </row>
    <row r="407" spans="1:11" x14ac:dyDescent="0.2">
      <c r="A407" s="235">
        <v>113619</v>
      </c>
      <c r="B407" s="236" t="s">
        <v>879</v>
      </c>
      <c r="C407" s="236" t="s">
        <v>8</v>
      </c>
      <c r="D407" s="236" t="s">
        <v>5</v>
      </c>
      <c r="E407" s="237">
        <v>43617</v>
      </c>
      <c r="F407" s="236" t="s">
        <v>1234</v>
      </c>
      <c r="G407" s="237">
        <v>44898</v>
      </c>
      <c r="H407" s="234">
        <f>SUMIF(VA!B:B,A407,VA!I:I)</f>
        <v>359.46</v>
      </c>
      <c r="I407" s="33">
        <f>SUMIF(VR!B:B,A407,VR!I:I)</f>
        <v>657.5</v>
      </c>
      <c r="J407" s="4">
        <f t="shared" si="6"/>
        <v>1016.96</v>
      </c>
      <c r="K407" s="195">
        <f>SUMIF(FALTAS!A:A,A407,FALTAS!D:D)</f>
        <v>0</v>
      </c>
    </row>
    <row r="408" spans="1:11" x14ac:dyDescent="0.2">
      <c r="A408" s="235">
        <v>113623</v>
      </c>
      <c r="B408" s="236" t="s">
        <v>880</v>
      </c>
      <c r="C408" s="236" t="s">
        <v>19</v>
      </c>
      <c r="D408" s="236" t="s">
        <v>2</v>
      </c>
      <c r="E408" s="237">
        <v>43617</v>
      </c>
      <c r="F408" s="236" t="s">
        <v>1234</v>
      </c>
      <c r="G408" s="237">
        <v>44993</v>
      </c>
      <c r="H408" s="234">
        <f>SUMIF(VA!B:B,A408,VA!I:I)</f>
        <v>359.46</v>
      </c>
      <c r="I408" s="33">
        <f>SUMIF(VR!B:B,A408,VR!I:I)</f>
        <v>657.5</v>
      </c>
      <c r="J408" s="4">
        <f t="shared" si="6"/>
        <v>1016.96</v>
      </c>
      <c r="K408" s="195">
        <f>SUMIF(FALTAS!A:A,A408,FALTAS!D:D)</f>
        <v>0</v>
      </c>
    </row>
    <row r="409" spans="1:11" x14ac:dyDescent="0.2">
      <c r="A409" s="235">
        <v>113626</v>
      </c>
      <c r="B409" s="236" t="s">
        <v>882</v>
      </c>
      <c r="C409" s="236" t="s">
        <v>1589</v>
      </c>
      <c r="D409" s="236" t="s">
        <v>411</v>
      </c>
      <c r="E409" s="237">
        <v>43617</v>
      </c>
      <c r="F409" s="236" t="s">
        <v>1234</v>
      </c>
      <c r="G409" s="237">
        <v>45156</v>
      </c>
      <c r="H409" s="234">
        <f>SUMIF(VA!B:B,A409,VA!I:I)</f>
        <v>359.46</v>
      </c>
      <c r="I409" s="33">
        <f>SUMIF(VR!B:B,A409,VR!I:I)</f>
        <v>657.5</v>
      </c>
      <c r="J409" s="4">
        <f t="shared" si="6"/>
        <v>1016.96</v>
      </c>
      <c r="K409" s="195">
        <f>SUMIF(FALTAS!A:A,A409,FALTAS!D:D)</f>
        <v>0</v>
      </c>
    </row>
    <row r="410" spans="1:11" x14ac:dyDescent="0.2">
      <c r="A410" s="235">
        <v>113636</v>
      </c>
      <c r="B410" s="236" t="s">
        <v>890</v>
      </c>
      <c r="C410" s="236" t="s">
        <v>19</v>
      </c>
      <c r="D410" s="236" t="s">
        <v>5</v>
      </c>
      <c r="E410" s="237">
        <v>43617</v>
      </c>
      <c r="F410" s="236" t="s">
        <v>1234</v>
      </c>
      <c r="G410" s="237">
        <v>44835</v>
      </c>
      <c r="H410" s="234">
        <f>SUMIF(VA!B:B,A410,VA!I:I)</f>
        <v>359.46</v>
      </c>
      <c r="I410" s="33">
        <f>SUMIF(VR!B:B,A410,VR!I:I)</f>
        <v>657.5</v>
      </c>
      <c r="J410" s="4">
        <f t="shared" si="6"/>
        <v>1016.96</v>
      </c>
      <c r="K410" s="195">
        <f>SUMIF(FALTAS!A:A,A410,FALTAS!D:D)</f>
        <v>0</v>
      </c>
    </row>
    <row r="411" spans="1:11" x14ac:dyDescent="0.2">
      <c r="A411" s="235">
        <v>113674</v>
      </c>
      <c r="B411" s="236" t="s">
        <v>911</v>
      </c>
      <c r="C411" s="236" t="s">
        <v>8</v>
      </c>
      <c r="D411" s="236" t="s">
        <v>2</v>
      </c>
      <c r="E411" s="237">
        <v>43617</v>
      </c>
      <c r="F411" s="236" t="s">
        <v>1234</v>
      </c>
      <c r="G411" s="237">
        <v>45149</v>
      </c>
      <c r="H411" s="234">
        <f>SUMIF(VA!B:B,A411,VA!I:I)</f>
        <v>359.46</v>
      </c>
      <c r="I411" s="33">
        <f>SUMIF(VR!B:B,A411,VR!I:I)</f>
        <v>657.5</v>
      </c>
      <c r="J411" s="4">
        <f t="shared" si="6"/>
        <v>1016.96</v>
      </c>
      <c r="K411" s="195">
        <f>SUMIF(FALTAS!A:A,A411,FALTAS!D:D)</f>
        <v>0</v>
      </c>
    </row>
    <row r="412" spans="1:11" x14ac:dyDescent="0.2">
      <c r="A412" s="235">
        <v>122081</v>
      </c>
      <c r="B412" s="236" t="s">
        <v>1638</v>
      </c>
      <c r="C412" s="236" t="s">
        <v>10</v>
      </c>
      <c r="D412" s="236" t="s">
        <v>5</v>
      </c>
      <c r="E412" s="237">
        <v>45061</v>
      </c>
      <c r="F412" s="236" t="s">
        <v>1234</v>
      </c>
      <c r="G412" s="237">
        <v>45061</v>
      </c>
      <c r="H412" s="234">
        <f>SUMIF(VA!B:B,A412,VA!I:I)</f>
        <v>359.46</v>
      </c>
      <c r="I412" s="33">
        <f>SUMIF(VR!B:B,A412,VR!I:I)</f>
        <v>657.5</v>
      </c>
      <c r="J412" s="4">
        <f t="shared" si="6"/>
        <v>1016.96</v>
      </c>
      <c r="K412" s="195">
        <f>SUMIF(FALTAS!A:A,A412,FALTAS!D:D)</f>
        <v>0</v>
      </c>
    </row>
    <row r="413" spans="1:11" x14ac:dyDescent="0.2">
      <c r="A413" s="235">
        <v>113785</v>
      </c>
      <c r="B413" s="236" t="s">
        <v>983</v>
      </c>
      <c r="C413" s="236" t="s">
        <v>1589</v>
      </c>
      <c r="D413" s="236" t="s">
        <v>15</v>
      </c>
      <c r="E413" s="237">
        <v>43624</v>
      </c>
      <c r="F413" s="236" t="s">
        <v>1234</v>
      </c>
      <c r="G413" s="237">
        <v>44898</v>
      </c>
      <c r="H413" s="234">
        <f>SUMIF(VA!B:B,A413,VA!I:I)</f>
        <v>359.46</v>
      </c>
      <c r="I413" s="33">
        <f>SUMIF(VR!B:B,A413,VR!I:I)</f>
        <v>657.5</v>
      </c>
      <c r="J413" s="4">
        <f t="shared" si="6"/>
        <v>1016.96</v>
      </c>
      <c r="K413" s="195">
        <f>SUMIF(FALTAS!A:A,A413,FALTAS!D:D)</f>
        <v>0</v>
      </c>
    </row>
    <row r="414" spans="1:11" x14ac:dyDescent="0.2">
      <c r="A414" s="235">
        <v>121404</v>
      </c>
      <c r="B414" s="236" t="s">
        <v>1567</v>
      </c>
      <c r="C414" s="236" t="s">
        <v>1589</v>
      </c>
      <c r="D414" s="236" t="s">
        <v>5</v>
      </c>
      <c r="E414" s="237">
        <v>44967</v>
      </c>
      <c r="F414" s="236" t="s">
        <v>1234</v>
      </c>
      <c r="G414" s="237">
        <v>44967</v>
      </c>
      <c r="H414" s="234">
        <f>SUMIF(VA!B:B,A414,VA!I:I)</f>
        <v>359.46</v>
      </c>
      <c r="I414" s="33">
        <f>SUMIF(VR!B:B,A414,VR!I:I)</f>
        <v>657.5</v>
      </c>
      <c r="J414" s="4">
        <f t="shared" si="6"/>
        <v>1016.96</v>
      </c>
      <c r="K414" s="195">
        <f>SUMIF(FALTAS!A:A,A414,FALTAS!D:D)</f>
        <v>0</v>
      </c>
    </row>
    <row r="415" spans="1:11" x14ac:dyDescent="0.2">
      <c r="A415" s="235">
        <v>113728</v>
      </c>
      <c r="B415" s="236" t="s">
        <v>946</v>
      </c>
      <c r="C415" s="236" t="s">
        <v>19</v>
      </c>
      <c r="D415" s="236" t="s">
        <v>5</v>
      </c>
      <c r="E415" s="237">
        <v>43619</v>
      </c>
      <c r="F415" s="236" t="s">
        <v>1234</v>
      </c>
      <c r="G415" s="237">
        <v>45056</v>
      </c>
      <c r="H415" s="234">
        <f>SUMIF(VA!B:B,A415,VA!I:I)</f>
        <v>359.46</v>
      </c>
      <c r="I415" s="33">
        <f>SUMIF(VR!B:B,A415,VR!I:I)</f>
        <v>657.5</v>
      </c>
      <c r="J415" s="4">
        <f t="shared" si="6"/>
        <v>1016.96</v>
      </c>
      <c r="K415" s="195">
        <f>SUMIF(FALTAS!A:A,A415,FALTAS!D:D)</f>
        <v>0</v>
      </c>
    </row>
    <row r="416" spans="1:11" x14ac:dyDescent="0.2">
      <c r="A416" s="235">
        <v>113646</v>
      </c>
      <c r="B416" s="236" t="s">
        <v>895</v>
      </c>
      <c r="C416" s="236" t="s">
        <v>32</v>
      </c>
      <c r="D416" s="236" t="s">
        <v>2</v>
      </c>
      <c r="E416" s="237">
        <v>43617</v>
      </c>
      <c r="F416" s="236" t="s">
        <v>1235</v>
      </c>
      <c r="G416" s="237">
        <v>45147</v>
      </c>
      <c r="H416" s="234">
        <f>SUMIF(VA!B:B,A416,VA!I:I)</f>
        <v>359.46</v>
      </c>
      <c r="I416" s="33">
        <f>SUMIF(VR!B:B,A416,VR!I:I)</f>
        <v>657.5</v>
      </c>
      <c r="J416" s="4">
        <f t="shared" si="6"/>
        <v>1016.96</v>
      </c>
      <c r="K416" s="195">
        <f>SUMIF(FALTAS!A:A,A416,FALTAS!D:D)</f>
        <v>0</v>
      </c>
    </row>
    <row r="417" spans="1:11" x14ac:dyDescent="0.2">
      <c r="A417" s="235">
        <v>113656</v>
      </c>
      <c r="B417" s="236" t="s">
        <v>901</v>
      </c>
      <c r="C417" s="236" t="s">
        <v>0</v>
      </c>
      <c r="D417" s="236" t="s">
        <v>2</v>
      </c>
      <c r="E417" s="237">
        <v>43617</v>
      </c>
      <c r="F417" s="236" t="s">
        <v>1235</v>
      </c>
      <c r="G417" s="237">
        <v>45147</v>
      </c>
      <c r="H417" s="234">
        <f>SUMIF(VA!B:B,A417,VA!I:I)</f>
        <v>359.46</v>
      </c>
      <c r="I417" s="33">
        <f>SUMIF(VR!B:B,A417,VR!I:I)</f>
        <v>657.5</v>
      </c>
      <c r="J417" s="4">
        <f t="shared" si="6"/>
        <v>1016.96</v>
      </c>
      <c r="K417" s="195">
        <f>SUMIF(FALTAS!A:A,A417,FALTAS!D:D)</f>
        <v>0</v>
      </c>
    </row>
    <row r="418" spans="1:11" x14ac:dyDescent="0.2">
      <c r="A418" s="235">
        <v>114698</v>
      </c>
      <c r="B418" s="236" t="s">
        <v>1076</v>
      </c>
      <c r="C418" s="236" t="s">
        <v>0</v>
      </c>
      <c r="D418" s="236" t="s">
        <v>5</v>
      </c>
      <c r="E418" s="237">
        <v>43874</v>
      </c>
      <c r="F418" s="236" t="s">
        <v>1235</v>
      </c>
      <c r="G418" s="237">
        <v>45147</v>
      </c>
      <c r="H418" s="234">
        <f>SUMIF(VA!B:B,A418,VA!I:I)</f>
        <v>359.46</v>
      </c>
      <c r="I418" s="33">
        <f>SUMIF(VR!B:B,A418,VR!I:I)</f>
        <v>657.5</v>
      </c>
      <c r="J418" s="4">
        <f t="shared" si="6"/>
        <v>1016.96</v>
      </c>
      <c r="K418" s="195">
        <f>SUMIF(FALTAS!A:A,A418,FALTAS!D:D)</f>
        <v>0</v>
      </c>
    </row>
    <row r="419" spans="1:11" x14ac:dyDescent="0.2">
      <c r="A419" s="235">
        <v>114385</v>
      </c>
      <c r="B419" s="236" t="s">
        <v>1038</v>
      </c>
      <c r="C419" s="236" t="s">
        <v>1589</v>
      </c>
      <c r="D419" s="236" t="s">
        <v>120</v>
      </c>
      <c r="E419" s="237">
        <v>43811</v>
      </c>
      <c r="F419" s="236" t="s">
        <v>1234</v>
      </c>
      <c r="G419" s="237">
        <v>44835</v>
      </c>
      <c r="H419" s="234">
        <f>SUMIF(VA!B:B,A419,VA!I:I)</f>
        <v>359.46</v>
      </c>
      <c r="I419" s="33">
        <f>SUMIF(VR!B:B,A419,VR!I:I)</f>
        <v>657.5</v>
      </c>
      <c r="J419" s="4">
        <f t="shared" si="6"/>
        <v>1016.96</v>
      </c>
      <c r="K419" s="195">
        <f>SUMIF(FALTAS!A:A,A419,FALTAS!D:D)</f>
        <v>0</v>
      </c>
    </row>
    <row r="420" spans="1:11" x14ac:dyDescent="0.2">
      <c r="A420" s="235">
        <v>112288</v>
      </c>
      <c r="B420" s="236" t="s">
        <v>90</v>
      </c>
      <c r="C420" s="236" t="s">
        <v>19</v>
      </c>
      <c r="D420" s="236" t="s">
        <v>2</v>
      </c>
      <c r="E420" s="237">
        <v>43617</v>
      </c>
      <c r="F420" s="236" t="s">
        <v>1234</v>
      </c>
      <c r="G420" s="237">
        <v>45056</v>
      </c>
      <c r="H420" s="234">
        <f>SUMIF(VA!B:B,A420,VA!I:I)</f>
        <v>359.46</v>
      </c>
      <c r="I420" s="33">
        <f>SUMIF(VR!B:B,A420,VR!I:I)</f>
        <v>657.5</v>
      </c>
      <c r="J420" s="4">
        <f t="shared" si="6"/>
        <v>1016.96</v>
      </c>
      <c r="K420" s="195">
        <f>SUMIF(FALTAS!A:A,A420,FALTAS!D:D)</f>
        <v>0</v>
      </c>
    </row>
    <row r="421" spans="1:11" x14ac:dyDescent="0.2">
      <c r="A421" s="235">
        <v>118051</v>
      </c>
      <c r="B421" s="236" t="s">
        <v>1405</v>
      </c>
      <c r="C421" s="236" t="s">
        <v>19</v>
      </c>
      <c r="D421" s="236" t="s">
        <v>5</v>
      </c>
      <c r="E421" s="237">
        <v>44567</v>
      </c>
      <c r="F421" s="236" t="s">
        <v>1234</v>
      </c>
      <c r="G421" s="237">
        <v>45119</v>
      </c>
      <c r="H421" s="234">
        <f>SUMIF(VA!B:B,A421,VA!I:I)</f>
        <v>359.46</v>
      </c>
      <c r="I421" s="33">
        <f>SUMIF(VR!B:B,A421,VR!I:I)</f>
        <v>657.5</v>
      </c>
      <c r="J421" s="4">
        <f t="shared" si="6"/>
        <v>1016.96</v>
      </c>
      <c r="K421" s="195">
        <f>SUMIF(FALTAS!A:A,A421,FALTAS!D:D)</f>
        <v>0</v>
      </c>
    </row>
    <row r="422" spans="1:11" x14ac:dyDescent="0.2">
      <c r="A422" s="235">
        <v>112297</v>
      </c>
      <c r="B422" s="236" t="s">
        <v>95</v>
      </c>
      <c r="C422" s="236" t="s">
        <v>1589</v>
      </c>
      <c r="D422" s="236" t="s">
        <v>15</v>
      </c>
      <c r="E422" s="237">
        <v>43617</v>
      </c>
      <c r="F422" s="236" t="s">
        <v>1234</v>
      </c>
      <c r="G422" s="237">
        <v>44960</v>
      </c>
      <c r="H422" s="234">
        <f>SUMIF(VA!B:B,A422,VA!I:I)</f>
        <v>359.46</v>
      </c>
      <c r="I422" s="33">
        <f>SUMIF(VR!B:B,A422,VR!I:I)</f>
        <v>657.5</v>
      </c>
      <c r="J422" s="4">
        <f t="shared" si="6"/>
        <v>1016.96</v>
      </c>
      <c r="K422" s="195">
        <f>SUMIF(FALTAS!A:A,A422,FALTAS!D:D)</f>
        <v>0</v>
      </c>
    </row>
    <row r="423" spans="1:11" x14ac:dyDescent="0.2">
      <c r="A423" s="235">
        <v>112359</v>
      </c>
      <c r="B423" s="236" t="s">
        <v>130</v>
      </c>
      <c r="C423" s="236" t="s">
        <v>0</v>
      </c>
      <c r="D423" s="236" t="s">
        <v>2</v>
      </c>
      <c r="E423" s="237">
        <v>43617</v>
      </c>
      <c r="F423" s="236" t="s">
        <v>1234</v>
      </c>
      <c r="G423" s="237">
        <v>45023</v>
      </c>
      <c r="H423" s="234">
        <f>SUMIF(VA!B:B,A423,VA!I:I)</f>
        <v>359.46</v>
      </c>
      <c r="I423" s="33">
        <f>SUMIF(VR!B:B,A423,VR!I:I)</f>
        <v>657.5</v>
      </c>
      <c r="J423" s="4">
        <f t="shared" si="6"/>
        <v>1016.96</v>
      </c>
      <c r="K423" s="195">
        <f>SUMIF(FALTAS!A:A,A423,FALTAS!D:D)</f>
        <v>0</v>
      </c>
    </row>
    <row r="424" spans="1:11" x14ac:dyDescent="0.2">
      <c r="A424" s="235">
        <v>112366</v>
      </c>
      <c r="B424" s="236" t="s">
        <v>133</v>
      </c>
      <c r="C424" s="236" t="s">
        <v>1589</v>
      </c>
      <c r="D424" s="236" t="s">
        <v>15</v>
      </c>
      <c r="E424" s="237">
        <v>43617</v>
      </c>
      <c r="F424" s="236" t="s">
        <v>1234</v>
      </c>
      <c r="G424" s="237">
        <v>45149</v>
      </c>
      <c r="H424" s="234">
        <f>SUMIF(VA!B:B,A424,VA!I:I)</f>
        <v>359.46</v>
      </c>
      <c r="I424" s="33">
        <f>SUMIF(VR!B:B,A424,VR!I:I)</f>
        <v>657.5</v>
      </c>
      <c r="J424" s="4">
        <f t="shared" si="6"/>
        <v>1016.96</v>
      </c>
      <c r="K424" s="195">
        <f>SUMIF(FALTAS!A:A,A424,FALTAS!D:D)</f>
        <v>0</v>
      </c>
    </row>
    <row r="425" spans="1:11" x14ac:dyDescent="0.2">
      <c r="A425" s="235">
        <v>112372</v>
      </c>
      <c r="B425" s="236" t="s">
        <v>136</v>
      </c>
      <c r="C425" s="236" t="s">
        <v>0</v>
      </c>
      <c r="D425" s="236" t="s">
        <v>2</v>
      </c>
      <c r="E425" s="237">
        <v>43617</v>
      </c>
      <c r="F425" s="236" t="s">
        <v>1234</v>
      </c>
      <c r="G425" s="237">
        <v>45086</v>
      </c>
      <c r="H425" s="234">
        <f>SUMIF(VA!B:B,A425,VA!I:I)</f>
        <v>359.46</v>
      </c>
      <c r="I425" s="33">
        <f>SUMIF(VR!B:B,A425,VR!I:I)</f>
        <v>657.5</v>
      </c>
      <c r="J425" s="4">
        <f t="shared" si="6"/>
        <v>1016.96</v>
      </c>
      <c r="K425" s="195">
        <f>SUMIF(FALTAS!A:A,A425,FALTAS!D:D)</f>
        <v>0</v>
      </c>
    </row>
    <row r="426" spans="1:11" x14ac:dyDescent="0.2">
      <c r="A426" s="235">
        <v>112378</v>
      </c>
      <c r="B426" s="236" t="s">
        <v>141</v>
      </c>
      <c r="C426" s="236" t="s">
        <v>0</v>
      </c>
      <c r="D426" s="236" t="s">
        <v>2</v>
      </c>
      <c r="E426" s="237">
        <v>43617</v>
      </c>
      <c r="F426" s="236" t="s">
        <v>1234</v>
      </c>
      <c r="G426" s="237">
        <v>44776</v>
      </c>
      <c r="H426" s="234">
        <f>SUMIF(VA!B:B,A426,VA!I:I)</f>
        <v>359.46</v>
      </c>
      <c r="I426" s="33">
        <f>SUMIF(VR!B:B,A426,VR!I:I)</f>
        <v>657.5</v>
      </c>
      <c r="J426" s="4">
        <f t="shared" si="6"/>
        <v>1016.96</v>
      </c>
      <c r="K426" s="195">
        <f>SUMIF(FALTAS!A:A,A426,FALTAS!D:D)</f>
        <v>0</v>
      </c>
    </row>
    <row r="427" spans="1:11" x14ac:dyDescent="0.2">
      <c r="A427" s="235">
        <v>112382</v>
      </c>
      <c r="B427" s="236" t="s">
        <v>145</v>
      </c>
      <c r="C427" s="236" t="s">
        <v>19</v>
      </c>
      <c r="D427" s="236" t="s">
        <v>146</v>
      </c>
      <c r="E427" s="237">
        <v>43617</v>
      </c>
      <c r="F427" s="236" t="s">
        <v>1234</v>
      </c>
      <c r="G427" s="237">
        <v>45149</v>
      </c>
      <c r="H427" s="234">
        <f>SUMIF(VA!B:B,A427,VA!I:I)</f>
        <v>359.46</v>
      </c>
      <c r="I427" s="33">
        <f>SUMIF(VR!B:B,A427,VR!I:I)</f>
        <v>657.5</v>
      </c>
      <c r="J427" s="4">
        <f t="shared" si="6"/>
        <v>1016.96</v>
      </c>
      <c r="K427" s="195">
        <f>SUMIF(FALTAS!A:A,A427,FALTAS!D:D)</f>
        <v>0</v>
      </c>
    </row>
    <row r="428" spans="1:11" x14ac:dyDescent="0.2">
      <c r="A428" s="235">
        <v>114916</v>
      </c>
      <c r="B428" s="236" t="s">
        <v>1111</v>
      </c>
      <c r="C428" s="236" t="s">
        <v>1589</v>
      </c>
      <c r="D428" s="236" t="s">
        <v>378</v>
      </c>
      <c r="E428" s="237">
        <v>43916</v>
      </c>
      <c r="F428" s="236" t="s">
        <v>1234</v>
      </c>
      <c r="G428" s="237">
        <v>44930</v>
      </c>
      <c r="H428" s="234">
        <f>SUMIF(VA!B:B,A428,VA!I:I)</f>
        <v>359.46</v>
      </c>
      <c r="I428" s="33">
        <f>SUMIF(VR!B:B,A428,VR!I:I)</f>
        <v>657.5</v>
      </c>
      <c r="J428" s="4">
        <f t="shared" si="6"/>
        <v>1016.96</v>
      </c>
      <c r="K428" s="195">
        <f>SUMIF(FALTAS!A:A,A428,FALTAS!D:D)</f>
        <v>0</v>
      </c>
    </row>
    <row r="429" spans="1:11" x14ac:dyDescent="0.2">
      <c r="A429" s="235">
        <v>119649</v>
      </c>
      <c r="B429" s="236" t="s">
        <v>1467</v>
      </c>
      <c r="C429" s="236" t="s">
        <v>0</v>
      </c>
      <c r="D429" s="236" t="s">
        <v>5</v>
      </c>
      <c r="E429" s="237">
        <v>44725</v>
      </c>
      <c r="F429" s="236" t="s">
        <v>1234</v>
      </c>
      <c r="G429" s="237">
        <v>44725</v>
      </c>
      <c r="H429" s="234">
        <f>SUMIF(VA!B:B,A429,VA!I:I)</f>
        <v>347.47</v>
      </c>
      <c r="I429" s="33">
        <f>SUMIF(VR!B:B,A429,VR!I:I)</f>
        <v>631.20000000000005</v>
      </c>
      <c r="J429" s="4">
        <f t="shared" si="6"/>
        <v>978.67000000000007</v>
      </c>
      <c r="K429" s="195">
        <f>SUMIF(FALTAS!A:A,A429,FALTAS!D:D)</f>
        <v>1</v>
      </c>
    </row>
    <row r="430" spans="1:11" x14ac:dyDescent="0.2">
      <c r="A430" s="235">
        <v>114315</v>
      </c>
      <c r="B430" s="236" t="s">
        <v>1035</v>
      </c>
      <c r="C430" s="236" t="s">
        <v>0</v>
      </c>
      <c r="D430" s="236" t="s">
        <v>5</v>
      </c>
      <c r="E430" s="237">
        <v>43811</v>
      </c>
      <c r="F430" s="236" t="s">
        <v>1235</v>
      </c>
      <c r="G430" s="237">
        <v>45147</v>
      </c>
      <c r="H430" s="234">
        <f>SUMIF(VA!B:B,A430,VA!I:I)</f>
        <v>359.46</v>
      </c>
      <c r="I430" s="33">
        <f>SUMIF(VR!B:B,A430,VR!I:I)</f>
        <v>657.5</v>
      </c>
      <c r="J430" s="4">
        <f t="shared" si="6"/>
        <v>1016.96</v>
      </c>
      <c r="K430" s="195">
        <f>SUMIF(FALTAS!A:A,A430,FALTAS!D:D)</f>
        <v>0</v>
      </c>
    </row>
    <row r="431" spans="1:11" x14ac:dyDescent="0.2">
      <c r="A431" s="235">
        <v>112400</v>
      </c>
      <c r="B431" s="236" t="s">
        <v>156</v>
      </c>
      <c r="C431" s="236" t="s">
        <v>1589</v>
      </c>
      <c r="D431" s="236" t="s">
        <v>967</v>
      </c>
      <c r="E431" s="237">
        <v>43617</v>
      </c>
      <c r="F431" s="236" t="s">
        <v>1234</v>
      </c>
      <c r="G431" s="237">
        <v>45028</v>
      </c>
      <c r="H431" s="234">
        <f>SUMIF(VA!B:B,A431,VA!I:I)</f>
        <v>359.46</v>
      </c>
      <c r="I431" s="33">
        <f>SUMIF(VR!B:B,A431,VR!I:I)</f>
        <v>657.5</v>
      </c>
      <c r="J431" s="4">
        <f t="shared" si="6"/>
        <v>1016.96</v>
      </c>
      <c r="K431" s="195">
        <f>SUMIF(FALTAS!A:A,A431,FALTAS!D:D)</f>
        <v>0</v>
      </c>
    </row>
    <row r="432" spans="1:11" x14ac:dyDescent="0.2">
      <c r="A432" s="235">
        <v>122415</v>
      </c>
      <c r="B432" s="236" t="s">
        <v>1698</v>
      </c>
      <c r="C432" s="236" t="s">
        <v>1589</v>
      </c>
      <c r="D432" s="236" t="s">
        <v>5</v>
      </c>
      <c r="E432" s="237">
        <v>45117</v>
      </c>
      <c r="F432" s="236" t="s">
        <v>1234</v>
      </c>
      <c r="G432" s="237">
        <v>45117</v>
      </c>
      <c r="H432" s="234">
        <f>SUMIF(VA!B:B,A432,VA!I:I)</f>
        <v>359.46</v>
      </c>
      <c r="I432" s="33">
        <f>SUMIF(VR!B:B,A432,VR!I:I)</f>
        <v>657.5</v>
      </c>
      <c r="J432" s="4">
        <f t="shared" si="6"/>
        <v>1016.96</v>
      </c>
      <c r="K432" s="195">
        <f>SUMIF(FALTAS!A:A,A432,FALTAS!D:D)</f>
        <v>0</v>
      </c>
    </row>
    <row r="433" spans="1:11" x14ac:dyDescent="0.2">
      <c r="A433" s="235">
        <v>112410</v>
      </c>
      <c r="B433" s="236" t="s">
        <v>163</v>
      </c>
      <c r="C433" s="236" t="s">
        <v>1589</v>
      </c>
      <c r="D433" s="236" t="s">
        <v>15</v>
      </c>
      <c r="E433" s="237">
        <v>43617</v>
      </c>
      <c r="F433" s="236" t="s">
        <v>1234</v>
      </c>
      <c r="G433" s="237">
        <v>44835</v>
      </c>
      <c r="H433" s="234">
        <f>SUMIF(VA!B:B,A433,VA!I:I)</f>
        <v>359.46</v>
      </c>
      <c r="I433" s="33">
        <f>SUMIF(VR!B:B,A433,VR!I:I)</f>
        <v>657.5</v>
      </c>
      <c r="J433" s="4">
        <f t="shared" si="6"/>
        <v>1016.96</v>
      </c>
      <c r="K433" s="195">
        <f>SUMIF(FALTAS!A:A,A433,FALTAS!D:D)</f>
        <v>0</v>
      </c>
    </row>
    <row r="434" spans="1:11" x14ac:dyDescent="0.2">
      <c r="A434" s="235">
        <v>114548</v>
      </c>
      <c r="B434" s="236" t="s">
        <v>1059</v>
      </c>
      <c r="C434" s="236" t="s">
        <v>19</v>
      </c>
      <c r="D434" s="236" t="s">
        <v>2</v>
      </c>
      <c r="E434" s="237">
        <v>43817</v>
      </c>
      <c r="F434" s="236" t="s">
        <v>1234</v>
      </c>
      <c r="G434" s="237">
        <v>44867</v>
      </c>
      <c r="H434" s="234">
        <f>SUMIF(VA!B:B,A434,VA!I:I)</f>
        <v>347.47</v>
      </c>
      <c r="I434" s="33">
        <f>SUMIF(VR!B:B,A434,VR!I:I)</f>
        <v>631.20000000000005</v>
      </c>
      <c r="J434" s="4">
        <f t="shared" si="6"/>
        <v>978.67000000000007</v>
      </c>
      <c r="K434" s="195">
        <f>SUMIF(FALTAS!A:A,A434,FALTAS!D:D)</f>
        <v>1</v>
      </c>
    </row>
    <row r="435" spans="1:11" x14ac:dyDescent="0.2">
      <c r="A435" s="235">
        <v>112413</v>
      </c>
      <c r="B435" s="236" t="s">
        <v>164</v>
      </c>
      <c r="C435" s="236" t="s">
        <v>1589</v>
      </c>
      <c r="D435" s="236" t="s">
        <v>15</v>
      </c>
      <c r="E435" s="237">
        <v>43617</v>
      </c>
      <c r="F435" s="236" t="s">
        <v>1234</v>
      </c>
      <c r="G435" s="237">
        <v>44898</v>
      </c>
      <c r="H435" s="234">
        <f>SUMIF(VA!B:B,A435,VA!I:I)</f>
        <v>359.46</v>
      </c>
      <c r="I435" s="33">
        <f>SUMIF(VR!B:B,A435,VR!I:I)</f>
        <v>657.5</v>
      </c>
      <c r="J435" s="4">
        <f t="shared" si="6"/>
        <v>1016.96</v>
      </c>
      <c r="K435" s="195">
        <f>SUMIF(FALTAS!A:A,A435,FALTAS!D:D)</f>
        <v>0</v>
      </c>
    </row>
    <row r="436" spans="1:11" x14ac:dyDescent="0.2">
      <c r="A436" s="235">
        <v>112417</v>
      </c>
      <c r="B436" s="236" t="s">
        <v>167</v>
      </c>
      <c r="C436" s="236" t="s">
        <v>0</v>
      </c>
      <c r="D436" s="236" t="s">
        <v>2</v>
      </c>
      <c r="E436" s="237">
        <v>43617</v>
      </c>
      <c r="F436" s="236" t="s">
        <v>1234</v>
      </c>
      <c r="G436" s="237">
        <v>44989</v>
      </c>
      <c r="H436" s="234">
        <f>SUMIF(VA!B:B,A436,VA!I:I)</f>
        <v>359.46</v>
      </c>
      <c r="I436" s="33">
        <f>SUMIF(VR!B:B,A436,VR!I:I)</f>
        <v>657.5</v>
      </c>
      <c r="J436" s="4">
        <f t="shared" si="6"/>
        <v>1016.96</v>
      </c>
      <c r="K436" s="195">
        <f>SUMIF(FALTAS!A:A,A436,FALTAS!D:D)</f>
        <v>0</v>
      </c>
    </row>
    <row r="437" spans="1:11" x14ac:dyDescent="0.2">
      <c r="A437" s="235">
        <v>112439</v>
      </c>
      <c r="B437" s="236" t="s">
        <v>180</v>
      </c>
      <c r="C437" s="236" t="s">
        <v>1589</v>
      </c>
      <c r="D437" s="236" t="s">
        <v>22</v>
      </c>
      <c r="E437" s="237">
        <v>43617</v>
      </c>
      <c r="F437" s="236" t="s">
        <v>1234</v>
      </c>
      <c r="G437" s="237">
        <v>44898</v>
      </c>
      <c r="H437" s="234">
        <f>SUMIF(VA!B:B,A437,VA!I:I)</f>
        <v>359.46</v>
      </c>
      <c r="I437" s="33">
        <f>SUMIF(VR!B:B,A437,VR!I:I)</f>
        <v>657.5</v>
      </c>
      <c r="J437" s="4">
        <f t="shared" si="6"/>
        <v>1016.96</v>
      </c>
      <c r="K437" s="195">
        <f>SUMIF(FALTAS!A:A,A437,FALTAS!D:D)</f>
        <v>0</v>
      </c>
    </row>
    <row r="438" spans="1:11" x14ac:dyDescent="0.2">
      <c r="A438" s="235">
        <v>112449</v>
      </c>
      <c r="B438" s="236" t="s">
        <v>188</v>
      </c>
      <c r="C438" s="236" t="s">
        <v>0</v>
      </c>
      <c r="D438" s="236" t="s">
        <v>2</v>
      </c>
      <c r="E438" s="237">
        <v>43617</v>
      </c>
      <c r="F438" s="236" t="s">
        <v>1234</v>
      </c>
      <c r="G438" s="237">
        <v>44930</v>
      </c>
      <c r="H438" s="234">
        <f>SUMIF(VA!B:B,A438,VA!I:I)</f>
        <v>359.46</v>
      </c>
      <c r="I438" s="33">
        <f>SUMIF(VR!B:B,A438,VR!I:I)</f>
        <v>657.5</v>
      </c>
      <c r="J438" s="4">
        <f t="shared" si="6"/>
        <v>1016.96</v>
      </c>
      <c r="K438" s="195">
        <f>SUMIF(FALTAS!A:A,A438,FALTAS!D:D)</f>
        <v>0</v>
      </c>
    </row>
    <row r="439" spans="1:11" x14ac:dyDescent="0.2">
      <c r="A439" s="235">
        <v>112471</v>
      </c>
      <c r="B439" s="236" t="s">
        <v>200</v>
      </c>
      <c r="C439" s="236" t="s">
        <v>8</v>
      </c>
      <c r="D439" s="236" t="s">
        <v>5</v>
      </c>
      <c r="E439" s="237">
        <v>43617</v>
      </c>
      <c r="F439" s="236" t="s">
        <v>1234</v>
      </c>
      <c r="G439" s="237">
        <v>45056</v>
      </c>
      <c r="H439" s="234">
        <f>SUMIF(VA!B:B,A439,VA!I:I)</f>
        <v>359.46</v>
      </c>
      <c r="I439" s="33">
        <f>SUMIF(VR!B:B,A439,VR!I:I)</f>
        <v>657.5</v>
      </c>
      <c r="J439" s="4">
        <f t="shared" si="6"/>
        <v>1016.96</v>
      </c>
      <c r="K439" s="195">
        <f>SUMIF(FALTAS!A:A,A439,FALTAS!D:D)</f>
        <v>0</v>
      </c>
    </row>
    <row r="440" spans="1:11" x14ac:dyDescent="0.2">
      <c r="A440" s="235">
        <v>114255</v>
      </c>
      <c r="B440" s="236" t="s">
        <v>1023</v>
      </c>
      <c r="C440" s="236" t="s">
        <v>1589</v>
      </c>
      <c r="D440" s="236" t="s">
        <v>5</v>
      </c>
      <c r="E440" s="237">
        <v>43804</v>
      </c>
      <c r="F440" s="236" t="s">
        <v>1234</v>
      </c>
      <c r="G440" s="237">
        <v>45149</v>
      </c>
      <c r="H440" s="234">
        <f>SUMIF(VA!B:B,A440,VA!I:I)</f>
        <v>359.46</v>
      </c>
      <c r="I440" s="33">
        <f>SUMIF(VR!B:B,A440,VR!I:I)</f>
        <v>657.5</v>
      </c>
      <c r="J440" s="4">
        <f t="shared" si="6"/>
        <v>1016.96</v>
      </c>
      <c r="K440" s="195">
        <f>SUMIF(FALTAS!A:A,A440,FALTAS!D:D)</f>
        <v>0</v>
      </c>
    </row>
    <row r="441" spans="1:11" x14ac:dyDescent="0.2">
      <c r="A441" s="235">
        <v>116726</v>
      </c>
      <c r="B441" s="236" t="s">
        <v>1223</v>
      </c>
      <c r="C441" s="236" t="s">
        <v>19</v>
      </c>
      <c r="D441" s="236" t="s">
        <v>2</v>
      </c>
      <c r="E441" s="237">
        <v>44368</v>
      </c>
      <c r="F441" s="236" t="s">
        <v>1235</v>
      </c>
      <c r="G441" s="237">
        <v>45147</v>
      </c>
      <c r="H441" s="234">
        <f>SUMIF(VA!B:B,A441,VA!I:I)</f>
        <v>359.46</v>
      </c>
      <c r="I441" s="33">
        <f>SUMIF(VR!B:B,A441,VR!I:I)</f>
        <v>526</v>
      </c>
      <c r="J441" s="4">
        <f t="shared" si="6"/>
        <v>885.46</v>
      </c>
      <c r="K441" s="195">
        <f>SUMIF(FALTAS!A:A,A441,FALTAS!D:D)</f>
        <v>5</v>
      </c>
    </row>
    <row r="442" spans="1:11" x14ac:dyDescent="0.2">
      <c r="A442" s="235">
        <v>112473</v>
      </c>
      <c r="B442" s="236" t="s">
        <v>202</v>
      </c>
      <c r="C442" s="236" t="s">
        <v>0</v>
      </c>
      <c r="D442" s="236" t="s">
        <v>2</v>
      </c>
      <c r="E442" s="237">
        <v>43617</v>
      </c>
      <c r="F442" s="236" t="s">
        <v>1234</v>
      </c>
      <c r="G442" s="237">
        <v>44898</v>
      </c>
      <c r="H442" s="234">
        <f>SUMIF(VA!B:B,A442,VA!I:I)</f>
        <v>359.46</v>
      </c>
      <c r="I442" s="33">
        <f>SUMIF(VR!B:B,A442,VR!I:I)</f>
        <v>657.5</v>
      </c>
      <c r="J442" s="4">
        <f t="shared" si="6"/>
        <v>1016.96</v>
      </c>
      <c r="K442" s="195">
        <f>SUMIF(FALTAS!A:A,A442,FALTAS!D:D)</f>
        <v>0</v>
      </c>
    </row>
    <row r="443" spans="1:11" x14ac:dyDescent="0.2">
      <c r="A443" s="235">
        <v>114699</v>
      </c>
      <c r="B443" s="236" t="s">
        <v>1077</v>
      </c>
      <c r="C443" s="236" t="s">
        <v>0</v>
      </c>
      <c r="D443" s="236" t="s">
        <v>5</v>
      </c>
      <c r="E443" s="237">
        <v>43874</v>
      </c>
      <c r="F443" s="236" t="s">
        <v>1234</v>
      </c>
      <c r="G443" s="237">
        <v>44898</v>
      </c>
      <c r="H443" s="234">
        <f>SUMIF(VA!B:B,A443,VA!I:I)</f>
        <v>359.46</v>
      </c>
      <c r="I443" s="33">
        <f>SUMIF(VR!B:B,A443,VR!I:I)</f>
        <v>657.5</v>
      </c>
      <c r="J443" s="4">
        <f t="shared" si="6"/>
        <v>1016.96</v>
      </c>
      <c r="K443" s="195">
        <f>SUMIF(FALTAS!A:A,A443,FALTAS!D:D)</f>
        <v>0</v>
      </c>
    </row>
    <row r="444" spans="1:11" x14ac:dyDescent="0.2">
      <c r="A444" s="235">
        <v>119652</v>
      </c>
      <c r="B444" s="236" t="s">
        <v>1468</v>
      </c>
      <c r="C444" s="236" t="s">
        <v>0</v>
      </c>
      <c r="D444" s="236" t="s">
        <v>2</v>
      </c>
      <c r="E444" s="237">
        <v>44725</v>
      </c>
      <c r="F444" s="236" t="s">
        <v>1234</v>
      </c>
      <c r="G444" s="237">
        <v>44725</v>
      </c>
      <c r="H444" s="234">
        <f>SUMIF(VA!B:B,A444,VA!I:I)</f>
        <v>359.46</v>
      </c>
      <c r="I444" s="33">
        <f>SUMIF(VR!B:B,A444,VR!I:I)</f>
        <v>657.5</v>
      </c>
      <c r="J444" s="4">
        <f t="shared" si="6"/>
        <v>1016.96</v>
      </c>
      <c r="K444" s="195">
        <f>SUMIF(FALTAS!A:A,A444,FALTAS!D:D)</f>
        <v>0</v>
      </c>
    </row>
    <row r="445" spans="1:11" x14ac:dyDescent="0.2">
      <c r="A445" s="235">
        <v>112494</v>
      </c>
      <c r="B445" s="236" t="s">
        <v>214</v>
      </c>
      <c r="C445" s="236" t="s">
        <v>0</v>
      </c>
      <c r="D445" s="236" t="s">
        <v>39</v>
      </c>
      <c r="E445" s="237">
        <v>43617</v>
      </c>
      <c r="F445" s="236" t="s">
        <v>1234</v>
      </c>
      <c r="G445" s="237">
        <v>45119</v>
      </c>
      <c r="H445" s="234">
        <f>SUMIF(VA!B:B,A445,VA!I:I)</f>
        <v>359.46</v>
      </c>
      <c r="I445" s="33">
        <f>SUMIF(VR!B:B,A445,VR!I:I)</f>
        <v>657.5</v>
      </c>
      <c r="J445" s="4">
        <f t="shared" si="6"/>
        <v>1016.96</v>
      </c>
      <c r="K445" s="195">
        <f>SUMIF(FALTAS!A:A,A445,FALTAS!D:D)</f>
        <v>0</v>
      </c>
    </row>
    <row r="446" spans="1:11" x14ac:dyDescent="0.2">
      <c r="A446" s="235">
        <v>113776</v>
      </c>
      <c r="B446" s="236" t="s">
        <v>978</v>
      </c>
      <c r="C446" s="236" t="s">
        <v>1589</v>
      </c>
      <c r="D446" s="236" t="s">
        <v>977</v>
      </c>
      <c r="E446" s="237">
        <v>43623</v>
      </c>
      <c r="F446" s="236" t="s">
        <v>1235</v>
      </c>
      <c r="G446" s="237">
        <v>45147</v>
      </c>
      <c r="H446" s="234">
        <f>SUMIF(VA!B:B,A446,VA!I:I)</f>
        <v>359.46</v>
      </c>
      <c r="I446" s="33">
        <f>SUMIF(VR!B:B,A446,VR!I:I)</f>
        <v>657.5</v>
      </c>
      <c r="J446" s="4">
        <f t="shared" si="6"/>
        <v>1016.96</v>
      </c>
      <c r="K446" s="195">
        <f>SUMIF(FALTAS!A:A,A446,FALTAS!D:D)</f>
        <v>0</v>
      </c>
    </row>
    <row r="447" spans="1:11" x14ac:dyDescent="0.2">
      <c r="A447" s="235">
        <v>112500</v>
      </c>
      <c r="B447" s="236" t="s">
        <v>219</v>
      </c>
      <c r="C447" s="236" t="s">
        <v>19</v>
      </c>
      <c r="D447" s="236" t="s">
        <v>5</v>
      </c>
      <c r="E447" s="237">
        <v>43617</v>
      </c>
      <c r="F447" s="236" t="s">
        <v>1234</v>
      </c>
      <c r="G447" s="237">
        <v>44806</v>
      </c>
      <c r="H447" s="234">
        <f>SUMIF(VA!B:B,A447,VA!I:I)</f>
        <v>359.46</v>
      </c>
      <c r="I447" s="33">
        <f>SUMIF(VR!B:B,A447,VR!I:I)</f>
        <v>657.5</v>
      </c>
      <c r="J447" s="4">
        <f t="shared" si="6"/>
        <v>1016.96</v>
      </c>
      <c r="K447" s="195">
        <f>SUMIF(FALTAS!A:A,A447,FALTAS!D:D)</f>
        <v>0</v>
      </c>
    </row>
    <row r="448" spans="1:11" x14ac:dyDescent="0.2">
      <c r="A448" s="235">
        <v>112506</v>
      </c>
      <c r="B448" s="236" t="s">
        <v>224</v>
      </c>
      <c r="C448" s="236" t="s">
        <v>1589</v>
      </c>
      <c r="D448" s="236" t="s">
        <v>15</v>
      </c>
      <c r="E448" s="237">
        <v>43617</v>
      </c>
      <c r="F448" s="236" t="s">
        <v>1234</v>
      </c>
      <c r="G448" s="237">
        <v>44930</v>
      </c>
      <c r="H448" s="234">
        <f>SUMIF(VA!B:B,A448,VA!I:I)</f>
        <v>359.46</v>
      </c>
      <c r="I448" s="33">
        <f>SUMIF(VR!B:B,A448,VR!I:I)</f>
        <v>657.5</v>
      </c>
      <c r="J448" s="4">
        <f t="shared" si="6"/>
        <v>1016.96</v>
      </c>
      <c r="K448" s="195">
        <f>SUMIF(FALTAS!A:A,A448,FALTAS!D:D)</f>
        <v>0</v>
      </c>
    </row>
    <row r="449" spans="1:11" x14ac:dyDescent="0.2">
      <c r="A449" s="235">
        <v>112510</v>
      </c>
      <c r="B449" s="236" t="s">
        <v>227</v>
      </c>
      <c r="C449" s="236" t="s">
        <v>10</v>
      </c>
      <c r="D449" s="236" t="s">
        <v>5</v>
      </c>
      <c r="E449" s="237">
        <v>43617</v>
      </c>
      <c r="F449" s="236" t="s">
        <v>1234</v>
      </c>
      <c r="G449" s="237">
        <v>44835</v>
      </c>
      <c r="H449" s="234">
        <f>SUMIF(VA!B:B,A449,VA!I:I)</f>
        <v>359.46</v>
      </c>
      <c r="I449" s="33">
        <f>SUMIF(VR!B:B,A449,VR!I:I)</f>
        <v>657.5</v>
      </c>
      <c r="J449" s="4">
        <f t="shared" si="6"/>
        <v>1016.96</v>
      </c>
      <c r="K449" s="195">
        <f>SUMIF(FALTAS!A:A,A449,FALTAS!D:D)</f>
        <v>0</v>
      </c>
    </row>
    <row r="450" spans="1:11" x14ac:dyDescent="0.2">
      <c r="A450" s="235">
        <v>112514</v>
      </c>
      <c r="B450" s="236" t="s">
        <v>231</v>
      </c>
      <c r="C450" s="236" t="s">
        <v>8</v>
      </c>
      <c r="D450" s="236" t="s">
        <v>39</v>
      </c>
      <c r="E450" s="237">
        <v>43617</v>
      </c>
      <c r="F450" s="236" t="s">
        <v>1235</v>
      </c>
      <c r="G450" s="237">
        <v>45147</v>
      </c>
      <c r="H450" s="234">
        <f>SUMIF(VA!B:B,A450,VA!I:I)</f>
        <v>359.46</v>
      </c>
      <c r="I450" s="33">
        <f>SUMIF(VR!B:B,A450,VR!I:I)</f>
        <v>657.5</v>
      </c>
      <c r="J450" s="4">
        <f t="shared" ref="J450:J513" si="7">H450+I450</f>
        <v>1016.96</v>
      </c>
      <c r="K450" s="195">
        <f>SUMIF(FALTAS!A:A,A450,FALTAS!D:D)</f>
        <v>0</v>
      </c>
    </row>
    <row r="451" spans="1:11" x14ac:dyDescent="0.2">
      <c r="A451" s="235">
        <v>112518</v>
      </c>
      <c r="B451" s="236" t="s">
        <v>234</v>
      </c>
      <c r="C451" s="236" t="s">
        <v>1589</v>
      </c>
      <c r="D451" s="236" t="s">
        <v>15</v>
      </c>
      <c r="E451" s="237">
        <v>43617</v>
      </c>
      <c r="F451" s="236" t="s">
        <v>1234</v>
      </c>
      <c r="G451" s="237">
        <v>44930</v>
      </c>
      <c r="H451" s="234">
        <f>SUMIF(VA!B:B,A451,VA!I:I)</f>
        <v>359.46</v>
      </c>
      <c r="I451" s="33">
        <f>SUMIF(VR!B:B,A451,VR!I:I)</f>
        <v>657.5</v>
      </c>
      <c r="J451" s="4">
        <f t="shared" si="7"/>
        <v>1016.96</v>
      </c>
      <c r="K451" s="195">
        <f>SUMIF(FALTAS!A:A,A451,FALTAS!D:D)</f>
        <v>0</v>
      </c>
    </row>
    <row r="452" spans="1:11" x14ac:dyDescent="0.2">
      <c r="A452" s="235">
        <v>112520</v>
      </c>
      <c r="B452" s="236" t="s">
        <v>235</v>
      </c>
      <c r="C452" s="236" t="s">
        <v>0</v>
      </c>
      <c r="D452" s="236" t="s">
        <v>2</v>
      </c>
      <c r="E452" s="237">
        <v>43617</v>
      </c>
      <c r="F452" s="236" t="s">
        <v>1234</v>
      </c>
      <c r="G452" s="237">
        <v>45023</v>
      </c>
      <c r="H452" s="234">
        <f>SUMIF(VA!B:B,A452,VA!I:I)</f>
        <v>359.46</v>
      </c>
      <c r="I452" s="33">
        <f>SUMIF(VR!B:B,A452,VR!I:I)</f>
        <v>657.5</v>
      </c>
      <c r="J452" s="4">
        <f t="shared" si="7"/>
        <v>1016.96</v>
      </c>
      <c r="K452" s="195">
        <f>SUMIF(FALTAS!A:A,A452,FALTAS!D:D)</f>
        <v>0</v>
      </c>
    </row>
    <row r="453" spans="1:11" x14ac:dyDescent="0.2">
      <c r="A453" s="235">
        <v>112522</v>
      </c>
      <c r="B453" s="236" t="s">
        <v>237</v>
      </c>
      <c r="C453" s="236" t="s">
        <v>10</v>
      </c>
      <c r="D453" s="236" t="s">
        <v>2</v>
      </c>
      <c r="E453" s="237">
        <v>43617</v>
      </c>
      <c r="F453" s="236" t="s">
        <v>1234</v>
      </c>
      <c r="G453" s="237">
        <v>45086</v>
      </c>
      <c r="H453" s="234">
        <f>SUMIF(VA!B:B,A453,VA!I:I)</f>
        <v>359.46</v>
      </c>
      <c r="I453" s="33">
        <f>SUMIF(VR!B:B,A453,VR!I:I)</f>
        <v>657.5</v>
      </c>
      <c r="J453" s="4">
        <f t="shared" si="7"/>
        <v>1016.96</v>
      </c>
      <c r="K453" s="195">
        <f>SUMIF(FALTAS!A:A,A453,FALTAS!D:D)</f>
        <v>0</v>
      </c>
    </row>
    <row r="454" spans="1:11" x14ac:dyDescent="0.2">
      <c r="A454" s="235">
        <v>112586</v>
      </c>
      <c r="B454" s="236" t="s">
        <v>279</v>
      </c>
      <c r="C454" s="236" t="s">
        <v>10</v>
      </c>
      <c r="D454" s="236" t="s">
        <v>2</v>
      </c>
      <c r="E454" s="237">
        <v>43617</v>
      </c>
      <c r="F454" s="236" t="s">
        <v>1234</v>
      </c>
      <c r="G454" s="237">
        <v>45023</v>
      </c>
      <c r="H454" s="234">
        <f>SUMIF(VA!B:B,A454,VA!I:I)</f>
        <v>359.46</v>
      </c>
      <c r="I454" s="33">
        <f>SUMIF(VR!B:B,A454,VR!I:I)</f>
        <v>657.5</v>
      </c>
      <c r="J454" s="4">
        <f t="shared" si="7"/>
        <v>1016.96</v>
      </c>
      <c r="K454" s="195">
        <f>SUMIF(FALTAS!A:A,A454,FALTAS!D:D)</f>
        <v>0</v>
      </c>
    </row>
    <row r="455" spans="1:11" x14ac:dyDescent="0.2">
      <c r="A455" s="235">
        <v>112590</v>
      </c>
      <c r="B455" s="236" t="s">
        <v>283</v>
      </c>
      <c r="C455" s="236" t="s">
        <v>1589</v>
      </c>
      <c r="D455" s="236" t="s">
        <v>22</v>
      </c>
      <c r="E455" s="237">
        <v>43617</v>
      </c>
      <c r="F455" s="236" t="s">
        <v>1234</v>
      </c>
      <c r="G455" s="237">
        <v>44960</v>
      </c>
      <c r="H455" s="234">
        <f>SUMIF(VA!B:B,A455,VA!I:I)</f>
        <v>359.46</v>
      </c>
      <c r="I455" s="33">
        <f>SUMIF(VR!B:B,A455,VR!I:I)</f>
        <v>657.5</v>
      </c>
      <c r="J455" s="4">
        <f t="shared" si="7"/>
        <v>1016.96</v>
      </c>
      <c r="K455" s="195">
        <f>SUMIF(FALTAS!A:A,A455,FALTAS!D:D)</f>
        <v>0</v>
      </c>
    </row>
    <row r="456" spans="1:11" x14ac:dyDescent="0.2">
      <c r="A456" s="235">
        <v>112598</v>
      </c>
      <c r="B456" s="236" t="s">
        <v>287</v>
      </c>
      <c r="C456" s="236" t="s">
        <v>1589</v>
      </c>
      <c r="D456" s="236" t="s">
        <v>15</v>
      </c>
      <c r="E456" s="237">
        <v>43617</v>
      </c>
      <c r="F456" s="236" t="s">
        <v>1234</v>
      </c>
      <c r="G456" s="237">
        <v>44835</v>
      </c>
      <c r="H456" s="234">
        <f>SUMIF(VA!B:B,A456,VA!I:I)</f>
        <v>359.46</v>
      </c>
      <c r="I456" s="33">
        <f>SUMIF(VR!B:B,A456,VR!I:I)</f>
        <v>657.5</v>
      </c>
      <c r="J456" s="4">
        <f t="shared" si="7"/>
        <v>1016.96</v>
      </c>
      <c r="K456" s="195">
        <f>SUMIF(FALTAS!A:A,A456,FALTAS!D:D)</f>
        <v>0</v>
      </c>
    </row>
    <row r="457" spans="1:11" x14ac:dyDescent="0.2">
      <c r="A457" s="235">
        <v>112602</v>
      </c>
      <c r="B457" s="236" t="s">
        <v>289</v>
      </c>
      <c r="C457" s="236" t="s">
        <v>8</v>
      </c>
      <c r="D457" s="236" t="s">
        <v>146</v>
      </c>
      <c r="E457" s="237">
        <v>43617</v>
      </c>
      <c r="F457" s="236" t="s">
        <v>1234</v>
      </c>
      <c r="G457" s="237">
        <v>44960</v>
      </c>
      <c r="H457" s="234">
        <f>SUMIF(VA!B:B,A457,VA!I:I)</f>
        <v>359.46</v>
      </c>
      <c r="I457" s="33">
        <f>SUMIF(VR!B:B,A457,VR!I:I)</f>
        <v>657.5</v>
      </c>
      <c r="J457" s="4">
        <f t="shared" si="7"/>
        <v>1016.96</v>
      </c>
      <c r="K457" s="195">
        <f>SUMIF(FALTAS!A:A,A457,FALTAS!D:D)</f>
        <v>0</v>
      </c>
    </row>
    <row r="458" spans="1:11" x14ac:dyDescent="0.2">
      <c r="A458" s="235">
        <v>112606</v>
      </c>
      <c r="B458" s="236" t="s">
        <v>291</v>
      </c>
      <c r="C458" s="236" t="s">
        <v>1589</v>
      </c>
      <c r="D458" s="236" t="s">
        <v>22</v>
      </c>
      <c r="E458" s="237">
        <v>43617</v>
      </c>
      <c r="F458" s="236" t="s">
        <v>1234</v>
      </c>
      <c r="G458" s="237">
        <v>45023</v>
      </c>
      <c r="H458" s="234">
        <f>SUMIF(VA!B:B,A458,VA!I:I)</f>
        <v>359.46</v>
      </c>
      <c r="I458" s="33">
        <f>SUMIF(VR!B:B,A458,VR!I:I)</f>
        <v>657.5</v>
      </c>
      <c r="J458" s="4">
        <f t="shared" si="7"/>
        <v>1016.96</v>
      </c>
      <c r="K458" s="195">
        <f>SUMIF(FALTAS!A:A,A458,FALTAS!D:D)</f>
        <v>0</v>
      </c>
    </row>
    <row r="459" spans="1:11" x14ac:dyDescent="0.2">
      <c r="A459" s="235">
        <v>112609</v>
      </c>
      <c r="B459" s="236" t="s">
        <v>294</v>
      </c>
      <c r="C459" s="236" t="s">
        <v>8</v>
      </c>
      <c r="D459" s="236" t="s">
        <v>2</v>
      </c>
      <c r="E459" s="237">
        <v>43617</v>
      </c>
      <c r="F459" s="236" t="s">
        <v>1234</v>
      </c>
      <c r="G459" s="237">
        <v>45119</v>
      </c>
      <c r="H459" s="234">
        <f>SUMIF(VA!B:B,A459,VA!I:I)</f>
        <v>359.46</v>
      </c>
      <c r="I459" s="33">
        <f>SUMIF(VR!B:B,A459,VR!I:I)</f>
        <v>657.5</v>
      </c>
      <c r="J459" s="4">
        <f t="shared" si="7"/>
        <v>1016.96</v>
      </c>
      <c r="K459" s="195">
        <f>SUMIF(FALTAS!A:A,A459,FALTAS!D:D)</f>
        <v>0</v>
      </c>
    </row>
    <row r="460" spans="1:11" x14ac:dyDescent="0.2">
      <c r="A460" s="235">
        <v>112619</v>
      </c>
      <c r="B460" s="236" t="s">
        <v>303</v>
      </c>
      <c r="C460" s="236" t="s">
        <v>8</v>
      </c>
      <c r="D460" s="236" t="s">
        <v>5</v>
      </c>
      <c r="E460" s="237">
        <v>43617</v>
      </c>
      <c r="F460" s="236" t="s">
        <v>1234</v>
      </c>
      <c r="G460" s="237">
        <v>45023</v>
      </c>
      <c r="H460" s="234">
        <f>SUMIF(VA!B:B,A460,VA!I:I)</f>
        <v>359.46</v>
      </c>
      <c r="I460" s="33">
        <f>SUMIF(VR!B:B,A460,VR!I:I)</f>
        <v>657.5</v>
      </c>
      <c r="J460" s="4">
        <f t="shared" si="7"/>
        <v>1016.96</v>
      </c>
      <c r="K460" s="195">
        <f>SUMIF(FALTAS!A:A,A460,FALTAS!D:D)</f>
        <v>0</v>
      </c>
    </row>
    <row r="461" spans="1:11" x14ac:dyDescent="0.2">
      <c r="A461" s="235">
        <v>116027</v>
      </c>
      <c r="B461" s="236" t="s">
        <v>1181</v>
      </c>
      <c r="C461" s="236" t="s">
        <v>10</v>
      </c>
      <c r="D461" s="236" t="s">
        <v>5</v>
      </c>
      <c r="E461" s="237">
        <v>44207</v>
      </c>
      <c r="F461" s="236" t="s">
        <v>1234</v>
      </c>
      <c r="G461" s="237">
        <v>45056</v>
      </c>
      <c r="H461" s="234">
        <f>SUMIF(VA!B:B,A461,VA!I:I)</f>
        <v>335.49</v>
      </c>
      <c r="I461" s="33">
        <f>SUMIF(VR!B:B,A461,VR!I:I)</f>
        <v>604.9</v>
      </c>
      <c r="J461" s="4">
        <f t="shared" si="7"/>
        <v>940.39</v>
      </c>
      <c r="K461" s="195">
        <f>SUMIF(FALTAS!A:A,A461,FALTAS!D:D)</f>
        <v>2</v>
      </c>
    </row>
    <row r="462" spans="1:11" x14ac:dyDescent="0.2">
      <c r="A462" s="235">
        <v>121525</v>
      </c>
      <c r="B462" s="236" t="s">
        <v>1568</v>
      </c>
      <c r="C462" s="236" t="s">
        <v>19</v>
      </c>
      <c r="D462" s="236" t="s">
        <v>5</v>
      </c>
      <c r="E462" s="237">
        <v>44972</v>
      </c>
      <c r="F462" s="236" t="s">
        <v>1234</v>
      </c>
      <c r="G462" s="237">
        <v>44972</v>
      </c>
      <c r="H462" s="234">
        <f>SUMIF(VA!B:B,A462,VA!I:I)</f>
        <v>347.47</v>
      </c>
      <c r="I462" s="33">
        <f>SUMIF(VR!B:B,A462,VR!I:I)</f>
        <v>631.20000000000005</v>
      </c>
      <c r="J462" s="4">
        <f t="shared" si="7"/>
        <v>978.67000000000007</v>
      </c>
      <c r="K462" s="195">
        <f>SUMIF(FALTAS!A:A,A462,FALTAS!D:D)</f>
        <v>1</v>
      </c>
    </row>
    <row r="463" spans="1:11" x14ac:dyDescent="0.2">
      <c r="A463" s="235">
        <v>112629</v>
      </c>
      <c r="B463" s="236" t="s">
        <v>309</v>
      </c>
      <c r="C463" s="236" t="s">
        <v>0</v>
      </c>
      <c r="D463" s="236" t="s">
        <v>2</v>
      </c>
      <c r="E463" s="237">
        <v>43617</v>
      </c>
      <c r="F463" s="236" t="s">
        <v>1234</v>
      </c>
      <c r="G463" s="237">
        <v>44806</v>
      </c>
      <c r="H463" s="234">
        <f>SUMIF(VA!B:B,A463,VA!I:I)</f>
        <v>359.46</v>
      </c>
      <c r="I463" s="33">
        <f>SUMIF(VR!B:B,A463,VR!I:I)</f>
        <v>657.5</v>
      </c>
      <c r="J463" s="4">
        <f t="shared" si="7"/>
        <v>1016.96</v>
      </c>
      <c r="K463" s="195">
        <f>SUMIF(FALTAS!A:A,A463,FALTAS!D:D)</f>
        <v>0</v>
      </c>
    </row>
    <row r="464" spans="1:11" x14ac:dyDescent="0.2">
      <c r="A464" s="235">
        <v>117398</v>
      </c>
      <c r="B464" s="236" t="s">
        <v>1273</v>
      </c>
      <c r="C464" s="236" t="s">
        <v>1589</v>
      </c>
      <c r="D464" s="236" t="s">
        <v>1271</v>
      </c>
      <c r="E464" s="237">
        <v>44522</v>
      </c>
      <c r="F464" s="236" t="s">
        <v>1234</v>
      </c>
      <c r="G464" s="237">
        <v>44937</v>
      </c>
      <c r="H464" s="234">
        <f>SUMIF(VA!B:B,A464,VA!I:I)</f>
        <v>359.46</v>
      </c>
      <c r="I464" s="33">
        <f>SUMIF(VR!B:B,A464,VR!I:I)</f>
        <v>657.5</v>
      </c>
      <c r="J464" s="4">
        <f t="shared" si="7"/>
        <v>1016.96</v>
      </c>
      <c r="K464" s="195">
        <f>SUMIF(FALTAS!A:A,A464,FALTAS!D:D)</f>
        <v>0</v>
      </c>
    </row>
    <row r="465" spans="1:11" x14ac:dyDescent="0.2">
      <c r="A465" s="235">
        <v>114538</v>
      </c>
      <c r="B465" s="236" t="s">
        <v>1290</v>
      </c>
      <c r="C465" s="236" t="s">
        <v>0</v>
      </c>
      <c r="D465" s="236" t="s">
        <v>182</v>
      </c>
      <c r="E465" s="237">
        <v>43817</v>
      </c>
      <c r="F465" s="236" t="s">
        <v>1234</v>
      </c>
      <c r="G465" s="237">
        <v>44867</v>
      </c>
      <c r="H465" s="234">
        <f>SUMIF(VA!B:B,A465,VA!I:I)</f>
        <v>359.46</v>
      </c>
      <c r="I465" s="33">
        <f>SUMIF(VR!B:B,A465,VR!I:I)</f>
        <v>657.5</v>
      </c>
      <c r="J465" s="4">
        <f t="shared" si="7"/>
        <v>1016.96</v>
      </c>
      <c r="K465" s="195">
        <f>SUMIF(FALTAS!A:A,A465,FALTAS!D:D)</f>
        <v>0</v>
      </c>
    </row>
    <row r="466" spans="1:11" x14ac:dyDescent="0.2">
      <c r="A466" s="235">
        <v>112638</v>
      </c>
      <c r="B466" s="236" t="s">
        <v>314</v>
      </c>
      <c r="C466" s="236" t="s">
        <v>8</v>
      </c>
      <c r="D466" s="236" t="s">
        <v>5</v>
      </c>
      <c r="E466" s="237">
        <v>43617</v>
      </c>
      <c r="F466" s="236" t="s">
        <v>1234</v>
      </c>
      <c r="G466" s="237">
        <v>44867</v>
      </c>
      <c r="H466" s="234">
        <f>SUMIF(VA!B:B,A466,VA!I:I)</f>
        <v>359.46</v>
      </c>
      <c r="I466" s="33">
        <f>SUMIF(VR!B:B,A466,VR!I:I)</f>
        <v>657.5</v>
      </c>
      <c r="J466" s="4">
        <f t="shared" si="7"/>
        <v>1016.96</v>
      </c>
      <c r="K466" s="195">
        <f>SUMIF(FALTAS!A:A,A466,FALTAS!D:D)</f>
        <v>0</v>
      </c>
    </row>
    <row r="467" spans="1:11" x14ac:dyDescent="0.2">
      <c r="A467" s="235">
        <v>119642</v>
      </c>
      <c r="B467" s="236" t="s">
        <v>1469</v>
      </c>
      <c r="C467" s="236" t="s">
        <v>19</v>
      </c>
      <c r="D467" s="236" t="s">
        <v>5</v>
      </c>
      <c r="E467" s="237">
        <v>44725</v>
      </c>
      <c r="F467" s="236" t="s">
        <v>1234</v>
      </c>
      <c r="G467" s="237">
        <v>44725</v>
      </c>
      <c r="H467" s="234">
        <f>SUMIF(VA!B:B,A467,VA!I:I)</f>
        <v>359.46</v>
      </c>
      <c r="I467" s="33">
        <f>SUMIF(VR!B:B,A467,VR!I:I)</f>
        <v>657.5</v>
      </c>
      <c r="J467" s="4">
        <f t="shared" si="7"/>
        <v>1016.96</v>
      </c>
      <c r="K467" s="195">
        <f>SUMIF(FALTAS!A:A,A467,FALTAS!D:D)</f>
        <v>0</v>
      </c>
    </row>
    <row r="468" spans="1:11" x14ac:dyDescent="0.2">
      <c r="A468" s="235">
        <v>112643</v>
      </c>
      <c r="B468" s="236" t="s">
        <v>317</v>
      </c>
      <c r="C468" s="236" t="s">
        <v>32</v>
      </c>
      <c r="D468" s="236" t="s">
        <v>146</v>
      </c>
      <c r="E468" s="237">
        <v>43617</v>
      </c>
      <c r="F468" s="236" t="s">
        <v>1234</v>
      </c>
      <c r="G468" s="237">
        <v>45056</v>
      </c>
      <c r="H468" s="234">
        <f>SUMIF(VA!B:B,A468,VA!I:I)</f>
        <v>359.46</v>
      </c>
      <c r="I468" s="33">
        <f>SUMIF(VR!B:B,A468,VR!I:I)</f>
        <v>657.5</v>
      </c>
      <c r="J468" s="4">
        <f t="shared" si="7"/>
        <v>1016.96</v>
      </c>
      <c r="K468" s="195">
        <f>SUMIF(FALTAS!A:A,A468,FALTAS!D:D)</f>
        <v>0</v>
      </c>
    </row>
    <row r="469" spans="1:11" x14ac:dyDescent="0.2">
      <c r="A469" s="235">
        <v>112650</v>
      </c>
      <c r="B469" s="236" t="s">
        <v>320</v>
      </c>
      <c r="C469" s="236" t="s">
        <v>8</v>
      </c>
      <c r="D469" s="236" t="s">
        <v>2</v>
      </c>
      <c r="E469" s="237">
        <v>43617</v>
      </c>
      <c r="F469" s="236" t="s">
        <v>1234</v>
      </c>
      <c r="G469" s="237">
        <v>44835</v>
      </c>
      <c r="H469" s="234">
        <f>SUMIF(VA!B:B,A469,VA!I:I)</f>
        <v>359.46</v>
      </c>
      <c r="I469" s="33">
        <f>SUMIF(VR!B:B,A469,VR!I:I)</f>
        <v>657.5</v>
      </c>
      <c r="J469" s="4">
        <f t="shared" si="7"/>
        <v>1016.96</v>
      </c>
      <c r="K469" s="195">
        <f>SUMIF(FALTAS!A:A,A469,FALTAS!D:D)</f>
        <v>0</v>
      </c>
    </row>
    <row r="470" spans="1:11" x14ac:dyDescent="0.2">
      <c r="A470" s="235">
        <v>114702</v>
      </c>
      <c r="B470" s="236" t="s">
        <v>1079</v>
      </c>
      <c r="C470" s="236" t="s">
        <v>10</v>
      </c>
      <c r="D470" s="236" t="s">
        <v>2</v>
      </c>
      <c r="E470" s="237">
        <v>43874</v>
      </c>
      <c r="F470" s="236" t="s">
        <v>1234</v>
      </c>
      <c r="G470" s="237">
        <v>45149</v>
      </c>
      <c r="H470" s="234">
        <f>SUMIF(VA!B:B,A470,VA!I:I)</f>
        <v>347.47</v>
      </c>
      <c r="I470" s="33">
        <f>SUMIF(VR!B:B,A470,VR!I:I)</f>
        <v>631.20000000000005</v>
      </c>
      <c r="J470" s="4">
        <f t="shared" si="7"/>
        <v>978.67000000000007</v>
      </c>
      <c r="K470" s="195">
        <f>SUMIF(FALTAS!A:A,A470,FALTAS!D:D)</f>
        <v>1</v>
      </c>
    </row>
    <row r="471" spans="1:11" x14ac:dyDescent="0.2">
      <c r="A471" s="235">
        <v>114260</v>
      </c>
      <c r="B471" s="236" t="s">
        <v>1027</v>
      </c>
      <c r="C471" s="236" t="s">
        <v>0</v>
      </c>
      <c r="D471" s="236" t="s">
        <v>5</v>
      </c>
      <c r="E471" s="237">
        <v>43804</v>
      </c>
      <c r="F471" s="236" t="s">
        <v>1234</v>
      </c>
      <c r="G471" s="237">
        <v>45119</v>
      </c>
      <c r="H471" s="234">
        <f>SUMIF(VA!B:B,A471,VA!I:I)</f>
        <v>359.46</v>
      </c>
      <c r="I471" s="33">
        <f>SUMIF(VR!B:B,A471,VR!I:I)</f>
        <v>657.5</v>
      </c>
      <c r="J471" s="4">
        <f t="shared" si="7"/>
        <v>1016.96</v>
      </c>
      <c r="K471" s="195">
        <f>SUMIF(FALTAS!A:A,A471,FALTAS!D:D)</f>
        <v>0</v>
      </c>
    </row>
    <row r="472" spans="1:11" x14ac:dyDescent="0.2">
      <c r="A472" s="235">
        <v>112654</v>
      </c>
      <c r="B472" s="236" t="s">
        <v>322</v>
      </c>
      <c r="C472" s="236" t="s">
        <v>1589</v>
      </c>
      <c r="D472" s="236" t="s">
        <v>15</v>
      </c>
      <c r="E472" s="237">
        <v>43620</v>
      </c>
      <c r="F472" s="236" t="s">
        <v>1235</v>
      </c>
      <c r="G472" s="237">
        <v>45147</v>
      </c>
      <c r="H472" s="234">
        <f>SUMIF(VA!B:B,A472,VA!I:I)</f>
        <v>359.46</v>
      </c>
      <c r="I472" s="33">
        <f>SUMIF(VR!B:B,A472,VR!I:I)</f>
        <v>657.5</v>
      </c>
      <c r="J472" s="4">
        <f t="shared" si="7"/>
        <v>1016.96</v>
      </c>
      <c r="K472" s="195">
        <f>SUMIF(FALTAS!A:A,A472,FALTAS!D:D)</f>
        <v>0</v>
      </c>
    </row>
    <row r="473" spans="1:11" x14ac:dyDescent="0.2">
      <c r="A473" s="235">
        <v>113735</v>
      </c>
      <c r="B473" s="236" t="s">
        <v>953</v>
      </c>
      <c r="C473" s="236" t="s">
        <v>1589</v>
      </c>
      <c r="D473" s="236" t="s">
        <v>954</v>
      </c>
      <c r="E473" s="237">
        <v>43619</v>
      </c>
      <c r="F473" s="236" t="s">
        <v>1234</v>
      </c>
      <c r="G473" s="237">
        <v>44901</v>
      </c>
      <c r="H473" s="234">
        <f>SUMIF(VA!B:B,A473,VA!I:I)</f>
        <v>359.46</v>
      </c>
      <c r="I473" s="33">
        <f>SUMIF(VR!B:B,A473,VR!I:I)</f>
        <v>657.5</v>
      </c>
      <c r="J473" s="4">
        <f t="shared" si="7"/>
        <v>1016.96</v>
      </c>
      <c r="K473" s="195">
        <f>SUMIF(FALTAS!A:A,A473,FALTAS!D:D)</f>
        <v>0</v>
      </c>
    </row>
    <row r="474" spans="1:11" x14ac:dyDescent="0.2">
      <c r="A474" s="235">
        <v>112661</v>
      </c>
      <c r="B474" s="236" t="s">
        <v>326</v>
      </c>
      <c r="C474" s="236" t="s">
        <v>1589</v>
      </c>
      <c r="D474" s="236" t="s">
        <v>282</v>
      </c>
      <c r="E474" s="237">
        <v>43617</v>
      </c>
      <c r="F474" s="236" t="s">
        <v>1234</v>
      </c>
      <c r="G474" s="237">
        <v>44744</v>
      </c>
      <c r="H474" s="234">
        <f>SUMIF(VA!B:B,A474,VA!I:I)</f>
        <v>359.46</v>
      </c>
      <c r="I474" s="33">
        <f>SUMIF(VR!B:B,A474,VR!I:I)</f>
        <v>657.5</v>
      </c>
      <c r="J474" s="4">
        <f t="shared" si="7"/>
        <v>1016.96</v>
      </c>
      <c r="K474" s="195">
        <f>SUMIF(FALTAS!A:A,A474,FALTAS!D:D)</f>
        <v>0</v>
      </c>
    </row>
    <row r="475" spans="1:11" x14ac:dyDescent="0.2">
      <c r="A475" s="235">
        <v>112668</v>
      </c>
      <c r="B475" s="236" t="s">
        <v>330</v>
      </c>
      <c r="C475" s="236" t="s">
        <v>19</v>
      </c>
      <c r="D475" s="236" t="s">
        <v>2</v>
      </c>
      <c r="E475" s="237">
        <v>43617</v>
      </c>
      <c r="F475" s="236" t="s">
        <v>1234</v>
      </c>
      <c r="G475" s="237">
        <v>44835</v>
      </c>
      <c r="H475" s="234">
        <f>SUMIF(VA!B:B,A475,VA!I:I)</f>
        <v>359.46</v>
      </c>
      <c r="I475" s="33">
        <f>SUMIF(VR!B:B,A475,VR!I:I)</f>
        <v>657.5</v>
      </c>
      <c r="J475" s="4">
        <f t="shared" si="7"/>
        <v>1016.96</v>
      </c>
      <c r="K475" s="195">
        <f>SUMIF(FALTAS!A:A,A475,FALTAS!D:D)</f>
        <v>0</v>
      </c>
    </row>
    <row r="476" spans="1:11" x14ac:dyDescent="0.2">
      <c r="A476" s="235">
        <v>114700</v>
      </c>
      <c r="B476" s="236" t="s">
        <v>1078</v>
      </c>
      <c r="C476" s="236" t="s">
        <v>0</v>
      </c>
      <c r="D476" s="236" t="s">
        <v>2</v>
      </c>
      <c r="E476" s="237">
        <v>43874</v>
      </c>
      <c r="F476" s="236" t="s">
        <v>1234</v>
      </c>
      <c r="G476" s="237">
        <v>44715</v>
      </c>
      <c r="H476" s="234">
        <f>SUMIF(VA!B:B,A476,VA!I:I)</f>
        <v>335.49</v>
      </c>
      <c r="I476" s="33">
        <f>SUMIF(VR!B:B,A476,VR!I:I)</f>
        <v>604.9</v>
      </c>
      <c r="J476" s="4">
        <f t="shared" si="7"/>
        <v>940.39</v>
      </c>
      <c r="K476" s="195">
        <f>SUMIF(FALTAS!A:A,A476,FALTAS!D:D)</f>
        <v>2</v>
      </c>
    </row>
    <row r="477" spans="1:11" x14ac:dyDescent="0.2">
      <c r="A477" s="235">
        <v>112680</v>
      </c>
      <c r="B477" s="236" t="s">
        <v>336</v>
      </c>
      <c r="C477" s="236" t="s">
        <v>0</v>
      </c>
      <c r="D477" s="236" t="s">
        <v>146</v>
      </c>
      <c r="E477" s="237">
        <v>43617</v>
      </c>
      <c r="F477" s="236" t="s">
        <v>1234</v>
      </c>
      <c r="G477" s="237">
        <v>45119</v>
      </c>
      <c r="H477" s="234">
        <f>SUMIF(VA!B:B,A477,VA!I:I)</f>
        <v>359.46</v>
      </c>
      <c r="I477" s="33">
        <f>SUMIF(VR!B:B,A477,VR!I:I)</f>
        <v>657.5</v>
      </c>
      <c r="J477" s="4">
        <f t="shared" si="7"/>
        <v>1016.96</v>
      </c>
      <c r="K477" s="195">
        <f>SUMIF(FALTAS!A:A,A477,FALTAS!D:D)</f>
        <v>0</v>
      </c>
    </row>
    <row r="478" spans="1:11" x14ac:dyDescent="0.2">
      <c r="A478" s="235">
        <v>114506</v>
      </c>
      <c r="B478" s="236" t="s">
        <v>1046</v>
      </c>
      <c r="C478" s="236" t="s">
        <v>1589</v>
      </c>
      <c r="D478" s="236" t="s">
        <v>1047</v>
      </c>
      <c r="E478" s="237">
        <v>43811</v>
      </c>
      <c r="F478" s="236" t="s">
        <v>1234</v>
      </c>
      <c r="G478" s="237">
        <v>45086</v>
      </c>
      <c r="H478" s="234">
        <f>SUMIF(VA!B:B,A478,VA!I:I)</f>
        <v>359.46</v>
      </c>
      <c r="I478" s="33">
        <f>SUMIF(VR!B:B,A478,VR!I:I)</f>
        <v>657.5</v>
      </c>
      <c r="J478" s="4">
        <f t="shared" si="7"/>
        <v>1016.96</v>
      </c>
      <c r="K478" s="195">
        <f>SUMIF(FALTAS!A:A,A478,FALTAS!D:D)</f>
        <v>0</v>
      </c>
    </row>
    <row r="479" spans="1:11" x14ac:dyDescent="0.2">
      <c r="A479" s="235">
        <v>112709</v>
      </c>
      <c r="B479" s="236" t="s">
        <v>1534</v>
      </c>
      <c r="C479" s="236" t="s">
        <v>1589</v>
      </c>
      <c r="D479" s="236" t="s">
        <v>15</v>
      </c>
      <c r="E479" s="237">
        <v>43617</v>
      </c>
      <c r="F479" s="236" t="s">
        <v>1234</v>
      </c>
      <c r="G479" s="237">
        <v>44930</v>
      </c>
      <c r="H479" s="234">
        <f>SUMIF(VA!B:B,A479,VA!I:I)</f>
        <v>359.46</v>
      </c>
      <c r="I479" s="33">
        <f>SUMIF(VR!B:B,A479,VR!I:I)</f>
        <v>657.5</v>
      </c>
      <c r="J479" s="4">
        <f t="shared" si="7"/>
        <v>1016.96</v>
      </c>
      <c r="K479" s="195">
        <f>SUMIF(FALTAS!A:A,A479,FALTAS!D:D)</f>
        <v>0</v>
      </c>
    </row>
    <row r="480" spans="1:11" x14ac:dyDescent="0.2">
      <c r="A480" s="235">
        <v>112713</v>
      </c>
      <c r="B480" s="236" t="s">
        <v>358</v>
      </c>
      <c r="C480" s="236" t="s">
        <v>1589</v>
      </c>
      <c r="D480" s="236" t="s">
        <v>282</v>
      </c>
      <c r="E480" s="237">
        <v>43617</v>
      </c>
      <c r="F480" s="236" t="s">
        <v>1234</v>
      </c>
      <c r="G480" s="237">
        <v>44806</v>
      </c>
      <c r="H480" s="234">
        <f>SUMIF(VA!B:B,A480,VA!I:I)</f>
        <v>359.46</v>
      </c>
      <c r="I480" s="33">
        <f>SUMIF(VR!B:B,A480,VR!I:I)</f>
        <v>657.5</v>
      </c>
      <c r="J480" s="4">
        <f t="shared" si="7"/>
        <v>1016.96</v>
      </c>
      <c r="K480" s="195">
        <f>SUMIF(FALTAS!A:A,A480,FALTAS!D:D)</f>
        <v>0</v>
      </c>
    </row>
    <row r="481" spans="1:11" x14ac:dyDescent="0.2">
      <c r="A481" s="235">
        <v>112716</v>
      </c>
      <c r="B481" s="236" t="s">
        <v>360</v>
      </c>
      <c r="C481" s="236" t="s">
        <v>10</v>
      </c>
      <c r="D481" s="236" t="s">
        <v>2</v>
      </c>
      <c r="E481" s="237">
        <v>43617</v>
      </c>
      <c r="F481" s="236" t="s">
        <v>1234</v>
      </c>
      <c r="G481" s="237">
        <v>45023</v>
      </c>
      <c r="H481" s="234">
        <f>SUMIF(VA!B:B,A481,VA!I:I)</f>
        <v>359.46</v>
      </c>
      <c r="I481" s="33">
        <f>SUMIF(VR!B:B,A481,VR!I:I)</f>
        <v>657.5</v>
      </c>
      <c r="J481" s="4">
        <f t="shared" si="7"/>
        <v>1016.96</v>
      </c>
      <c r="K481" s="195">
        <f>SUMIF(FALTAS!A:A,A481,FALTAS!D:D)</f>
        <v>0</v>
      </c>
    </row>
    <row r="482" spans="1:11" x14ac:dyDescent="0.2">
      <c r="A482" s="235">
        <v>112720</v>
      </c>
      <c r="B482" s="236" t="s">
        <v>364</v>
      </c>
      <c r="C482" s="236" t="s">
        <v>0</v>
      </c>
      <c r="D482" s="236" t="s">
        <v>2</v>
      </c>
      <c r="E482" s="237">
        <v>43617</v>
      </c>
      <c r="F482" s="236" t="s">
        <v>1234</v>
      </c>
      <c r="G482" s="237">
        <v>44993</v>
      </c>
      <c r="H482" s="234">
        <f>SUMIF(VA!B:B,A482,VA!I:I)</f>
        <v>359.46</v>
      </c>
      <c r="I482" s="33">
        <f>SUMIF(VR!B:B,A482,VR!I:I)</f>
        <v>657.5</v>
      </c>
      <c r="J482" s="4">
        <f t="shared" si="7"/>
        <v>1016.96</v>
      </c>
      <c r="K482" s="195">
        <f>SUMIF(FALTAS!A:A,A482,FALTAS!D:D)</f>
        <v>0</v>
      </c>
    </row>
    <row r="483" spans="1:11" x14ac:dyDescent="0.2">
      <c r="A483" s="235">
        <v>112724</v>
      </c>
      <c r="B483" s="236" t="s">
        <v>366</v>
      </c>
      <c r="C483" s="236" t="s">
        <v>32</v>
      </c>
      <c r="D483" s="236" t="s">
        <v>5</v>
      </c>
      <c r="E483" s="237">
        <v>43617</v>
      </c>
      <c r="F483" s="236" t="s">
        <v>1234</v>
      </c>
      <c r="G483" s="237">
        <v>45023</v>
      </c>
      <c r="H483" s="234">
        <f>SUMIF(VA!B:B,A483,VA!I:I)</f>
        <v>359.46</v>
      </c>
      <c r="I483" s="33">
        <f>SUMIF(VR!B:B,A483,VR!I:I)</f>
        <v>657.5</v>
      </c>
      <c r="J483" s="4">
        <f t="shared" si="7"/>
        <v>1016.96</v>
      </c>
      <c r="K483" s="195">
        <f>SUMIF(FALTAS!A:A,A483,FALTAS!D:D)</f>
        <v>0</v>
      </c>
    </row>
    <row r="484" spans="1:11" x14ac:dyDescent="0.2">
      <c r="A484" s="235">
        <v>114120</v>
      </c>
      <c r="B484" s="236" t="s">
        <v>1014</v>
      </c>
      <c r="C484" s="236" t="s">
        <v>1589</v>
      </c>
      <c r="D484" s="236" t="s">
        <v>413</v>
      </c>
      <c r="E484" s="237">
        <v>43739</v>
      </c>
      <c r="F484" s="236" t="s">
        <v>1234</v>
      </c>
      <c r="G484" s="237">
        <v>45023</v>
      </c>
      <c r="H484" s="234">
        <f>SUMIF(VA!B:B,A484,VA!I:I)</f>
        <v>359.46</v>
      </c>
      <c r="I484" s="33">
        <f>SUMIF(VR!B:B,A484,VR!I:I)</f>
        <v>657.5</v>
      </c>
      <c r="J484" s="4">
        <f t="shared" si="7"/>
        <v>1016.96</v>
      </c>
      <c r="K484" s="195">
        <f>SUMIF(FALTAS!A:A,A484,FALTAS!D:D)</f>
        <v>0</v>
      </c>
    </row>
    <row r="485" spans="1:11" x14ac:dyDescent="0.2">
      <c r="A485" s="235">
        <v>112737</v>
      </c>
      <c r="B485" s="236" t="s">
        <v>375</v>
      </c>
      <c r="C485" s="236" t="s">
        <v>0</v>
      </c>
      <c r="D485" s="236" t="s">
        <v>2</v>
      </c>
      <c r="E485" s="237">
        <v>43617</v>
      </c>
      <c r="F485" s="236" t="s">
        <v>1234</v>
      </c>
      <c r="G485" s="237">
        <v>44806</v>
      </c>
      <c r="H485" s="234">
        <f>SUMIF(VA!B:B,A485,VA!I:I)</f>
        <v>359.46</v>
      </c>
      <c r="I485" s="33">
        <f>SUMIF(VR!B:B,A485,VR!I:I)</f>
        <v>657.5</v>
      </c>
      <c r="J485" s="4">
        <f t="shared" si="7"/>
        <v>1016.96</v>
      </c>
      <c r="K485" s="195">
        <f>SUMIF(FALTAS!A:A,A485,FALTAS!D:D)</f>
        <v>0</v>
      </c>
    </row>
    <row r="486" spans="1:11" x14ac:dyDescent="0.2">
      <c r="A486" s="235">
        <v>112742</v>
      </c>
      <c r="B486" s="236" t="s">
        <v>377</v>
      </c>
      <c r="C486" s="236" t="s">
        <v>1589</v>
      </c>
      <c r="D486" s="236" t="s">
        <v>146</v>
      </c>
      <c r="E486" s="237">
        <v>43617</v>
      </c>
      <c r="F486" s="236" t="s">
        <v>1234</v>
      </c>
      <c r="G486" s="237">
        <v>44960</v>
      </c>
      <c r="H486" s="234">
        <f>SUMIF(VA!B:B,A486,VA!I:I)</f>
        <v>359.46</v>
      </c>
      <c r="I486" s="33">
        <f>SUMIF(VR!B:B,A486,VR!I:I)</f>
        <v>657.5</v>
      </c>
      <c r="J486" s="4">
        <f t="shared" si="7"/>
        <v>1016.96</v>
      </c>
      <c r="K486" s="195">
        <f>SUMIF(FALTAS!A:A,A486,FALTAS!D:D)</f>
        <v>0</v>
      </c>
    </row>
    <row r="487" spans="1:11" x14ac:dyDescent="0.2">
      <c r="A487" s="235">
        <v>121956</v>
      </c>
      <c r="B487" s="236" t="s">
        <v>1618</v>
      </c>
      <c r="C487" s="236" t="s">
        <v>8</v>
      </c>
      <c r="D487" s="236" t="s">
        <v>5</v>
      </c>
      <c r="E487" s="237">
        <v>45040</v>
      </c>
      <c r="F487" s="236" t="s">
        <v>1234</v>
      </c>
      <c r="G487" s="237">
        <v>45040</v>
      </c>
      <c r="H487" s="234">
        <f>SUMIF(VA!B:B,A487,VA!I:I)</f>
        <v>359.46</v>
      </c>
      <c r="I487" s="33">
        <f>SUMIF(VR!B:B,A487,VR!I:I)</f>
        <v>657.5</v>
      </c>
      <c r="J487" s="4">
        <f t="shared" si="7"/>
        <v>1016.96</v>
      </c>
      <c r="K487" s="195">
        <f>SUMIF(FALTAS!A:A,A487,FALTAS!D:D)</f>
        <v>0</v>
      </c>
    </row>
    <row r="488" spans="1:11" x14ac:dyDescent="0.2">
      <c r="A488" s="235">
        <v>112745</v>
      </c>
      <c r="B488" s="236" t="s">
        <v>380</v>
      </c>
      <c r="C488" s="236" t="s">
        <v>1589</v>
      </c>
      <c r="D488" s="236" t="s">
        <v>139</v>
      </c>
      <c r="E488" s="237">
        <v>43617</v>
      </c>
      <c r="F488" s="236" t="s">
        <v>1234</v>
      </c>
      <c r="G488" s="237">
        <v>45149</v>
      </c>
      <c r="H488" s="234">
        <f>SUMIF(VA!B:B,A488,VA!I:I)</f>
        <v>359.46</v>
      </c>
      <c r="I488" s="33">
        <f>SUMIF(VR!B:B,A488,VR!I:I)</f>
        <v>657.5</v>
      </c>
      <c r="J488" s="4">
        <f t="shared" si="7"/>
        <v>1016.96</v>
      </c>
      <c r="K488" s="195">
        <f>SUMIF(FALTAS!A:A,A488,FALTAS!D:D)</f>
        <v>0</v>
      </c>
    </row>
    <row r="489" spans="1:11" x14ac:dyDescent="0.2">
      <c r="A489" s="235">
        <v>114606</v>
      </c>
      <c r="B489" s="236" t="s">
        <v>1062</v>
      </c>
      <c r="C489" s="236" t="s">
        <v>0</v>
      </c>
      <c r="D489" s="236" t="s">
        <v>2</v>
      </c>
      <c r="E489" s="237">
        <v>43836</v>
      </c>
      <c r="F489" s="236" t="s">
        <v>1234</v>
      </c>
      <c r="G489" s="237">
        <v>45119</v>
      </c>
      <c r="H489" s="234">
        <f>SUMIF(VA!B:B,A489,VA!I:I)</f>
        <v>359.46</v>
      </c>
      <c r="I489" s="33">
        <f>SUMIF(VR!B:B,A489,VR!I:I)</f>
        <v>657.5</v>
      </c>
      <c r="J489" s="4">
        <f t="shared" si="7"/>
        <v>1016.96</v>
      </c>
      <c r="K489" s="195">
        <f>SUMIF(FALTAS!A:A,A489,FALTAS!D:D)</f>
        <v>0</v>
      </c>
    </row>
    <row r="490" spans="1:11" x14ac:dyDescent="0.2">
      <c r="A490" s="235">
        <v>112749</v>
      </c>
      <c r="B490" s="236" t="s">
        <v>383</v>
      </c>
      <c r="C490" s="236" t="s">
        <v>0</v>
      </c>
      <c r="D490" s="236" t="s">
        <v>2</v>
      </c>
      <c r="E490" s="237">
        <v>43617</v>
      </c>
      <c r="F490" s="236" t="s">
        <v>1234</v>
      </c>
      <c r="G490" s="237">
        <v>44806</v>
      </c>
      <c r="H490" s="234">
        <f>SUMIF(VA!B:B,A490,VA!I:I)</f>
        <v>359.46</v>
      </c>
      <c r="I490" s="33">
        <f>SUMIF(VR!B:B,A490,VR!I:I)</f>
        <v>657.5</v>
      </c>
      <c r="J490" s="4">
        <f t="shared" si="7"/>
        <v>1016.96</v>
      </c>
      <c r="K490" s="195">
        <f>SUMIF(FALTAS!A:A,A490,FALTAS!D:D)</f>
        <v>0</v>
      </c>
    </row>
    <row r="491" spans="1:11" x14ac:dyDescent="0.2">
      <c r="A491" s="235">
        <v>112753</v>
      </c>
      <c r="B491" s="236" t="s">
        <v>384</v>
      </c>
      <c r="C491" s="236" t="s">
        <v>1589</v>
      </c>
      <c r="D491" s="236" t="s">
        <v>385</v>
      </c>
      <c r="E491" s="237">
        <v>43617</v>
      </c>
      <c r="F491" s="236" t="s">
        <v>1234</v>
      </c>
      <c r="G491" s="237">
        <v>44898</v>
      </c>
      <c r="H491" s="234">
        <f>SUMIF(VA!B:B,A491,VA!I:I)</f>
        <v>359.46</v>
      </c>
      <c r="I491" s="33">
        <f>SUMIF(VR!B:B,A491,VR!I:I)</f>
        <v>657.5</v>
      </c>
      <c r="J491" s="4">
        <f t="shared" si="7"/>
        <v>1016.96</v>
      </c>
      <c r="K491" s="195">
        <f>SUMIF(FALTAS!A:A,A491,FALTAS!D:D)</f>
        <v>0</v>
      </c>
    </row>
    <row r="492" spans="1:11" x14ac:dyDescent="0.2">
      <c r="A492" s="235">
        <v>112757</v>
      </c>
      <c r="B492" s="236" t="s">
        <v>387</v>
      </c>
      <c r="C492" s="236" t="s">
        <v>1589</v>
      </c>
      <c r="D492" s="236" t="s">
        <v>15</v>
      </c>
      <c r="E492" s="237">
        <v>43617</v>
      </c>
      <c r="F492" s="236" t="s">
        <v>1234</v>
      </c>
      <c r="G492" s="237">
        <v>44930</v>
      </c>
      <c r="H492" s="234">
        <f>SUMIF(VA!B:B,A492,VA!I:I)</f>
        <v>359.46</v>
      </c>
      <c r="I492" s="33">
        <f>SUMIF(VR!B:B,A492,VR!I:I)</f>
        <v>657.5</v>
      </c>
      <c r="J492" s="4">
        <f t="shared" si="7"/>
        <v>1016.96</v>
      </c>
      <c r="K492" s="195">
        <f>SUMIF(FALTAS!A:A,A492,FALTAS!D:D)</f>
        <v>0</v>
      </c>
    </row>
    <row r="493" spans="1:11" x14ac:dyDescent="0.2">
      <c r="A493" s="235">
        <v>114918</v>
      </c>
      <c r="B493" s="236" t="s">
        <v>1112</v>
      </c>
      <c r="C493" s="236" t="s">
        <v>1589</v>
      </c>
      <c r="D493" s="236" t="s">
        <v>5</v>
      </c>
      <c r="E493" s="237">
        <v>43916</v>
      </c>
      <c r="F493" s="236" t="s">
        <v>1234</v>
      </c>
      <c r="G493" s="237">
        <v>45086</v>
      </c>
      <c r="H493" s="234">
        <f>SUMIF(VA!B:B,A493,VA!I:I)</f>
        <v>359.46</v>
      </c>
      <c r="I493" s="33">
        <f>SUMIF(VR!B:B,A493,VR!I:I)</f>
        <v>657.5</v>
      </c>
      <c r="J493" s="4">
        <f t="shared" si="7"/>
        <v>1016.96</v>
      </c>
      <c r="K493" s="195">
        <f>SUMIF(FALTAS!A:A,A493,FALTAS!D:D)</f>
        <v>0</v>
      </c>
    </row>
    <row r="494" spans="1:11" x14ac:dyDescent="0.2">
      <c r="A494" s="235">
        <v>115214</v>
      </c>
      <c r="B494" s="236" t="s">
        <v>1145</v>
      </c>
      <c r="C494" s="236" t="s">
        <v>8</v>
      </c>
      <c r="D494" s="236" t="s">
        <v>5</v>
      </c>
      <c r="E494" s="237">
        <v>44018</v>
      </c>
      <c r="F494" s="236" t="s">
        <v>1234</v>
      </c>
      <c r="G494" s="237">
        <v>45086</v>
      </c>
      <c r="H494" s="234">
        <f>SUMIF(VA!B:B,A494,VA!I:I)</f>
        <v>359.46</v>
      </c>
      <c r="I494" s="33">
        <f>SUMIF(VR!B:B,A494,VR!I:I)</f>
        <v>657.5</v>
      </c>
      <c r="J494" s="4">
        <f t="shared" si="7"/>
        <v>1016.96</v>
      </c>
      <c r="K494" s="195">
        <f>SUMIF(FALTAS!A:A,A494,FALTAS!D:D)</f>
        <v>0</v>
      </c>
    </row>
    <row r="495" spans="1:11" x14ac:dyDescent="0.2">
      <c r="A495" s="235">
        <v>115397</v>
      </c>
      <c r="B495" s="236" t="s">
        <v>1155</v>
      </c>
      <c r="C495" s="236" t="s">
        <v>1589</v>
      </c>
      <c r="D495" s="236" t="s">
        <v>5</v>
      </c>
      <c r="E495" s="237">
        <v>44048</v>
      </c>
      <c r="F495" s="236" t="s">
        <v>1234</v>
      </c>
      <c r="G495" s="237">
        <v>44861</v>
      </c>
      <c r="H495" s="234">
        <f>SUMIF(VA!B:B,A495,VA!I:I)</f>
        <v>359.46</v>
      </c>
      <c r="I495" s="33">
        <f>SUMIF(VR!B:B,A495,VR!I:I)</f>
        <v>657.5</v>
      </c>
      <c r="J495" s="4">
        <f t="shared" si="7"/>
        <v>1016.96</v>
      </c>
      <c r="K495" s="195">
        <f>SUMIF(FALTAS!A:A,A495,FALTAS!D:D)</f>
        <v>0</v>
      </c>
    </row>
    <row r="496" spans="1:11" x14ac:dyDescent="0.2">
      <c r="A496" s="235">
        <v>115378</v>
      </c>
      <c r="B496" s="236" t="s">
        <v>1154</v>
      </c>
      <c r="C496" s="236" t="s">
        <v>0</v>
      </c>
      <c r="D496" s="236" t="s">
        <v>5</v>
      </c>
      <c r="E496" s="237">
        <v>44046</v>
      </c>
      <c r="F496" s="236" t="s">
        <v>1234</v>
      </c>
      <c r="G496" s="237">
        <v>44867</v>
      </c>
      <c r="H496" s="234">
        <f>SUMIF(VA!B:B,A496,VA!I:I)</f>
        <v>347.47</v>
      </c>
      <c r="I496" s="33">
        <f>SUMIF(VR!B:B,A496,VR!I:I)</f>
        <v>631.20000000000005</v>
      </c>
      <c r="J496" s="4">
        <f t="shared" si="7"/>
        <v>978.67000000000007</v>
      </c>
      <c r="K496" s="195">
        <f>SUMIF(FALTAS!A:A,A496,FALTAS!D:D)</f>
        <v>1</v>
      </c>
    </row>
    <row r="497" spans="1:11" x14ac:dyDescent="0.2">
      <c r="A497" s="235">
        <v>114729</v>
      </c>
      <c r="B497" s="236" t="s">
        <v>1084</v>
      </c>
      <c r="C497" s="236" t="s">
        <v>8</v>
      </c>
      <c r="D497" s="236" t="s">
        <v>2</v>
      </c>
      <c r="E497" s="237">
        <v>43874</v>
      </c>
      <c r="F497" s="236" t="s">
        <v>1234</v>
      </c>
      <c r="G497" s="237">
        <v>45086</v>
      </c>
      <c r="H497" s="234">
        <f>SUMIF(VA!B:B,A497,VA!I:I)</f>
        <v>359.46</v>
      </c>
      <c r="I497" s="33">
        <f>SUMIF(VR!B:B,A497,VR!I:I)</f>
        <v>657.5</v>
      </c>
      <c r="J497" s="4">
        <f t="shared" si="7"/>
        <v>1016.96</v>
      </c>
      <c r="K497" s="195">
        <f>SUMIF(FALTAS!A:A,A497,FALTAS!D:D)</f>
        <v>0</v>
      </c>
    </row>
    <row r="498" spans="1:11" x14ac:dyDescent="0.2">
      <c r="A498" s="235">
        <v>119665</v>
      </c>
      <c r="B498" s="236" t="s">
        <v>1470</v>
      </c>
      <c r="C498" s="236" t="s">
        <v>10</v>
      </c>
      <c r="D498" s="236" t="s">
        <v>2</v>
      </c>
      <c r="E498" s="237">
        <v>44725</v>
      </c>
      <c r="F498" s="236" t="s">
        <v>1234</v>
      </c>
      <c r="G498" s="237">
        <v>44725</v>
      </c>
      <c r="H498" s="234">
        <f>SUMIF(VA!B:B,A498,VA!I:I)</f>
        <v>359.46</v>
      </c>
      <c r="I498" s="33">
        <f>SUMIF(VR!B:B,A498,VR!I:I)</f>
        <v>657.5</v>
      </c>
      <c r="J498" s="4">
        <f t="shared" si="7"/>
        <v>1016.96</v>
      </c>
      <c r="K498" s="195">
        <f>SUMIF(FALTAS!A:A,A498,FALTAS!D:D)</f>
        <v>0</v>
      </c>
    </row>
    <row r="499" spans="1:11" x14ac:dyDescent="0.2">
      <c r="A499" s="235">
        <v>112764</v>
      </c>
      <c r="B499" s="236" t="s">
        <v>391</v>
      </c>
      <c r="C499" s="236" t="s">
        <v>19</v>
      </c>
      <c r="D499" s="236" t="s">
        <v>146</v>
      </c>
      <c r="E499" s="237">
        <v>43617</v>
      </c>
      <c r="F499" s="236" t="s">
        <v>1234</v>
      </c>
      <c r="G499" s="237">
        <v>44930</v>
      </c>
      <c r="H499" s="234">
        <f>SUMIF(VA!B:B,A499,VA!I:I)</f>
        <v>359.46</v>
      </c>
      <c r="I499" s="33">
        <f>SUMIF(VR!B:B,A499,VR!I:I)</f>
        <v>657.5</v>
      </c>
      <c r="J499" s="4">
        <f t="shared" si="7"/>
        <v>1016.96</v>
      </c>
      <c r="K499" s="195">
        <f>SUMIF(FALTAS!A:A,A499,FALTAS!D:D)</f>
        <v>0</v>
      </c>
    </row>
    <row r="500" spans="1:11" x14ac:dyDescent="0.2">
      <c r="A500" s="235">
        <v>114316</v>
      </c>
      <c r="B500" s="236" t="s">
        <v>1036</v>
      </c>
      <c r="C500" s="236" t="s">
        <v>0</v>
      </c>
      <c r="D500" s="236" t="s">
        <v>5</v>
      </c>
      <c r="E500" s="237">
        <v>43811</v>
      </c>
      <c r="F500" s="236" t="s">
        <v>1234</v>
      </c>
      <c r="G500" s="237">
        <v>44806</v>
      </c>
      <c r="H500" s="234">
        <f>SUMIF(VA!B:B,A500,VA!I:I)</f>
        <v>335.49</v>
      </c>
      <c r="I500" s="33">
        <f>SUMIF(VR!B:B,A500,VR!I:I)</f>
        <v>604.9</v>
      </c>
      <c r="J500" s="4">
        <f t="shared" si="7"/>
        <v>940.39</v>
      </c>
      <c r="K500" s="195">
        <f>SUMIF(FALTAS!A:A,A500,FALTAS!D:D)</f>
        <v>2</v>
      </c>
    </row>
    <row r="501" spans="1:11" x14ac:dyDescent="0.2">
      <c r="A501" s="235">
        <v>115818</v>
      </c>
      <c r="B501" s="236" t="s">
        <v>1169</v>
      </c>
      <c r="C501" s="236" t="s">
        <v>0</v>
      </c>
      <c r="D501" s="236" t="s">
        <v>5</v>
      </c>
      <c r="E501" s="237">
        <v>44154</v>
      </c>
      <c r="F501" s="236" t="s">
        <v>1234</v>
      </c>
      <c r="G501" s="237">
        <v>45086</v>
      </c>
      <c r="H501" s="234">
        <f>SUMIF(VA!B:B,A501,VA!I:I)</f>
        <v>359.46</v>
      </c>
      <c r="I501" s="33">
        <f>SUMIF(VR!B:B,A501,VR!I:I)</f>
        <v>657.5</v>
      </c>
      <c r="J501" s="4">
        <f t="shared" si="7"/>
        <v>1016.96</v>
      </c>
      <c r="K501" s="195">
        <f>SUMIF(FALTAS!A:A,A501,FALTAS!D:D)</f>
        <v>0</v>
      </c>
    </row>
    <row r="502" spans="1:11" x14ac:dyDescent="0.2">
      <c r="A502" s="235">
        <v>112766</v>
      </c>
      <c r="B502" s="236" t="s">
        <v>393</v>
      </c>
      <c r="C502" s="236" t="s">
        <v>8</v>
      </c>
      <c r="D502" s="236" t="s">
        <v>5</v>
      </c>
      <c r="E502" s="237">
        <v>43617</v>
      </c>
      <c r="F502" s="236" t="s">
        <v>1234</v>
      </c>
      <c r="G502" s="237">
        <v>45056</v>
      </c>
      <c r="H502" s="234">
        <f>SUMIF(VA!B:B,A502,VA!I:I)</f>
        <v>347.47</v>
      </c>
      <c r="I502" s="33">
        <f>SUMIF(VR!B:B,A502,VR!I:I)</f>
        <v>631.20000000000005</v>
      </c>
      <c r="J502" s="4">
        <f t="shared" si="7"/>
        <v>978.67000000000007</v>
      </c>
      <c r="K502" s="195">
        <f>SUMIF(FALTAS!A:A,A502,FALTAS!D:D)</f>
        <v>1</v>
      </c>
    </row>
    <row r="503" spans="1:11" x14ac:dyDescent="0.2">
      <c r="A503" s="235">
        <v>112768</v>
      </c>
      <c r="B503" s="236" t="s">
        <v>395</v>
      </c>
      <c r="C503" s="236" t="s">
        <v>1589</v>
      </c>
      <c r="D503" s="236" t="s">
        <v>22</v>
      </c>
      <c r="E503" s="237">
        <v>43617</v>
      </c>
      <c r="F503" s="236" t="s">
        <v>1234</v>
      </c>
      <c r="G503" s="237">
        <v>44960</v>
      </c>
      <c r="H503" s="234">
        <f>SUMIF(VA!B:B,A503,VA!I:I)</f>
        <v>359.46</v>
      </c>
      <c r="I503" s="33">
        <f>SUMIF(VR!B:B,A503,VR!I:I)</f>
        <v>657.5</v>
      </c>
      <c r="J503" s="4">
        <f t="shared" si="7"/>
        <v>1016.96</v>
      </c>
      <c r="K503" s="195">
        <f>SUMIF(FALTAS!A:A,A503,FALTAS!D:D)</f>
        <v>0</v>
      </c>
    </row>
    <row r="504" spans="1:11" x14ac:dyDescent="0.2">
      <c r="A504" s="235">
        <v>112799</v>
      </c>
      <c r="B504" s="236" t="s">
        <v>419</v>
      </c>
      <c r="C504" s="236" t="s">
        <v>32</v>
      </c>
      <c r="D504" s="236" t="s">
        <v>5</v>
      </c>
      <c r="E504" s="237">
        <v>43617</v>
      </c>
      <c r="F504" s="236" t="s">
        <v>1234</v>
      </c>
      <c r="G504" s="237">
        <v>45056</v>
      </c>
      <c r="H504" s="234">
        <f>SUMIF(VA!B:B,A504,VA!I:I)</f>
        <v>359.46</v>
      </c>
      <c r="I504" s="33">
        <f>SUMIF(VR!B:B,A504,VR!I:I)</f>
        <v>657.5</v>
      </c>
      <c r="J504" s="4">
        <f t="shared" si="7"/>
        <v>1016.96</v>
      </c>
      <c r="K504" s="195">
        <f>SUMIF(FALTAS!A:A,A504,FALTAS!D:D)</f>
        <v>0</v>
      </c>
    </row>
    <row r="505" spans="1:11" x14ac:dyDescent="0.2">
      <c r="A505" s="235">
        <v>116738</v>
      </c>
      <c r="B505" s="236" t="s">
        <v>1228</v>
      </c>
      <c r="C505" s="236" t="s">
        <v>1589</v>
      </c>
      <c r="D505" s="236" t="s">
        <v>1663</v>
      </c>
      <c r="E505" s="237">
        <v>44370</v>
      </c>
      <c r="F505" s="236" t="s">
        <v>1234</v>
      </c>
      <c r="G505" s="237">
        <v>44806</v>
      </c>
      <c r="H505" s="234">
        <f>SUMIF(VA!B:B,A505,VA!I:I)</f>
        <v>359.46</v>
      </c>
      <c r="I505" s="33">
        <f>SUMIF(VR!B:B,A505,VR!I:I)</f>
        <v>657.5</v>
      </c>
      <c r="J505" s="4">
        <f t="shared" si="7"/>
        <v>1016.96</v>
      </c>
      <c r="K505" s="195">
        <f>SUMIF(FALTAS!A:A,A505,FALTAS!D:D)</f>
        <v>0</v>
      </c>
    </row>
    <row r="506" spans="1:11" x14ac:dyDescent="0.2">
      <c r="A506" s="235">
        <v>113714</v>
      </c>
      <c r="B506" s="236" t="s">
        <v>933</v>
      </c>
      <c r="C506" s="236" t="s">
        <v>1589</v>
      </c>
      <c r="D506" s="236" t="s">
        <v>904</v>
      </c>
      <c r="E506" s="237">
        <v>43619</v>
      </c>
      <c r="F506" s="236" t="s">
        <v>1234</v>
      </c>
      <c r="G506" s="237">
        <v>44898</v>
      </c>
      <c r="H506" s="234">
        <f>SUMIF(VA!B:B,A506,VA!I:I)</f>
        <v>359.46</v>
      </c>
      <c r="I506" s="33">
        <f>SUMIF(VR!B:B,A506,VR!I:I)</f>
        <v>657.5</v>
      </c>
      <c r="J506" s="4">
        <f t="shared" si="7"/>
        <v>1016.96</v>
      </c>
      <c r="K506" s="195">
        <f>SUMIF(FALTAS!A:A,A506,FALTAS!D:D)</f>
        <v>0</v>
      </c>
    </row>
    <row r="507" spans="1:11" x14ac:dyDescent="0.2">
      <c r="A507" s="235">
        <v>114765</v>
      </c>
      <c r="B507" s="236" t="s">
        <v>1101</v>
      </c>
      <c r="C507" s="236" t="s">
        <v>1589</v>
      </c>
      <c r="D507" s="236" t="s">
        <v>282</v>
      </c>
      <c r="E507" s="237">
        <v>43874</v>
      </c>
      <c r="F507" s="236" t="s">
        <v>1234</v>
      </c>
      <c r="G507" s="237">
        <v>45056</v>
      </c>
      <c r="H507" s="234">
        <f>SUMIF(VA!B:B,A507,VA!I:I)</f>
        <v>359.46</v>
      </c>
      <c r="I507" s="33">
        <f>SUMIF(VR!B:B,A507,VR!I:I)</f>
        <v>657.5</v>
      </c>
      <c r="J507" s="4">
        <f t="shared" si="7"/>
        <v>1016.96</v>
      </c>
      <c r="K507" s="195">
        <f>SUMIF(FALTAS!A:A,A507,FALTAS!D:D)</f>
        <v>0</v>
      </c>
    </row>
    <row r="508" spans="1:11" x14ac:dyDescent="0.2">
      <c r="A508" s="235">
        <v>112818</v>
      </c>
      <c r="B508" s="236" t="s">
        <v>433</v>
      </c>
      <c r="C508" s="236" t="s">
        <v>10</v>
      </c>
      <c r="D508" s="236" t="s">
        <v>146</v>
      </c>
      <c r="E508" s="237">
        <v>43617</v>
      </c>
      <c r="F508" s="236" t="s">
        <v>1234</v>
      </c>
      <c r="G508" s="237">
        <v>45149</v>
      </c>
      <c r="H508" s="234">
        <f>SUMIF(VA!B:B,A508,VA!I:I)</f>
        <v>359.46</v>
      </c>
      <c r="I508" s="33">
        <f>SUMIF(VR!B:B,A508,VR!I:I)</f>
        <v>657.5</v>
      </c>
      <c r="J508" s="4">
        <f t="shared" si="7"/>
        <v>1016.96</v>
      </c>
      <c r="K508" s="195">
        <f>SUMIF(FALTAS!A:A,A508,FALTAS!D:D)</f>
        <v>0</v>
      </c>
    </row>
    <row r="509" spans="1:11" x14ac:dyDescent="0.2">
      <c r="A509" s="235">
        <v>115409</v>
      </c>
      <c r="B509" s="236" t="s">
        <v>1162</v>
      </c>
      <c r="C509" s="236" t="s">
        <v>19</v>
      </c>
      <c r="D509" s="236" t="s">
        <v>5</v>
      </c>
      <c r="E509" s="237">
        <v>44048</v>
      </c>
      <c r="F509" s="236" t="s">
        <v>1234</v>
      </c>
      <c r="G509" s="237">
        <v>45086</v>
      </c>
      <c r="H509" s="234">
        <f>SUMIF(VA!B:B,A509,VA!I:I)</f>
        <v>311.52999999999997</v>
      </c>
      <c r="I509" s="33">
        <f>SUMIF(VR!B:B,A509,VR!I:I)</f>
        <v>552.30000000000007</v>
      </c>
      <c r="J509" s="4">
        <f t="shared" si="7"/>
        <v>863.83</v>
      </c>
      <c r="K509" s="195">
        <f>SUMIF(FALTAS!A:A,A509,FALTAS!D:D)</f>
        <v>4</v>
      </c>
    </row>
    <row r="510" spans="1:11" x14ac:dyDescent="0.2">
      <c r="A510" s="235">
        <v>122089</v>
      </c>
      <c r="B510" s="236" t="s">
        <v>1639</v>
      </c>
      <c r="C510" s="236" t="s">
        <v>0</v>
      </c>
      <c r="D510" s="236" t="s">
        <v>5</v>
      </c>
      <c r="E510" s="237">
        <v>45061</v>
      </c>
      <c r="F510" s="236" t="s">
        <v>1234</v>
      </c>
      <c r="G510" s="237">
        <v>45061</v>
      </c>
      <c r="H510" s="234">
        <f>SUMIF(VA!B:B,A510,VA!I:I)</f>
        <v>359.46</v>
      </c>
      <c r="I510" s="33">
        <f>SUMIF(VR!B:B,A510,VR!I:I)</f>
        <v>657.5</v>
      </c>
      <c r="J510" s="4">
        <f t="shared" si="7"/>
        <v>1016.96</v>
      </c>
      <c r="K510" s="195">
        <f>SUMIF(FALTAS!A:A,A510,FALTAS!D:D)</f>
        <v>0</v>
      </c>
    </row>
    <row r="511" spans="1:11" x14ac:dyDescent="0.2">
      <c r="A511" s="235">
        <v>112829</v>
      </c>
      <c r="B511" s="236" t="s">
        <v>441</v>
      </c>
      <c r="C511" s="236" t="s">
        <v>1589</v>
      </c>
      <c r="D511" s="236" t="s">
        <v>282</v>
      </c>
      <c r="E511" s="237">
        <v>43617</v>
      </c>
      <c r="F511" s="236" t="s">
        <v>1234</v>
      </c>
      <c r="G511" s="237">
        <v>45119</v>
      </c>
      <c r="H511" s="234">
        <f>SUMIF(VA!B:B,A511,VA!I:I)</f>
        <v>359.46</v>
      </c>
      <c r="I511" s="33">
        <f>SUMIF(VR!B:B,A511,VR!I:I)</f>
        <v>657.5</v>
      </c>
      <c r="J511" s="4">
        <f t="shared" si="7"/>
        <v>1016.96</v>
      </c>
      <c r="K511" s="195">
        <f>SUMIF(FALTAS!A:A,A511,FALTAS!D:D)</f>
        <v>0</v>
      </c>
    </row>
    <row r="512" spans="1:11" x14ac:dyDescent="0.2">
      <c r="A512" s="235">
        <v>112832</v>
      </c>
      <c r="B512" s="236" t="s">
        <v>443</v>
      </c>
      <c r="C512" s="236" t="s">
        <v>1589</v>
      </c>
      <c r="D512" s="236" t="s">
        <v>22</v>
      </c>
      <c r="E512" s="237">
        <v>43617</v>
      </c>
      <c r="F512" s="236" t="s">
        <v>1234</v>
      </c>
      <c r="G512" s="237">
        <v>44898</v>
      </c>
      <c r="H512" s="234">
        <f>SUMIF(VA!B:B,A512,VA!I:I)</f>
        <v>359.46</v>
      </c>
      <c r="I512" s="33">
        <f>SUMIF(VR!B:B,A512,VR!I:I)</f>
        <v>657.5</v>
      </c>
      <c r="J512" s="4">
        <f t="shared" si="7"/>
        <v>1016.96</v>
      </c>
      <c r="K512" s="195">
        <f>SUMIF(FALTAS!A:A,A512,FALTAS!D:D)</f>
        <v>0</v>
      </c>
    </row>
    <row r="513" spans="1:11" x14ac:dyDescent="0.2">
      <c r="A513" s="235">
        <v>112840</v>
      </c>
      <c r="B513" s="236" t="s">
        <v>448</v>
      </c>
      <c r="C513" s="236" t="s">
        <v>8</v>
      </c>
      <c r="D513" s="236" t="s">
        <v>2</v>
      </c>
      <c r="E513" s="237">
        <v>43617</v>
      </c>
      <c r="F513" s="236" t="s">
        <v>1234</v>
      </c>
      <c r="G513" s="237">
        <v>44993</v>
      </c>
      <c r="H513" s="234">
        <f>SUMIF(VA!B:B,A513,VA!I:I)</f>
        <v>359.46</v>
      </c>
      <c r="I513" s="33">
        <f>SUMIF(VR!B:B,A513,VR!I:I)</f>
        <v>657.5</v>
      </c>
      <c r="J513" s="4">
        <f t="shared" si="7"/>
        <v>1016.96</v>
      </c>
      <c r="K513" s="195">
        <f>SUMIF(FALTAS!A:A,A513,FALTAS!D:D)</f>
        <v>0</v>
      </c>
    </row>
    <row r="514" spans="1:11" x14ac:dyDescent="0.2">
      <c r="A514" s="235">
        <v>112849</v>
      </c>
      <c r="B514" s="236" t="s">
        <v>452</v>
      </c>
      <c r="C514" s="236" t="s">
        <v>8</v>
      </c>
      <c r="D514" s="236" t="s">
        <v>2</v>
      </c>
      <c r="E514" s="237">
        <v>43617</v>
      </c>
      <c r="F514" s="236" t="s">
        <v>1234</v>
      </c>
      <c r="G514" s="237">
        <v>45119</v>
      </c>
      <c r="H514" s="234">
        <f>SUMIF(VA!B:B,A514,VA!I:I)</f>
        <v>359.46</v>
      </c>
      <c r="I514" s="33">
        <f>SUMIF(VR!B:B,A514,VR!I:I)</f>
        <v>657.5</v>
      </c>
      <c r="J514" s="4">
        <f t="shared" ref="J514:J577" si="8">H514+I514</f>
        <v>1016.96</v>
      </c>
      <c r="K514" s="195">
        <f>SUMIF(FALTAS!A:A,A514,FALTAS!D:D)</f>
        <v>0</v>
      </c>
    </row>
    <row r="515" spans="1:11" x14ac:dyDescent="0.2">
      <c r="A515" s="235">
        <v>112864</v>
      </c>
      <c r="B515" s="236" t="s">
        <v>460</v>
      </c>
      <c r="C515" s="236" t="s">
        <v>0</v>
      </c>
      <c r="D515" s="236" t="s">
        <v>2</v>
      </c>
      <c r="E515" s="237">
        <v>43617</v>
      </c>
      <c r="F515" s="236" t="s">
        <v>1234</v>
      </c>
      <c r="G515" s="237">
        <v>44835</v>
      </c>
      <c r="H515" s="234">
        <f>SUMIF(VA!B:B,A515,VA!I:I)</f>
        <v>359.46</v>
      </c>
      <c r="I515" s="33">
        <f>SUMIF(VR!B:B,A515,VR!I:I)</f>
        <v>657.5</v>
      </c>
      <c r="J515" s="4">
        <f t="shared" si="8"/>
        <v>1016.96</v>
      </c>
      <c r="K515" s="195">
        <f>SUMIF(FALTAS!A:A,A515,FALTAS!D:D)</f>
        <v>0</v>
      </c>
    </row>
    <row r="516" spans="1:11" x14ac:dyDescent="0.2">
      <c r="A516" s="235">
        <v>112870</v>
      </c>
      <c r="B516" s="236" t="s">
        <v>464</v>
      </c>
      <c r="C516" s="236" t="s">
        <v>10</v>
      </c>
      <c r="D516" s="236" t="s">
        <v>2</v>
      </c>
      <c r="E516" s="237">
        <v>43617</v>
      </c>
      <c r="F516" s="236" t="s">
        <v>1234</v>
      </c>
      <c r="G516" s="237">
        <v>45119</v>
      </c>
      <c r="H516" s="234">
        <f>SUMIF(VA!B:B,A516,VA!I:I)</f>
        <v>359.46</v>
      </c>
      <c r="I516" s="33">
        <f>SUMIF(VR!B:B,A516,VR!I:I)</f>
        <v>657.5</v>
      </c>
      <c r="J516" s="4">
        <f t="shared" si="8"/>
        <v>1016.96</v>
      </c>
      <c r="K516" s="195">
        <f>SUMIF(FALTAS!A:A,A516,FALTAS!D:D)</f>
        <v>0</v>
      </c>
    </row>
    <row r="517" spans="1:11" x14ac:dyDescent="0.2">
      <c r="A517" s="235">
        <v>112886</v>
      </c>
      <c r="B517" s="236" t="s">
        <v>476</v>
      </c>
      <c r="C517" s="236" t="s">
        <v>8</v>
      </c>
      <c r="D517" s="236" t="s">
        <v>2</v>
      </c>
      <c r="E517" s="237">
        <v>43617</v>
      </c>
      <c r="F517" s="236" t="s">
        <v>1234</v>
      </c>
      <c r="G517" s="237">
        <v>44993</v>
      </c>
      <c r="H517" s="234">
        <f>SUMIF(VA!B:B,A517,VA!I:I)</f>
        <v>359.46</v>
      </c>
      <c r="I517" s="33">
        <f>SUMIF(VR!B:B,A517,VR!I:I)</f>
        <v>657.5</v>
      </c>
      <c r="J517" s="4">
        <f t="shared" si="8"/>
        <v>1016.96</v>
      </c>
      <c r="K517" s="195">
        <f>SUMIF(FALTAS!A:A,A517,FALTAS!D:D)</f>
        <v>0</v>
      </c>
    </row>
    <row r="518" spans="1:11" x14ac:dyDescent="0.2">
      <c r="A518" s="235">
        <v>114954</v>
      </c>
      <c r="B518" s="236" t="s">
        <v>1130</v>
      </c>
      <c r="C518" s="236" t="s">
        <v>1589</v>
      </c>
      <c r="D518" s="236" t="s">
        <v>15</v>
      </c>
      <c r="E518" s="237">
        <v>43916</v>
      </c>
      <c r="F518" s="236" t="s">
        <v>1234</v>
      </c>
      <c r="G518" s="237">
        <v>45086</v>
      </c>
      <c r="H518" s="234">
        <f>SUMIF(VA!B:B,A518,VA!I:I)</f>
        <v>359.46</v>
      </c>
      <c r="I518" s="33">
        <f>SUMIF(VR!B:B,A518,VR!I:I)</f>
        <v>657.5</v>
      </c>
      <c r="J518" s="4">
        <f t="shared" si="8"/>
        <v>1016.96</v>
      </c>
      <c r="K518" s="195">
        <f>SUMIF(FALTAS!A:A,A518,FALTAS!D:D)</f>
        <v>0</v>
      </c>
    </row>
    <row r="519" spans="1:11" x14ac:dyDescent="0.2">
      <c r="A519" s="235">
        <v>112904</v>
      </c>
      <c r="B519" s="236" t="s">
        <v>489</v>
      </c>
      <c r="C519" s="236" t="s">
        <v>1589</v>
      </c>
      <c r="D519" s="236" t="s">
        <v>15</v>
      </c>
      <c r="E519" s="237">
        <v>43620</v>
      </c>
      <c r="F519" s="236" t="s">
        <v>1234</v>
      </c>
      <c r="G519" s="237">
        <v>44867</v>
      </c>
      <c r="H519" s="234">
        <f>SUMIF(VA!B:B,A519,VA!I:I)</f>
        <v>359.46</v>
      </c>
      <c r="I519" s="33">
        <f>SUMIF(VR!B:B,A519,VR!I:I)</f>
        <v>657.5</v>
      </c>
      <c r="J519" s="4">
        <f t="shared" si="8"/>
        <v>1016.96</v>
      </c>
      <c r="K519" s="195">
        <f>SUMIF(FALTAS!A:A,A519,FALTAS!D:D)</f>
        <v>0</v>
      </c>
    </row>
    <row r="520" spans="1:11" x14ac:dyDescent="0.2">
      <c r="A520" s="235">
        <v>112912</v>
      </c>
      <c r="B520" s="236" t="s">
        <v>495</v>
      </c>
      <c r="C520" s="236" t="s">
        <v>0</v>
      </c>
      <c r="D520" s="236" t="s">
        <v>2</v>
      </c>
      <c r="E520" s="237">
        <v>43617</v>
      </c>
      <c r="F520" s="236" t="s">
        <v>1234</v>
      </c>
      <c r="G520" s="237">
        <v>44835</v>
      </c>
      <c r="H520" s="234">
        <f>SUMIF(VA!B:B,A520,VA!I:I)</f>
        <v>359.46</v>
      </c>
      <c r="I520" s="33">
        <f>SUMIF(VR!B:B,A520,VR!I:I)</f>
        <v>657.5</v>
      </c>
      <c r="J520" s="4">
        <f t="shared" si="8"/>
        <v>1016.96</v>
      </c>
      <c r="K520" s="195">
        <f>SUMIF(FALTAS!A:A,A520,FALTAS!D:D)</f>
        <v>0</v>
      </c>
    </row>
    <row r="521" spans="1:11" x14ac:dyDescent="0.2">
      <c r="A521" s="235">
        <v>112974</v>
      </c>
      <c r="B521" s="236" t="s">
        <v>528</v>
      </c>
      <c r="C521" s="236" t="s">
        <v>0</v>
      </c>
      <c r="D521" s="236" t="s">
        <v>2</v>
      </c>
      <c r="E521" s="237">
        <v>43617</v>
      </c>
      <c r="F521" s="236" t="s">
        <v>1234</v>
      </c>
      <c r="G521" s="237">
        <v>45149</v>
      </c>
      <c r="H521" s="234">
        <f>SUMIF(VA!B:B,A521,VA!I:I)</f>
        <v>359.46</v>
      </c>
      <c r="I521" s="33">
        <f>SUMIF(VR!B:B,A521,VR!I:I)</f>
        <v>657.5</v>
      </c>
      <c r="J521" s="4">
        <f t="shared" si="8"/>
        <v>1016.96</v>
      </c>
      <c r="K521" s="195">
        <f>SUMIF(FALTAS!A:A,A521,FALTAS!D:D)</f>
        <v>0</v>
      </c>
    </row>
    <row r="522" spans="1:11" x14ac:dyDescent="0.2">
      <c r="A522" s="235">
        <v>112978</v>
      </c>
      <c r="B522" s="236" t="s">
        <v>530</v>
      </c>
      <c r="C522" s="236" t="s">
        <v>0</v>
      </c>
      <c r="D522" s="236" t="s">
        <v>2</v>
      </c>
      <c r="E522" s="237">
        <v>43617</v>
      </c>
      <c r="F522" s="236" t="s">
        <v>1234</v>
      </c>
      <c r="G522" s="237">
        <v>44867</v>
      </c>
      <c r="H522" s="234">
        <f>SUMIF(VA!B:B,A522,VA!I:I)</f>
        <v>359.46</v>
      </c>
      <c r="I522" s="33">
        <f>SUMIF(VR!B:B,A522,VR!I:I)</f>
        <v>657.5</v>
      </c>
      <c r="J522" s="4">
        <f t="shared" si="8"/>
        <v>1016.96</v>
      </c>
      <c r="K522" s="195">
        <f>SUMIF(FALTAS!A:A,A522,FALTAS!D:D)</f>
        <v>0</v>
      </c>
    </row>
    <row r="523" spans="1:11" x14ac:dyDescent="0.2">
      <c r="A523" s="235">
        <v>119632</v>
      </c>
      <c r="B523" s="236" t="s">
        <v>1471</v>
      </c>
      <c r="C523" s="236" t="s">
        <v>1589</v>
      </c>
      <c r="D523" s="236" t="s">
        <v>15</v>
      </c>
      <c r="E523" s="237">
        <v>44725</v>
      </c>
      <c r="F523" s="236" t="s">
        <v>1234</v>
      </c>
      <c r="G523" s="237">
        <v>44725</v>
      </c>
      <c r="H523" s="234">
        <f>SUMIF(VA!B:B,A523,VA!I:I)</f>
        <v>359.46</v>
      </c>
      <c r="I523" s="33">
        <f>SUMIF(VR!B:B,A523,VR!I:I)</f>
        <v>657.5</v>
      </c>
      <c r="J523" s="4">
        <f t="shared" si="8"/>
        <v>1016.96</v>
      </c>
      <c r="K523" s="195">
        <f>SUMIF(FALTAS!A:A,A523,FALTAS!D:D)</f>
        <v>0</v>
      </c>
    </row>
    <row r="524" spans="1:11" x14ac:dyDescent="0.2">
      <c r="A524" s="235">
        <v>114770</v>
      </c>
      <c r="B524" s="236" t="s">
        <v>1104</v>
      </c>
      <c r="C524" s="236" t="s">
        <v>1589</v>
      </c>
      <c r="D524" s="236" t="s">
        <v>282</v>
      </c>
      <c r="E524" s="237">
        <v>43874</v>
      </c>
      <c r="F524" s="236" t="s">
        <v>1234</v>
      </c>
      <c r="G524" s="237">
        <v>45023</v>
      </c>
      <c r="H524" s="234">
        <f>SUMIF(VA!B:B,A524,VA!I:I)</f>
        <v>359.46</v>
      </c>
      <c r="I524" s="33">
        <f>SUMIF(VR!B:B,A524,VR!I:I)</f>
        <v>657.5</v>
      </c>
      <c r="J524" s="4">
        <f t="shared" si="8"/>
        <v>1016.96</v>
      </c>
      <c r="K524" s="195">
        <f>SUMIF(FALTAS!A:A,A524,FALTAS!D:D)</f>
        <v>0</v>
      </c>
    </row>
    <row r="525" spans="1:11" x14ac:dyDescent="0.2">
      <c r="A525" s="235">
        <v>113029</v>
      </c>
      <c r="B525" s="236" t="s">
        <v>551</v>
      </c>
      <c r="C525" s="236" t="s">
        <v>1589</v>
      </c>
      <c r="D525" s="236" t="s">
        <v>15</v>
      </c>
      <c r="E525" s="237">
        <v>43617</v>
      </c>
      <c r="F525" s="236" t="s">
        <v>1234</v>
      </c>
      <c r="G525" s="237">
        <v>44930</v>
      </c>
      <c r="H525" s="234">
        <f>SUMIF(VA!B:B,A525,VA!I:I)</f>
        <v>359.46</v>
      </c>
      <c r="I525" s="33">
        <f>SUMIF(VR!B:B,A525,VR!I:I)</f>
        <v>657.5</v>
      </c>
      <c r="J525" s="4">
        <f t="shared" si="8"/>
        <v>1016.96</v>
      </c>
      <c r="K525" s="195">
        <f>SUMIF(FALTAS!A:A,A525,FALTAS!D:D)</f>
        <v>0</v>
      </c>
    </row>
    <row r="526" spans="1:11" x14ac:dyDescent="0.2">
      <c r="A526" s="235">
        <v>113035</v>
      </c>
      <c r="B526" s="236" t="s">
        <v>555</v>
      </c>
      <c r="C526" s="236" t="s">
        <v>1589</v>
      </c>
      <c r="D526" s="236" t="s">
        <v>22</v>
      </c>
      <c r="E526" s="237">
        <v>43617</v>
      </c>
      <c r="F526" s="236" t="s">
        <v>1235</v>
      </c>
      <c r="G526" s="237">
        <v>45147</v>
      </c>
      <c r="H526" s="234">
        <f>SUMIF(VA!B:B,A526,VA!I:I)</f>
        <v>359.46</v>
      </c>
      <c r="I526" s="33">
        <f>SUMIF(VR!B:B,A526,VR!I:I)</f>
        <v>657.5</v>
      </c>
      <c r="J526" s="4">
        <f t="shared" si="8"/>
        <v>1016.96</v>
      </c>
      <c r="K526" s="195">
        <f>SUMIF(FALTAS!A:A,A526,FALTAS!D:D)</f>
        <v>0</v>
      </c>
    </row>
    <row r="527" spans="1:11" x14ac:dyDescent="0.2">
      <c r="A527" s="235">
        <v>120172</v>
      </c>
      <c r="B527" s="236" t="s">
        <v>1501</v>
      </c>
      <c r="C527" s="236" t="s">
        <v>19</v>
      </c>
      <c r="D527" s="236" t="s">
        <v>5</v>
      </c>
      <c r="E527" s="237">
        <v>44791</v>
      </c>
      <c r="F527" s="236" t="s">
        <v>1234</v>
      </c>
      <c r="G527" s="237">
        <v>44791</v>
      </c>
      <c r="H527" s="234">
        <f>SUMIF(VA!B:B,A527,VA!I:I)</f>
        <v>359.46</v>
      </c>
      <c r="I527" s="33">
        <f>SUMIF(VR!B:B,A527,VR!I:I)</f>
        <v>657.5</v>
      </c>
      <c r="J527" s="4">
        <f t="shared" si="8"/>
        <v>1016.96</v>
      </c>
      <c r="K527" s="195">
        <f>SUMIF(FALTAS!A:A,A527,FALTAS!D:D)</f>
        <v>0</v>
      </c>
    </row>
    <row r="528" spans="1:11" s="148" customFormat="1" x14ac:dyDescent="0.2">
      <c r="A528" s="235">
        <v>113064</v>
      </c>
      <c r="B528" s="236" t="s">
        <v>568</v>
      </c>
      <c r="C528" s="236" t="s">
        <v>1589</v>
      </c>
      <c r="D528" s="236" t="s">
        <v>5</v>
      </c>
      <c r="E528" s="237">
        <v>43617</v>
      </c>
      <c r="F528" s="236" t="s">
        <v>1234</v>
      </c>
      <c r="G528" s="237">
        <v>45119</v>
      </c>
      <c r="H528" s="234">
        <f>SUMIF(VA!B:B,A528,VA!I:I)</f>
        <v>347.47</v>
      </c>
      <c r="I528" s="33">
        <f>SUMIF(VR!B:B,A528,VR!I:I)</f>
        <v>631.20000000000005</v>
      </c>
      <c r="J528" s="4">
        <f t="shared" si="8"/>
        <v>978.67000000000007</v>
      </c>
      <c r="K528" s="195">
        <f>SUMIF(FALTAS!A:A,A528,FALTAS!D:D)</f>
        <v>1</v>
      </c>
    </row>
    <row r="529" spans="1:11" x14ac:dyDescent="0.2">
      <c r="A529" s="235">
        <v>113071</v>
      </c>
      <c r="B529" s="236" t="s">
        <v>570</v>
      </c>
      <c r="C529" s="236" t="s">
        <v>0</v>
      </c>
      <c r="D529" s="236" t="s">
        <v>146</v>
      </c>
      <c r="E529" s="237">
        <v>43617</v>
      </c>
      <c r="F529" s="236" t="s">
        <v>1234</v>
      </c>
      <c r="G529" s="237">
        <v>44930</v>
      </c>
      <c r="H529" s="234">
        <f>SUMIF(VA!B:B,A529,VA!I:I)</f>
        <v>359.46</v>
      </c>
      <c r="I529" s="33">
        <f>SUMIF(VR!B:B,A529,VR!I:I)</f>
        <v>657.5</v>
      </c>
      <c r="J529" s="4">
        <f t="shared" si="8"/>
        <v>1016.96</v>
      </c>
      <c r="K529" s="195">
        <f>SUMIF(FALTAS!A:A,A529,FALTAS!D:D)</f>
        <v>0</v>
      </c>
    </row>
    <row r="530" spans="1:11" x14ac:dyDescent="0.2">
      <c r="A530" s="235">
        <v>113075</v>
      </c>
      <c r="B530" s="236" t="s">
        <v>574</v>
      </c>
      <c r="C530" s="236" t="s">
        <v>0</v>
      </c>
      <c r="D530" s="236" t="s">
        <v>2</v>
      </c>
      <c r="E530" s="237">
        <v>43617</v>
      </c>
      <c r="F530" s="236" t="s">
        <v>1234</v>
      </c>
      <c r="G530" s="237">
        <v>44898</v>
      </c>
      <c r="H530" s="234">
        <f>SUMIF(VA!B:B,A530,VA!I:I)</f>
        <v>359.46</v>
      </c>
      <c r="I530" s="33">
        <f>SUMIF(VR!B:B,A530,VR!I:I)</f>
        <v>657.5</v>
      </c>
      <c r="J530" s="4">
        <f t="shared" si="8"/>
        <v>1016.96</v>
      </c>
      <c r="K530" s="195">
        <f>SUMIF(FALTAS!A:A,A530,FALTAS!D:D)</f>
        <v>0</v>
      </c>
    </row>
    <row r="531" spans="1:11" x14ac:dyDescent="0.2">
      <c r="A531" s="235">
        <v>117407</v>
      </c>
      <c r="B531" s="236" t="s">
        <v>1275</v>
      </c>
      <c r="C531" s="236" t="s">
        <v>8</v>
      </c>
      <c r="D531" s="236" t="s">
        <v>2</v>
      </c>
      <c r="E531" s="237">
        <v>44522</v>
      </c>
      <c r="F531" s="236" t="s">
        <v>1234</v>
      </c>
      <c r="G531" s="237">
        <v>45086</v>
      </c>
      <c r="H531" s="234">
        <f>SUMIF(VA!B:B,A531,VA!I:I)</f>
        <v>359.46</v>
      </c>
      <c r="I531" s="33">
        <f>SUMIF(VR!B:B,A531,VR!I:I)</f>
        <v>657.5</v>
      </c>
      <c r="J531" s="4">
        <f t="shared" si="8"/>
        <v>1016.96</v>
      </c>
      <c r="K531" s="195">
        <f>SUMIF(FALTAS!A:A,A531,FALTAS!D:D)</f>
        <v>0</v>
      </c>
    </row>
    <row r="532" spans="1:11" x14ac:dyDescent="0.2">
      <c r="A532" s="235">
        <v>113079</v>
      </c>
      <c r="B532" s="236" t="s">
        <v>576</v>
      </c>
      <c r="C532" s="236" t="s">
        <v>8</v>
      </c>
      <c r="D532" s="236" t="s">
        <v>5</v>
      </c>
      <c r="E532" s="237">
        <v>43617</v>
      </c>
      <c r="F532" s="236" t="s">
        <v>1234</v>
      </c>
      <c r="G532" s="237">
        <v>45056</v>
      </c>
      <c r="H532" s="234">
        <f>SUMIF(VA!B:B,A532,VA!I:I)</f>
        <v>359.46</v>
      </c>
      <c r="I532" s="33">
        <f>SUMIF(VR!B:B,A532,VR!I:I)</f>
        <v>657.5</v>
      </c>
      <c r="J532" s="4">
        <f t="shared" si="8"/>
        <v>1016.96</v>
      </c>
      <c r="K532" s="195">
        <f>SUMIF(FALTAS!A:A,A532,FALTAS!D:D)</f>
        <v>0</v>
      </c>
    </row>
    <row r="533" spans="1:11" x14ac:dyDescent="0.2">
      <c r="A533" s="235">
        <v>116323</v>
      </c>
      <c r="B533" s="236" t="s">
        <v>1209</v>
      </c>
      <c r="C533" s="236" t="s">
        <v>0</v>
      </c>
      <c r="D533" s="236" t="s">
        <v>5</v>
      </c>
      <c r="E533" s="237">
        <v>44308</v>
      </c>
      <c r="F533" s="236" t="s">
        <v>1234</v>
      </c>
      <c r="G533" s="237">
        <v>44993</v>
      </c>
      <c r="H533" s="234">
        <f>SUMIF(VA!B:B,A533,VA!I:I)</f>
        <v>359.46</v>
      </c>
      <c r="I533" s="33">
        <f>SUMIF(VR!B:B,A533,VR!I:I)</f>
        <v>657.5</v>
      </c>
      <c r="J533" s="4">
        <f t="shared" si="8"/>
        <v>1016.96</v>
      </c>
      <c r="K533" s="195">
        <f>SUMIF(FALTAS!A:A,A533,FALTAS!D:D)</f>
        <v>0</v>
      </c>
    </row>
    <row r="534" spans="1:11" x14ac:dyDescent="0.2">
      <c r="A534" s="235">
        <v>116003</v>
      </c>
      <c r="B534" s="236" t="s">
        <v>1172</v>
      </c>
      <c r="C534" s="236" t="s">
        <v>0</v>
      </c>
      <c r="D534" s="236" t="s">
        <v>5</v>
      </c>
      <c r="E534" s="237">
        <v>44207</v>
      </c>
      <c r="F534" s="236" t="s">
        <v>1234</v>
      </c>
      <c r="G534" s="237">
        <v>44898</v>
      </c>
      <c r="H534" s="234">
        <f>SUMIF(VA!B:B,A534,VA!I:I)</f>
        <v>359.46</v>
      </c>
      <c r="I534" s="33">
        <f>SUMIF(VR!B:B,A534,VR!I:I)</f>
        <v>657.5</v>
      </c>
      <c r="J534" s="4">
        <f t="shared" si="8"/>
        <v>1016.96</v>
      </c>
      <c r="K534" s="195">
        <f>SUMIF(FALTAS!A:A,A534,FALTAS!D:D)</f>
        <v>0</v>
      </c>
    </row>
    <row r="535" spans="1:11" x14ac:dyDescent="0.2">
      <c r="A535" s="235">
        <v>119679</v>
      </c>
      <c r="B535" s="236" t="s">
        <v>1472</v>
      </c>
      <c r="C535" s="236" t="s">
        <v>0</v>
      </c>
      <c r="D535" s="236" t="s">
        <v>5</v>
      </c>
      <c r="E535" s="237">
        <v>44725</v>
      </c>
      <c r="F535" s="236" t="s">
        <v>1234</v>
      </c>
      <c r="G535" s="237">
        <v>44725</v>
      </c>
      <c r="H535" s="234">
        <f>SUMIF(VA!B:B,A535,VA!I:I)</f>
        <v>359.46</v>
      </c>
      <c r="I535" s="33">
        <f>SUMIF(VR!B:B,A535,VR!I:I)</f>
        <v>657.5</v>
      </c>
      <c r="J535" s="4">
        <f t="shared" si="8"/>
        <v>1016.96</v>
      </c>
      <c r="K535" s="195">
        <f>SUMIF(FALTAS!A:A,A535,FALTAS!D:D)</f>
        <v>0</v>
      </c>
    </row>
    <row r="536" spans="1:11" x14ac:dyDescent="0.2">
      <c r="A536" s="235">
        <v>113111</v>
      </c>
      <c r="B536" s="236" t="s">
        <v>592</v>
      </c>
      <c r="C536" s="236" t="s">
        <v>0</v>
      </c>
      <c r="D536" s="236" t="s">
        <v>5</v>
      </c>
      <c r="E536" s="237">
        <v>43617</v>
      </c>
      <c r="F536" s="236" t="s">
        <v>1234</v>
      </c>
      <c r="G536" s="237">
        <v>44930</v>
      </c>
      <c r="H536" s="234">
        <f>SUMIF(VA!B:B,A536,VA!I:I)</f>
        <v>335.49</v>
      </c>
      <c r="I536" s="33">
        <f>SUMIF(VR!B:B,A536,VR!I:I)</f>
        <v>604.9</v>
      </c>
      <c r="J536" s="4">
        <f t="shared" si="8"/>
        <v>940.39</v>
      </c>
      <c r="K536" s="195">
        <f>SUMIF(FALTAS!A:A,A536,FALTAS!D:D)</f>
        <v>2</v>
      </c>
    </row>
    <row r="537" spans="1:11" x14ac:dyDescent="0.2">
      <c r="A537" s="235">
        <v>117412</v>
      </c>
      <c r="B537" s="236" t="s">
        <v>1279</v>
      </c>
      <c r="C537" s="236" t="s">
        <v>19</v>
      </c>
      <c r="D537" s="236" t="s">
        <v>2</v>
      </c>
      <c r="E537" s="237">
        <v>44522</v>
      </c>
      <c r="F537" s="236" t="s">
        <v>1234</v>
      </c>
      <c r="G537" s="237">
        <v>45086</v>
      </c>
      <c r="H537" s="234">
        <f>SUMIF(VA!B:B,A537,VA!I:I)</f>
        <v>359.46</v>
      </c>
      <c r="I537" s="33">
        <f>SUMIF(VR!B:B,A537,VR!I:I)</f>
        <v>657.5</v>
      </c>
      <c r="J537" s="4">
        <f t="shared" si="8"/>
        <v>1016.96</v>
      </c>
      <c r="K537" s="195">
        <f>SUMIF(FALTAS!A:A,A537,FALTAS!D:D)</f>
        <v>0</v>
      </c>
    </row>
    <row r="538" spans="1:11" x14ac:dyDescent="0.2">
      <c r="A538" s="235">
        <v>114269</v>
      </c>
      <c r="B538" s="236" t="s">
        <v>1519</v>
      </c>
      <c r="C538" s="236" t="s">
        <v>0</v>
      </c>
      <c r="D538" s="236" t="s">
        <v>5</v>
      </c>
      <c r="E538" s="237">
        <v>43804</v>
      </c>
      <c r="F538" s="236" t="s">
        <v>1234</v>
      </c>
      <c r="G538" s="237">
        <v>45149</v>
      </c>
      <c r="H538" s="234">
        <f>SUMIF(VA!B:B,A538,VA!I:I)</f>
        <v>359.46</v>
      </c>
      <c r="I538" s="33">
        <f>SUMIF(VR!B:B,A538,VR!I:I)</f>
        <v>657.5</v>
      </c>
      <c r="J538" s="4">
        <f t="shared" si="8"/>
        <v>1016.96</v>
      </c>
      <c r="K538" s="195">
        <f>SUMIF(FALTAS!A:A,A538,FALTAS!D:D)</f>
        <v>0</v>
      </c>
    </row>
    <row r="539" spans="1:11" x14ac:dyDescent="0.2">
      <c r="A539" s="235">
        <v>113121</v>
      </c>
      <c r="B539" s="236" t="s">
        <v>1291</v>
      </c>
      <c r="C539" s="236" t="s">
        <v>1589</v>
      </c>
      <c r="D539" s="236" t="s">
        <v>15</v>
      </c>
      <c r="E539" s="237">
        <v>43617</v>
      </c>
      <c r="F539" s="236" t="s">
        <v>1234</v>
      </c>
      <c r="G539" s="237">
        <v>44930</v>
      </c>
      <c r="H539" s="234">
        <f>SUMIF(VA!B:B,A539,VA!I:I)</f>
        <v>359.46</v>
      </c>
      <c r="I539" s="33">
        <f>SUMIF(VR!B:B,A539,VR!I:I)</f>
        <v>657.5</v>
      </c>
      <c r="J539" s="4">
        <f t="shared" si="8"/>
        <v>1016.96</v>
      </c>
      <c r="K539" s="195">
        <f>SUMIF(FALTAS!A:A,A539,FALTAS!D:D)</f>
        <v>0</v>
      </c>
    </row>
    <row r="540" spans="1:11" x14ac:dyDescent="0.2">
      <c r="A540" s="235">
        <v>113131</v>
      </c>
      <c r="B540" s="236" t="s">
        <v>602</v>
      </c>
      <c r="C540" s="236" t="s">
        <v>19</v>
      </c>
      <c r="D540" s="236" t="s">
        <v>2</v>
      </c>
      <c r="E540" s="237">
        <v>43617</v>
      </c>
      <c r="F540" s="236" t="s">
        <v>1234</v>
      </c>
      <c r="G540" s="237">
        <v>45119</v>
      </c>
      <c r="H540" s="234">
        <f>SUMIF(VA!B:B,A540,VA!I:I)</f>
        <v>359.46</v>
      </c>
      <c r="I540" s="33">
        <f>SUMIF(VR!B:B,A540,VR!I:I)</f>
        <v>657.5</v>
      </c>
      <c r="J540" s="4">
        <f t="shared" si="8"/>
        <v>1016.96</v>
      </c>
      <c r="K540" s="195">
        <f>SUMIF(FALTAS!A:A,A540,FALTAS!D:D)</f>
        <v>0</v>
      </c>
    </row>
    <row r="541" spans="1:11" x14ac:dyDescent="0.2">
      <c r="A541" s="235">
        <v>113136</v>
      </c>
      <c r="B541" s="236" t="s">
        <v>606</v>
      </c>
      <c r="C541" s="236" t="s">
        <v>1589</v>
      </c>
      <c r="D541" s="236" t="s">
        <v>22</v>
      </c>
      <c r="E541" s="237">
        <v>43617</v>
      </c>
      <c r="F541" s="236" t="s">
        <v>1234</v>
      </c>
      <c r="G541" s="237">
        <v>44776</v>
      </c>
      <c r="H541" s="234">
        <f>SUMIF(VA!B:B,A541,VA!I:I)</f>
        <v>359.46</v>
      </c>
      <c r="I541" s="33">
        <f>SUMIF(VR!B:B,A541,VR!I:I)</f>
        <v>657.5</v>
      </c>
      <c r="J541" s="4">
        <f t="shared" si="8"/>
        <v>1016.96</v>
      </c>
      <c r="K541" s="195">
        <f>SUMIF(FALTAS!A:A,A541,FALTAS!D:D)</f>
        <v>0</v>
      </c>
    </row>
    <row r="542" spans="1:11" x14ac:dyDescent="0.2">
      <c r="A542" s="235">
        <v>113150</v>
      </c>
      <c r="B542" s="236" t="s">
        <v>614</v>
      </c>
      <c r="C542" s="236" t="s">
        <v>1589</v>
      </c>
      <c r="D542" s="236" t="s">
        <v>22</v>
      </c>
      <c r="E542" s="237">
        <v>43617</v>
      </c>
      <c r="F542" s="236" t="s">
        <v>1234</v>
      </c>
      <c r="G542" s="237">
        <v>44930</v>
      </c>
      <c r="H542" s="234">
        <f>SUMIF(VA!B:B,A542,VA!I:I)</f>
        <v>359.46</v>
      </c>
      <c r="I542" s="33">
        <f>SUMIF(VR!B:B,A542,VR!I:I)</f>
        <v>657.5</v>
      </c>
      <c r="J542" s="4">
        <f t="shared" si="8"/>
        <v>1016.96</v>
      </c>
      <c r="K542" s="195">
        <f>SUMIF(FALTAS!A:A,A542,FALTAS!D:D)</f>
        <v>0</v>
      </c>
    </row>
    <row r="543" spans="1:11" x14ac:dyDescent="0.2">
      <c r="A543" s="235">
        <v>113153</v>
      </c>
      <c r="B543" s="236" t="s">
        <v>616</v>
      </c>
      <c r="C543" s="236" t="s">
        <v>10</v>
      </c>
      <c r="D543" s="236" t="s">
        <v>5</v>
      </c>
      <c r="E543" s="237">
        <v>43617</v>
      </c>
      <c r="F543" s="236" t="s">
        <v>1235</v>
      </c>
      <c r="G543" s="237">
        <v>45147</v>
      </c>
      <c r="H543" s="234">
        <f>SUMIF(VA!B:B,A543,VA!I:I)</f>
        <v>359.46</v>
      </c>
      <c r="I543" s="33">
        <f>SUMIF(VR!B:B,A543,VR!I:I)</f>
        <v>657.5</v>
      </c>
      <c r="J543" s="4">
        <f t="shared" si="8"/>
        <v>1016.96</v>
      </c>
      <c r="K543" s="195">
        <f>SUMIF(FALTAS!A:A,A543,FALTAS!D:D)</f>
        <v>0</v>
      </c>
    </row>
    <row r="544" spans="1:11" x14ac:dyDescent="0.2">
      <c r="A544" s="235">
        <v>113179</v>
      </c>
      <c r="B544" s="236" t="s">
        <v>632</v>
      </c>
      <c r="C544" s="236" t="s">
        <v>0</v>
      </c>
      <c r="D544" s="236" t="s">
        <v>5</v>
      </c>
      <c r="E544" s="237">
        <v>43617</v>
      </c>
      <c r="F544" s="236" t="s">
        <v>1234</v>
      </c>
      <c r="G544" s="237">
        <v>44898</v>
      </c>
      <c r="H544" s="234">
        <f>SUMIF(VA!B:B,A544,VA!I:I)</f>
        <v>359.46</v>
      </c>
      <c r="I544" s="33">
        <f>SUMIF(VR!B:B,A544,VR!I:I)</f>
        <v>657.5</v>
      </c>
      <c r="J544" s="4">
        <f t="shared" si="8"/>
        <v>1016.96</v>
      </c>
      <c r="K544" s="195">
        <f>SUMIF(FALTAS!A:A,A544,FALTAS!D:D)</f>
        <v>0</v>
      </c>
    </row>
    <row r="545" spans="1:11" x14ac:dyDescent="0.2">
      <c r="A545" s="235">
        <v>113181</v>
      </c>
      <c r="B545" s="236" t="s">
        <v>633</v>
      </c>
      <c r="C545" s="236" t="s">
        <v>0</v>
      </c>
      <c r="D545" s="236" t="s">
        <v>5</v>
      </c>
      <c r="E545" s="237">
        <v>43617</v>
      </c>
      <c r="F545" s="236" t="s">
        <v>1234</v>
      </c>
      <c r="G545" s="237">
        <v>44867</v>
      </c>
      <c r="H545" s="234">
        <f>SUMIF(VA!B:B,A545,VA!I:I)</f>
        <v>359.46</v>
      </c>
      <c r="I545" s="33">
        <f>SUMIF(VR!B:B,A545,VR!I:I)</f>
        <v>657.5</v>
      </c>
      <c r="J545" s="4">
        <f t="shared" si="8"/>
        <v>1016.96</v>
      </c>
      <c r="K545" s="195">
        <f>SUMIF(FALTAS!A:A,A545,FALTAS!D:D)</f>
        <v>0</v>
      </c>
    </row>
    <row r="546" spans="1:11" x14ac:dyDescent="0.2">
      <c r="A546" s="235">
        <v>116235</v>
      </c>
      <c r="B546" s="236" t="s">
        <v>1200</v>
      </c>
      <c r="C546" s="236" t="s">
        <v>8</v>
      </c>
      <c r="D546" s="236" t="s">
        <v>2</v>
      </c>
      <c r="E546" s="237">
        <v>44273</v>
      </c>
      <c r="F546" s="236" t="s">
        <v>1234</v>
      </c>
      <c r="G546" s="237">
        <v>45086</v>
      </c>
      <c r="H546" s="234">
        <f>SUMIF(VA!B:B,A546,VA!I:I)</f>
        <v>359.46</v>
      </c>
      <c r="I546" s="33">
        <f>SUMIF(VR!B:B,A546,VR!I:I)</f>
        <v>657.5</v>
      </c>
      <c r="J546" s="4">
        <f t="shared" si="8"/>
        <v>1016.96</v>
      </c>
      <c r="K546" s="195">
        <f>SUMIF(FALTAS!A:A,A546,FALTAS!D:D)</f>
        <v>0</v>
      </c>
    </row>
    <row r="547" spans="1:11" x14ac:dyDescent="0.2">
      <c r="A547" s="235">
        <v>113194</v>
      </c>
      <c r="B547" s="236" t="s">
        <v>640</v>
      </c>
      <c r="C547" s="236" t="s">
        <v>8</v>
      </c>
      <c r="D547" s="236" t="s">
        <v>2</v>
      </c>
      <c r="E547" s="237">
        <v>43617</v>
      </c>
      <c r="F547" s="236" t="s">
        <v>1234</v>
      </c>
      <c r="G547" s="237">
        <v>44930</v>
      </c>
      <c r="H547" s="234">
        <f>SUMIF(VA!B:B,A547,VA!I:I)</f>
        <v>359.46</v>
      </c>
      <c r="I547" s="33">
        <f>SUMIF(VR!B:B,A547,VR!I:I)</f>
        <v>657.5</v>
      </c>
      <c r="J547" s="4">
        <f t="shared" si="8"/>
        <v>1016.96</v>
      </c>
      <c r="K547" s="195">
        <f>SUMIF(FALTAS!A:A,A547,FALTAS!D:D)</f>
        <v>0</v>
      </c>
    </row>
    <row r="548" spans="1:11" x14ac:dyDescent="0.2">
      <c r="A548" s="235">
        <v>113199</v>
      </c>
      <c r="B548" s="236" t="s">
        <v>642</v>
      </c>
      <c r="C548" s="236" t="s">
        <v>8</v>
      </c>
      <c r="D548" s="236" t="s">
        <v>2</v>
      </c>
      <c r="E548" s="237">
        <v>43617</v>
      </c>
      <c r="F548" s="236" t="s">
        <v>1234</v>
      </c>
      <c r="G548" s="237">
        <v>44898</v>
      </c>
      <c r="H548" s="234">
        <f>SUMIF(VA!B:B,A548,VA!I:I)</f>
        <v>359.46</v>
      </c>
      <c r="I548" s="33">
        <f>SUMIF(VR!B:B,A548,VR!I:I)</f>
        <v>657.5</v>
      </c>
      <c r="J548" s="4">
        <f t="shared" si="8"/>
        <v>1016.96</v>
      </c>
      <c r="K548" s="195">
        <f>SUMIF(FALTAS!A:A,A548,FALTAS!D:D)</f>
        <v>0</v>
      </c>
    </row>
    <row r="549" spans="1:11" x14ac:dyDescent="0.2">
      <c r="A549" s="235">
        <v>113202</v>
      </c>
      <c r="B549" s="236" t="s">
        <v>644</v>
      </c>
      <c r="C549" s="236" t="s">
        <v>32</v>
      </c>
      <c r="D549" s="236" t="s">
        <v>5</v>
      </c>
      <c r="E549" s="237">
        <v>43617</v>
      </c>
      <c r="F549" s="236" t="s">
        <v>1234</v>
      </c>
      <c r="G549" s="237">
        <v>44867</v>
      </c>
      <c r="H549" s="234">
        <f>SUMIF(VA!B:B,A549,VA!I:I)</f>
        <v>359.46</v>
      </c>
      <c r="I549" s="33">
        <f>SUMIF(VR!B:B,A549,VR!I:I)</f>
        <v>657.5</v>
      </c>
      <c r="J549" s="4">
        <f t="shared" si="8"/>
        <v>1016.96</v>
      </c>
      <c r="K549" s="195">
        <f>SUMIF(FALTAS!A:A,A549,FALTAS!D:D)</f>
        <v>0</v>
      </c>
    </row>
    <row r="550" spans="1:11" x14ac:dyDescent="0.2">
      <c r="A550" s="235">
        <v>113206</v>
      </c>
      <c r="B550" s="236" t="s">
        <v>649</v>
      </c>
      <c r="C550" s="236" t="s">
        <v>10</v>
      </c>
      <c r="D550" s="236" t="s">
        <v>2</v>
      </c>
      <c r="E550" s="237">
        <v>43617</v>
      </c>
      <c r="F550" s="236" t="s">
        <v>1234</v>
      </c>
      <c r="G550" s="237">
        <v>45149</v>
      </c>
      <c r="H550" s="234">
        <f>SUMIF(VA!B:B,A550,VA!I:I)</f>
        <v>359.46</v>
      </c>
      <c r="I550" s="33">
        <f>SUMIF(VR!B:B,A550,VR!I:I)</f>
        <v>657.5</v>
      </c>
      <c r="J550" s="4">
        <f t="shared" si="8"/>
        <v>1016.96</v>
      </c>
      <c r="K550" s="195">
        <f>SUMIF(FALTAS!A:A,A550,FALTAS!D:D)</f>
        <v>0</v>
      </c>
    </row>
    <row r="551" spans="1:11" x14ac:dyDescent="0.2">
      <c r="A551" s="235">
        <v>113209</v>
      </c>
      <c r="B551" s="236" t="s">
        <v>651</v>
      </c>
      <c r="C551" s="236" t="s">
        <v>0</v>
      </c>
      <c r="D551" s="236" t="s">
        <v>2</v>
      </c>
      <c r="E551" s="237">
        <v>43617</v>
      </c>
      <c r="F551" s="236" t="s">
        <v>1234</v>
      </c>
      <c r="G551" s="237">
        <v>45149</v>
      </c>
      <c r="H551" s="234">
        <f>SUMIF(VA!B:B,A551,VA!I:I)</f>
        <v>359.46</v>
      </c>
      <c r="I551" s="33">
        <f>SUMIF(VR!B:B,A551,VR!I:I)</f>
        <v>657.5</v>
      </c>
      <c r="J551" s="4">
        <f t="shared" si="8"/>
        <v>1016.96</v>
      </c>
      <c r="K551" s="195">
        <f>SUMIF(FALTAS!A:A,A551,FALTAS!D:D)</f>
        <v>0</v>
      </c>
    </row>
    <row r="552" spans="1:11" x14ac:dyDescent="0.2">
      <c r="A552" s="235">
        <v>116804</v>
      </c>
      <c r="B552" s="236" t="s">
        <v>1229</v>
      </c>
      <c r="C552" s="236" t="s">
        <v>1589</v>
      </c>
      <c r="D552" s="236" t="s">
        <v>120</v>
      </c>
      <c r="E552" s="237">
        <v>44390</v>
      </c>
      <c r="F552" s="236" t="s">
        <v>1234</v>
      </c>
      <c r="G552" s="237">
        <v>44806</v>
      </c>
      <c r="H552" s="234">
        <f>SUMIF(VA!B:B,A552,VA!I:I)</f>
        <v>347.47</v>
      </c>
      <c r="I552" s="33">
        <f>SUMIF(VR!B:B,A552,VR!I:I)</f>
        <v>631.20000000000005</v>
      </c>
      <c r="J552" s="4">
        <f t="shared" si="8"/>
        <v>978.67000000000007</v>
      </c>
      <c r="K552" s="195">
        <f>SUMIF(FALTAS!A:A,A552,FALTAS!D:D)</f>
        <v>1</v>
      </c>
    </row>
    <row r="553" spans="1:11" x14ac:dyDescent="0.2">
      <c r="A553" s="235">
        <v>113225</v>
      </c>
      <c r="B553" s="236" t="s">
        <v>658</v>
      </c>
      <c r="C553" s="236" t="s">
        <v>0</v>
      </c>
      <c r="D553" s="236" t="s">
        <v>2</v>
      </c>
      <c r="E553" s="237">
        <v>43617</v>
      </c>
      <c r="F553" s="236" t="s">
        <v>1235</v>
      </c>
      <c r="G553" s="237">
        <v>45147</v>
      </c>
      <c r="H553" s="234">
        <f>SUMIF(VA!B:B,A553,VA!I:I)</f>
        <v>359.46</v>
      </c>
      <c r="I553" s="33">
        <f>SUMIF(VR!B:B,A553,VR!I:I)</f>
        <v>657.5</v>
      </c>
      <c r="J553" s="4">
        <f t="shared" si="8"/>
        <v>1016.96</v>
      </c>
      <c r="K553" s="195">
        <f>SUMIF(FALTAS!A:A,A553,FALTAS!D:D)</f>
        <v>0</v>
      </c>
    </row>
    <row r="554" spans="1:11" x14ac:dyDescent="0.2">
      <c r="A554" s="235">
        <v>113228</v>
      </c>
      <c r="B554" s="236" t="s">
        <v>661</v>
      </c>
      <c r="C554" s="236" t="s">
        <v>1589</v>
      </c>
      <c r="D554" s="236" t="s">
        <v>22</v>
      </c>
      <c r="E554" s="237">
        <v>43617</v>
      </c>
      <c r="F554" s="236" t="s">
        <v>1234</v>
      </c>
      <c r="G554" s="237">
        <v>44744</v>
      </c>
      <c r="H554" s="234">
        <f>SUMIF(VA!B:B,A554,VA!I:I)</f>
        <v>359.46</v>
      </c>
      <c r="I554" s="33">
        <f>SUMIF(VR!B:B,A554,VR!I:I)</f>
        <v>657.5</v>
      </c>
      <c r="J554" s="4">
        <f t="shared" si="8"/>
        <v>1016.96</v>
      </c>
      <c r="K554" s="195">
        <f>SUMIF(FALTAS!A:A,A554,FALTAS!D:D)</f>
        <v>0</v>
      </c>
    </row>
    <row r="555" spans="1:11" x14ac:dyDescent="0.2">
      <c r="A555" s="235">
        <v>113233</v>
      </c>
      <c r="B555" s="236" t="s">
        <v>663</v>
      </c>
      <c r="C555" s="236" t="s">
        <v>0</v>
      </c>
      <c r="D555" s="236" t="s">
        <v>5</v>
      </c>
      <c r="E555" s="237">
        <v>43617</v>
      </c>
      <c r="F555" s="236" t="s">
        <v>1234</v>
      </c>
      <c r="G555" s="237">
        <v>44867</v>
      </c>
      <c r="H555" s="234">
        <f>SUMIF(VA!B:B,A555,VA!I:I)</f>
        <v>359.46</v>
      </c>
      <c r="I555" s="33">
        <f>SUMIF(VR!B:B,A555,VR!I:I)</f>
        <v>657.5</v>
      </c>
      <c r="J555" s="4">
        <f t="shared" si="8"/>
        <v>1016.96</v>
      </c>
      <c r="K555" s="195">
        <f>SUMIF(FALTAS!A:A,A555,FALTAS!D:D)</f>
        <v>0</v>
      </c>
    </row>
    <row r="556" spans="1:11" x14ac:dyDescent="0.2">
      <c r="A556" s="235">
        <v>113246</v>
      </c>
      <c r="B556" s="236" t="s">
        <v>668</v>
      </c>
      <c r="C556" s="236" t="s">
        <v>1589</v>
      </c>
      <c r="D556" s="236" t="s">
        <v>15</v>
      </c>
      <c r="E556" s="237">
        <v>43617</v>
      </c>
      <c r="F556" s="236" t="s">
        <v>1234</v>
      </c>
      <c r="G556" s="237">
        <v>44867</v>
      </c>
      <c r="H556" s="234">
        <f>SUMIF(VA!B:B,A556,VA!I:I)</f>
        <v>359.46</v>
      </c>
      <c r="I556" s="33">
        <f>SUMIF(VR!B:B,A556,VR!I:I)</f>
        <v>657.5</v>
      </c>
      <c r="J556" s="4">
        <f t="shared" si="8"/>
        <v>1016.96</v>
      </c>
      <c r="K556" s="195">
        <f>SUMIF(FALTAS!A:A,A556,FALTAS!D:D)</f>
        <v>0</v>
      </c>
    </row>
    <row r="557" spans="1:11" x14ac:dyDescent="0.2">
      <c r="A557" s="235">
        <v>113249</v>
      </c>
      <c r="B557" s="236" t="s">
        <v>669</v>
      </c>
      <c r="C557" s="236" t="s">
        <v>19</v>
      </c>
      <c r="D557" s="236" t="s">
        <v>2</v>
      </c>
      <c r="E557" s="237">
        <v>43617</v>
      </c>
      <c r="F557" s="236" t="s">
        <v>1234</v>
      </c>
      <c r="G557" s="237">
        <v>44960</v>
      </c>
      <c r="H557" s="234">
        <f>SUMIF(VA!B:B,A557,VA!I:I)</f>
        <v>359.46</v>
      </c>
      <c r="I557" s="33">
        <f>SUMIF(VR!B:B,A557,VR!I:I)</f>
        <v>657.5</v>
      </c>
      <c r="J557" s="4">
        <f t="shared" si="8"/>
        <v>1016.96</v>
      </c>
      <c r="K557" s="195">
        <f>SUMIF(FALTAS!A:A,A557,FALTAS!D:D)</f>
        <v>0</v>
      </c>
    </row>
    <row r="558" spans="1:11" x14ac:dyDescent="0.2">
      <c r="A558" s="235">
        <v>118057</v>
      </c>
      <c r="B558" s="236" t="s">
        <v>1406</v>
      </c>
      <c r="C558" s="236" t="s">
        <v>0</v>
      </c>
      <c r="D558" s="236" t="s">
        <v>5</v>
      </c>
      <c r="E558" s="237">
        <v>44567</v>
      </c>
      <c r="F558" s="236" t="s">
        <v>1234</v>
      </c>
      <c r="G558" s="237">
        <v>44567</v>
      </c>
      <c r="H558" s="234">
        <f>SUMIF(VA!B:B,A558,VA!I:I)</f>
        <v>347.47</v>
      </c>
      <c r="I558" s="33">
        <f>SUMIF(VR!B:B,A558,VR!I:I)</f>
        <v>631.20000000000005</v>
      </c>
      <c r="J558" s="4">
        <f t="shared" si="8"/>
        <v>978.67000000000007</v>
      </c>
      <c r="K558" s="195">
        <f>SUMIF(FALTAS!A:A,A558,FALTAS!D:D)</f>
        <v>1</v>
      </c>
    </row>
    <row r="559" spans="1:11" x14ac:dyDescent="0.2">
      <c r="A559" s="235">
        <v>113260</v>
      </c>
      <c r="B559" s="236" t="s">
        <v>675</v>
      </c>
      <c r="C559" s="236" t="s">
        <v>19</v>
      </c>
      <c r="D559" s="236" t="s">
        <v>5</v>
      </c>
      <c r="E559" s="237">
        <v>43617</v>
      </c>
      <c r="F559" s="236" t="s">
        <v>1234</v>
      </c>
      <c r="G559" s="237">
        <v>44930</v>
      </c>
      <c r="H559" s="234">
        <f>SUMIF(VA!B:B,A559,VA!I:I)</f>
        <v>359.46</v>
      </c>
      <c r="I559" s="33">
        <f>SUMIF(VR!B:B,A559,VR!I:I)</f>
        <v>657.5</v>
      </c>
      <c r="J559" s="4">
        <f t="shared" si="8"/>
        <v>1016.96</v>
      </c>
      <c r="K559" s="195">
        <f>SUMIF(FALTAS!A:A,A559,FALTAS!D:D)</f>
        <v>0</v>
      </c>
    </row>
    <row r="560" spans="1:11" x14ac:dyDescent="0.2">
      <c r="A560" s="235">
        <v>113264</v>
      </c>
      <c r="B560" s="236" t="s">
        <v>678</v>
      </c>
      <c r="C560" s="236" t="s">
        <v>19</v>
      </c>
      <c r="D560" s="236" t="s">
        <v>2</v>
      </c>
      <c r="E560" s="237">
        <v>43617</v>
      </c>
      <c r="F560" s="236" t="s">
        <v>1234</v>
      </c>
      <c r="G560" s="237">
        <v>44898</v>
      </c>
      <c r="H560" s="234">
        <f>SUMIF(VA!B:B,A560,VA!I:I)</f>
        <v>359.46</v>
      </c>
      <c r="I560" s="33">
        <f>SUMIF(VR!B:B,A560,VR!I:I)</f>
        <v>657.5</v>
      </c>
      <c r="J560" s="4">
        <f t="shared" si="8"/>
        <v>1016.96</v>
      </c>
      <c r="K560" s="195">
        <f>SUMIF(FALTAS!A:A,A560,FALTAS!D:D)</f>
        <v>0</v>
      </c>
    </row>
    <row r="561" spans="1:11" x14ac:dyDescent="0.2">
      <c r="A561" s="235">
        <v>113268</v>
      </c>
      <c r="B561" s="236" t="s">
        <v>679</v>
      </c>
      <c r="C561" s="236" t="s">
        <v>8</v>
      </c>
      <c r="D561" s="236" t="s">
        <v>5</v>
      </c>
      <c r="E561" s="237">
        <v>43617</v>
      </c>
      <c r="F561" s="236" t="s">
        <v>1234</v>
      </c>
      <c r="G561" s="237">
        <v>45056</v>
      </c>
      <c r="H561" s="234">
        <f>SUMIF(VA!B:B,A561,VA!I:I)</f>
        <v>359.46</v>
      </c>
      <c r="I561" s="33">
        <f>SUMIF(VR!B:B,A561,VR!I:I)</f>
        <v>657.5</v>
      </c>
      <c r="J561" s="4">
        <f t="shared" si="8"/>
        <v>1016.96</v>
      </c>
      <c r="K561" s="195">
        <f>SUMIF(FALTAS!A:A,A561,FALTAS!D:D)</f>
        <v>0</v>
      </c>
    </row>
    <row r="562" spans="1:11" x14ac:dyDescent="0.2">
      <c r="A562" s="235">
        <v>113272</v>
      </c>
      <c r="B562" s="236" t="s">
        <v>681</v>
      </c>
      <c r="C562" s="236" t="s">
        <v>0</v>
      </c>
      <c r="D562" s="236" t="s">
        <v>2</v>
      </c>
      <c r="E562" s="237">
        <v>43617</v>
      </c>
      <c r="F562" s="236" t="s">
        <v>1234</v>
      </c>
      <c r="G562" s="237">
        <v>44898</v>
      </c>
      <c r="H562" s="234">
        <f>SUMIF(VA!B:B,A562,VA!I:I)</f>
        <v>359.46</v>
      </c>
      <c r="I562" s="33">
        <f>SUMIF(VR!B:B,A562,VR!I:I)</f>
        <v>657.5</v>
      </c>
      <c r="J562" s="4">
        <f t="shared" si="8"/>
        <v>1016.96</v>
      </c>
      <c r="K562" s="195">
        <f>SUMIF(FALTAS!A:A,A562,FALTAS!D:D)</f>
        <v>0</v>
      </c>
    </row>
    <row r="563" spans="1:11" x14ac:dyDescent="0.2">
      <c r="A563" s="235">
        <v>113274</v>
      </c>
      <c r="B563" s="236" t="s">
        <v>683</v>
      </c>
      <c r="C563" s="236" t="s">
        <v>8</v>
      </c>
      <c r="D563" s="236" t="s">
        <v>2</v>
      </c>
      <c r="E563" s="237">
        <v>43617</v>
      </c>
      <c r="F563" s="236" t="s">
        <v>1234</v>
      </c>
      <c r="G563" s="237">
        <v>44993</v>
      </c>
      <c r="H563" s="234">
        <f>SUMIF(VA!B:B,A563,VA!I:I)</f>
        <v>359.46</v>
      </c>
      <c r="I563" s="33">
        <f>SUMIF(VR!B:B,A563,VR!I:I)</f>
        <v>657.5</v>
      </c>
      <c r="J563" s="4">
        <f t="shared" si="8"/>
        <v>1016.96</v>
      </c>
      <c r="K563" s="195">
        <f>SUMIF(FALTAS!A:A,A563,FALTAS!D:D)</f>
        <v>0</v>
      </c>
    </row>
    <row r="564" spans="1:11" x14ac:dyDescent="0.2">
      <c r="A564" s="235">
        <v>113278</v>
      </c>
      <c r="B564" s="236" t="s">
        <v>685</v>
      </c>
      <c r="C564" s="236" t="s">
        <v>10</v>
      </c>
      <c r="D564" s="236" t="s">
        <v>5</v>
      </c>
      <c r="E564" s="237">
        <v>43617</v>
      </c>
      <c r="F564" s="236" t="s">
        <v>1234</v>
      </c>
      <c r="G564" s="237">
        <v>45000</v>
      </c>
      <c r="H564" s="234">
        <f>SUMIF(VA!B:B,A564,VA!I:I)</f>
        <v>359.46</v>
      </c>
      <c r="I564" s="33">
        <f>SUMIF(VR!B:B,A564,VR!I:I)</f>
        <v>657.5</v>
      </c>
      <c r="J564" s="4">
        <f t="shared" si="8"/>
        <v>1016.96</v>
      </c>
      <c r="K564" s="195">
        <f>SUMIF(FALTAS!A:A,A564,FALTAS!D:D)</f>
        <v>0</v>
      </c>
    </row>
    <row r="565" spans="1:11" x14ac:dyDescent="0.2">
      <c r="A565" s="235">
        <v>113280</v>
      </c>
      <c r="B565" s="236" t="s">
        <v>687</v>
      </c>
      <c r="C565" s="236" t="s">
        <v>19</v>
      </c>
      <c r="D565" s="236" t="s">
        <v>5</v>
      </c>
      <c r="E565" s="237">
        <v>43617</v>
      </c>
      <c r="F565" s="236" t="s">
        <v>1234</v>
      </c>
      <c r="G565" s="237">
        <v>44930</v>
      </c>
      <c r="H565" s="234">
        <f>SUMIF(VA!B:B,A565,VA!I:I)</f>
        <v>359.46</v>
      </c>
      <c r="I565" s="33">
        <f>SUMIF(VR!B:B,A565,VR!I:I)</f>
        <v>657.5</v>
      </c>
      <c r="J565" s="4">
        <f t="shared" si="8"/>
        <v>1016.96</v>
      </c>
      <c r="K565" s="195">
        <f>SUMIF(FALTAS!A:A,A565,FALTAS!D:D)</f>
        <v>0</v>
      </c>
    </row>
    <row r="566" spans="1:11" x14ac:dyDescent="0.2">
      <c r="A566" s="235">
        <v>113287</v>
      </c>
      <c r="B566" s="236" t="s">
        <v>690</v>
      </c>
      <c r="C566" s="236" t="s">
        <v>8</v>
      </c>
      <c r="D566" s="236" t="s">
        <v>2</v>
      </c>
      <c r="E566" s="237">
        <v>43617</v>
      </c>
      <c r="F566" s="236" t="s">
        <v>1234</v>
      </c>
      <c r="G566" s="237">
        <v>44867</v>
      </c>
      <c r="H566" s="234">
        <f>SUMIF(VA!B:B,A566,VA!I:I)</f>
        <v>359.46</v>
      </c>
      <c r="I566" s="33">
        <f>SUMIF(VR!B:B,A566,VR!I:I)</f>
        <v>657.5</v>
      </c>
      <c r="J566" s="4">
        <f t="shared" si="8"/>
        <v>1016.96</v>
      </c>
      <c r="K566" s="195">
        <f>SUMIF(FALTAS!A:A,A566,FALTAS!D:D)</f>
        <v>0</v>
      </c>
    </row>
    <row r="567" spans="1:11" x14ac:dyDescent="0.2">
      <c r="A567" s="235">
        <v>122570</v>
      </c>
      <c r="B567" s="236" t="s">
        <v>1699</v>
      </c>
      <c r="C567" s="236" t="s">
        <v>1589</v>
      </c>
      <c r="D567" s="236" t="s">
        <v>15</v>
      </c>
      <c r="E567" s="237">
        <v>45131</v>
      </c>
      <c r="F567" s="236" t="s">
        <v>1234</v>
      </c>
      <c r="G567" s="237">
        <v>45131</v>
      </c>
      <c r="H567" s="234">
        <f>SUMIF(VA!B:B,A567,VA!I:I)</f>
        <v>359.46</v>
      </c>
      <c r="I567" s="33">
        <f>SUMIF(VR!B:B,A567,VR!I:I)</f>
        <v>657.5</v>
      </c>
      <c r="J567" s="4">
        <f t="shared" si="8"/>
        <v>1016.96</v>
      </c>
      <c r="K567" s="195">
        <f>SUMIF(FALTAS!A:A,A567,FALTAS!D:D)</f>
        <v>0</v>
      </c>
    </row>
    <row r="568" spans="1:11" x14ac:dyDescent="0.2">
      <c r="A568" s="235">
        <v>113289</v>
      </c>
      <c r="B568" s="236" t="s">
        <v>692</v>
      </c>
      <c r="C568" s="236" t="s">
        <v>10</v>
      </c>
      <c r="D568" s="236" t="s">
        <v>2</v>
      </c>
      <c r="E568" s="237">
        <v>43617</v>
      </c>
      <c r="F568" s="236" t="s">
        <v>1234</v>
      </c>
      <c r="G568" s="237">
        <v>44930</v>
      </c>
      <c r="H568" s="234">
        <f>SUMIF(VA!B:B,A568,VA!I:I)</f>
        <v>359.46</v>
      </c>
      <c r="I568" s="33">
        <f>SUMIF(VR!B:B,A568,VR!I:I)</f>
        <v>657.5</v>
      </c>
      <c r="J568" s="4">
        <f t="shared" si="8"/>
        <v>1016.96</v>
      </c>
      <c r="K568" s="195">
        <f>SUMIF(FALTAS!A:A,A568,FALTAS!D:D)</f>
        <v>0</v>
      </c>
    </row>
    <row r="569" spans="1:11" x14ac:dyDescent="0.2">
      <c r="A569" s="235">
        <v>116389</v>
      </c>
      <c r="B569" s="236" t="s">
        <v>1217</v>
      </c>
      <c r="C569" s="236" t="s">
        <v>0</v>
      </c>
      <c r="D569" s="236" t="s">
        <v>2</v>
      </c>
      <c r="E569" s="237">
        <v>44328</v>
      </c>
      <c r="F569" s="236" t="s">
        <v>1234</v>
      </c>
      <c r="G569" s="237">
        <v>44776</v>
      </c>
      <c r="H569" s="234">
        <f>SUMIF(VA!B:B,A569,VA!I:I)</f>
        <v>359.46</v>
      </c>
      <c r="I569" s="33">
        <f>SUMIF(VR!B:B,A569,VR!I:I)</f>
        <v>657.5</v>
      </c>
      <c r="J569" s="4">
        <f t="shared" si="8"/>
        <v>1016.96</v>
      </c>
      <c r="K569" s="195">
        <f>SUMIF(FALTAS!A:A,A569,FALTAS!D:D)</f>
        <v>0</v>
      </c>
    </row>
    <row r="570" spans="1:11" x14ac:dyDescent="0.2">
      <c r="A570" s="235">
        <v>122079</v>
      </c>
      <c r="B570" s="236" t="s">
        <v>1640</v>
      </c>
      <c r="C570" s="236" t="s">
        <v>8</v>
      </c>
      <c r="D570" s="236" t="s">
        <v>5</v>
      </c>
      <c r="E570" s="237">
        <v>45061</v>
      </c>
      <c r="F570" s="236" t="s">
        <v>1234</v>
      </c>
      <c r="G570" s="237">
        <v>45061</v>
      </c>
      <c r="H570" s="234">
        <f>SUMIF(VA!B:B,A570,VA!I:I)</f>
        <v>359.46</v>
      </c>
      <c r="I570" s="33">
        <f>SUMIF(VR!B:B,A570,VR!I:I)</f>
        <v>657.5</v>
      </c>
      <c r="J570" s="4">
        <f t="shared" si="8"/>
        <v>1016.96</v>
      </c>
      <c r="K570" s="195">
        <f>SUMIF(FALTAS!A:A,A570,FALTAS!D:D)</f>
        <v>0</v>
      </c>
    </row>
    <row r="571" spans="1:11" x14ac:dyDescent="0.2">
      <c r="A571" s="235">
        <v>113298</v>
      </c>
      <c r="B571" s="236" t="s">
        <v>695</v>
      </c>
      <c r="C571" s="236" t="s">
        <v>1589</v>
      </c>
      <c r="D571" s="236" t="s">
        <v>22</v>
      </c>
      <c r="E571" s="237">
        <v>43617</v>
      </c>
      <c r="F571" s="236" t="s">
        <v>1234</v>
      </c>
      <c r="G571" s="237">
        <v>44867</v>
      </c>
      <c r="H571" s="234">
        <f>SUMIF(VA!B:B,A571,VA!I:I)</f>
        <v>359.46</v>
      </c>
      <c r="I571" s="33">
        <f>SUMIF(VR!B:B,A571,VR!I:I)</f>
        <v>657.5</v>
      </c>
      <c r="J571" s="4">
        <f t="shared" si="8"/>
        <v>1016.96</v>
      </c>
      <c r="K571" s="195">
        <f>SUMIF(FALTAS!A:A,A571,FALTAS!D:D)</f>
        <v>0</v>
      </c>
    </row>
    <row r="572" spans="1:11" x14ac:dyDescent="0.2">
      <c r="A572" s="235">
        <v>113308</v>
      </c>
      <c r="B572" s="236" t="s">
        <v>699</v>
      </c>
      <c r="C572" s="236" t="s">
        <v>1589</v>
      </c>
      <c r="D572" s="236" t="s">
        <v>700</v>
      </c>
      <c r="E572" s="237">
        <v>43617</v>
      </c>
      <c r="F572" s="236" t="s">
        <v>1234</v>
      </c>
      <c r="G572" s="237">
        <v>44960</v>
      </c>
      <c r="H572" s="234">
        <f>SUMIF(VA!B:B,A572,VA!I:I)</f>
        <v>359.46</v>
      </c>
      <c r="I572" s="33">
        <f>SUMIF(VR!B:B,A572,VR!I:I)</f>
        <v>657.5</v>
      </c>
      <c r="J572" s="4">
        <f t="shared" si="8"/>
        <v>1016.96</v>
      </c>
      <c r="K572" s="195">
        <f>SUMIF(FALTAS!A:A,A572,FALTAS!D:D)</f>
        <v>0</v>
      </c>
    </row>
    <row r="573" spans="1:11" x14ac:dyDescent="0.2">
      <c r="A573" s="235">
        <v>113317</v>
      </c>
      <c r="B573" s="236" t="s">
        <v>704</v>
      </c>
      <c r="C573" s="236" t="s">
        <v>0</v>
      </c>
      <c r="D573" s="236" t="s">
        <v>2</v>
      </c>
      <c r="E573" s="237">
        <v>43617</v>
      </c>
      <c r="F573" s="236" t="s">
        <v>1234</v>
      </c>
      <c r="G573" s="237">
        <v>44898</v>
      </c>
      <c r="H573" s="234">
        <f>SUMIF(VA!B:B,A573,VA!I:I)</f>
        <v>359.46</v>
      </c>
      <c r="I573" s="33">
        <f>SUMIF(VR!B:B,A573,VR!I:I)</f>
        <v>657.5</v>
      </c>
      <c r="J573" s="4">
        <f t="shared" si="8"/>
        <v>1016.96</v>
      </c>
      <c r="K573" s="195">
        <f>SUMIF(FALTAS!A:A,A573,FALTAS!D:D)</f>
        <v>0</v>
      </c>
    </row>
    <row r="574" spans="1:11" x14ac:dyDescent="0.2">
      <c r="A574" s="235">
        <v>113323</v>
      </c>
      <c r="B574" s="236" t="s">
        <v>707</v>
      </c>
      <c r="C574" s="236" t="s">
        <v>10</v>
      </c>
      <c r="D574" s="236" t="s">
        <v>5</v>
      </c>
      <c r="E574" s="237">
        <v>43617</v>
      </c>
      <c r="F574" s="236" t="s">
        <v>1234</v>
      </c>
      <c r="G574" s="237">
        <v>44930</v>
      </c>
      <c r="H574" s="234">
        <f>SUMIF(VA!B:B,A574,VA!I:I)</f>
        <v>359.46</v>
      </c>
      <c r="I574" s="33">
        <f>SUMIF(VR!B:B,A574,VR!I:I)</f>
        <v>657.5</v>
      </c>
      <c r="J574" s="4">
        <f t="shared" si="8"/>
        <v>1016.96</v>
      </c>
      <c r="K574" s="195">
        <f>SUMIF(FALTAS!A:A,A574,FALTAS!D:D)</f>
        <v>0</v>
      </c>
    </row>
    <row r="575" spans="1:11" x14ac:dyDescent="0.2">
      <c r="A575" s="235">
        <v>113328</v>
      </c>
      <c r="B575" s="236" t="s">
        <v>711</v>
      </c>
      <c r="C575" s="236" t="s">
        <v>8</v>
      </c>
      <c r="D575" s="236" t="s">
        <v>2</v>
      </c>
      <c r="E575" s="237">
        <v>43617</v>
      </c>
      <c r="F575" s="236" t="s">
        <v>1234</v>
      </c>
      <c r="G575" s="237">
        <v>45023</v>
      </c>
      <c r="H575" s="234">
        <f>SUMIF(VA!B:B,A575,VA!I:I)</f>
        <v>359.46</v>
      </c>
      <c r="I575" s="33">
        <f>SUMIF(VR!B:B,A575,VR!I:I)</f>
        <v>657.5</v>
      </c>
      <c r="J575" s="4">
        <f t="shared" si="8"/>
        <v>1016.96</v>
      </c>
      <c r="K575" s="195">
        <f>SUMIF(FALTAS!A:A,A575,FALTAS!D:D)</f>
        <v>0</v>
      </c>
    </row>
    <row r="576" spans="1:11" x14ac:dyDescent="0.2">
      <c r="A576" s="235">
        <v>113353</v>
      </c>
      <c r="B576" s="236" t="s">
        <v>723</v>
      </c>
      <c r="C576" s="236" t="s">
        <v>1589</v>
      </c>
      <c r="D576" s="236" t="s">
        <v>282</v>
      </c>
      <c r="E576" s="237">
        <v>43617</v>
      </c>
      <c r="F576" s="236" t="s">
        <v>1234</v>
      </c>
      <c r="G576" s="237">
        <v>44835</v>
      </c>
      <c r="H576" s="234">
        <f>SUMIF(VA!B:B,A576,VA!I:I)</f>
        <v>359.46</v>
      </c>
      <c r="I576" s="33">
        <f>SUMIF(VR!B:B,A576,VR!I:I)</f>
        <v>657.5</v>
      </c>
      <c r="J576" s="4">
        <f t="shared" si="8"/>
        <v>1016.96</v>
      </c>
      <c r="K576" s="195">
        <f>SUMIF(FALTAS!A:A,A576,FALTAS!D:D)</f>
        <v>0</v>
      </c>
    </row>
    <row r="577" spans="1:11" x14ac:dyDescent="0.2">
      <c r="A577" s="235">
        <v>117235</v>
      </c>
      <c r="B577" s="236" t="s">
        <v>1258</v>
      </c>
      <c r="C577" s="236" t="s">
        <v>0</v>
      </c>
      <c r="D577" s="236" t="s">
        <v>5</v>
      </c>
      <c r="E577" s="237">
        <v>44487</v>
      </c>
      <c r="F577" s="236" t="s">
        <v>1234</v>
      </c>
      <c r="G577" s="237">
        <v>45119</v>
      </c>
      <c r="H577" s="234">
        <f>SUMIF(VA!B:B,A577,VA!I:I)</f>
        <v>347.47</v>
      </c>
      <c r="I577" s="33">
        <f>SUMIF(VR!B:B,A577,VR!I:I)</f>
        <v>631.20000000000005</v>
      </c>
      <c r="J577" s="4">
        <f t="shared" si="8"/>
        <v>978.67000000000007</v>
      </c>
      <c r="K577" s="195">
        <f>SUMIF(FALTAS!A:A,A577,FALTAS!D:D)</f>
        <v>1</v>
      </c>
    </row>
    <row r="578" spans="1:11" s="143" customFormat="1" x14ac:dyDescent="0.2">
      <c r="A578" s="235">
        <v>113357</v>
      </c>
      <c r="B578" s="236" t="s">
        <v>726</v>
      </c>
      <c r="C578" s="236" t="s">
        <v>32</v>
      </c>
      <c r="D578" s="236" t="s">
        <v>2</v>
      </c>
      <c r="E578" s="237">
        <v>43617</v>
      </c>
      <c r="F578" s="236" t="s">
        <v>1234</v>
      </c>
      <c r="G578" s="237">
        <v>45119</v>
      </c>
      <c r="H578" s="234">
        <f>SUMIF(VA!B:B,A578,VA!I:I)</f>
        <v>359.46</v>
      </c>
      <c r="I578" s="33">
        <f>SUMIF(VR!B:B,A578,VR!I:I)</f>
        <v>657.5</v>
      </c>
      <c r="J578" s="4">
        <f t="shared" ref="J578:J641" si="9">H578+I578</f>
        <v>1016.96</v>
      </c>
      <c r="K578" s="195">
        <f>SUMIF(FALTAS!A:A,A578,FALTAS!D:D)</f>
        <v>0</v>
      </c>
    </row>
    <row r="579" spans="1:11" x14ac:dyDescent="0.2">
      <c r="A579" s="235">
        <v>113367</v>
      </c>
      <c r="B579" s="236" t="s">
        <v>734</v>
      </c>
      <c r="C579" s="236" t="s">
        <v>1589</v>
      </c>
      <c r="D579" s="236" t="s">
        <v>22</v>
      </c>
      <c r="E579" s="237">
        <v>43617</v>
      </c>
      <c r="F579" s="236" t="s">
        <v>1234</v>
      </c>
      <c r="G579" s="237">
        <v>44867</v>
      </c>
      <c r="H579" s="234">
        <f>SUMIF(VA!B:B,A579,VA!I:I)</f>
        <v>359.46</v>
      </c>
      <c r="I579" s="33">
        <f>SUMIF(VR!B:B,A579,VR!I:I)</f>
        <v>657.5</v>
      </c>
      <c r="J579" s="4">
        <f t="shared" si="9"/>
        <v>1016.96</v>
      </c>
      <c r="K579" s="195">
        <f>SUMIF(FALTAS!A:A,A579,FALTAS!D:D)</f>
        <v>0</v>
      </c>
    </row>
    <row r="580" spans="1:11" x14ac:dyDescent="0.2">
      <c r="A580" s="235">
        <v>114547</v>
      </c>
      <c r="B580" s="236" t="s">
        <v>1058</v>
      </c>
      <c r="C580" s="236" t="s">
        <v>8</v>
      </c>
      <c r="D580" s="236" t="s">
        <v>2</v>
      </c>
      <c r="E580" s="237">
        <v>43817</v>
      </c>
      <c r="F580" s="236" t="s">
        <v>1234</v>
      </c>
      <c r="G580" s="237">
        <v>45086</v>
      </c>
      <c r="H580" s="234">
        <f>SUMIF(VA!B:B,A580,VA!I:I)</f>
        <v>287.56</v>
      </c>
      <c r="I580" s="33">
        <f>SUMIF(VR!B:B,A580,VR!I:I)</f>
        <v>499.7</v>
      </c>
      <c r="J580" s="4">
        <f t="shared" si="9"/>
        <v>787.26</v>
      </c>
      <c r="K580" s="195">
        <f>SUMIF(FALTAS!A:A,A580,FALTAS!D:D)</f>
        <v>6</v>
      </c>
    </row>
    <row r="581" spans="1:11" x14ac:dyDescent="0.2">
      <c r="A581" s="235">
        <v>113376</v>
      </c>
      <c r="B581" s="236" t="s">
        <v>740</v>
      </c>
      <c r="C581" s="236" t="s">
        <v>19</v>
      </c>
      <c r="D581" s="236" t="s">
        <v>2</v>
      </c>
      <c r="E581" s="237">
        <v>43617</v>
      </c>
      <c r="F581" s="236" t="s">
        <v>1234</v>
      </c>
      <c r="G581" s="237">
        <v>44806</v>
      </c>
      <c r="H581" s="234">
        <f>SUMIF(VA!B:B,A581,VA!I:I)</f>
        <v>359.46</v>
      </c>
      <c r="I581" s="33">
        <f>SUMIF(VR!B:B,A581,VR!I:I)</f>
        <v>657.5</v>
      </c>
      <c r="J581" s="4">
        <f t="shared" si="9"/>
        <v>1016.96</v>
      </c>
      <c r="K581" s="195">
        <f>SUMIF(FALTAS!A:A,A581,FALTAS!D:D)</f>
        <v>0</v>
      </c>
    </row>
    <row r="582" spans="1:11" x14ac:dyDescent="0.2">
      <c r="A582" s="235">
        <v>114107</v>
      </c>
      <c r="B582" s="236" t="s">
        <v>1011</v>
      </c>
      <c r="C582" s="236" t="s">
        <v>19</v>
      </c>
      <c r="D582" s="236" t="s">
        <v>2</v>
      </c>
      <c r="E582" s="237">
        <v>43728</v>
      </c>
      <c r="F582" s="236" t="s">
        <v>1234</v>
      </c>
      <c r="G582" s="237">
        <v>45086</v>
      </c>
      <c r="H582" s="234">
        <f>SUMIF(VA!B:B,A582,VA!I:I)</f>
        <v>359.46</v>
      </c>
      <c r="I582" s="33">
        <f>SUMIF(VR!B:B,A582,VR!I:I)</f>
        <v>657.5</v>
      </c>
      <c r="J582" s="4">
        <f t="shared" si="9"/>
        <v>1016.96</v>
      </c>
      <c r="K582" s="195">
        <f>SUMIF(FALTAS!A:A,A582,FALTAS!D:D)</f>
        <v>0</v>
      </c>
    </row>
    <row r="583" spans="1:11" x14ac:dyDescent="0.2">
      <c r="A583" s="235">
        <v>116316</v>
      </c>
      <c r="B583" s="236" t="s">
        <v>1205</v>
      </c>
      <c r="C583" s="236" t="s">
        <v>10</v>
      </c>
      <c r="D583" s="236" t="s">
        <v>5</v>
      </c>
      <c r="E583" s="237">
        <v>44308</v>
      </c>
      <c r="F583" s="236" t="s">
        <v>1235</v>
      </c>
      <c r="G583" s="237">
        <v>45147</v>
      </c>
      <c r="H583" s="234">
        <f>SUMIF(VA!B:B,A583,VA!I:I)</f>
        <v>359.46</v>
      </c>
      <c r="I583" s="33">
        <f>SUMIF(VR!B:B,A583,VR!I:I)</f>
        <v>657.5</v>
      </c>
      <c r="J583" s="4">
        <f t="shared" si="9"/>
        <v>1016.96</v>
      </c>
      <c r="K583" s="195">
        <f>SUMIF(FALTAS!A:A,A583,FALTAS!D:D)</f>
        <v>0</v>
      </c>
    </row>
    <row r="584" spans="1:11" x14ac:dyDescent="0.2">
      <c r="A584" s="235">
        <v>120357</v>
      </c>
      <c r="B584" s="236" t="s">
        <v>1513</v>
      </c>
      <c r="C584" s="236" t="s">
        <v>10</v>
      </c>
      <c r="D584" s="236" t="s">
        <v>5</v>
      </c>
      <c r="E584" s="237">
        <v>44820</v>
      </c>
      <c r="F584" s="236" t="s">
        <v>1234</v>
      </c>
      <c r="G584" s="237">
        <v>44820</v>
      </c>
      <c r="H584" s="234">
        <f>SUMIF(VA!B:B,A584,VA!I:I)</f>
        <v>359.46</v>
      </c>
      <c r="I584" s="33">
        <f>SUMIF(VR!B:B,A584,VR!I:I)</f>
        <v>657.5</v>
      </c>
      <c r="J584" s="4">
        <f t="shared" si="9"/>
        <v>1016.96</v>
      </c>
      <c r="K584" s="195">
        <f>SUMIF(FALTAS!A:A,A584,FALTAS!D:D)</f>
        <v>0</v>
      </c>
    </row>
    <row r="585" spans="1:11" x14ac:dyDescent="0.2">
      <c r="A585" s="235">
        <v>116728</v>
      </c>
      <c r="B585" s="236" t="s">
        <v>1224</v>
      </c>
      <c r="C585" s="236" t="s">
        <v>0</v>
      </c>
      <c r="D585" s="236" t="s">
        <v>5</v>
      </c>
      <c r="E585" s="237">
        <v>44368</v>
      </c>
      <c r="F585" s="236" t="s">
        <v>1234</v>
      </c>
      <c r="G585" s="237">
        <v>45160</v>
      </c>
      <c r="H585" s="234">
        <f>SUMIF(VA!B:B,A585,VA!I:I)</f>
        <v>335.49</v>
      </c>
      <c r="I585" s="33">
        <f>SUMIF(VR!B:B,A585,VR!I:I)</f>
        <v>0</v>
      </c>
      <c r="J585" s="4">
        <f t="shared" si="9"/>
        <v>335.49</v>
      </c>
      <c r="K585" s="195">
        <f>SUMIF(FALTAS!A:A,A585,FALTAS!D:D)</f>
        <v>2</v>
      </c>
    </row>
    <row r="586" spans="1:11" x14ac:dyDescent="0.2">
      <c r="A586" s="235">
        <v>113391</v>
      </c>
      <c r="B586" s="236" t="s">
        <v>751</v>
      </c>
      <c r="C586" s="236" t="s">
        <v>19</v>
      </c>
      <c r="D586" s="236" t="s">
        <v>2</v>
      </c>
      <c r="E586" s="237">
        <v>43617</v>
      </c>
      <c r="F586" s="236" t="s">
        <v>1234</v>
      </c>
      <c r="G586" s="237">
        <v>44993</v>
      </c>
      <c r="H586" s="234">
        <f>SUMIF(VA!B:B,A586,VA!I:I)</f>
        <v>359.46</v>
      </c>
      <c r="I586" s="33">
        <f>SUMIF(VR!B:B,A586,VR!I:I)</f>
        <v>657.5</v>
      </c>
      <c r="J586" s="4">
        <f t="shared" si="9"/>
        <v>1016.96</v>
      </c>
      <c r="K586" s="195">
        <f>SUMIF(FALTAS!A:A,A586,FALTAS!D:D)</f>
        <v>0</v>
      </c>
    </row>
    <row r="587" spans="1:11" x14ac:dyDescent="0.2">
      <c r="A587" s="235">
        <v>117245</v>
      </c>
      <c r="B587" s="236" t="s">
        <v>1080</v>
      </c>
      <c r="C587" s="236" t="s">
        <v>1589</v>
      </c>
      <c r="D587" s="236" t="s">
        <v>5</v>
      </c>
      <c r="E587" s="237">
        <v>44487</v>
      </c>
      <c r="F587" s="236" t="s">
        <v>1234</v>
      </c>
      <c r="G587" s="237">
        <v>44930</v>
      </c>
      <c r="H587" s="234">
        <f>SUMIF(VA!B:B,A587,VA!I:I)</f>
        <v>359.46</v>
      </c>
      <c r="I587" s="33">
        <f>SUMIF(VR!B:B,A587,VR!I:I)</f>
        <v>657.5</v>
      </c>
      <c r="J587" s="4">
        <f t="shared" si="9"/>
        <v>1016.96</v>
      </c>
      <c r="K587" s="195">
        <f>SUMIF(FALTAS!A:A,A587,FALTAS!D:D)</f>
        <v>0</v>
      </c>
    </row>
    <row r="588" spans="1:11" x14ac:dyDescent="0.2">
      <c r="A588" s="235">
        <v>113394</v>
      </c>
      <c r="B588" s="236" t="s">
        <v>753</v>
      </c>
      <c r="C588" s="236" t="s">
        <v>8</v>
      </c>
      <c r="D588" s="236" t="s">
        <v>39</v>
      </c>
      <c r="E588" s="237">
        <v>43617</v>
      </c>
      <c r="F588" s="236" t="s">
        <v>1234</v>
      </c>
      <c r="G588" s="237">
        <v>45056</v>
      </c>
      <c r="H588" s="234">
        <f>SUMIF(VA!B:B,A588,VA!I:I)</f>
        <v>359.46</v>
      </c>
      <c r="I588" s="33">
        <f>SUMIF(VR!B:B,A588,VR!I:I)</f>
        <v>657.5</v>
      </c>
      <c r="J588" s="4">
        <f t="shared" si="9"/>
        <v>1016.96</v>
      </c>
      <c r="K588" s="195">
        <f>SUMIF(FALTAS!A:A,A588,FALTAS!D:D)</f>
        <v>0</v>
      </c>
    </row>
    <row r="589" spans="1:11" x14ac:dyDescent="0.2">
      <c r="A589" s="235">
        <v>121024</v>
      </c>
      <c r="B589" s="236" t="s">
        <v>1523</v>
      </c>
      <c r="C589" s="236" t="s">
        <v>19</v>
      </c>
      <c r="D589" s="236" t="s">
        <v>2</v>
      </c>
      <c r="E589" s="237">
        <v>44900</v>
      </c>
      <c r="F589" s="236" t="s">
        <v>1234</v>
      </c>
      <c r="G589" s="237">
        <v>44900</v>
      </c>
      <c r="H589" s="234">
        <f>SUMIF(VA!B:B,A589,VA!I:I)</f>
        <v>359.46</v>
      </c>
      <c r="I589" s="33">
        <f>SUMIF(VR!B:B,A589,VR!I:I)</f>
        <v>657.5</v>
      </c>
      <c r="J589" s="4">
        <f t="shared" si="9"/>
        <v>1016.96</v>
      </c>
      <c r="K589" s="195">
        <f>SUMIF(FALTAS!A:A,A589,FALTAS!D:D)</f>
        <v>0</v>
      </c>
    </row>
    <row r="590" spans="1:11" x14ac:dyDescent="0.2">
      <c r="A590" s="235">
        <v>116652</v>
      </c>
      <c r="B590" s="236" t="s">
        <v>955</v>
      </c>
      <c r="C590" s="236" t="s">
        <v>1252</v>
      </c>
      <c r="D590" s="236" t="s">
        <v>956</v>
      </c>
      <c r="E590" s="237">
        <v>44370</v>
      </c>
      <c r="F590" s="236" t="s">
        <v>1234</v>
      </c>
      <c r="G590" s="237">
        <v>44370</v>
      </c>
      <c r="H590" s="234">
        <f>SUMIF(VA!B:B,A590,VA!I:I)</f>
        <v>359.46</v>
      </c>
      <c r="I590" s="33">
        <f>SUMIF(VR!B:B,A590,VR!I:I)</f>
        <v>657.5</v>
      </c>
      <c r="J590" s="4">
        <f t="shared" si="9"/>
        <v>1016.96</v>
      </c>
      <c r="K590" s="195">
        <f>SUMIF(FALTAS!A:A,A590,FALTAS!D:D)</f>
        <v>0</v>
      </c>
    </row>
    <row r="591" spans="1:11" x14ac:dyDescent="0.2">
      <c r="A591" s="235">
        <v>113405</v>
      </c>
      <c r="B591" s="236" t="s">
        <v>759</v>
      </c>
      <c r="C591" s="236" t="s">
        <v>8</v>
      </c>
      <c r="D591" s="236" t="s">
        <v>2</v>
      </c>
      <c r="E591" s="237">
        <v>43617</v>
      </c>
      <c r="F591" s="236" t="s">
        <v>1234</v>
      </c>
      <c r="G591" s="237">
        <v>44930</v>
      </c>
      <c r="H591" s="234">
        <f>SUMIF(VA!B:B,A591,VA!I:I)</f>
        <v>359.46</v>
      </c>
      <c r="I591" s="33">
        <f>SUMIF(VR!B:B,A591,VR!I:I)</f>
        <v>657.5</v>
      </c>
      <c r="J591" s="4">
        <f t="shared" si="9"/>
        <v>1016.96</v>
      </c>
      <c r="K591" s="195">
        <f>SUMIF(FALTAS!A:A,A591,FALTAS!D:D)</f>
        <v>0</v>
      </c>
    </row>
    <row r="592" spans="1:11" x14ac:dyDescent="0.2">
      <c r="A592" s="235">
        <v>113413</v>
      </c>
      <c r="B592" s="236" t="s">
        <v>764</v>
      </c>
      <c r="C592" s="236" t="s">
        <v>0</v>
      </c>
      <c r="D592" s="236" t="s">
        <v>2</v>
      </c>
      <c r="E592" s="237">
        <v>43617</v>
      </c>
      <c r="F592" s="236" t="s">
        <v>1234</v>
      </c>
      <c r="G592" s="237">
        <v>44930</v>
      </c>
      <c r="H592" s="234">
        <f>SUMIF(VA!B:B,A592,VA!I:I)</f>
        <v>359.46</v>
      </c>
      <c r="I592" s="33">
        <f>SUMIF(VR!B:B,A592,VR!I:I)</f>
        <v>657.5</v>
      </c>
      <c r="J592" s="4">
        <f t="shared" si="9"/>
        <v>1016.96</v>
      </c>
      <c r="K592" s="195">
        <f>SUMIF(FALTAS!A:A,A592,FALTAS!D:D)</f>
        <v>0</v>
      </c>
    </row>
    <row r="593" spans="1:11" x14ac:dyDescent="0.2">
      <c r="A593" s="235">
        <v>114948</v>
      </c>
      <c r="B593" s="236" t="s">
        <v>1102</v>
      </c>
      <c r="C593" s="236" t="s">
        <v>1589</v>
      </c>
      <c r="D593" s="236" t="s">
        <v>15</v>
      </c>
      <c r="E593" s="237">
        <v>43916</v>
      </c>
      <c r="F593" s="236" t="s">
        <v>1234</v>
      </c>
      <c r="G593" s="237">
        <v>45086</v>
      </c>
      <c r="H593" s="234">
        <f>SUMIF(VA!B:B,A593,VA!I:I)</f>
        <v>359.46</v>
      </c>
      <c r="I593" s="33">
        <f>SUMIF(VR!B:B,A593,VR!I:I)</f>
        <v>657.5</v>
      </c>
      <c r="J593" s="4">
        <f t="shared" si="9"/>
        <v>1016.96</v>
      </c>
      <c r="K593" s="195">
        <f>SUMIF(FALTAS!A:A,A593,FALTAS!D:D)</f>
        <v>0</v>
      </c>
    </row>
    <row r="594" spans="1:11" x14ac:dyDescent="0.2">
      <c r="A594" s="235">
        <v>113418</v>
      </c>
      <c r="B594" s="236" t="s">
        <v>769</v>
      </c>
      <c r="C594" s="236" t="s">
        <v>8</v>
      </c>
      <c r="D594" s="236" t="s">
        <v>2</v>
      </c>
      <c r="E594" s="237">
        <v>43617</v>
      </c>
      <c r="F594" s="236" t="s">
        <v>1234</v>
      </c>
      <c r="G594" s="237">
        <v>45023</v>
      </c>
      <c r="H594" s="234">
        <f>SUMIF(VA!B:B,A594,VA!I:I)</f>
        <v>359.46</v>
      </c>
      <c r="I594" s="33">
        <f>SUMIF(VR!B:B,A594,VR!I:I)</f>
        <v>657.5</v>
      </c>
      <c r="J594" s="4">
        <f t="shared" si="9"/>
        <v>1016.96</v>
      </c>
      <c r="K594" s="195">
        <f>SUMIF(FALTAS!A:A,A594,FALTAS!D:D)</f>
        <v>0</v>
      </c>
    </row>
    <row r="595" spans="1:11" x14ac:dyDescent="0.2">
      <c r="A595" s="235">
        <v>113421</v>
      </c>
      <c r="B595" s="236" t="s">
        <v>772</v>
      </c>
      <c r="C595" s="236" t="s">
        <v>1589</v>
      </c>
      <c r="D595" s="236" t="s">
        <v>15</v>
      </c>
      <c r="E595" s="237">
        <v>43617</v>
      </c>
      <c r="F595" s="236" t="s">
        <v>1234</v>
      </c>
      <c r="G595" s="237">
        <v>44867</v>
      </c>
      <c r="H595" s="234">
        <f>SUMIF(VA!B:B,A595,VA!I:I)</f>
        <v>359.46</v>
      </c>
      <c r="I595" s="33">
        <f>SUMIF(VR!B:B,A595,VR!I:I)</f>
        <v>657.5</v>
      </c>
      <c r="J595" s="4">
        <f t="shared" si="9"/>
        <v>1016.96</v>
      </c>
      <c r="K595" s="195">
        <f>SUMIF(FALTAS!A:A,A595,FALTAS!D:D)</f>
        <v>0</v>
      </c>
    </row>
    <row r="596" spans="1:11" x14ac:dyDescent="0.2">
      <c r="A596" s="235">
        <v>113433</v>
      </c>
      <c r="B596" s="236" t="s">
        <v>778</v>
      </c>
      <c r="C596" s="236" t="s">
        <v>1589</v>
      </c>
      <c r="D596" s="236" t="s">
        <v>7</v>
      </c>
      <c r="E596" s="237">
        <v>43617</v>
      </c>
      <c r="F596" s="236" t="s">
        <v>1234</v>
      </c>
      <c r="G596" s="237">
        <v>44776</v>
      </c>
      <c r="H596" s="234">
        <f>SUMIF(VA!B:B,A596,VA!I:I)</f>
        <v>359.46</v>
      </c>
      <c r="I596" s="33">
        <f>SUMIF(VR!B:B,A596,VR!I:I)</f>
        <v>657.5</v>
      </c>
      <c r="J596" s="4">
        <f t="shared" si="9"/>
        <v>1016.96</v>
      </c>
      <c r="K596" s="195">
        <f>SUMIF(FALTAS!A:A,A596,FALTAS!D:D)</f>
        <v>0</v>
      </c>
    </row>
    <row r="597" spans="1:11" x14ac:dyDescent="0.2">
      <c r="A597" s="235">
        <v>113441</v>
      </c>
      <c r="B597" s="236" t="s">
        <v>783</v>
      </c>
      <c r="C597" s="236" t="s">
        <v>1589</v>
      </c>
      <c r="D597" s="236" t="s">
        <v>15</v>
      </c>
      <c r="E597" s="237">
        <v>43617</v>
      </c>
      <c r="F597" s="236" t="s">
        <v>1234</v>
      </c>
      <c r="G597" s="237">
        <v>44898</v>
      </c>
      <c r="H597" s="234">
        <f>SUMIF(VA!B:B,A597,VA!I:I)</f>
        <v>359.46</v>
      </c>
      <c r="I597" s="33">
        <f>SUMIF(VR!B:B,A597,VR!I:I)</f>
        <v>657.5</v>
      </c>
      <c r="J597" s="4">
        <f t="shared" si="9"/>
        <v>1016.96</v>
      </c>
      <c r="K597" s="195">
        <f>SUMIF(FALTAS!A:A,A597,FALTAS!D:D)</f>
        <v>0</v>
      </c>
    </row>
    <row r="598" spans="1:11" x14ac:dyDescent="0.2">
      <c r="A598" s="235">
        <v>116238</v>
      </c>
      <c r="B598" s="236" t="s">
        <v>1203</v>
      </c>
      <c r="C598" s="236" t="s">
        <v>8</v>
      </c>
      <c r="D598" s="236" t="s">
        <v>2</v>
      </c>
      <c r="E598" s="237">
        <v>44273</v>
      </c>
      <c r="F598" s="236" t="s">
        <v>1234</v>
      </c>
      <c r="G598" s="237">
        <v>45086</v>
      </c>
      <c r="H598" s="234">
        <f>SUMIF(VA!B:B,A598,VA!I:I)</f>
        <v>359.46</v>
      </c>
      <c r="I598" s="33">
        <f>SUMIF(VR!B:B,A598,VR!I:I)</f>
        <v>657.5</v>
      </c>
      <c r="J598" s="4">
        <f t="shared" si="9"/>
        <v>1016.96</v>
      </c>
      <c r="K598" s="195">
        <f>SUMIF(FALTAS!A:A,A598,FALTAS!D:D)</f>
        <v>0</v>
      </c>
    </row>
    <row r="599" spans="1:11" x14ac:dyDescent="0.2">
      <c r="A599" s="235">
        <v>113455</v>
      </c>
      <c r="B599" s="236" t="s">
        <v>789</v>
      </c>
      <c r="C599" s="236" t="s">
        <v>8</v>
      </c>
      <c r="D599" s="236" t="s">
        <v>5</v>
      </c>
      <c r="E599" s="237">
        <v>43617</v>
      </c>
      <c r="F599" s="236" t="s">
        <v>1234</v>
      </c>
      <c r="G599" s="237">
        <v>44960</v>
      </c>
      <c r="H599" s="234">
        <f>SUMIF(VA!B:B,A599,VA!I:I)</f>
        <v>359.46</v>
      </c>
      <c r="I599" s="33">
        <f>SUMIF(VR!B:B,A599,VR!I:I)</f>
        <v>657.5</v>
      </c>
      <c r="J599" s="4">
        <f t="shared" si="9"/>
        <v>1016.96</v>
      </c>
      <c r="K599" s="195">
        <f>SUMIF(FALTAS!A:A,A599,FALTAS!D:D)</f>
        <v>0</v>
      </c>
    </row>
    <row r="600" spans="1:11" x14ac:dyDescent="0.2">
      <c r="A600" s="235">
        <v>113459</v>
      </c>
      <c r="B600" s="236" t="s">
        <v>792</v>
      </c>
      <c r="C600" s="236" t="s">
        <v>32</v>
      </c>
      <c r="D600" s="236" t="s">
        <v>5</v>
      </c>
      <c r="E600" s="237">
        <v>43617</v>
      </c>
      <c r="F600" s="236" t="s">
        <v>1234</v>
      </c>
      <c r="G600" s="237">
        <v>45023</v>
      </c>
      <c r="H600" s="234">
        <f>SUMIF(VA!B:B,A600,VA!I:I)</f>
        <v>359.46</v>
      </c>
      <c r="I600" s="33">
        <f>SUMIF(VR!B:B,A600,VR!I:I)</f>
        <v>657.5</v>
      </c>
      <c r="J600" s="4">
        <f t="shared" si="9"/>
        <v>1016.96</v>
      </c>
      <c r="K600" s="195">
        <f>SUMIF(FALTAS!A:A,A600,FALTAS!D:D)</f>
        <v>0</v>
      </c>
    </row>
    <row r="601" spans="1:11" x14ac:dyDescent="0.2">
      <c r="A601" s="235">
        <v>113464</v>
      </c>
      <c r="B601" s="236" t="s">
        <v>796</v>
      </c>
      <c r="C601" s="236" t="s">
        <v>10</v>
      </c>
      <c r="D601" s="236" t="s">
        <v>39</v>
      </c>
      <c r="E601" s="237">
        <v>43617</v>
      </c>
      <c r="F601" s="236" t="s">
        <v>1234</v>
      </c>
      <c r="G601" s="237">
        <v>44835</v>
      </c>
      <c r="H601" s="234">
        <f>SUMIF(VA!B:B,A601,VA!I:I)</f>
        <v>359.46</v>
      </c>
      <c r="I601" s="33">
        <f>SUMIF(VR!B:B,A601,VR!I:I)</f>
        <v>657.5</v>
      </c>
      <c r="J601" s="4">
        <f t="shared" si="9"/>
        <v>1016.96</v>
      </c>
      <c r="K601" s="195">
        <f>SUMIF(FALTAS!A:A,A601,FALTAS!D:D)</f>
        <v>0</v>
      </c>
    </row>
    <row r="602" spans="1:11" x14ac:dyDescent="0.2">
      <c r="A602" s="235">
        <v>122425</v>
      </c>
      <c r="B602" s="236" t="s">
        <v>1700</v>
      </c>
      <c r="C602" s="236" t="s">
        <v>1589</v>
      </c>
      <c r="D602" s="236" t="s">
        <v>5</v>
      </c>
      <c r="E602" s="237">
        <v>45117</v>
      </c>
      <c r="F602" s="236" t="s">
        <v>1234</v>
      </c>
      <c r="G602" s="237">
        <v>45117</v>
      </c>
      <c r="H602" s="234">
        <f>SUMIF(VA!B:B,A602,VA!I:I)</f>
        <v>359.46</v>
      </c>
      <c r="I602" s="33">
        <f>SUMIF(VR!B:B,A602,VR!I:I)</f>
        <v>657.5</v>
      </c>
      <c r="J602" s="4">
        <f t="shared" si="9"/>
        <v>1016.96</v>
      </c>
      <c r="K602" s="195">
        <f>SUMIF(FALTAS!A:A,A602,FALTAS!D:D)</f>
        <v>0</v>
      </c>
    </row>
    <row r="603" spans="1:11" x14ac:dyDescent="0.2">
      <c r="A603" s="235">
        <v>114990</v>
      </c>
      <c r="B603" s="236" t="s">
        <v>1569</v>
      </c>
      <c r="C603" s="236" t="s">
        <v>1589</v>
      </c>
      <c r="D603" s="236" t="s">
        <v>282</v>
      </c>
      <c r="E603" s="237">
        <v>43918</v>
      </c>
      <c r="F603" s="236" t="s">
        <v>1234</v>
      </c>
      <c r="G603" s="237">
        <v>45157</v>
      </c>
      <c r="H603" s="234">
        <f>SUMIF(VA!B:B,A603,VA!I:I)</f>
        <v>359.46</v>
      </c>
      <c r="I603" s="33">
        <f>SUMIF(VR!B:B,A603,VR!I:I)</f>
        <v>657.5</v>
      </c>
      <c r="J603" s="4">
        <f t="shared" si="9"/>
        <v>1016.96</v>
      </c>
      <c r="K603" s="195">
        <f>SUMIF(FALTAS!A:A,A603,FALTAS!D:D)</f>
        <v>0</v>
      </c>
    </row>
    <row r="604" spans="1:11" x14ac:dyDescent="0.2">
      <c r="A604" s="235">
        <v>113471</v>
      </c>
      <c r="B604" s="236" t="s">
        <v>800</v>
      </c>
      <c r="C604" s="236" t="s">
        <v>10</v>
      </c>
      <c r="D604" s="236" t="s">
        <v>5</v>
      </c>
      <c r="E604" s="237">
        <v>43617</v>
      </c>
      <c r="F604" s="236" t="s">
        <v>1234</v>
      </c>
      <c r="G604" s="237">
        <v>44898</v>
      </c>
      <c r="H604" s="234">
        <f>SUMIF(VA!B:B,A604,VA!I:I)</f>
        <v>359.46</v>
      </c>
      <c r="I604" s="33">
        <f>SUMIF(VR!B:B,A604,VR!I:I)</f>
        <v>657.5</v>
      </c>
      <c r="J604" s="4">
        <f t="shared" si="9"/>
        <v>1016.96</v>
      </c>
      <c r="K604" s="195">
        <f>SUMIF(FALTAS!A:A,A604,FALTAS!D:D)</f>
        <v>0</v>
      </c>
    </row>
    <row r="605" spans="1:11" x14ac:dyDescent="0.2">
      <c r="A605" s="235">
        <v>120191</v>
      </c>
      <c r="B605" s="236" t="s">
        <v>1502</v>
      </c>
      <c r="C605" s="236" t="s">
        <v>1589</v>
      </c>
      <c r="D605" s="236" t="s">
        <v>15</v>
      </c>
      <c r="E605" s="237">
        <v>44791</v>
      </c>
      <c r="F605" s="236" t="s">
        <v>1234</v>
      </c>
      <c r="G605" s="237">
        <v>44791</v>
      </c>
      <c r="H605" s="234">
        <f>SUMIF(VA!B:B,A605,VA!I:I)</f>
        <v>359.46</v>
      </c>
      <c r="I605" s="33">
        <f>SUMIF(VR!B:B,A605,VR!I:I)</f>
        <v>657.5</v>
      </c>
      <c r="J605" s="4">
        <f t="shared" si="9"/>
        <v>1016.96</v>
      </c>
      <c r="K605" s="195">
        <f>SUMIF(FALTAS!A:A,A605,FALTAS!D:D)</f>
        <v>0</v>
      </c>
    </row>
    <row r="606" spans="1:11" x14ac:dyDescent="0.2">
      <c r="A606" s="235">
        <v>121950</v>
      </c>
      <c r="B606" s="236" t="s">
        <v>1619</v>
      </c>
      <c r="C606" s="236" t="s">
        <v>1591</v>
      </c>
      <c r="D606" s="236" t="s">
        <v>1464</v>
      </c>
      <c r="E606" s="237">
        <v>45040</v>
      </c>
      <c r="F606" s="236" t="s">
        <v>1234</v>
      </c>
      <c r="G606" s="237">
        <v>45040</v>
      </c>
      <c r="H606" s="234">
        <f>SUMIF(VA!B:B,A606,VA!I:I)</f>
        <v>0</v>
      </c>
      <c r="I606" s="33">
        <f>SUMIF(VR!B:B,A606,VR!I:I)</f>
        <v>657.5</v>
      </c>
      <c r="J606" s="4">
        <f t="shared" si="9"/>
        <v>657.5</v>
      </c>
      <c r="K606" s="195">
        <f>SUMIF(FALTAS!A:A,A606,FALTAS!D:D)</f>
        <v>0</v>
      </c>
    </row>
    <row r="607" spans="1:11" x14ac:dyDescent="0.2">
      <c r="A607" s="235">
        <v>121322</v>
      </c>
      <c r="B607" s="236" t="s">
        <v>1535</v>
      </c>
      <c r="C607" s="236" t="s">
        <v>1589</v>
      </c>
      <c r="D607" s="236" t="s">
        <v>5</v>
      </c>
      <c r="E607" s="237">
        <v>44945</v>
      </c>
      <c r="F607" s="236" t="s">
        <v>1234</v>
      </c>
      <c r="G607" s="237">
        <v>44945</v>
      </c>
      <c r="H607" s="234">
        <f>SUMIF(VA!B:B,A607,VA!I:I)</f>
        <v>347.47</v>
      </c>
      <c r="I607" s="33">
        <f>SUMIF(VR!B:B,A607,VR!I:I)</f>
        <v>631.20000000000005</v>
      </c>
      <c r="J607" s="4">
        <f t="shared" si="9"/>
        <v>978.67000000000007</v>
      </c>
      <c r="K607" s="195">
        <f>SUMIF(FALTAS!A:A,A607,FALTAS!D:D)</f>
        <v>1</v>
      </c>
    </row>
    <row r="608" spans="1:11" x14ac:dyDescent="0.2">
      <c r="A608" s="235">
        <v>119113</v>
      </c>
      <c r="B608" s="236" t="s">
        <v>1441</v>
      </c>
      <c r="C608" s="236" t="s">
        <v>1589</v>
      </c>
      <c r="D608" s="236" t="s">
        <v>5</v>
      </c>
      <c r="E608" s="237">
        <v>44630</v>
      </c>
      <c r="F608" s="236" t="s">
        <v>1234</v>
      </c>
      <c r="G608" s="237">
        <v>44630</v>
      </c>
      <c r="H608" s="234">
        <f>SUMIF(VA!B:B,A608,VA!I:I)</f>
        <v>359.46</v>
      </c>
      <c r="I608" s="33">
        <f>SUMIF(VR!B:B,A608,VR!I:I)</f>
        <v>657.5</v>
      </c>
      <c r="J608" s="4">
        <f t="shared" si="9"/>
        <v>1016.96</v>
      </c>
      <c r="K608" s="195">
        <f>SUMIF(FALTAS!A:A,A608,FALTAS!D:D)</f>
        <v>0</v>
      </c>
    </row>
    <row r="609" spans="1:11" x14ac:dyDescent="0.2">
      <c r="A609" s="235">
        <v>113474</v>
      </c>
      <c r="B609" s="236" t="s">
        <v>801</v>
      </c>
      <c r="C609" s="236" t="s">
        <v>8</v>
      </c>
      <c r="D609" s="236" t="s">
        <v>5</v>
      </c>
      <c r="E609" s="237">
        <v>43617</v>
      </c>
      <c r="F609" s="236" t="s">
        <v>1234</v>
      </c>
      <c r="G609" s="237">
        <v>44960</v>
      </c>
      <c r="H609" s="234">
        <f>SUMIF(VA!B:B,A609,VA!I:I)</f>
        <v>359.46</v>
      </c>
      <c r="I609" s="33">
        <f>SUMIF(VR!B:B,A609,VR!I:I)</f>
        <v>657.5</v>
      </c>
      <c r="J609" s="4">
        <f t="shared" si="9"/>
        <v>1016.96</v>
      </c>
      <c r="K609" s="195">
        <f>SUMIF(FALTAS!A:A,A609,FALTAS!D:D)</f>
        <v>0</v>
      </c>
    </row>
    <row r="610" spans="1:11" x14ac:dyDescent="0.2">
      <c r="A610" s="235">
        <v>121323</v>
      </c>
      <c r="B610" s="236" t="s">
        <v>1536</v>
      </c>
      <c r="C610" s="236" t="s">
        <v>1589</v>
      </c>
      <c r="D610" s="236" t="s">
        <v>5</v>
      </c>
      <c r="E610" s="237">
        <v>44945</v>
      </c>
      <c r="F610" s="236" t="s">
        <v>1234</v>
      </c>
      <c r="G610" s="237">
        <v>44945</v>
      </c>
      <c r="H610" s="234">
        <f>SUMIF(VA!B:B,A610,VA!I:I)</f>
        <v>359.46</v>
      </c>
      <c r="I610" s="33">
        <f>SUMIF(VR!B:B,A610,VR!I:I)</f>
        <v>657.5</v>
      </c>
      <c r="J610" s="4">
        <f t="shared" si="9"/>
        <v>1016.96</v>
      </c>
      <c r="K610" s="195">
        <f>SUMIF(FALTAS!A:A,A610,FALTAS!D:D)</f>
        <v>0</v>
      </c>
    </row>
    <row r="611" spans="1:11" x14ac:dyDescent="0.2">
      <c r="A611" s="235">
        <v>113478</v>
      </c>
      <c r="B611" s="236" t="s">
        <v>803</v>
      </c>
      <c r="C611" s="236" t="s">
        <v>1589</v>
      </c>
      <c r="D611" s="236" t="s">
        <v>407</v>
      </c>
      <c r="E611" s="237">
        <v>43617</v>
      </c>
      <c r="F611" s="236" t="s">
        <v>1234</v>
      </c>
      <c r="G611" s="237">
        <v>45149</v>
      </c>
      <c r="H611" s="234">
        <f>SUMIF(VA!B:B,A611,VA!I:I)</f>
        <v>359.46</v>
      </c>
      <c r="I611" s="33">
        <f>SUMIF(VR!B:B,A611,VR!I:I)</f>
        <v>657.5</v>
      </c>
      <c r="J611" s="4">
        <f t="shared" si="9"/>
        <v>1016.96</v>
      </c>
      <c r="K611" s="195">
        <f>SUMIF(FALTAS!A:A,A611,FALTAS!D:D)</f>
        <v>0</v>
      </c>
    </row>
    <row r="612" spans="1:11" x14ac:dyDescent="0.2">
      <c r="A612" s="235">
        <v>114942</v>
      </c>
      <c r="B612" s="236" t="s">
        <v>1126</v>
      </c>
      <c r="C612" s="236" t="s">
        <v>1589</v>
      </c>
      <c r="D612" s="236" t="s">
        <v>22</v>
      </c>
      <c r="E612" s="237">
        <v>43916</v>
      </c>
      <c r="F612" s="236" t="s">
        <v>1234</v>
      </c>
      <c r="G612" s="237">
        <v>45086</v>
      </c>
      <c r="H612" s="234">
        <f>SUMIF(VA!B:B,A612,VA!I:I)</f>
        <v>359.46</v>
      </c>
      <c r="I612" s="33">
        <f>SUMIF(VR!B:B,A612,VR!I:I)</f>
        <v>657.5</v>
      </c>
      <c r="J612" s="4">
        <f t="shared" si="9"/>
        <v>1016.96</v>
      </c>
      <c r="K612" s="195">
        <f>SUMIF(FALTAS!A:A,A612,FALTAS!D:D)</f>
        <v>0</v>
      </c>
    </row>
    <row r="613" spans="1:11" x14ac:dyDescent="0.2">
      <c r="A613" s="235">
        <v>113480</v>
      </c>
      <c r="B613" s="236" t="s">
        <v>804</v>
      </c>
      <c r="C613" s="236" t="s">
        <v>10</v>
      </c>
      <c r="D613" s="236" t="s">
        <v>2</v>
      </c>
      <c r="E613" s="237">
        <v>43617</v>
      </c>
      <c r="F613" s="236" t="s">
        <v>1234</v>
      </c>
      <c r="G613" s="237">
        <v>44960</v>
      </c>
      <c r="H613" s="234">
        <f>SUMIF(VA!B:B,A613,VA!I:I)</f>
        <v>359.46</v>
      </c>
      <c r="I613" s="33">
        <f>SUMIF(VR!B:B,A613,VR!I:I)</f>
        <v>657.5</v>
      </c>
      <c r="J613" s="4">
        <f t="shared" si="9"/>
        <v>1016.96</v>
      </c>
      <c r="K613" s="195">
        <f>SUMIF(FALTAS!A:A,A613,FALTAS!D:D)</f>
        <v>0</v>
      </c>
    </row>
    <row r="614" spans="1:11" x14ac:dyDescent="0.2">
      <c r="A614" s="235">
        <v>114944</v>
      </c>
      <c r="B614" s="236" t="s">
        <v>1128</v>
      </c>
      <c r="C614" s="236" t="s">
        <v>1589</v>
      </c>
      <c r="D614" s="236" t="s">
        <v>5</v>
      </c>
      <c r="E614" s="237">
        <v>43916</v>
      </c>
      <c r="F614" s="236" t="s">
        <v>1234</v>
      </c>
      <c r="G614" s="237">
        <v>45056</v>
      </c>
      <c r="H614" s="234">
        <f>SUMIF(VA!B:B,A614,VA!I:I)</f>
        <v>359.46</v>
      </c>
      <c r="I614" s="33">
        <f>SUMIF(VR!B:B,A614,VR!I:I)</f>
        <v>657.5</v>
      </c>
      <c r="J614" s="4">
        <f t="shared" si="9"/>
        <v>1016.96</v>
      </c>
      <c r="K614" s="195">
        <f>SUMIF(FALTAS!A:A,A614,FALTAS!D:D)</f>
        <v>0</v>
      </c>
    </row>
    <row r="615" spans="1:11" x14ac:dyDescent="0.2">
      <c r="A615" s="235">
        <v>117234</v>
      </c>
      <c r="B615" s="236" t="s">
        <v>1257</v>
      </c>
      <c r="C615" s="236" t="s">
        <v>8</v>
      </c>
      <c r="D615" s="236" t="s">
        <v>5</v>
      </c>
      <c r="E615" s="237">
        <v>44487</v>
      </c>
      <c r="F615" s="236" t="s">
        <v>1234</v>
      </c>
      <c r="G615" s="237">
        <v>44960</v>
      </c>
      <c r="H615" s="234">
        <f>SUMIF(VA!B:B,A615,VA!I:I)</f>
        <v>359.46</v>
      </c>
      <c r="I615" s="33">
        <f>SUMIF(VR!B:B,A615,VR!I:I)</f>
        <v>657.5</v>
      </c>
      <c r="J615" s="4">
        <f t="shared" si="9"/>
        <v>1016.96</v>
      </c>
      <c r="K615" s="195">
        <f>SUMIF(FALTAS!A:A,A615,FALTAS!D:D)</f>
        <v>0</v>
      </c>
    </row>
    <row r="616" spans="1:11" x14ac:dyDescent="0.2">
      <c r="A616" s="235">
        <v>113486</v>
      </c>
      <c r="B616" s="236" t="s">
        <v>806</v>
      </c>
      <c r="C616" s="236" t="s">
        <v>1589</v>
      </c>
      <c r="D616" s="236" t="s">
        <v>15</v>
      </c>
      <c r="E616" s="237">
        <v>43617</v>
      </c>
      <c r="F616" s="236" t="s">
        <v>1234</v>
      </c>
      <c r="G616" s="237">
        <v>45056</v>
      </c>
      <c r="H616" s="234">
        <f>SUMIF(VA!B:B,A616,VA!I:I)</f>
        <v>359.46</v>
      </c>
      <c r="I616" s="33">
        <f>SUMIF(VR!B:B,A616,VR!I:I)</f>
        <v>657.5</v>
      </c>
      <c r="J616" s="4">
        <f t="shared" si="9"/>
        <v>1016.96</v>
      </c>
      <c r="K616" s="195">
        <f>SUMIF(FALTAS!A:A,A616,FALTAS!D:D)</f>
        <v>0</v>
      </c>
    </row>
    <row r="617" spans="1:11" x14ac:dyDescent="0.2">
      <c r="A617" s="235">
        <v>121677</v>
      </c>
      <c r="B617" s="236" t="s">
        <v>1597</v>
      </c>
      <c r="C617" s="236" t="s">
        <v>0</v>
      </c>
      <c r="D617" s="236" t="s">
        <v>5</v>
      </c>
      <c r="E617" s="237">
        <v>44994</v>
      </c>
      <c r="F617" s="236" t="s">
        <v>1234</v>
      </c>
      <c r="G617" s="237">
        <v>44994</v>
      </c>
      <c r="H617" s="234">
        <f>SUMIF(VA!B:B,A617,VA!I:I)</f>
        <v>359.46</v>
      </c>
      <c r="I617" s="33">
        <f>SUMIF(VR!B:B,A617,VR!I:I)</f>
        <v>657.5</v>
      </c>
      <c r="J617" s="4">
        <f t="shared" si="9"/>
        <v>1016.96</v>
      </c>
      <c r="K617" s="195">
        <f>SUMIF(FALTAS!A:A,A617,FALTAS!D:D)</f>
        <v>0</v>
      </c>
    </row>
    <row r="618" spans="1:11" x14ac:dyDescent="0.2">
      <c r="A618" s="235">
        <v>113487</v>
      </c>
      <c r="B618" s="236" t="s">
        <v>807</v>
      </c>
      <c r="C618" s="236" t="s">
        <v>1589</v>
      </c>
      <c r="D618" s="236" t="s">
        <v>22</v>
      </c>
      <c r="E618" s="237">
        <v>43617</v>
      </c>
      <c r="F618" s="236" t="s">
        <v>1285</v>
      </c>
      <c r="G618" s="237">
        <v>45006</v>
      </c>
      <c r="H618" s="234">
        <f>SUMIF(VA!B:B,A618,VA!I:I)</f>
        <v>0</v>
      </c>
      <c r="I618" s="33">
        <f>SUMIF(VR!B:B,A618,VR!I:I)</f>
        <v>0</v>
      </c>
      <c r="J618" s="4">
        <f t="shared" si="9"/>
        <v>0</v>
      </c>
      <c r="K618" s="195">
        <f>SUMIF(FALTAS!A:A,A618,FALTAS!D:D)</f>
        <v>0</v>
      </c>
    </row>
    <row r="619" spans="1:11" x14ac:dyDescent="0.2">
      <c r="A619" s="235">
        <v>113489</v>
      </c>
      <c r="B619" s="236" t="s">
        <v>808</v>
      </c>
      <c r="C619" s="236" t="s">
        <v>19</v>
      </c>
      <c r="D619" s="236" t="s">
        <v>2</v>
      </c>
      <c r="E619" s="237">
        <v>43617</v>
      </c>
      <c r="F619" s="236" t="s">
        <v>1234</v>
      </c>
      <c r="G619" s="237">
        <v>44898</v>
      </c>
      <c r="H619" s="234">
        <f>SUMIF(VA!B:B,A619,VA!I:I)</f>
        <v>359.46</v>
      </c>
      <c r="I619" s="33">
        <f>SUMIF(VR!B:B,A619,VR!I:I)</f>
        <v>657.5</v>
      </c>
      <c r="J619" s="4">
        <f t="shared" si="9"/>
        <v>1016.96</v>
      </c>
      <c r="K619" s="195">
        <f>SUMIF(FALTAS!A:A,A619,FALTAS!D:D)</f>
        <v>0</v>
      </c>
    </row>
    <row r="620" spans="1:11" x14ac:dyDescent="0.2">
      <c r="A620" s="235">
        <v>113499</v>
      </c>
      <c r="B620" s="236" t="s">
        <v>814</v>
      </c>
      <c r="C620" s="236" t="s">
        <v>0</v>
      </c>
      <c r="D620" s="236" t="s">
        <v>2</v>
      </c>
      <c r="E620" s="237">
        <v>43617</v>
      </c>
      <c r="F620" s="236" t="s">
        <v>1234</v>
      </c>
      <c r="G620" s="237">
        <v>44960</v>
      </c>
      <c r="H620" s="234">
        <f>SUMIF(VA!B:B,A620,VA!I:I)</f>
        <v>359.46</v>
      </c>
      <c r="I620" s="33">
        <f>SUMIF(VR!B:B,A620,VR!I:I)</f>
        <v>657.5</v>
      </c>
      <c r="J620" s="4">
        <f t="shared" si="9"/>
        <v>1016.96</v>
      </c>
      <c r="K620" s="195">
        <f>SUMIF(FALTAS!A:A,A620,FALTAS!D:D)</f>
        <v>0</v>
      </c>
    </row>
    <row r="621" spans="1:11" x14ac:dyDescent="0.2">
      <c r="A621" s="235">
        <v>113505</v>
      </c>
      <c r="B621" s="236" t="s">
        <v>817</v>
      </c>
      <c r="C621" s="236" t="s">
        <v>0</v>
      </c>
      <c r="D621" s="236" t="s">
        <v>2</v>
      </c>
      <c r="E621" s="237">
        <v>43617</v>
      </c>
      <c r="F621" s="236" t="s">
        <v>1234</v>
      </c>
      <c r="G621" s="237">
        <v>44989</v>
      </c>
      <c r="H621" s="234">
        <f>SUMIF(VA!B:B,A621,VA!I:I)</f>
        <v>359.46</v>
      </c>
      <c r="I621" s="33">
        <f>SUMIF(VR!B:B,A621,VR!I:I)</f>
        <v>657.5</v>
      </c>
      <c r="J621" s="4">
        <f t="shared" si="9"/>
        <v>1016.96</v>
      </c>
      <c r="K621" s="195">
        <f>SUMIF(FALTAS!A:A,A621,FALTAS!D:D)</f>
        <v>0</v>
      </c>
    </row>
    <row r="622" spans="1:11" x14ac:dyDescent="0.2">
      <c r="A622" s="235">
        <v>116229</v>
      </c>
      <c r="B622" s="236" t="s">
        <v>1197</v>
      </c>
      <c r="C622" s="236" t="s">
        <v>8</v>
      </c>
      <c r="D622" s="236" t="s">
        <v>5</v>
      </c>
      <c r="E622" s="237">
        <v>44273</v>
      </c>
      <c r="F622" s="236" t="s">
        <v>1234</v>
      </c>
      <c r="G622" s="237">
        <v>44744</v>
      </c>
      <c r="H622" s="234">
        <f>SUMIF(VA!B:B,A622,VA!I:I)</f>
        <v>359.46</v>
      </c>
      <c r="I622" s="33">
        <f>SUMIF(VR!B:B,A622,VR!I:I)</f>
        <v>657.5</v>
      </c>
      <c r="J622" s="4">
        <f t="shared" si="9"/>
        <v>1016.96</v>
      </c>
      <c r="K622" s="195">
        <f>SUMIF(FALTAS!A:A,A622,FALTAS!D:D)</f>
        <v>0</v>
      </c>
    </row>
    <row r="623" spans="1:11" x14ac:dyDescent="0.2">
      <c r="A623" s="235">
        <v>113519</v>
      </c>
      <c r="B623" s="236" t="s">
        <v>823</v>
      </c>
      <c r="C623" s="236" t="s">
        <v>0</v>
      </c>
      <c r="D623" s="236" t="s">
        <v>39</v>
      </c>
      <c r="E623" s="237">
        <v>43617</v>
      </c>
      <c r="F623" s="236" t="s">
        <v>1234</v>
      </c>
      <c r="G623" s="237">
        <v>44867</v>
      </c>
      <c r="H623" s="234">
        <f>SUMIF(VA!B:B,A623,VA!I:I)</f>
        <v>359.46</v>
      </c>
      <c r="I623" s="33">
        <f>SUMIF(VR!B:B,A623,VR!I:I)</f>
        <v>657.5</v>
      </c>
      <c r="J623" s="4">
        <f t="shared" si="9"/>
        <v>1016.96</v>
      </c>
      <c r="K623" s="195">
        <f>SUMIF(FALTAS!A:A,A623,FALTAS!D:D)</f>
        <v>0</v>
      </c>
    </row>
    <row r="624" spans="1:11" x14ac:dyDescent="0.2">
      <c r="A624" s="235">
        <v>112529</v>
      </c>
      <c r="B624" s="236" t="s">
        <v>241</v>
      </c>
      <c r="C624" s="236" t="s">
        <v>8</v>
      </c>
      <c r="D624" s="236" t="s">
        <v>2</v>
      </c>
      <c r="E624" s="237">
        <v>43617</v>
      </c>
      <c r="F624" s="236" t="s">
        <v>1234</v>
      </c>
      <c r="G624" s="237">
        <v>44835</v>
      </c>
      <c r="H624" s="234">
        <f>SUMIF(VA!B:B,A624,VA!I:I)</f>
        <v>359.46</v>
      </c>
      <c r="I624" s="33">
        <f>SUMIF(VR!B:B,A624,VR!I:I)</f>
        <v>657.5</v>
      </c>
      <c r="J624" s="4">
        <f t="shared" si="9"/>
        <v>1016.96</v>
      </c>
      <c r="K624" s="195">
        <f>SUMIF(FALTAS!A:A,A624,FALTAS!D:D)</f>
        <v>0</v>
      </c>
    </row>
    <row r="625" spans="1:11" x14ac:dyDescent="0.2">
      <c r="A625" s="235">
        <v>114963</v>
      </c>
      <c r="B625" s="236" t="s">
        <v>1133</v>
      </c>
      <c r="C625" s="236" t="s">
        <v>1589</v>
      </c>
      <c r="D625" s="236" t="s">
        <v>5</v>
      </c>
      <c r="E625" s="237">
        <v>43917</v>
      </c>
      <c r="F625" s="236" t="s">
        <v>1234</v>
      </c>
      <c r="G625" s="237">
        <v>45086</v>
      </c>
      <c r="H625" s="234">
        <f>SUMIF(VA!B:B,A625,VA!I:I)</f>
        <v>359.46</v>
      </c>
      <c r="I625" s="33">
        <f>SUMIF(VR!B:B,A625,VR!I:I)</f>
        <v>657.5</v>
      </c>
      <c r="J625" s="4">
        <f t="shared" si="9"/>
        <v>1016.96</v>
      </c>
      <c r="K625" s="195">
        <f>SUMIF(FALTAS!A:A,A625,FALTAS!D:D)</f>
        <v>0</v>
      </c>
    </row>
    <row r="626" spans="1:11" x14ac:dyDescent="0.2">
      <c r="A626" s="235">
        <v>122559</v>
      </c>
      <c r="B626" s="236" t="s">
        <v>1701</v>
      </c>
      <c r="C626" s="236" t="s">
        <v>32</v>
      </c>
      <c r="D626" s="236" t="s">
        <v>5</v>
      </c>
      <c r="E626" s="237">
        <v>45131</v>
      </c>
      <c r="F626" s="236" t="s">
        <v>1234</v>
      </c>
      <c r="G626" s="237">
        <v>45131</v>
      </c>
      <c r="H626" s="234">
        <f>SUMIF(VA!B:B,A626,VA!I:I)</f>
        <v>359.46</v>
      </c>
      <c r="I626" s="33">
        <f>SUMIF(VR!B:B,A626,VR!I:I)</f>
        <v>657.5</v>
      </c>
      <c r="J626" s="4">
        <f t="shared" si="9"/>
        <v>1016.96</v>
      </c>
      <c r="K626" s="195">
        <f>SUMIF(FALTAS!A:A,A626,FALTAS!D:D)</f>
        <v>0</v>
      </c>
    </row>
    <row r="627" spans="1:11" x14ac:dyDescent="0.2">
      <c r="A627" s="235">
        <v>121689</v>
      </c>
      <c r="B627" s="236" t="s">
        <v>1598</v>
      </c>
      <c r="C627" s="236" t="s">
        <v>32</v>
      </c>
      <c r="D627" s="236" t="s">
        <v>5</v>
      </c>
      <c r="E627" s="237">
        <v>44994</v>
      </c>
      <c r="F627" s="236" t="s">
        <v>1234</v>
      </c>
      <c r="G627" s="237">
        <v>44994</v>
      </c>
      <c r="H627" s="234">
        <f>SUMIF(VA!B:B,A627,VA!I:I)</f>
        <v>359.46</v>
      </c>
      <c r="I627" s="33">
        <f>SUMIF(VR!B:B,A627,VR!I:I)</f>
        <v>657.5</v>
      </c>
      <c r="J627" s="4">
        <f t="shared" si="9"/>
        <v>1016.96</v>
      </c>
      <c r="K627" s="195">
        <f>SUMIF(FALTAS!A:A,A627,FALTAS!D:D)</f>
        <v>0</v>
      </c>
    </row>
    <row r="628" spans="1:11" x14ac:dyDescent="0.2">
      <c r="A628" s="235">
        <v>121330</v>
      </c>
      <c r="B628" s="236" t="s">
        <v>1537</v>
      </c>
      <c r="C628" s="236" t="s">
        <v>8</v>
      </c>
      <c r="D628" s="236" t="s">
        <v>2</v>
      </c>
      <c r="E628" s="237">
        <v>44945</v>
      </c>
      <c r="F628" s="236" t="s">
        <v>1234</v>
      </c>
      <c r="G628" s="237">
        <v>44945</v>
      </c>
      <c r="H628" s="234">
        <f>SUMIF(VA!B:B,A628,VA!I:I)</f>
        <v>359.46</v>
      </c>
      <c r="I628" s="33">
        <f>SUMIF(VR!B:B,A628,VR!I:I)</f>
        <v>657.5</v>
      </c>
      <c r="J628" s="4">
        <f t="shared" si="9"/>
        <v>1016.96</v>
      </c>
      <c r="K628" s="195">
        <f>SUMIF(FALTAS!A:A,A628,FALTAS!D:D)</f>
        <v>0</v>
      </c>
    </row>
    <row r="629" spans="1:11" x14ac:dyDescent="0.2">
      <c r="A629" s="235">
        <v>112531</v>
      </c>
      <c r="B629" s="236" t="s">
        <v>243</v>
      </c>
      <c r="C629" s="236" t="s">
        <v>32</v>
      </c>
      <c r="D629" s="236" t="s">
        <v>2</v>
      </c>
      <c r="E629" s="237">
        <v>43617</v>
      </c>
      <c r="F629" s="236" t="s">
        <v>1234</v>
      </c>
      <c r="G629" s="237">
        <v>44911</v>
      </c>
      <c r="H629" s="234">
        <f>SUMIF(VA!B:B,A629,VA!I:I)</f>
        <v>359.46</v>
      </c>
      <c r="I629" s="33">
        <f>SUMIF(VR!B:B,A629,VR!I:I)</f>
        <v>657.5</v>
      </c>
      <c r="J629" s="4">
        <f t="shared" si="9"/>
        <v>1016.96</v>
      </c>
      <c r="K629" s="195">
        <f>SUMIF(FALTAS!A:A,A629,FALTAS!D:D)</f>
        <v>0</v>
      </c>
    </row>
    <row r="630" spans="1:11" x14ac:dyDescent="0.2">
      <c r="A630" s="235">
        <v>113426</v>
      </c>
      <c r="B630" s="236" t="s">
        <v>774</v>
      </c>
      <c r="C630" s="236" t="s">
        <v>0</v>
      </c>
      <c r="D630" s="236" t="s">
        <v>2</v>
      </c>
      <c r="E630" s="237">
        <v>43617</v>
      </c>
      <c r="F630" s="236" t="s">
        <v>1234</v>
      </c>
      <c r="G630" s="237">
        <v>44960</v>
      </c>
      <c r="H630" s="234">
        <f>SUMIF(VA!B:B,A630,VA!I:I)</f>
        <v>359.46</v>
      </c>
      <c r="I630" s="33">
        <f>SUMIF(VR!B:B,A630,VR!I:I)</f>
        <v>657.5</v>
      </c>
      <c r="J630" s="4">
        <f t="shared" si="9"/>
        <v>1016.96</v>
      </c>
      <c r="K630" s="195">
        <f>SUMIF(FALTAS!A:A,A630,FALTAS!D:D)</f>
        <v>0</v>
      </c>
    </row>
    <row r="631" spans="1:11" x14ac:dyDescent="0.2">
      <c r="A631" s="235">
        <v>113050</v>
      </c>
      <c r="B631" s="236" t="s">
        <v>562</v>
      </c>
      <c r="C631" s="236" t="s">
        <v>19</v>
      </c>
      <c r="D631" s="236" t="s">
        <v>2</v>
      </c>
      <c r="E631" s="237">
        <v>43617</v>
      </c>
      <c r="F631" s="236" t="s">
        <v>1234</v>
      </c>
      <c r="G631" s="237">
        <v>44960</v>
      </c>
      <c r="H631" s="234">
        <f>SUMIF(VA!B:B,A631,VA!I:I)</f>
        <v>359.46</v>
      </c>
      <c r="I631" s="33">
        <f>SUMIF(VR!B:B,A631,VR!I:I)</f>
        <v>657.5</v>
      </c>
      <c r="J631" s="4">
        <f t="shared" si="9"/>
        <v>1016.96</v>
      </c>
      <c r="K631" s="195">
        <f>SUMIF(FALTAS!A:A,A631,FALTAS!D:D)</f>
        <v>0</v>
      </c>
    </row>
    <row r="632" spans="1:11" x14ac:dyDescent="0.2">
      <c r="A632" s="235">
        <v>113093</v>
      </c>
      <c r="B632" s="236" t="s">
        <v>583</v>
      </c>
      <c r="C632" s="236" t="s">
        <v>0</v>
      </c>
      <c r="D632" s="236" t="s">
        <v>5</v>
      </c>
      <c r="E632" s="237">
        <v>43617</v>
      </c>
      <c r="F632" s="236" t="s">
        <v>1234</v>
      </c>
      <c r="G632" s="237">
        <v>44960</v>
      </c>
      <c r="H632" s="234">
        <f>SUMIF(VA!B:B,A632,VA!I:I)</f>
        <v>359.46</v>
      </c>
      <c r="I632" s="33">
        <f>SUMIF(VR!B:B,A632,VR!I:I)</f>
        <v>657.5</v>
      </c>
      <c r="J632" s="4">
        <f t="shared" si="9"/>
        <v>1016.96</v>
      </c>
      <c r="K632" s="195">
        <f>SUMIF(FALTAS!A:A,A632,FALTAS!D:D)</f>
        <v>0</v>
      </c>
    </row>
    <row r="633" spans="1:11" x14ac:dyDescent="0.2">
      <c r="A633" s="235">
        <v>113094</v>
      </c>
      <c r="B633" s="236" t="s">
        <v>584</v>
      </c>
      <c r="C633" s="236" t="s">
        <v>1589</v>
      </c>
      <c r="D633" s="236" t="s">
        <v>5</v>
      </c>
      <c r="E633" s="237">
        <v>43617</v>
      </c>
      <c r="F633" s="236" t="s">
        <v>1234</v>
      </c>
      <c r="G633" s="237">
        <v>44776</v>
      </c>
      <c r="H633" s="234">
        <f>SUMIF(VA!B:B,A633,VA!I:I)</f>
        <v>359.46</v>
      </c>
      <c r="I633" s="33">
        <f>SUMIF(VR!B:B,A633,VR!I:I)</f>
        <v>657.5</v>
      </c>
      <c r="J633" s="4">
        <f t="shared" si="9"/>
        <v>1016.96</v>
      </c>
      <c r="K633" s="195">
        <f>SUMIF(FALTAS!A:A,A633,FALTAS!D:D)</f>
        <v>0</v>
      </c>
    </row>
    <row r="634" spans="1:11" x14ac:dyDescent="0.2">
      <c r="A634" s="235">
        <v>112178</v>
      </c>
      <c r="B634" s="236" t="s">
        <v>16</v>
      </c>
      <c r="C634" s="236" t="s">
        <v>10</v>
      </c>
      <c r="D634" s="236" t="s">
        <v>5</v>
      </c>
      <c r="E634" s="237">
        <v>43617</v>
      </c>
      <c r="F634" s="236" t="s">
        <v>1234</v>
      </c>
      <c r="G634" s="237">
        <v>44806</v>
      </c>
      <c r="H634" s="234">
        <f>SUMIF(VA!B:B,A634,VA!I:I)</f>
        <v>359.46</v>
      </c>
      <c r="I634" s="33">
        <f>SUMIF(VR!B:B,A634,VR!I:I)</f>
        <v>657.5</v>
      </c>
      <c r="J634" s="4">
        <f t="shared" si="9"/>
        <v>1016.96</v>
      </c>
      <c r="K634" s="195">
        <f>SUMIF(FALTAS!A:A,A634,FALTAS!D:D)</f>
        <v>0</v>
      </c>
    </row>
    <row r="635" spans="1:11" x14ac:dyDescent="0.2">
      <c r="A635" s="235">
        <v>113098</v>
      </c>
      <c r="B635" s="236" t="s">
        <v>586</v>
      </c>
      <c r="C635" s="236" t="s">
        <v>1589</v>
      </c>
      <c r="D635" s="236" t="s">
        <v>22</v>
      </c>
      <c r="E635" s="237">
        <v>43617</v>
      </c>
      <c r="F635" s="236" t="s">
        <v>1234</v>
      </c>
      <c r="G635" s="237">
        <v>44898</v>
      </c>
      <c r="H635" s="234">
        <f>SUMIF(VA!B:B,A635,VA!I:I)</f>
        <v>359.46</v>
      </c>
      <c r="I635" s="33">
        <f>SUMIF(VR!B:B,A635,VR!I:I)</f>
        <v>657.5</v>
      </c>
      <c r="J635" s="4">
        <f t="shared" si="9"/>
        <v>1016.96</v>
      </c>
      <c r="K635" s="195">
        <f>SUMIF(FALTAS!A:A,A635,FALTAS!D:D)</f>
        <v>0</v>
      </c>
    </row>
    <row r="636" spans="1:11" x14ac:dyDescent="0.2">
      <c r="A636" s="235">
        <v>116236</v>
      </c>
      <c r="B636" s="236" t="s">
        <v>1201</v>
      </c>
      <c r="C636" s="236" t="s">
        <v>8</v>
      </c>
      <c r="D636" s="236" t="s">
        <v>2</v>
      </c>
      <c r="E636" s="237">
        <v>44273</v>
      </c>
      <c r="F636" s="236" t="s">
        <v>1234</v>
      </c>
      <c r="G636" s="237">
        <v>45086</v>
      </c>
      <c r="H636" s="234">
        <f>SUMIF(VA!B:B,A636,VA!I:I)</f>
        <v>359.46</v>
      </c>
      <c r="I636" s="33">
        <f>SUMIF(VR!B:B,A636,VR!I:I)</f>
        <v>657.5</v>
      </c>
      <c r="J636" s="4">
        <f t="shared" si="9"/>
        <v>1016.96</v>
      </c>
      <c r="K636" s="195">
        <f>SUMIF(FALTAS!A:A,A636,FALTAS!D:D)</f>
        <v>0</v>
      </c>
    </row>
    <row r="637" spans="1:11" x14ac:dyDescent="0.2">
      <c r="A637" s="235">
        <v>113072</v>
      </c>
      <c r="B637" s="236" t="s">
        <v>571</v>
      </c>
      <c r="C637" s="236" t="s">
        <v>0</v>
      </c>
      <c r="D637" s="236" t="s">
        <v>5</v>
      </c>
      <c r="E637" s="237">
        <v>43617</v>
      </c>
      <c r="F637" s="236" t="s">
        <v>1234</v>
      </c>
      <c r="G637" s="237">
        <v>44930</v>
      </c>
      <c r="H637" s="234">
        <f>SUMIF(VA!B:B,A637,VA!I:I)</f>
        <v>359.46</v>
      </c>
      <c r="I637" s="33">
        <f>SUMIF(VR!B:B,A637,VR!I:I)</f>
        <v>657.5</v>
      </c>
      <c r="J637" s="4">
        <f t="shared" si="9"/>
        <v>1016.96</v>
      </c>
      <c r="K637" s="195">
        <f>SUMIF(FALTAS!A:A,A637,FALTAS!D:D)</f>
        <v>0</v>
      </c>
    </row>
    <row r="638" spans="1:11" x14ac:dyDescent="0.2">
      <c r="A638" s="235">
        <v>112774</v>
      </c>
      <c r="B638" s="236" t="s">
        <v>399</v>
      </c>
      <c r="C638" s="236" t="s">
        <v>8</v>
      </c>
      <c r="D638" s="236" t="s">
        <v>2</v>
      </c>
      <c r="E638" s="237">
        <v>43617</v>
      </c>
      <c r="F638" s="236" t="s">
        <v>1234</v>
      </c>
      <c r="G638" s="237">
        <v>45023</v>
      </c>
      <c r="H638" s="234">
        <f>SUMIF(VA!B:B,A638,VA!I:I)</f>
        <v>359.46</v>
      </c>
      <c r="I638" s="33">
        <f>SUMIF(VR!B:B,A638,VR!I:I)</f>
        <v>657.5</v>
      </c>
      <c r="J638" s="4">
        <f t="shared" si="9"/>
        <v>1016.96</v>
      </c>
      <c r="K638" s="195">
        <f>SUMIF(FALTAS!A:A,A638,FALTAS!D:D)</f>
        <v>0</v>
      </c>
    </row>
    <row r="639" spans="1:11" x14ac:dyDescent="0.2">
      <c r="A639" s="235">
        <v>113164</v>
      </c>
      <c r="B639" s="236" t="s">
        <v>624</v>
      </c>
      <c r="C639" s="236" t="s">
        <v>1589</v>
      </c>
      <c r="D639" s="236" t="s">
        <v>22</v>
      </c>
      <c r="E639" s="237">
        <v>43617</v>
      </c>
      <c r="F639" s="236" t="s">
        <v>1234</v>
      </c>
      <c r="G639" s="237">
        <v>44960</v>
      </c>
      <c r="H639" s="234">
        <f>SUMIF(VA!B:B,A639,VA!I:I)</f>
        <v>359.46</v>
      </c>
      <c r="I639" s="33">
        <f>SUMIF(VR!B:B,A639,VR!I:I)</f>
        <v>657.5</v>
      </c>
      <c r="J639" s="4">
        <f t="shared" si="9"/>
        <v>1016.96</v>
      </c>
      <c r="K639" s="195">
        <f>SUMIF(FALTAS!A:A,A639,FALTAS!D:D)</f>
        <v>0</v>
      </c>
    </row>
    <row r="640" spans="1:11" x14ac:dyDescent="0.2">
      <c r="A640" s="235">
        <v>112967</v>
      </c>
      <c r="B640" s="236" t="s">
        <v>526</v>
      </c>
      <c r="C640" s="236" t="s">
        <v>32</v>
      </c>
      <c r="D640" s="236" t="s">
        <v>5</v>
      </c>
      <c r="E640" s="237">
        <v>43617</v>
      </c>
      <c r="F640" s="236" t="s">
        <v>1234</v>
      </c>
      <c r="G640" s="237">
        <v>44835</v>
      </c>
      <c r="H640" s="234">
        <f>SUMIF(VA!B:B,A640,VA!I:I)</f>
        <v>359.46</v>
      </c>
      <c r="I640" s="33">
        <f>SUMIF(VR!B:B,A640,VR!I:I)</f>
        <v>657.5</v>
      </c>
      <c r="J640" s="4">
        <f t="shared" si="9"/>
        <v>1016.96</v>
      </c>
      <c r="K640" s="195">
        <f>SUMIF(FALTAS!A:A,A640,FALTAS!D:D)</f>
        <v>0</v>
      </c>
    </row>
    <row r="641" spans="1:11" x14ac:dyDescent="0.2">
      <c r="A641" s="235">
        <v>121953</v>
      </c>
      <c r="B641" s="236" t="s">
        <v>1620</v>
      </c>
      <c r="C641" s="236" t="s">
        <v>0</v>
      </c>
      <c r="D641" s="236" t="s">
        <v>5</v>
      </c>
      <c r="E641" s="237">
        <v>45040</v>
      </c>
      <c r="F641" s="236" t="s">
        <v>1234</v>
      </c>
      <c r="G641" s="237">
        <v>45040</v>
      </c>
      <c r="H641" s="234">
        <f>SUMIF(VA!B:B,A641,VA!I:I)</f>
        <v>359.46</v>
      </c>
      <c r="I641" s="33">
        <f>SUMIF(VR!B:B,A641,VR!I:I)</f>
        <v>657.5</v>
      </c>
      <c r="J641" s="4">
        <f t="shared" si="9"/>
        <v>1016.96</v>
      </c>
      <c r="K641" s="195">
        <f>SUMIF(FALTAS!A:A,A641,FALTAS!D:D)</f>
        <v>0</v>
      </c>
    </row>
    <row r="642" spans="1:11" x14ac:dyDescent="0.2">
      <c r="A642" s="235">
        <v>116010</v>
      </c>
      <c r="B642" s="236" t="s">
        <v>1176</v>
      </c>
      <c r="C642" s="236" t="s">
        <v>0</v>
      </c>
      <c r="D642" s="236" t="s">
        <v>5</v>
      </c>
      <c r="E642" s="237">
        <v>44207</v>
      </c>
      <c r="F642" s="236" t="s">
        <v>1234</v>
      </c>
      <c r="G642" s="237">
        <v>45149</v>
      </c>
      <c r="H642" s="234">
        <f>SUMIF(VA!B:B,A642,VA!I:I)</f>
        <v>359.46</v>
      </c>
      <c r="I642" s="33">
        <f>SUMIF(VR!B:B,A642,VR!I:I)</f>
        <v>657.5</v>
      </c>
      <c r="J642" s="4">
        <f t="shared" ref="J642:J705" si="10">H642+I642</f>
        <v>1016.96</v>
      </c>
      <c r="K642" s="195">
        <f>SUMIF(FALTAS!A:A,A642,FALTAS!D:D)</f>
        <v>0</v>
      </c>
    </row>
    <row r="643" spans="1:11" x14ac:dyDescent="0.2">
      <c r="A643" s="235">
        <v>121414</v>
      </c>
      <c r="B643" s="236" t="s">
        <v>1570</v>
      </c>
      <c r="C643" s="236" t="s">
        <v>19</v>
      </c>
      <c r="D643" s="236" t="s">
        <v>5</v>
      </c>
      <c r="E643" s="237">
        <v>44967</v>
      </c>
      <c r="F643" s="236" t="s">
        <v>1234</v>
      </c>
      <c r="G643" s="237">
        <v>44967</v>
      </c>
      <c r="H643" s="234">
        <f>SUMIF(VA!B:B,A643,VA!I:I)</f>
        <v>359.46</v>
      </c>
      <c r="I643" s="33">
        <f>SUMIF(VR!B:B,A643,VR!I:I)</f>
        <v>657.5</v>
      </c>
      <c r="J643" s="4">
        <f t="shared" si="10"/>
        <v>1016.96</v>
      </c>
      <c r="K643" s="195">
        <f>SUMIF(FALTAS!A:A,A643,FALTAS!D:D)</f>
        <v>0</v>
      </c>
    </row>
    <row r="644" spans="1:11" x14ac:dyDescent="0.2">
      <c r="A644" s="235">
        <v>113406</v>
      </c>
      <c r="B644" s="236" t="s">
        <v>760</v>
      </c>
      <c r="C644" s="236" t="s">
        <v>0</v>
      </c>
      <c r="D644" s="236" t="s">
        <v>2</v>
      </c>
      <c r="E644" s="237">
        <v>43617</v>
      </c>
      <c r="F644" s="236" t="s">
        <v>1234</v>
      </c>
      <c r="G644" s="237">
        <v>44993</v>
      </c>
      <c r="H644" s="234">
        <f>SUMIF(VA!B:B,A644,VA!I:I)</f>
        <v>359.46</v>
      </c>
      <c r="I644" s="33">
        <f>SUMIF(VR!B:B,A644,VR!I:I)</f>
        <v>657.5</v>
      </c>
      <c r="J644" s="4">
        <f t="shared" si="10"/>
        <v>1016.96</v>
      </c>
      <c r="K644" s="195">
        <f>SUMIF(FALTAS!A:A,A644,FALTAS!D:D)</f>
        <v>0</v>
      </c>
    </row>
    <row r="645" spans="1:11" x14ac:dyDescent="0.2">
      <c r="A645" s="235">
        <v>118059</v>
      </c>
      <c r="B645" s="236" t="s">
        <v>1407</v>
      </c>
      <c r="C645" s="236" t="s">
        <v>0</v>
      </c>
      <c r="D645" s="236" t="s">
        <v>5</v>
      </c>
      <c r="E645" s="237">
        <v>44567</v>
      </c>
      <c r="F645" s="236" t="s">
        <v>1234</v>
      </c>
      <c r="G645" s="237">
        <v>44567</v>
      </c>
      <c r="H645" s="234">
        <f>SUMIF(VA!B:B,A645,VA!I:I)</f>
        <v>347.47</v>
      </c>
      <c r="I645" s="33">
        <f>SUMIF(VR!B:B,A645,VR!I:I)</f>
        <v>631.20000000000005</v>
      </c>
      <c r="J645" s="4">
        <f t="shared" si="10"/>
        <v>978.67000000000007</v>
      </c>
      <c r="K645" s="195">
        <f>SUMIF(FALTAS!A:A,A645,FALTAS!D:D)</f>
        <v>1</v>
      </c>
    </row>
    <row r="646" spans="1:11" x14ac:dyDescent="0.2">
      <c r="A646" s="235">
        <v>113599</v>
      </c>
      <c r="B646" s="236" t="s">
        <v>869</v>
      </c>
      <c r="C646" s="236" t="s">
        <v>1589</v>
      </c>
      <c r="D646" s="236" t="s">
        <v>15</v>
      </c>
      <c r="E646" s="237">
        <v>43617</v>
      </c>
      <c r="F646" s="236" t="s">
        <v>1235</v>
      </c>
      <c r="G646" s="237">
        <v>45147</v>
      </c>
      <c r="H646" s="234">
        <f>SUMIF(VA!B:B,A646,VA!I:I)</f>
        <v>359.46</v>
      </c>
      <c r="I646" s="33">
        <f>SUMIF(VR!B:B,A646,VR!I:I)</f>
        <v>657.5</v>
      </c>
      <c r="J646" s="4">
        <f t="shared" si="10"/>
        <v>1016.96</v>
      </c>
      <c r="K646" s="195">
        <f>SUMIF(FALTAS!A:A,A646,FALTAS!D:D)</f>
        <v>0</v>
      </c>
    </row>
    <row r="647" spans="1:11" x14ac:dyDescent="0.2">
      <c r="A647" s="235">
        <v>117409</v>
      </c>
      <c r="B647" s="236" t="s">
        <v>1277</v>
      </c>
      <c r="C647" s="236" t="s">
        <v>0</v>
      </c>
      <c r="D647" s="236" t="s">
        <v>2</v>
      </c>
      <c r="E647" s="237">
        <v>44522</v>
      </c>
      <c r="F647" s="236" t="s">
        <v>1234</v>
      </c>
      <c r="G647" s="237">
        <v>45086</v>
      </c>
      <c r="H647" s="234">
        <f>SUMIF(VA!B:B,A647,VA!I:I)</f>
        <v>359.46</v>
      </c>
      <c r="I647" s="33">
        <f>SUMIF(VR!B:B,A647,VR!I:I)</f>
        <v>657.5</v>
      </c>
      <c r="J647" s="4">
        <f t="shared" si="10"/>
        <v>1016.96</v>
      </c>
      <c r="K647" s="195">
        <f>SUMIF(FALTAS!A:A,A647,FALTAS!D:D)</f>
        <v>0</v>
      </c>
    </row>
    <row r="648" spans="1:11" x14ac:dyDescent="0.2">
      <c r="A648" s="235">
        <v>113132</v>
      </c>
      <c r="B648" s="236" t="s">
        <v>603</v>
      </c>
      <c r="C648" s="236" t="s">
        <v>1589</v>
      </c>
      <c r="D648" s="236" t="s">
        <v>22</v>
      </c>
      <c r="E648" s="237">
        <v>43617</v>
      </c>
      <c r="F648" s="236" t="s">
        <v>1234</v>
      </c>
      <c r="G648" s="237">
        <v>45149</v>
      </c>
      <c r="H648" s="234">
        <f>SUMIF(VA!B:B,A648,VA!I:I)</f>
        <v>359.46</v>
      </c>
      <c r="I648" s="33">
        <f>SUMIF(VR!B:B,A648,VR!I:I)</f>
        <v>657.5</v>
      </c>
      <c r="J648" s="4">
        <f t="shared" si="10"/>
        <v>1016.96</v>
      </c>
      <c r="K648" s="195">
        <f>SUMIF(FALTAS!A:A,A648,FALTAS!D:D)</f>
        <v>0</v>
      </c>
    </row>
    <row r="649" spans="1:11" x14ac:dyDescent="0.2">
      <c r="A649" s="235">
        <v>112957</v>
      </c>
      <c r="B649" s="236" t="s">
        <v>521</v>
      </c>
      <c r="C649" s="236" t="s">
        <v>1589</v>
      </c>
      <c r="D649" s="236" t="s">
        <v>15</v>
      </c>
      <c r="E649" s="237">
        <v>43617</v>
      </c>
      <c r="F649" s="236" t="s">
        <v>1235</v>
      </c>
      <c r="G649" s="237">
        <v>45147</v>
      </c>
      <c r="H649" s="234">
        <f>SUMIF(VA!B:B,A649,VA!I:I)</f>
        <v>359.46</v>
      </c>
      <c r="I649" s="33">
        <f>SUMIF(VR!B:B,A649,VR!I:I)</f>
        <v>657.5</v>
      </c>
      <c r="J649" s="4">
        <f t="shared" si="10"/>
        <v>1016.96</v>
      </c>
      <c r="K649" s="195">
        <f>SUMIF(FALTAS!A:A,A649,FALTAS!D:D)</f>
        <v>0</v>
      </c>
    </row>
    <row r="650" spans="1:11" x14ac:dyDescent="0.2">
      <c r="A650" s="235">
        <v>112226</v>
      </c>
      <c r="B650" s="236" t="s">
        <v>48</v>
      </c>
      <c r="C650" s="236" t="s">
        <v>10</v>
      </c>
      <c r="D650" s="236" t="s">
        <v>2</v>
      </c>
      <c r="E650" s="237">
        <v>43617</v>
      </c>
      <c r="F650" s="236" t="s">
        <v>1234</v>
      </c>
      <c r="G650" s="237">
        <v>44776</v>
      </c>
      <c r="H650" s="234">
        <f>SUMIF(VA!B:B,A650,VA!I:I)</f>
        <v>359.46</v>
      </c>
      <c r="I650" s="33">
        <f>SUMIF(VR!B:B,A650,VR!I:I)</f>
        <v>657.5</v>
      </c>
      <c r="J650" s="4">
        <f t="shared" si="10"/>
        <v>1016.96</v>
      </c>
      <c r="K650" s="195">
        <f>SUMIF(FALTAS!A:A,A650,FALTAS!D:D)</f>
        <v>0</v>
      </c>
    </row>
    <row r="651" spans="1:11" x14ac:dyDescent="0.2">
      <c r="A651" s="235">
        <v>113166</v>
      </c>
      <c r="B651" s="236" t="s">
        <v>625</v>
      </c>
      <c r="C651" s="236" t="s">
        <v>1589</v>
      </c>
      <c r="D651" s="236" t="s">
        <v>22</v>
      </c>
      <c r="E651" s="237">
        <v>43617</v>
      </c>
      <c r="F651" s="236" t="s">
        <v>1234</v>
      </c>
      <c r="G651" s="237">
        <v>45149</v>
      </c>
      <c r="H651" s="234">
        <f>SUMIF(VA!B:B,A651,VA!I:I)</f>
        <v>359.46</v>
      </c>
      <c r="I651" s="33">
        <f>SUMIF(VR!B:B,A651,VR!I:I)</f>
        <v>657.5</v>
      </c>
      <c r="J651" s="4">
        <f t="shared" si="10"/>
        <v>1016.96</v>
      </c>
      <c r="K651" s="195">
        <f>SUMIF(FALTAS!A:A,A651,FALTAS!D:D)</f>
        <v>0</v>
      </c>
    </row>
    <row r="652" spans="1:11" x14ac:dyDescent="0.2">
      <c r="A652" s="235">
        <v>112789</v>
      </c>
      <c r="B652" s="236" t="s">
        <v>412</v>
      </c>
      <c r="C652" s="236" t="s">
        <v>8</v>
      </c>
      <c r="D652" s="236" t="s">
        <v>2</v>
      </c>
      <c r="E652" s="237">
        <v>43617</v>
      </c>
      <c r="F652" s="236" t="s">
        <v>1234</v>
      </c>
      <c r="G652" s="237">
        <v>44867</v>
      </c>
      <c r="H652" s="234">
        <f>SUMIF(VA!B:B,A652,VA!I:I)</f>
        <v>359.46</v>
      </c>
      <c r="I652" s="33">
        <f>SUMIF(VR!B:B,A652,VR!I:I)</f>
        <v>657.5</v>
      </c>
      <c r="J652" s="4">
        <f t="shared" si="10"/>
        <v>1016.96</v>
      </c>
      <c r="K652" s="195">
        <f>SUMIF(FALTAS!A:A,A652,FALTAS!D:D)</f>
        <v>0</v>
      </c>
    </row>
    <row r="653" spans="1:11" x14ac:dyDescent="0.2">
      <c r="A653" s="235">
        <v>113410</v>
      </c>
      <c r="B653" s="236" t="s">
        <v>762</v>
      </c>
      <c r="C653" s="236" t="s">
        <v>0</v>
      </c>
      <c r="D653" s="236" t="s">
        <v>2</v>
      </c>
      <c r="E653" s="237">
        <v>43617</v>
      </c>
      <c r="F653" s="236" t="s">
        <v>1234</v>
      </c>
      <c r="G653" s="237">
        <v>44930</v>
      </c>
      <c r="H653" s="234">
        <f>SUMIF(VA!B:B,A653,VA!I:I)</f>
        <v>359.46</v>
      </c>
      <c r="I653" s="33">
        <f>SUMIF(VR!B:B,A653,VR!I:I)</f>
        <v>657.5</v>
      </c>
      <c r="J653" s="4">
        <f t="shared" si="10"/>
        <v>1016.96</v>
      </c>
      <c r="K653" s="195">
        <f>SUMIF(FALTAS!A:A,A653,FALTAS!D:D)</f>
        <v>0</v>
      </c>
    </row>
    <row r="654" spans="1:11" x14ac:dyDescent="0.2">
      <c r="A654" s="235">
        <v>114800</v>
      </c>
      <c r="B654" s="236" t="s">
        <v>1106</v>
      </c>
      <c r="C654" s="236" t="s">
        <v>1589</v>
      </c>
      <c r="D654" s="236" t="s">
        <v>15</v>
      </c>
      <c r="E654" s="237">
        <v>43880</v>
      </c>
      <c r="F654" s="236" t="s">
        <v>1234</v>
      </c>
      <c r="G654" s="237">
        <v>45086</v>
      </c>
      <c r="H654" s="234">
        <f>SUMIF(VA!B:B,A654,VA!I:I)</f>
        <v>359.46</v>
      </c>
      <c r="I654" s="33">
        <f>SUMIF(VR!B:B,A654,VR!I:I)</f>
        <v>657.5</v>
      </c>
      <c r="J654" s="4">
        <f t="shared" si="10"/>
        <v>1016.96</v>
      </c>
      <c r="K654" s="195">
        <f>SUMIF(FALTAS!A:A,A654,FALTAS!D:D)</f>
        <v>0</v>
      </c>
    </row>
    <row r="655" spans="1:11" x14ac:dyDescent="0.2">
      <c r="A655" s="235">
        <v>115008</v>
      </c>
      <c r="B655" s="236" t="s">
        <v>1143</v>
      </c>
      <c r="C655" s="236" t="s">
        <v>0</v>
      </c>
      <c r="D655" s="236" t="s">
        <v>5</v>
      </c>
      <c r="E655" s="237">
        <v>43930</v>
      </c>
      <c r="F655" s="236" t="s">
        <v>1234</v>
      </c>
      <c r="G655" s="237">
        <v>44954</v>
      </c>
      <c r="H655" s="234">
        <f>SUMIF(VA!B:B,A655,VA!I:I)</f>
        <v>359.46</v>
      </c>
      <c r="I655" s="33">
        <f>SUMIF(VR!B:B,A655,VR!I:I)</f>
        <v>657.5</v>
      </c>
      <c r="J655" s="4">
        <f t="shared" si="10"/>
        <v>1016.96</v>
      </c>
      <c r="K655" s="195">
        <f>SUMIF(FALTAS!A:A,A655,FALTAS!D:D)</f>
        <v>0</v>
      </c>
    </row>
    <row r="656" spans="1:11" x14ac:dyDescent="0.2">
      <c r="A656" s="235">
        <v>114263</v>
      </c>
      <c r="B656" s="236" t="s">
        <v>1029</v>
      </c>
      <c r="C656" s="236" t="s">
        <v>19</v>
      </c>
      <c r="D656" s="236" t="s">
        <v>2</v>
      </c>
      <c r="E656" s="237">
        <v>43804</v>
      </c>
      <c r="F656" s="236" t="s">
        <v>1234</v>
      </c>
      <c r="G656" s="237">
        <v>45086</v>
      </c>
      <c r="H656" s="234">
        <f>SUMIF(VA!B:B,A656,VA!I:I)</f>
        <v>359.46</v>
      </c>
      <c r="I656" s="33">
        <f>SUMIF(VR!B:B,A656,VR!I:I)</f>
        <v>657.5</v>
      </c>
      <c r="J656" s="4">
        <f t="shared" si="10"/>
        <v>1016.96</v>
      </c>
      <c r="K656" s="195">
        <f>SUMIF(FALTAS!A:A,A656,FALTAS!D:D)</f>
        <v>0</v>
      </c>
    </row>
    <row r="657" spans="1:11" x14ac:dyDescent="0.2">
      <c r="A657" s="235">
        <v>116002</v>
      </c>
      <c r="B657" s="236" t="s">
        <v>1171</v>
      </c>
      <c r="C657" s="236" t="s">
        <v>0</v>
      </c>
      <c r="D657" s="236" t="s">
        <v>5</v>
      </c>
      <c r="E657" s="237">
        <v>44207</v>
      </c>
      <c r="F657" s="236" t="s">
        <v>1234</v>
      </c>
      <c r="G657" s="237">
        <v>45149</v>
      </c>
      <c r="H657" s="234">
        <f>SUMIF(VA!B:B,A657,VA!I:I)</f>
        <v>359.46</v>
      </c>
      <c r="I657" s="33">
        <f>SUMIF(VR!B:B,A657,VR!I:I)</f>
        <v>657.5</v>
      </c>
      <c r="J657" s="4">
        <f t="shared" si="10"/>
        <v>1016.96</v>
      </c>
      <c r="K657" s="195">
        <f>SUMIF(FALTAS!A:A,A657,FALTAS!D:D)</f>
        <v>0</v>
      </c>
    </row>
    <row r="658" spans="1:11" x14ac:dyDescent="0.2">
      <c r="A658" s="235">
        <v>121685</v>
      </c>
      <c r="B658" s="236" t="s">
        <v>1599</v>
      </c>
      <c r="C658" s="236" t="s">
        <v>0</v>
      </c>
      <c r="D658" s="236" t="s">
        <v>5</v>
      </c>
      <c r="E658" s="237">
        <v>44994</v>
      </c>
      <c r="F658" s="236" t="s">
        <v>1234</v>
      </c>
      <c r="G658" s="237">
        <v>44994</v>
      </c>
      <c r="H658" s="234">
        <f>SUMIF(VA!B:B,A658,VA!I:I)</f>
        <v>359.46</v>
      </c>
      <c r="I658" s="33">
        <f>SUMIF(VR!B:B,A658,VR!I:I)</f>
        <v>657.5</v>
      </c>
      <c r="J658" s="4">
        <f t="shared" si="10"/>
        <v>1016.96</v>
      </c>
      <c r="K658" s="195">
        <f>SUMIF(FALTAS!A:A,A658,FALTAS!D:D)</f>
        <v>0</v>
      </c>
    </row>
    <row r="659" spans="1:11" x14ac:dyDescent="0.2">
      <c r="A659" s="235">
        <v>113077</v>
      </c>
      <c r="B659" s="236" t="s">
        <v>575</v>
      </c>
      <c r="C659" s="236" t="s">
        <v>0</v>
      </c>
      <c r="D659" s="236" t="s">
        <v>5</v>
      </c>
      <c r="E659" s="237">
        <v>43617</v>
      </c>
      <c r="F659" s="236" t="s">
        <v>1234</v>
      </c>
      <c r="G659" s="237">
        <v>44930</v>
      </c>
      <c r="H659" s="234">
        <f>SUMIF(VA!B:B,A659,VA!I:I)</f>
        <v>347.47</v>
      </c>
      <c r="I659" s="33">
        <f>SUMIF(VR!B:B,A659,VR!I:I)</f>
        <v>631.20000000000005</v>
      </c>
      <c r="J659" s="4">
        <f t="shared" si="10"/>
        <v>978.67000000000007</v>
      </c>
      <c r="K659" s="195">
        <f>SUMIF(FALTAS!A:A,A659,FALTAS!D:D)</f>
        <v>1</v>
      </c>
    </row>
    <row r="660" spans="1:11" x14ac:dyDescent="0.2">
      <c r="A660" s="235">
        <v>113123</v>
      </c>
      <c r="B660" s="236" t="s">
        <v>599</v>
      </c>
      <c r="C660" s="236" t="s">
        <v>1589</v>
      </c>
      <c r="D660" s="236" t="s">
        <v>282</v>
      </c>
      <c r="E660" s="237">
        <v>43617</v>
      </c>
      <c r="F660" s="236" t="s">
        <v>1234</v>
      </c>
      <c r="G660" s="237">
        <v>44806</v>
      </c>
      <c r="H660" s="234">
        <f>SUMIF(VA!B:B,A660,VA!I:I)</f>
        <v>359.46</v>
      </c>
      <c r="I660" s="33">
        <f>SUMIF(VR!B:B,A660,VR!I:I)</f>
        <v>657.5</v>
      </c>
      <c r="J660" s="4">
        <f t="shared" si="10"/>
        <v>1016.96</v>
      </c>
      <c r="K660" s="195">
        <f>SUMIF(FALTAS!A:A,A660,FALTAS!D:D)</f>
        <v>0</v>
      </c>
    </row>
    <row r="661" spans="1:11" x14ac:dyDescent="0.2">
      <c r="A661" s="235">
        <v>121326</v>
      </c>
      <c r="B661" s="236" t="s">
        <v>1538</v>
      </c>
      <c r="C661" s="236" t="s">
        <v>32</v>
      </c>
      <c r="D661" s="236" t="s">
        <v>5</v>
      </c>
      <c r="E661" s="237">
        <v>44945</v>
      </c>
      <c r="F661" s="236" t="s">
        <v>1234</v>
      </c>
      <c r="G661" s="237">
        <v>44945</v>
      </c>
      <c r="H661" s="234">
        <f>SUMIF(VA!B:B,A661,VA!I:I)</f>
        <v>359.46</v>
      </c>
      <c r="I661" s="33">
        <f>SUMIF(VR!B:B,A661,VR!I:I)</f>
        <v>657.5</v>
      </c>
      <c r="J661" s="4">
        <f t="shared" si="10"/>
        <v>1016.96</v>
      </c>
      <c r="K661" s="195">
        <f>SUMIF(FALTAS!A:A,A661,FALTAS!D:D)</f>
        <v>0</v>
      </c>
    </row>
    <row r="662" spans="1:11" x14ac:dyDescent="0.2">
      <c r="A662" s="235">
        <v>112513</v>
      </c>
      <c r="B662" s="236" t="s">
        <v>230</v>
      </c>
      <c r="C662" s="236" t="s">
        <v>8</v>
      </c>
      <c r="D662" s="236" t="s">
        <v>146</v>
      </c>
      <c r="E662" s="237">
        <v>43617</v>
      </c>
      <c r="F662" s="236" t="s">
        <v>1234</v>
      </c>
      <c r="G662" s="237">
        <v>44993</v>
      </c>
      <c r="H662" s="234">
        <f>SUMIF(VA!B:B,A662,VA!I:I)</f>
        <v>359.46</v>
      </c>
      <c r="I662" s="33">
        <f>SUMIF(VR!B:B,A662,VR!I:I)</f>
        <v>657.5</v>
      </c>
      <c r="J662" s="4">
        <f t="shared" si="10"/>
        <v>1016.96</v>
      </c>
      <c r="K662" s="195">
        <f>SUMIF(FALTAS!A:A,A662,FALTAS!D:D)</f>
        <v>0</v>
      </c>
    </row>
    <row r="663" spans="1:11" x14ac:dyDescent="0.2">
      <c r="A663" s="235">
        <v>122439</v>
      </c>
      <c r="B663" s="236" t="s">
        <v>1702</v>
      </c>
      <c r="C663" s="236" t="s">
        <v>1589</v>
      </c>
      <c r="D663" s="236" t="s">
        <v>5</v>
      </c>
      <c r="E663" s="237">
        <v>45117</v>
      </c>
      <c r="F663" s="236" t="s">
        <v>1234</v>
      </c>
      <c r="G663" s="237">
        <v>45117</v>
      </c>
      <c r="H663" s="234">
        <f>SUMIF(VA!B:B,A663,VA!I:I)</f>
        <v>359.46</v>
      </c>
      <c r="I663" s="33">
        <f>SUMIF(VR!B:B,A663,VR!I:I)</f>
        <v>657.5</v>
      </c>
      <c r="J663" s="4">
        <f t="shared" si="10"/>
        <v>1016.96</v>
      </c>
      <c r="K663" s="195">
        <f>SUMIF(FALTAS!A:A,A663,FALTAS!D:D)</f>
        <v>0</v>
      </c>
    </row>
    <row r="664" spans="1:11" x14ac:dyDescent="0.2">
      <c r="A664" s="235">
        <v>121321</v>
      </c>
      <c r="B664" s="236" t="s">
        <v>1539</v>
      </c>
      <c r="C664" s="236" t="s">
        <v>19</v>
      </c>
      <c r="D664" s="236" t="s">
        <v>2</v>
      </c>
      <c r="E664" s="237">
        <v>44945</v>
      </c>
      <c r="F664" s="236" t="s">
        <v>1234</v>
      </c>
      <c r="G664" s="237">
        <v>44945</v>
      </c>
      <c r="H664" s="234">
        <f>SUMIF(VA!B:B,A664,VA!I:I)</f>
        <v>359.46</v>
      </c>
      <c r="I664" s="33">
        <f>SUMIF(VR!B:B,A664,VR!I:I)</f>
        <v>657.5</v>
      </c>
      <c r="J664" s="4">
        <f t="shared" si="10"/>
        <v>1016.96</v>
      </c>
      <c r="K664" s="195">
        <f>SUMIF(FALTAS!A:A,A664,FALTAS!D:D)</f>
        <v>0</v>
      </c>
    </row>
    <row r="665" spans="1:11" x14ac:dyDescent="0.2">
      <c r="A665" s="235">
        <v>112218</v>
      </c>
      <c r="B665" s="236" t="s">
        <v>1540</v>
      </c>
      <c r="C665" s="236" t="s">
        <v>0</v>
      </c>
      <c r="D665" s="236" t="s">
        <v>5</v>
      </c>
      <c r="E665" s="237">
        <v>43617</v>
      </c>
      <c r="F665" s="236" t="s">
        <v>1234</v>
      </c>
      <c r="G665" s="237">
        <v>45050</v>
      </c>
      <c r="H665" s="234">
        <f>SUMIF(VA!B:B,A665,VA!I:I)</f>
        <v>359.46</v>
      </c>
      <c r="I665" s="33">
        <f>SUMIF(VR!B:B,A665,VR!I:I)</f>
        <v>657.5</v>
      </c>
      <c r="J665" s="4">
        <f t="shared" si="10"/>
        <v>1016.96</v>
      </c>
      <c r="K665" s="195">
        <f>SUMIF(FALTAS!A:A,A665,FALTAS!D:D)</f>
        <v>0</v>
      </c>
    </row>
    <row r="666" spans="1:11" x14ac:dyDescent="0.2">
      <c r="A666" s="235">
        <v>112451</v>
      </c>
      <c r="B666" s="236" t="s">
        <v>189</v>
      </c>
      <c r="C666" s="236" t="s">
        <v>8</v>
      </c>
      <c r="D666" s="236" t="s">
        <v>5</v>
      </c>
      <c r="E666" s="237">
        <v>43617</v>
      </c>
      <c r="F666" s="236" t="s">
        <v>1234</v>
      </c>
      <c r="G666" s="237">
        <v>45056</v>
      </c>
      <c r="H666" s="234">
        <f>SUMIF(VA!B:B,A666,VA!I:I)</f>
        <v>347.47</v>
      </c>
      <c r="I666" s="33">
        <f>SUMIF(VR!B:B,A666,VR!I:I)</f>
        <v>631.20000000000005</v>
      </c>
      <c r="J666" s="4">
        <f t="shared" si="10"/>
        <v>978.67000000000007</v>
      </c>
      <c r="K666" s="195">
        <f>SUMIF(FALTAS!A:A,A666,FALTAS!D:D)</f>
        <v>1</v>
      </c>
    </row>
    <row r="667" spans="1:11" x14ac:dyDescent="0.2">
      <c r="A667" s="235">
        <v>113303</v>
      </c>
      <c r="B667" s="236" t="s">
        <v>697</v>
      </c>
      <c r="C667" s="236" t="s">
        <v>1589</v>
      </c>
      <c r="D667" s="236" t="s">
        <v>22</v>
      </c>
      <c r="E667" s="237">
        <v>43617</v>
      </c>
      <c r="F667" s="236" t="s">
        <v>1234</v>
      </c>
      <c r="G667" s="237">
        <v>44993</v>
      </c>
      <c r="H667" s="234">
        <f>SUMIF(VA!B:B,A667,VA!I:I)</f>
        <v>359.46</v>
      </c>
      <c r="I667" s="33">
        <f>SUMIF(VR!B:B,A667,VR!I:I)</f>
        <v>657.5</v>
      </c>
      <c r="J667" s="4">
        <f t="shared" si="10"/>
        <v>1016.96</v>
      </c>
      <c r="K667" s="195">
        <f>SUMIF(FALTAS!A:A,A667,FALTAS!D:D)</f>
        <v>0</v>
      </c>
    </row>
    <row r="668" spans="1:11" x14ac:dyDescent="0.2">
      <c r="A668" s="235">
        <v>113080</v>
      </c>
      <c r="B668" s="236" t="s">
        <v>577</v>
      </c>
      <c r="C668" s="236" t="s">
        <v>1589</v>
      </c>
      <c r="D668" s="236" t="s">
        <v>22</v>
      </c>
      <c r="E668" s="237">
        <v>43617</v>
      </c>
      <c r="F668" s="236" t="s">
        <v>1234</v>
      </c>
      <c r="G668" s="237">
        <v>44930</v>
      </c>
      <c r="H668" s="234">
        <f>SUMIF(VA!B:B,A668,VA!I:I)</f>
        <v>359.46</v>
      </c>
      <c r="I668" s="33">
        <f>SUMIF(VR!B:B,A668,VR!I:I)</f>
        <v>657.5</v>
      </c>
      <c r="J668" s="4">
        <f t="shared" si="10"/>
        <v>1016.96</v>
      </c>
      <c r="K668" s="195">
        <f>SUMIF(FALTAS!A:A,A668,FALTAS!D:D)</f>
        <v>0</v>
      </c>
    </row>
    <row r="669" spans="1:11" x14ac:dyDescent="0.2">
      <c r="A669" s="235">
        <v>122575</v>
      </c>
      <c r="B669" s="236" t="s">
        <v>1703</v>
      </c>
      <c r="C669" s="236" t="s">
        <v>8</v>
      </c>
      <c r="D669" s="236" t="s">
        <v>5</v>
      </c>
      <c r="E669" s="237">
        <v>45131</v>
      </c>
      <c r="F669" s="236" t="s">
        <v>1234</v>
      </c>
      <c r="G669" s="237">
        <v>45131</v>
      </c>
      <c r="H669" s="234">
        <f>SUMIF(VA!B:B,A669,VA!I:I)</f>
        <v>359.46</v>
      </c>
      <c r="I669" s="33">
        <f>SUMIF(VR!B:B,A669,VR!I:I)</f>
        <v>657.5</v>
      </c>
      <c r="J669" s="4">
        <f t="shared" si="10"/>
        <v>1016.96</v>
      </c>
      <c r="K669" s="195">
        <f>SUMIF(FALTAS!A:A,A669,FALTAS!D:D)</f>
        <v>0</v>
      </c>
    </row>
    <row r="670" spans="1:11" x14ac:dyDescent="0.2">
      <c r="A670" s="235">
        <v>113602</v>
      </c>
      <c r="B670" s="236" t="s">
        <v>870</v>
      </c>
      <c r="C670" s="236" t="s">
        <v>1589</v>
      </c>
      <c r="D670" s="236" t="s">
        <v>15</v>
      </c>
      <c r="E670" s="237">
        <v>43617</v>
      </c>
      <c r="F670" s="236" t="s">
        <v>1234</v>
      </c>
      <c r="G670" s="237">
        <v>45119</v>
      </c>
      <c r="H670" s="234">
        <f>SUMIF(VA!B:B,A670,VA!I:I)</f>
        <v>359.46</v>
      </c>
      <c r="I670" s="33">
        <f>SUMIF(VR!B:B,A670,VR!I:I)</f>
        <v>657.5</v>
      </c>
      <c r="J670" s="4">
        <f t="shared" si="10"/>
        <v>1016.96</v>
      </c>
      <c r="K670" s="195">
        <f>SUMIF(FALTAS!A:A,A670,FALTAS!D:D)</f>
        <v>0</v>
      </c>
    </row>
    <row r="671" spans="1:11" x14ac:dyDescent="0.2">
      <c r="A671" s="235">
        <v>113432</v>
      </c>
      <c r="B671" s="236" t="s">
        <v>777</v>
      </c>
      <c r="C671" s="236" t="s">
        <v>0</v>
      </c>
      <c r="D671" s="236" t="s">
        <v>2</v>
      </c>
      <c r="E671" s="237">
        <v>43617</v>
      </c>
      <c r="F671" s="236" t="s">
        <v>1235</v>
      </c>
      <c r="G671" s="237">
        <v>45147</v>
      </c>
      <c r="H671" s="234">
        <f>SUMIF(VA!B:B,A671,VA!I:I)</f>
        <v>359.46</v>
      </c>
      <c r="I671" s="33">
        <f>SUMIF(VR!B:B,A671,VR!I:I)</f>
        <v>657.5</v>
      </c>
      <c r="J671" s="4">
        <f t="shared" si="10"/>
        <v>1016.96</v>
      </c>
      <c r="K671" s="195">
        <f>SUMIF(FALTAS!A:A,A671,FALTAS!D:D)</f>
        <v>0</v>
      </c>
    </row>
    <row r="672" spans="1:11" x14ac:dyDescent="0.2">
      <c r="A672" s="235">
        <v>112303</v>
      </c>
      <c r="B672" s="236" t="s">
        <v>99</v>
      </c>
      <c r="C672" s="236" t="s">
        <v>10</v>
      </c>
      <c r="D672" s="236" t="s">
        <v>2</v>
      </c>
      <c r="E672" s="237">
        <v>43617</v>
      </c>
      <c r="F672" s="236" t="s">
        <v>1234</v>
      </c>
      <c r="G672" s="237">
        <v>44806</v>
      </c>
      <c r="H672" s="234">
        <f>SUMIF(VA!B:B,A672,VA!I:I)</f>
        <v>347.47</v>
      </c>
      <c r="I672" s="33">
        <f>SUMIF(VR!B:B,A672,VR!I:I)</f>
        <v>631.20000000000005</v>
      </c>
      <c r="J672" s="4">
        <f t="shared" si="10"/>
        <v>978.67000000000007</v>
      </c>
      <c r="K672" s="195">
        <f>SUMIF(FALTAS!A:A,A672,FALTAS!D:D)</f>
        <v>1</v>
      </c>
    </row>
    <row r="673" spans="1:11" x14ac:dyDescent="0.2">
      <c r="A673" s="235">
        <v>112180</v>
      </c>
      <c r="B673" s="236" t="s">
        <v>1571</v>
      </c>
      <c r="C673" s="236" t="s">
        <v>0</v>
      </c>
      <c r="D673" s="236" t="s">
        <v>5</v>
      </c>
      <c r="E673" s="237">
        <v>43617</v>
      </c>
      <c r="F673" s="236" t="s">
        <v>1582</v>
      </c>
      <c r="G673" s="237">
        <v>44575</v>
      </c>
      <c r="H673" s="234">
        <f>SUMIF(VA!B:B,A673,VA!I:I)</f>
        <v>0</v>
      </c>
      <c r="I673" s="33">
        <f>SUMIF(VR!B:B,A673,VR!I:I)</f>
        <v>0</v>
      </c>
      <c r="J673" s="4">
        <f t="shared" si="10"/>
        <v>0</v>
      </c>
      <c r="K673" s="195">
        <f>SUMIF(FALTAS!A:A,A673,FALTAS!D:D)</f>
        <v>0</v>
      </c>
    </row>
    <row r="674" spans="1:11" x14ac:dyDescent="0.2">
      <c r="A674" s="235">
        <v>113081</v>
      </c>
      <c r="B674" s="236" t="s">
        <v>578</v>
      </c>
      <c r="C674" s="236" t="s">
        <v>0</v>
      </c>
      <c r="D674" s="236" t="s">
        <v>5</v>
      </c>
      <c r="E674" s="237">
        <v>43617</v>
      </c>
      <c r="F674" s="236" t="s">
        <v>1234</v>
      </c>
      <c r="G674" s="237">
        <v>44898</v>
      </c>
      <c r="H674" s="234">
        <f>SUMIF(VA!B:B,A674,VA!I:I)</f>
        <v>359.46</v>
      </c>
      <c r="I674" s="33">
        <f>SUMIF(VR!B:B,A674,VR!I:I)</f>
        <v>657.5</v>
      </c>
      <c r="J674" s="4">
        <f t="shared" si="10"/>
        <v>1016.96</v>
      </c>
      <c r="K674" s="195">
        <f>SUMIF(FALTAS!A:A,A674,FALTAS!D:D)</f>
        <v>0</v>
      </c>
    </row>
    <row r="675" spans="1:11" x14ac:dyDescent="0.2">
      <c r="A675" s="235">
        <v>114925</v>
      </c>
      <c r="B675" s="236" t="s">
        <v>1115</v>
      </c>
      <c r="C675" s="236" t="s">
        <v>1589</v>
      </c>
      <c r="D675" s="236" t="s">
        <v>481</v>
      </c>
      <c r="E675" s="237">
        <v>43916</v>
      </c>
      <c r="F675" s="236" t="s">
        <v>1234</v>
      </c>
      <c r="G675" s="237">
        <v>45119</v>
      </c>
      <c r="H675" s="234">
        <f>SUMIF(VA!B:B,A675,VA!I:I)</f>
        <v>359.46</v>
      </c>
      <c r="I675" s="33">
        <f>SUMIF(VR!B:B,A675,VR!I:I)</f>
        <v>657.5</v>
      </c>
      <c r="J675" s="4">
        <f t="shared" si="10"/>
        <v>1016.96</v>
      </c>
      <c r="K675" s="195">
        <f>SUMIF(FALTAS!A:A,A675,FALTAS!D:D)</f>
        <v>0</v>
      </c>
    </row>
    <row r="676" spans="1:11" x14ac:dyDescent="0.2">
      <c r="A676" s="235">
        <v>112338</v>
      </c>
      <c r="B676" s="236" t="s">
        <v>118</v>
      </c>
      <c r="C676" s="236" t="s">
        <v>8</v>
      </c>
      <c r="D676" s="236" t="s">
        <v>5</v>
      </c>
      <c r="E676" s="237">
        <v>43617</v>
      </c>
      <c r="F676" s="236" t="s">
        <v>1234</v>
      </c>
      <c r="G676" s="237">
        <v>44960</v>
      </c>
      <c r="H676" s="234">
        <f>SUMIF(VA!B:B,A676,VA!I:I)</f>
        <v>359.46</v>
      </c>
      <c r="I676" s="33">
        <f>SUMIF(VR!B:B,A676,VR!I:I)</f>
        <v>657.5</v>
      </c>
      <c r="J676" s="4">
        <f t="shared" si="10"/>
        <v>1016.96</v>
      </c>
      <c r="K676" s="195">
        <f>SUMIF(FALTAS!A:A,A676,FALTAS!D:D)</f>
        <v>0</v>
      </c>
    </row>
    <row r="677" spans="1:11" x14ac:dyDescent="0.2">
      <c r="A677" s="235">
        <v>113370</v>
      </c>
      <c r="B677" s="236" t="s">
        <v>737</v>
      </c>
      <c r="C677" s="236" t="s">
        <v>0</v>
      </c>
      <c r="D677" s="236" t="s">
        <v>2</v>
      </c>
      <c r="E677" s="237">
        <v>43617</v>
      </c>
      <c r="F677" s="236" t="s">
        <v>1234</v>
      </c>
      <c r="G677" s="237">
        <v>44835</v>
      </c>
      <c r="H677" s="234">
        <f>SUMIF(VA!B:B,A677,VA!I:I)</f>
        <v>359.46</v>
      </c>
      <c r="I677" s="33">
        <f>SUMIF(VR!B:B,A677,VR!I:I)</f>
        <v>657.5</v>
      </c>
      <c r="J677" s="4">
        <f t="shared" si="10"/>
        <v>1016.96</v>
      </c>
      <c r="K677" s="195">
        <f>SUMIF(FALTAS!A:A,A677,FALTAS!D:D)</f>
        <v>0</v>
      </c>
    </row>
    <row r="678" spans="1:11" x14ac:dyDescent="0.2">
      <c r="A678" s="235">
        <v>113120</v>
      </c>
      <c r="B678" s="236" t="s">
        <v>598</v>
      </c>
      <c r="C678" s="236" t="s">
        <v>10</v>
      </c>
      <c r="D678" s="236" t="s">
        <v>39</v>
      </c>
      <c r="E678" s="237">
        <v>43617</v>
      </c>
      <c r="F678" s="236" t="s">
        <v>1234</v>
      </c>
      <c r="G678" s="237">
        <v>44776</v>
      </c>
      <c r="H678" s="234">
        <f>SUMIF(VA!B:B,A678,VA!I:I)</f>
        <v>359.46</v>
      </c>
      <c r="I678" s="33">
        <f>SUMIF(VR!B:B,A678,VR!I:I)</f>
        <v>657.5</v>
      </c>
      <c r="J678" s="4">
        <f t="shared" si="10"/>
        <v>1016.96</v>
      </c>
      <c r="K678" s="195">
        <f>SUMIF(FALTAS!A:A,A678,FALTAS!D:D)</f>
        <v>0</v>
      </c>
    </row>
    <row r="679" spans="1:11" x14ac:dyDescent="0.2">
      <c r="A679" s="235">
        <v>112909</v>
      </c>
      <c r="B679" s="236" t="s">
        <v>493</v>
      </c>
      <c r="C679" s="236" t="s">
        <v>8</v>
      </c>
      <c r="D679" s="236" t="s">
        <v>2</v>
      </c>
      <c r="E679" s="237">
        <v>43617</v>
      </c>
      <c r="F679" s="236" t="s">
        <v>1234</v>
      </c>
      <c r="G679" s="237">
        <v>45119</v>
      </c>
      <c r="H679" s="234">
        <f>SUMIF(VA!B:B,A679,VA!I:I)</f>
        <v>359.46</v>
      </c>
      <c r="I679" s="33">
        <f>SUMIF(VR!B:B,A679,VR!I:I)</f>
        <v>657.5</v>
      </c>
      <c r="J679" s="4">
        <f t="shared" si="10"/>
        <v>1016.96</v>
      </c>
      <c r="K679" s="195">
        <f>SUMIF(FALTAS!A:A,A679,FALTAS!D:D)</f>
        <v>0</v>
      </c>
    </row>
    <row r="680" spans="1:11" x14ac:dyDescent="0.2">
      <c r="A680" s="235">
        <v>112204</v>
      </c>
      <c r="B680" s="236" t="s">
        <v>33</v>
      </c>
      <c r="C680" s="236" t="s">
        <v>10</v>
      </c>
      <c r="D680" s="236" t="s">
        <v>5</v>
      </c>
      <c r="E680" s="237">
        <v>43617</v>
      </c>
      <c r="F680" s="236" t="s">
        <v>1234</v>
      </c>
      <c r="G680" s="237">
        <v>44776</v>
      </c>
      <c r="H680" s="234">
        <f>SUMIF(VA!B:B,A680,VA!I:I)</f>
        <v>359.46</v>
      </c>
      <c r="I680" s="33">
        <f>SUMIF(VR!B:B,A680,VR!I:I)</f>
        <v>657.5</v>
      </c>
      <c r="J680" s="4">
        <f t="shared" si="10"/>
        <v>1016.96</v>
      </c>
      <c r="K680" s="195">
        <f>SUMIF(FALTAS!A:A,A680,FALTAS!D:D)</f>
        <v>0</v>
      </c>
    </row>
    <row r="681" spans="1:11" x14ac:dyDescent="0.2">
      <c r="A681" s="235">
        <v>113715</v>
      </c>
      <c r="B681" s="236" t="s">
        <v>934</v>
      </c>
      <c r="C681" s="236" t="s">
        <v>1589</v>
      </c>
      <c r="D681" s="236" t="s">
        <v>935</v>
      </c>
      <c r="E681" s="237">
        <v>43619</v>
      </c>
      <c r="F681" s="236" t="s">
        <v>1234</v>
      </c>
      <c r="G681" s="237">
        <v>44776</v>
      </c>
      <c r="H681" s="234">
        <f>SUMIF(VA!B:B,A681,VA!I:I)</f>
        <v>359.46</v>
      </c>
      <c r="I681" s="33">
        <f>SUMIF(VR!B:B,A681,VR!I:I)</f>
        <v>657.5</v>
      </c>
      <c r="J681" s="4">
        <f t="shared" si="10"/>
        <v>1016.96</v>
      </c>
      <c r="K681" s="195">
        <f>SUMIF(FALTAS!A:A,A681,FALTAS!D:D)</f>
        <v>0</v>
      </c>
    </row>
    <row r="682" spans="1:11" x14ac:dyDescent="0.2">
      <c r="A682" s="235">
        <v>112232</v>
      </c>
      <c r="B682" s="236" t="s">
        <v>53</v>
      </c>
      <c r="C682" s="236" t="s">
        <v>10</v>
      </c>
      <c r="D682" s="236" t="s">
        <v>2</v>
      </c>
      <c r="E682" s="237">
        <v>43617</v>
      </c>
      <c r="F682" s="236" t="s">
        <v>1234</v>
      </c>
      <c r="G682" s="237">
        <v>45119</v>
      </c>
      <c r="H682" s="234">
        <f>SUMIF(VA!B:B,A682,VA!I:I)</f>
        <v>359.46</v>
      </c>
      <c r="I682" s="33">
        <f>SUMIF(VR!B:B,A682,VR!I:I)</f>
        <v>657.5</v>
      </c>
      <c r="J682" s="4">
        <f t="shared" si="10"/>
        <v>1016.96</v>
      </c>
      <c r="K682" s="195">
        <f>SUMIF(FALTAS!A:A,A682,FALTAS!D:D)</f>
        <v>0</v>
      </c>
    </row>
    <row r="683" spans="1:11" x14ac:dyDescent="0.2">
      <c r="A683" s="235">
        <v>113021</v>
      </c>
      <c r="B683" s="236" t="s">
        <v>53</v>
      </c>
      <c r="C683" s="236" t="s">
        <v>19</v>
      </c>
      <c r="D683" s="236" t="s">
        <v>2</v>
      </c>
      <c r="E683" s="237">
        <v>43620</v>
      </c>
      <c r="F683" s="236" t="s">
        <v>1234</v>
      </c>
      <c r="G683" s="237">
        <v>45056</v>
      </c>
      <c r="H683" s="234">
        <f>SUMIF(VA!B:B,A683,VA!I:I)</f>
        <v>359.46</v>
      </c>
      <c r="I683" s="33">
        <f>SUMIF(VR!B:B,A683,VR!I:I)</f>
        <v>657.5</v>
      </c>
      <c r="J683" s="4">
        <f t="shared" si="10"/>
        <v>1016.96</v>
      </c>
      <c r="K683" s="195">
        <f>SUMIF(FALTAS!A:A,A683,FALTAS!D:D)</f>
        <v>0</v>
      </c>
    </row>
    <row r="684" spans="1:11" x14ac:dyDescent="0.2">
      <c r="A684" s="235">
        <v>113373</v>
      </c>
      <c r="B684" s="236" t="s">
        <v>53</v>
      </c>
      <c r="C684" s="236" t="s">
        <v>0</v>
      </c>
      <c r="D684" s="236" t="s">
        <v>2</v>
      </c>
      <c r="E684" s="237">
        <v>43617</v>
      </c>
      <c r="F684" s="236" t="s">
        <v>1234</v>
      </c>
      <c r="G684" s="237">
        <v>44867</v>
      </c>
      <c r="H684" s="234">
        <f>SUMIF(VA!B:B,A684,VA!I:I)</f>
        <v>359.46</v>
      </c>
      <c r="I684" s="33">
        <f>SUMIF(VR!B:B,A684,VR!I:I)</f>
        <v>657.5</v>
      </c>
      <c r="J684" s="4">
        <f t="shared" si="10"/>
        <v>1016.96</v>
      </c>
      <c r="K684" s="195">
        <f>SUMIF(FALTAS!A:A,A684,FALTAS!D:D)</f>
        <v>0</v>
      </c>
    </row>
    <row r="685" spans="1:11" x14ac:dyDescent="0.2">
      <c r="A685" s="235">
        <v>113420</v>
      </c>
      <c r="B685" s="236" t="s">
        <v>53</v>
      </c>
      <c r="C685" s="236" t="s">
        <v>0</v>
      </c>
      <c r="D685" s="236" t="s">
        <v>2</v>
      </c>
      <c r="E685" s="237">
        <v>43617</v>
      </c>
      <c r="F685" s="236" t="s">
        <v>1234</v>
      </c>
      <c r="G685" s="237">
        <v>45056</v>
      </c>
      <c r="H685" s="234">
        <f>SUMIF(VA!B:B,A685,VA!I:I)</f>
        <v>359.46</v>
      </c>
      <c r="I685" s="33">
        <f>SUMIF(VR!B:B,A685,VR!I:I)</f>
        <v>657.5</v>
      </c>
      <c r="J685" s="4">
        <f t="shared" si="10"/>
        <v>1016.96</v>
      </c>
      <c r="K685" s="195">
        <f>SUMIF(FALTAS!A:A,A685,FALTAS!D:D)</f>
        <v>0</v>
      </c>
    </row>
    <row r="686" spans="1:11" x14ac:dyDescent="0.2">
      <c r="A686" s="235">
        <v>112917</v>
      </c>
      <c r="B686" s="236" t="s">
        <v>350</v>
      </c>
      <c r="C686" s="236" t="s">
        <v>8</v>
      </c>
      <c r="D686" s="236" t="s">
        <v>2</v>
      </c>
      <c r="E686" s="237">
        <v>43617</v>
      </c>
      <c r="F686" s="236" t="s">
        <v>1234</v>
      </c>
      <c r="G686" s="237">
        <v>44993</v>
      </c>
      <c r="H686" s="234">
        <f>SUMIF(VA!B:B,A686,VA!I:I)</f>
        <v>359.46</v>
      </c>
      <c r="I686" s="33">
        <f>SUMIF(VR!B:B,A686,VR!I:I)</f>
        <v>657.5</v>
      </c>
      <c r="J686" s="4">
        <f t="shared" si="10"/>
        <v>1016.96</v>
      </c>
      <c r="K686" s="195">
        <f>SUMIF(FALTAS!A:A,A686,FALTAS!D:D)</f>
        <v>0</v>
      </c>
    </row>
    <row r="687" spans="1:11" x14ac:dyDescent="0.2">
      <c r="A687" s="235">
        <v>112341</v>
      </c>
      <c r="B687" s="236" t="s">
        <v>121</v>
      </c>
      <c r="C687" s="236" t="s">
        <v>8</v>
      </c>
      <c r="D687" s="236" t="s">
        <v>5</v>
      </c>
      <c r="E687" s="237">
        <v>43617</v>
      </c>
      <c r="F687" s="236" t="s">
        <v>1234</v>
      </c>
      <c r="G687" s="237">
        <v>44776</v>
      </c>
      <c r="H687" s="234">
        <f>SUMIF(VA!B:B,A687,VA!I:I)</f>
        <v>359.46</v>
      </c>
      <c r="I687" s="33">
        <f>SUMIF(VR!B:B,A687,VR!I:I)</f>
        <v>657.5</v>
      </c>
      <c r="J687" s="4">
        <f t="shared" si="10"/>
        <v>1016.96</v>
      </c>
      <c r="K687" s="195">
        <f>SUMIF(FALTAS!A:A,A687,FALTAS!D:D)</f>
        <v>0</v>
      </c>
    </row>
    <row r="688" spans="1:11" x14ac:dyDescent="0.2">
      <c r="A688" s="235">
        <v>112236</v>
      </c>
      <c r="B688" s="236" t="s">
        <v>55</v>
      </c>
      <c r="C688" s="236" t="s">
        <v>19</v>
      </c>
      <c r="D688" s="236" t="s">
        <v>2</v>
      </c>
      <c r="E688" s="237">
        <v>43617</v>
      </c>
      <c r="F688" s="236" t="s">
        <v>1234</v>
      </c>
      <c r="G688" s="237">
        <v>44806</v>
      </c>
      <c r="H688" s="234">
        <f>SUMIF(VA!B:B,A688,VA!I:I)</f>
        <v>359.46</v>
      </c>
      <c r="I688" s="33">
        <f>SUMIF(VR!B:B,A688,VR!I:I)</f>
        <v>657.5</v>
      </c>
      <c r="J688" s="4">
        <f t="shared" si="10"/>
        <v>1016.96</v>
      </c>
      <c r="K688" s="195">
        <f>SUMIF(FALTAS!A:A,A688,FALTAS!D:D)</f>
        <v>0</v>
      </c>
    </row>
    <row r="689" spans="1:11" x14ac:dyDescent="0.2">
      <c r="A689" s="235">
        <v>112991</v>
      </c>
      <c r="B689" s="236" t="s">
        <v>536</v>
      </c>
      <c r="C689" s="236" t="s">
        <v>19</v>
      </c>
      <c r="D689" s="236" t="s">
        <v>146</v>
      </c>
      <c r="E689" s="237">
        <v>43617</v>
      </c>
      <c r="F689" s="236" t="s">
        <v>1234</v>
      </c>
      <c r="G689" s="237">
        <v>45023</v>
      </c>
      <c r="H689" s="234">
        <f>SUMIF(VA!B:B,A689,VA!I:I)</f>
        <v>359.46</v>
      </c>
      <c r="I689" s="33">
        <f>SUMIF(VR!B:B,A689,VR!I:I)</f>
        <v>657.5</v>
      </c>
      <c r="J689" s="4">
        <f t="shared" si="10"/>
        <v>1016.96</v>
      </c>
      <c r="K689" s="195">
        <f>SUMIF(FALTAS!A:A,A689,FALTAS!D:D)</f>
        <v>0</v>
      </c>
    </row>
    <row r="690" spans="1:11" x14ac:dyDescent="0.2">
      <c r="A690" s="235">
        <v>113422</v>
      </c>
      <c r="B690" s="236" t="s">
        <v>773</v>
      </c>
      <c r="C690" s="236" t="s">
        <v>0</v>
      </c>
      <c r="D690" s="236" t="s">
        <v>2</v>
      </c>
      <c r="E690" s="237">
        <v>43617</v>
      </c>
      <c r="F690" s="236" t="s">
        <v>1234</v>
      </c>
      <c r="G690" s="237">
        <v>44960</v>
      </c>
      <c r="H690" s="234">
        <f>SUMIF(VA!B:B,A690,VA!I:I)</f>
        <v>359.46</v>
      </c>
      <c r="I690" s="33">
        <f>SUMIF(VR!B:B,A690,VR!I:I)</f>
        <v>657.5</v>
      </c>
      <c r="J690" s="4">
        <f t="shared" si="10"/>
        <v>1016.96</v>
      </c>
      <c r="K690" s="195">
        <f>SUMIF(FALTAS!A:A,A690,FALTAS!D:D)</f>
        <v>0</v>
      </c>
    </row>
    <row r="691" spans="1:11" x14ac:dyDescent="0.2">
      <c r="A691" s="235">
        <v>113375</v>
      </c>
      <c r="B691" s="236" t="s">
        <v>739</v>
      </c>
      <c r="C691" s="236" t="s">
        <v>0</v>
      </c>
      <c r="D691" s="236" t="s">
        <v>2</v>
      </c>
      <c r="E691" s="237">
        <v>43617</v>
      </c>
      <c r="F691" s="236" t="s">
        <v>1234</v>
      </c>
      <c r="G691" s="237">
        <v>44776</v>
      </c>
      <c r="H691" s="234">
        <f>SUMIF(VA!B:B,A691,VA!I:I)</f>
        <v>359.46</v>
      </c>
      <c r="I691" s="33">
        <f>SUMIF(VR!B:B,A691,VR!I:I)</f>
        <v>657.5</v>
      </c>
      <c r="J691" s="4">
        <f t="shared" si="10"/>
        <v>1016.96</v>
      </c>
      <c r="K691" s="195">
        <f>SUMIF(FALTAS!A:A,A691,FALTAS!D:D)</f>
        <v>0</v>
      </c>
    </row>
    <row r="692" spans="1:11" x14ac:dyDescent="0.2">
      <c r="A692" s="235">
        <v>112346</v>
      </c>
      <c r="B692" s="236" t="s">
        <v>123</v>
      </c>
      <c r="C692" s="236" t="s">
        <v>8</v>
      </c>
      <c r="D692" s="236" t="s">
        <v>5</v>
      </c>
      <c r="E692" s="237">
        <v>43617</v>
      </c>
      <c r="F692" s="236" t="s">
        <v>1234</v>
      </c>
      <c r="G692" s="237">
        <v>44835</v>
      </c>
      <c r="H692" s="234">
        <f>SUMIF(VA!B:B,A692,VA!I:I)</f>
        <v>359.46</v>
      </c>
      <c r="I692" s="33">
        <f>SUMIF(VR!B:B,A692,VR!I:I)</f>
        <v>657.5</v>
      </c>
      <c r="J692" s="4">
        <f t="shared" si="10"/>
        <v>1016.96</v>
      </c>
      <c r="K692" s="195">
        <f>SUMIF(FALTAS!A:A,A692,FALTAS!D:D)</f>
        <v>0</v>
      </c>
    </row>
    <row r="693" spans="1:11" x14ac:dyDescent="0.2">
      <c r="A693" s="235">
        <v>112208</v>
      </c>
      <c r="B693" s="236" t="s">
        <v>35</v>
      </c>
      <c r="C693" s="236" t="s">
        <v>10</v>
      </c>
      <c r="D693" s="236" t="s">
        <v>5</v>
      </c>
      <c r="E693" s="237">
        <v>43617</v>
      </c>
      <c r="F693" s="236" t="s">
        <v>1234</v>
      </c>
      <c r="G693" s="237">
        <v>44867</v>
      </c>
      <c r="H693" s="234">
        <f>SUMIF(VA!B:B,A693,VA!I:I)</f>
        <v>359.46</v>
      </c>
      <c r="I693" s="33">
        <f>SUMIF(VR!B:B,A693,VR!I:I)</f>
        <v>657.5</v>
      </c>
      <c r="J693" s="4">
        <f t="shared" si="10"/>
        <v>1016.96</v>
      </c>
      <c r="K693" s="195">
        <f>SUMIF(FALTAS!A:A,A693,FALTAS!D:D)</f>
        <v>0</v>
      </c>
    </row>
    <row r="694" spans="1:11" x14ac:dyDescent="0.2">
      <c r="A694" s="235">
        <v>114541</v>
      </c>
      <c r="B694" s="236" t="s">
        <v>1056</v>
      </c>
      <c r="C694" s="236" t="s">
        <v>10</v>
      </c>
      <c r="D694" s="236" t="s">
        <v>5</v>
      </c>
      <c r="E694" s="237">
        <v>43817</v>
      </c>
      <c r="F694" s="236" t="s">
        <v>1234</v>
      </c>
      <c r="G694" s="237">
        <v>45086</v>
      </c>
      <c r="H694" s="234">
        <f>SUMIF(VA!B:B,A694,VA!I:I)</f>
        <v>347.47</v>
      </c>
      <c r="I694" s="33">
        <f>SUMIF(VR!B:B,A694,VR!I:I)</f>
        <v>631.20000000000005</v>
      </c>
      <c r="J694" s="4">
        <f t="shared" si="10"/>
        <v>978.67000000000007</v>
      </c>
      <c r="K694" s="195">
        <f>SUMIF(FALTAS!A:A,A694,FALTAS!D:D)</f>
        <v>1</v>
      </c>
    </row>
    <row r="695" spans="1:11" x14ac:dyDescent="0.2">
      <c r="A695" s="235">
        <v>112238</v>
      </c>
      <c r="B695" s="236" t="s">
        <v>44</v>
      </c>
      <c r="C695" s="236" t="s">
        <v>10</v>
      </c>
      <c r="D695" s="236" t="s">
        <v>2</v>
      </c>
      <c r="E695" s="237">
        <v>43617</v>
      </c>
      <c r="F695" s="236" t="s">
        <v>1234</v>
      </c>
      <c r="G695" s="237">
        <v>44993</v>
      </c>
      <c r="H695" s="234">
        <f>SUMIF(VA!B:B,A695,VA!I:I)</f>
        <v>359.46</v>
      </c>
      <c r="I695" s="33">
        <f>SUMIF(VR!B:B,A695,VR!I:I)</f>
        <v>657.5</v>
      </c>
      <c r="J695" s="4">
        <f t="shared" si="10"/>
        <v>1016.96</v>
      </c>
      <c r="K695" s="195">
        <f>SUMIF(FALTAS!A:A,A695,FALTAS!D:D)</f>
        <v>0</v>
      </c>
    </row>
    <row r="696" spans="1:11" x14ac:dyDescent="0.2">
      <c r="A696" s="235">
        <v>112924</v>
      </c>
      <c r="B696" s="236" t="s">
        <v>501</v>
      </c>
      <c r="C696" s="236" t="s">
        <v>8</v>
      </c>
      <c r="D696" s="236" t="s">
        <v>2</v>
      </c>
      <c r="E696" s="237">
        <v>43617</v>
      </c>
      <c r="F696" s="236" t="s">
        <v>1234</v>
      </c>
      <c r="G696" s="237">
        <v>44898</v>
      </c>
      <c r="H696" s="234">
        <f>SUMIF(VA!B:B,A696,VA!I:I)</f>
        <v>359.46</v>
      </c>
      <c r="I696" s="33">
        <f>SUMIF(VR!B:B,A696,VR!I:I)</f>
        <v>657.5</v>
      </c>
      <c r="J696" s="4">
        <f t="shared" si="10"/>
        <v>1016.96</v>
      </c>
      <c r="K696" s="195">
        <f>SUMIF(FALTAS!A:A,A696,FALTAS!D:D)</f>
        <v>0</v>
      </c>
    </row>
    <row r="697" spans="1:11" x14ac:dyDescent="0.2">
      <c r="A697" s="235">
        <v>122251</v>
      </c>
      <c r="B697" s="236" t="s">
        <v>1666</v>
      </c>
      <c r="C697" s="236" t="s">
        <v>8</v>
      </c>
      <c r="D697" s="236" t="s">
        <v>5</v>
      </c>
      <c r="E697" s="237">
        <v>45089</v>
      </c>
      <c r="F697" s="236" t="s">
        <v>1234</v>
      </c>
      <c r="G697" s="237">
        <v>45089</v>
      </c>
      <c r="H697" s="234">
        <f>SUMIF(VA!B:B,A697,VA!I:I)</f>
        <v>359.46</v>
      </c>
      <c r="I697" s="33">
        <f>SUMIF(VR!B:B,A697,VR!I:I)</f>
        <v>657.5</v>
      </c>
      <c r="J697" s="4">
        <f t="shared" si="10"/>
        <v>1016.96</v>
      </c>
      <c r="K697" s="195">
        <f>SUMIF(FALTAS!A:A,A697,FALTAS!D:D)</f>
        <v>0</v>
      </c>
    </row>
    <row r="698" spans="1:11" x14ac:dyDescent="0.2">
      <c r="A698" s="235">
        <v>113363</v>
      </c>
      <c r="B698" s="236" t="s">
        <v>731</v>
      </c>
      <c r="C698" s="236" t="s">
        <v>0</v>
      </c>
      <c r="D698" s="236" t="s">
        <v>2</v>
      </c>
      <c r="E698" s="237">
        <v>43617</v>
      </c>
      <c r="F698" s="236" t="s">
        <v>1234</v>
      </c>
      <c r="G698" s="237">
        <v>44806</v>
      </c>
      <c r="H698" s="234">
        <f>SUMIF(VA!B:B,A698,VA!I:I)</f>
        <v>359.46</v>
      </c>
      <c r="I698" s="33">
        <f>SUMIF(VR!B:B,A698,VR!I:I)</f>
        <v>657.5</v>
      </c>
      <c r="J698" s="4">
        <f t="shared" si="10"/>
        <v>1016.96</v>
      </c>
      <c r="K698" s="195">
        <f>SUMIF(FALTAS!A:A,A698,FALTAS!D:D)</f>
        <v>0</v>
      </c>
    </row>
    <row r="699" spans="1:11" x14ac:dyDescent="0.2">
      <c r="A699" s="235">
        <v>112245</v>
      </c>
      <c r="B699" s="236" t="s">
        <v>60</v>
      </c>
      <c r="C699" s="236" t="s">
        <v>10</v>
      </c>
      <c r="D699" s="236" t="s">
        <v>2</v>
      </c>
      <c r="E699" s="237">
        <v>43617</v>
      </c>
      <c r="F699" s="236" t="s">
        <v>1234</v>
      </c>
      <c r="G699" s="237">
        <v>44776</v>
      </c>
      <c r="H699" s="234">
        <f>SUMIF(VA!B:B,A699,VA!I:I)</f>
        <v>359.46</v>
      </c>
      <c r="I699" s="33">
        <f>SUMIF(VR!B:B,A699,VR!I:I)</f>
        <v>657.5</v>
      </c>
      <c r="J699" s="4">
        <f t="shared" si="10"/>
        <v>1016.96</v>
      </c>
      <c r="K699" s="195">
        <f>SUMIF(FALTAS!A:A,A699,FALTAS!D:D)</f>
        <v>0</v>
      </c>
    </row>
    <row r="700" spans="1:11" x14ac:dyDescent="0.2">
      <c r="A700" s="235">
        <v>116654</v>
      </c>
      <c r="B700" s="236" t="s">
        <v>959</v>
      </c>
      <c r="C700" s="236" t="s">
        <v>1252</v>
      </c>
      <c r="D700" s="236" t="s">
        <v>960</v>
      </c>
      <c r="E700" s="237">
        <v>44370</v>
      </c>
      <c r="F700" s="236" t="s">
        <v>1234</v>
      </c>
      <c r="G700" s="237">
        <v>44370</v>
      </c>
      <c r="H700" s="234">
        <f>SUMIF(VA!B:B,A700,VA!I:I)</f>
        <v>359.46</v>
      </c>
      <c r="I700" s="33">
        <f>SUMIF(VR!B:B,A700,VR!I:I)</f>
        <v>657.5</v>
      </c>
      <c r="J700" s="4">
        <f t="shared" si="10"/>
        <v>1016.96</v>
      </c>
      <c r="K700" s="195">
        <f>SUMIF(FALTAS!A:A,A700,FALTAS!D:D)</f>
        <v>0</v>
      </c>
    </row>
    <row r="701" spans="1:11" x14ac:dyDescent="0.2">
      <c r="A701" s="235">
        <v>112349</v>
      </c>
      <c r="B701" s="236" t="s">
        <v>125</v>
      </c>
      <c r="C701" s="236" t="s">
        <v>8</v>
      </c>
      <c r="D701" s="236" t="s">
        <v>5</v>
      </c>
      <c r="E701" s="237">
        <v>43617</v>
      </c>
      <c r="F701" s="236" t="s">
        <v>1234</v>
      </c>
      <c r="G701" s="237">
        <v>44835</v>
      </c>
      <c r="H701" s="234">
        <f>SUMIF(VA!B:B,A701,VA!I:I)</f>
        <v>359.46</v>
      </c>
      <c r="I701" s="33">
        <f>SUMIF(VR!B:B,A701,VR!I:I)</f>
        <v>657.5</v>
      </c>
      <c r="J701" s="4">
        <f t="shared" si="10"/>
        <v>1016.96</v>
      </c>
      <c r="K701" s="195">
        <f>SUMIF(FALTAS!A:A,A701,FALTAS!D:D)</f>
        <v>0</v>
      </c>
    </row>
    <row r="702" spans="1:11" x14ac:dyDescent="0.2">
      <c r="A702" s="235">
        <v>112926</v>
      </c>
      <c r="B702" s="236" t="s">
        <v>502</v>
      </c>
      <c r="C702" s="236" t="s">
        <v>8</v>
      </c>
      <c r="D702" s="236" t="s">
        <v>2</v>
      </c>
      <c r="E702" s="237">
        <v>43617</v>
      </c>
      <c r="F702" s="236" t="s">
        <v>1234</v>
      </c>
      <c r="G702" s="237">
        <v>45056</v>
      </c>
      <c r="H702" s="234">
        <f>SUMIF(VA!B:B,A702,VA!I:I)</f>
        <v>359.46</v>
      </c>
      <c r="I702" s="33">
        <f>SUMIF(VR!B:B,A702,VR!I:I)</f>
        <v>657.5</v>
      </c>
      <c r="J702" s="4">
        <f t="shared" si="10"/>
        <v>1016.96</v>
      </c>
      <c r="K702" s="195">
        <f>SUMIF(FALTAS!A:A,A702,FALTAS!D:D)</f>
        <v>0</v>
      </c>
    </row>
    <row r="703" spans="1:11" x14ac:dyDescent="0.2">
      <c r="A703" s="235">
        <v>122252</v>
      </c>
      <c r="B703" s="236" t="s">
        <v>1667</v>
      </c>
      <c r="C703" s="236" t="s">
        <v>1589</v>
      </c>
      <c r="D703" s="236" t="s">
        <v>5</v>
      </c>
      <c r="E703" s="237">
        <v>45089</v>
      </c>
      <c r="F703" s="236" t="s">
        <v>1234</v>
      </c>
      <c r="G703" s="237">
        <v>45089</v>
      </c>
      <c r="H703" s="234">
        <f>SUMIF(VA!B:B,A703,VA!I:I)</f>
        <v>359.46</v>
      </c>
      <c r="I703" s="33">
        <f>SUMIF(VR!B:B,A703,VR!I:I)</f>
        <v>657.5</v>
      </c>
      <c r="J703" s="4">
        <f t="shared" si="10"/>
        <v>1016.96</v>
      </c>
      <c r="K703" s="195">
        <f>SUMIF(FALTAS!A:A,A703,FALTAS!D:D)</f>
        <v>0</v>
      </c>
    </row>
    <row r="704" spans="1:11" x14ac:dyDescent="0.2">
      <c r="A704" s="235">
        <v>112248</v>
      </c>
      <c r="B704" s="236" t="s">
        <v>61</v>
      </c>
      <c r="C704" s="236" t="s">
        <v>10</v>
      </c>
      <c r="D704" s="236" t="s">
        <v>2</v>
      </c>
      <c r="E704" s="237">
        <v>43617</v>
      </c>
      <c r="F704" s="236" t="s">
        <v>1234</v>
      </c>
      <c r="G704" s="237">
        <v>45119</v>
      </c>
      <c r="H704" s="234">
        <f>SUMIF(VA!B:B,A704,VA!I:I)</f>
        <v>359.46</v>
      </c>
      <c r="I704" s="33">
        <f>SUMIF(VR!B:B,A704,VR!I:I)</f>
        <v>657.5</v>
      </c>
      <c r="J704" s="4">
        <f t="shared" si="10"/>
        <v>1016.96</v>
      </c>
      <c r="K704" s="195">
        <f>SUMIF(FALTAS!A:A,A704,FALTAS!D:D)</f>
        <v>0</v>
      </c>
    </row>
    <row r="705" spans="1:11" x14ac:dyDescent="0.2">
      <c r="A705" s="235">
        <v>113056</v>
      </c>
      <c r="B705" s="236" t="s">
        <v>564</v>
      </c>
      <c r="C705" s="236" t="s">
        <v>19</v>
      </c>
      <c r="D705" s="236" t="s">
        <v>2</v>
      </c>
      <c r="E705" s="237">
        <v>43617</v>
      </c>
      <c r="F705" s="236" t="s">
        <v>1234</v>
      </c>
      <c r="G705" s="237">
        <v>45119</v>
      </c>
      <c r="H705" s="234">
        <f>SUMIF(VA!B:B,A705,VA!I:I)</f>
        <v>359.46</v>
      </c>
      <c r="I705" s="33">
        <f>SUMIF(VR!B:B,A705,VR!I:I)</f>
        <v>657.5</v>
      </c>
      <c r="J705" s="4">
        <f t="shared" si="10"/>
        <v>1016.96</v>
      </c>
      <c r="K705" s="195">
        <f>SUMIF(FALTAS!A:A,A705,FALTAS!D:D)</f>
        <v>0</v>
      </c>
    </row>
    <row r="706" spans="1:11" x14ac:dyDescent="0.2">
      <c r="A706" s="235">
        <v>112973</v>
      </c>
      <c r="B706" s="236" t="s">
        <v>527</v>
      </c>
      <c r="C706" s="236" t="s">
        <v>19</v>
      </c>
      <c r="D706" s="236" t="s">
        <v>5</v>
      </c>
      <c r="E706" s="237">
        <v>43617</v>
      </c>
      <c r="F706" s="236" t="s">
        <v>1234</v>
      </c>
      <c r="G706" s="237">
        <v>44993</v>
      </c>
      <c r="H706" s="234">
        <f>SUMIF(VA!B:B,A706,VA!I:I)</f>
        <v>359.46</v>
      </c>
      <c r="I706" s="33">
        <f>SUMIF(VR!B:B,A706,VR!I:I)</f>
        <v>657.5</v>
      </c>
      <c r="J706" s="4">
        <f t="shared" ref="J706:J769" si="11">H706+I706</f>
        <v>1016.96</v>
      </c>
      <c r="K706" s="195">
        <f>SUMIF(FALTAS!A:A,A706,FALTAS!D:D)</f>
        <v>0</v>
      </c>
    </row>
    <row r="707" spans="1:11" x14ac:dyDescent="0.2">
      <c r="A707" s="235">
        <v>117239</v>
      </c>
      <c r="B707" s="236" t="s">
        <v>1261</v>
      </c>
      <c r="C707" s="236" t="s">
        <v>8</v>
      </c>
      <c r="D707" s="236" t="s">
        <v>5</v>
      </c>
      <c r="E707" s="237">
        <v>44487</v>
      </c>
      <c r="F707" s="236" t="s">
        <v>1234</v>
      </c>
      <c r="G707" s="237">
        <v>45149</v>
      </c>
      <c r="H707" s="234">
        <f>SUMIF(VA!B:B,A707,VA!I:I)</f>
        <v>359.46</v>
      </c>
      <c r="I707" s="33">
        <f>SUMIF(VR!B:B,A707,VR!I:I)</f>
        <v>657.5</v>
      </c>
      <c r="J707" s="4">
        <f t="shared" si="11"/>
        <v>1016.96</v>
      </c>
      <c r="K707" s="195">
        <f>SUMIF(FALTAS!A:A,A707,FALTAS!D:D)</f>
        <v>0</v>
      </c>
    </row>
    <row r="708" spans="1:11" x14ac:dyDescent="0.2">
      <c r="A708" s="235">
        <v>112459</v>
      </c>
      <c r="B708" s="236" t="s">
        <v>195</v>
      </c>
      <c r="C708" s="236" t="s">
        <v>1589</v>
      </c>
      <c r="D708" s="236" t="s">
        <v>771</v>
      </c>
      <c r="E708" s="237">
        <v>43617</v>
      </c>
      <c r="F708" s="236" t="s">
        <v>1234</v>
      </c>
      <c r="G708" s="237">
        <v>44960</v>
      </c>
      <c r="H708" s="234">
        <f>SUMIF(VA!B:B,A708,VA!I:I)</f>
        <v>359.46</v>
      </c>
      <c r="I708" s="33">
        <f>SUMIF(VR!B:B,A708,VR!I:I)</f>
        <v>657.5</v>
      </c>
      <c r="J708" s="4">
        <f t="shared" si="11"/>
        <v>1016.96</v>
      </c>
      <c r="K708" s="195">
        <f>SUMIF(FALTAS!A:A,A708,FALTAS!D:D)</f>
        <v>0</v>
      </c>
    </row>
    <row r="709" spans="1:11" x14ac:dyDescent="0.2">
      <c r="A709" s="235">
        <v>113377</v>
      </c>
      <c r="B709" s="236" t="s">
        <v>741</v>
      </c>
      <c r="C709" s="236" t="s">
        <v>0</v>
      </c>
      <c r="D709" s="236" t="s">
        <v>2</v>
      </c>
      <c r="E709" s="237">
        <v>43617</v>
      </c>
      <c r="F709" s="236" t="s">
        <v>1235</v>
      </c>
      <c r="G709" s="237">
        <v>45147</v>
      </c>
      <c r="H709" s="234">
        <f>SUMIF(VA!B:B,A709,VA!I:I)</f>
        <v>359.46</v>
      </c>
      <c r="I709" s="33">
        <f>SUMIF(VR!B:B,A709,VR!I:I)</f>
        <v>657.5</v>
      </c>
      <c r="J709" s="4">
        <f t="shared" si="11"/>
        <v>1016.96</v>
      </c>
      <c r="K709" s="195">
        <f>SUMIF(FALTAS!A:A,A709,FALTAS!D:D)</f>
        <v>0</v>
      </c>
    </row>
    <row r="710" spans="1:11" x14ac:dyDescent="0.2">
      <c r="A710" s="235">
        <v>112307</v>
      </c>
      <c r="B710" s="236" t="s">
        <v>101</v>
      </c>
      <c r="C710" s="236" t="s">
        <v>19</v>
      </c>
      <c r="D710" s="236" t="s">
        <v>2</v>
      </c>
      <c r="E710" s="237">
        <v>43617</v>
      </c>
      <c r="F710" s="236" t="s">
        <v>1234</v>
      </c>
      <c r="G710" s="237">
        <v>45149</v>
      </c>
      <c r="H710" s="234">
        <f>SUMIF(VA!B:B,A710,VA!I:I)</f>
        <v>359.46</v>
      </c>
      <c r="I710" s="33">
        <f>SUMIF(VR!B:B,A710,VR!I:I)</f>
        <v>657.5</v>
      </c>
      <c r="J710" s="4">
        <f t="shared" si="11"/>
        <v>1016.96</v>
      </c>
      <c r="K710" s="195">
        <f>SUMIF(FALTAS!A:A,A710,FALTAS!D:D)</f>
        <v>0</v>
      </c>
    </row>
    <row r="711" spans="1:11" x14ac:dyDescent="0.2">
      <c r="A711" s="235">
        <v>112927</v>
      </c>
      <c r="B711" s="236" t="s">
        <v>503</v>
      </c>
      <c r="C711" s="236" t="s">
        <v>8</v>
      </c>
      <c r="D711" s="236" t="s">
        <v>2</v>
      </c>
      <c r="E711" s="237">
        <v>43617</v>
      </c>
      <c r="F711" s="236" t="s">
        <v>1234</v>
      </c>
      <c r="G711" s="237">
        <v>44898</v>
      </c>
      <c r="H711" s="234">
        <f>SUMIF(VA!B:B,A711,VA!I:I)</f>
        <v>359.46</v>
      </c>
      <c r="I711" s="33">
        <f>SUMIF(VR!B:B,A711,VR!I:I)</f>
        <v>657.5</v>
      </c>
      <c r="J711" s="4">
        <f t="shared" si="11"/>
        <v>1016.96</v>
      </c>
      <c r="K711" s="195">
        <f>SUMIF(FALTAS!A:A,A711,FALTAS!D:D)</f>
        <v>0</v>
      </c>
    </row>
    <row r="712" spans="1:11" x14ac:dyDescent="0.2">
      <c r="A712" s="235">
        <v>112959</v>
      </c>
      <c r="B712" s="236" t="s">
        <v>522</v>
      </c>
      <c r="C712" s="236" t="s">
        <v>19</v>
      </c>
      <c r="D712" s="236" t="s">
        <v>5</v>
      </c>
      <c r="E712" s="237">
        <v>43617</v>
      </c>
      <c r="F712" s="236" t="s">
        <v>1234</v>
      </c>
      <c r="G712" s="237">
        <v>44989</v>
      </c>
      <c r="H712" s="234">
        <f>SUMIF(VA!B:B,A712,VA!I:I)</f>
        <v>359.46</v>
      </c>
      <c r="I712" s="33">
        <f>SUMIF(VR!B:B,A712,VR!I:I)</f>
        <v>657.5</v>
      </c>
      <c r="J712" s="4">
        <f t="shared" si="11"/>
        <v>1016.96</v>
      </c>
      <c r="K712" s="195">
        <f>SUMIF(FALTAS!A:A,A712,FALTAS!D:D)</f>
        <v>0</v>
      </c>
    </row>
    <row r="713" spans="1:11" x14ac:dyDescent="0.2">
      <c r="A713" s="235">
        <v>112928</v>
      </c>
      <c r="B713" s="236" t="s">
        <v>504</v>
      </c>
      <c r="C713" s="236" t="s">
        <v>8</v>
      </c>
      <c r="D713" s="236" t="s">
        <v>2</v>
      </c>
      <c r="E713" s="237">
        <v>43617</v>
      </c>
      <c r="F713" s="236" t="s">
        <v>1234</v>
      </c>
      <c r="G713" s="237">
        <v>44898</v>
      </c>
      <c r="H713" s="234">
        <f>SUMIF(VA!B:B,A713,VA!I:I)</f>
        <v>359.46</v>
      </c>
      <c r="I713" s="33">
        <f>SUMIF(VR!B:B,A713,VR!I:I)</f>
        <v>657.5</v>
      </c>
      <c r="J713" s="4">
        <f t="shared" si="11"/>
        <v>1016.96</v>
      </c>
      <c r="K713" s="195">
        <f>SUMIF(FALTAS!A:A,A713,FALTAS!D:D)</f>
        <v>0</v>
      </c>
    </row>
    <row r="714" spans="1:11" x14ac:dyDescent="0.2">
      <c r="A714" s="235">
        <v>114922</v>
      </c>
      <c r="B714" s="236" t="s">
        <v>1113</v>
      </c>
      <c r="C714" s="236" t="s">
        <v>1589</v>
      </c>
      <c r="D714" s="236" t="s">
        <v>22</v>
      </c>
      <c r="E714" s="237">
        <v>43916</v>
      </c>
      <c r="F714" s="236" t="s">
        <v>1234</v>
      </c>
      <c r="G714" s="237">
        <v>45119</v>
      </c>
      <c r="H714" s="234">
        <f>SUMIF(VA!B:B,A714,VA!I:I)</f>
        <v>359.46</v>
      </c>
      <c r="I714" s="33">
        <f>SUMIF(VR!B:B,A714,VR!I:I)</f>
        <v>657.5</v>
      </c>
      <c r="J714" s="4">
        <f t="shared" si="11"/>
        <v>1016.96</v>
      </c>
      <c r="K714" s="195">
        <f>SUMIF(FALTAS!A:A,A714,FALTAS!D:D)</f>
        <v>0</v>
      </c>
    </row>
    <row r="715" spans="1:11" x14ac:dyDescent="0.2">
      <c r="A715" s="235">
        <v>112212</v>
      </c>
      <c r="B715" s="236" t="s">
        <v>37</v>
      </c>
      <c r="C715" s="236" t="s">
        <v>10</v>
      </c>
      <c r="D715" s="236" t="s">
        <v>5</v>
      </c>
      <c r="E715" s="237">
        <v>43617</v>
      </c>
      <c r="F715" s="236" t="s">
        <v>1234</v>
      </c>
      <c r="G715" s="237">
        <v>44776</v>
      </c>
      <c r="H715" s="234">
        <f>SUMIF(VA!B:B,A715,VA!I:I)</f>
        <v>359.46</v>
      </c>
      <c r="I715" s="33">
        <f>SUMIF(VR!B:B,A715,VR!I:I)</f>
        <v>657.5</v>
      </c>
      <c r="J715" s="4">
        <f t="shared" si="11"/>
        <v>1016.96</v>
      </c>
      <c r="K715" s="195">
        <f>SUMIF(FALTAS!A:A,A715,FALTAS!D:D)</f>
        <v>0</v>
      </c>
    </row>
    <row r="716" spans="1:11" x14ac:dyDescent="0.2">
      <c r="A716" s="235">
        <v>118058</v>
      </c>
      <c r="B716" s="236" t="s">
        <v>1408</v>
      </c>
      <c r="C716" s="236" t="s">
        <v>0</v>
      </c>
      <c r="D716" s="236" t="s">
        <v>5</v>
      </c>
      <c r="E716" s="237">
        <v>44567</v>
      </c>
      <c r="F716" s="236" t="s">
        <v>1234</v>
      </c>
      <c r="G716" s="237">
        <v>44567</v>
      </c>
      <c r="H716" s="234">
        <f>SUMIF(VA!B:B,A716,VA!I:I)</f>
        <v>359.46</v>
      </c>
      <c r="I716" s="33">
        <f>SUMIF(VR!B:B,A716,VR!I:I)</f>
        <v>657.5</v>
      </c>
      <c r="J716" s="4">
        <f t="shared" si="11"/>
        <v>1016.96</v>
      </c>
      <c r="K716" s="195">
        <f>SUMIF(FALTAS!A:A,A716,FALTAS!D:D)</f>
        <v>0</v>
      </c>
    </row>
    <row r="717" spans="1:11" x14ac:dyDescent="0.2">
      <c r="A717" s="235">
        <v>113082</v>
      </c>
      <c r="B717" s="236" t="s">
        <v>579</v>
      </c>
      <c r="C717" s="236" t="s">
        <v>0</v>
      </c>
      <c r="D717" s="236" t="s">
        <v>2</v>
      </c>
      <c r="E717" s="237">
        <v>43617</v>
      </c>
      <c r="F717" s="236" t="s">
        <v>1285</v>
      </c>
      <c r="G717" s="237">
        <v>45128</v>
      </c>
      <c r="H717" s="234">
        <f>SUMIF(VA!B:B,A717,VA!I:I)</f>
        <v>0</v>
      </c>
      <c r="I717" s="33">
        <f>SUMIF(VR!B:B,A717,VR!I:I)</f>
        <v>0</v>
      </c>
      <c r="J717" s="4">
        <f t="shared" si="11"/>
        <v>0</v>
      </c>
      <c r="K717" s="195">
        <f>SUMIF(FALTAS!A:A,A717,FALTAS!D:D)</f>
        <v>0</v>
      </c>
    </row>
    <row r="718" spans="1:11" x14ac:dyDescent="0.2">
      <c r="A718" s="235">
        <v>112465</v>
      </c>
      <c r="B718" s="236" t="s">
        <v>197</v>
      </c>
      <c r="C718" s="236" t="s">
        <v>8</v>
      </c>
      <c r="D718" s="236" t="s">
        <v>2</v>
      </c>
      <c r="E718" s="237">
        <v>43617</v>
      </c>
      <c r="F718" s="236" t="s">
        <v>1234</v>
      </c>
      <c r="G718" s="237">
        <v>45056</v>
      </c>
      <c r="H718" s="234">
        <f>SUMIF(VA!B:B,A718,VA!I:I)</f>
        <v>359.46</v>
      </c>
      <c r="I718" s="33">
        <f>SUMIF(VR!B:B,A718,VR!I:I)</f>
        <v>657.5</v>
      </c>
      <c r="J718" s="4">
        <f t="shared" si="11"/>
        <v>1016.96</v>
      </c>
      <c r="K718" s="195">
        <f>SUMIF(FALTAS!A:A,A718,FALTAS!D:D)</f>
        <v>0</v>
      </c>
    </row>
    <row r="719" spans="1:11" x14ac:dyDescent="0.2">
      <c r="A719" s="235">
        <v>113729</v>
      </c>
      <c r="B719" s="236" t="s">
        <v>947</v>
      </c>
      <c r="C719" s="236" t="s">
        <v>1589</v>
      </c>
      <c r="D719" s="236" t="s">
        <v>700</v>
      </c>
      <c r="E719" s="237">
        <v>43619</v>
      </c>
      <c r="F719" s="236" t="s">
        <v>1234</v>
      </c>
      <c r="G719" s="237">
        <v>44898</v>
      </c>
      <c r="H719" s="234">
        <f>SUMIF(VA!B:B,A719,VA!I:I)</f>
        <v>359.46</v>
      </c>
      <c r="I719" s="33">
        <f>SUMIF(VR!B:B,A719,VR!I:I)</f>
        <v>657.5</v>
      </c>
      <c r="J719" s="4">
        <f t="shared" si="11"/>
        <v>1016.96</v>
      </c>
      <c r="K719" s="195">
        <f>SUMIF(FALTAS!A:A,A719,FALTAS!D:D)</f>
        <v>0</v>
      </c>
    </row>
    <row r="720" spans="1:11" x14ac:dyDescent="0.2">
      <c r="A720" s="235">
        <v>113645</v>
      </c>
      <c r="B720" s="236" t="s">
        <v>894</v>
      </c>
      <c r="C720" s="236" t="s">
        <v>1589</v>
      </c>
      <c r="D720" s="236" t="s">
        <v>15</v>
      </c>
      <c r="E720" s="237">
        <v>43617</v>
      </c>
      <c r="F720" s="236" t="s">
        <v>1235</v>
      </c>
      <c r="G720" s="237">
        <v>45147</v>
      </c>
      <c r="H720" s="234">
        <f>SUMIF(VA!B:B,A720,VA!I:I)</f>
        <v>359.46</v>
      </c>
      <c r="I720" s="33">
        <f>SUMIF(VR!B:B,A720,VR!I:I)</f>
        <v>657.5</v>
      </c>
      <c r="J720" s="4">
        <f t="shared" si="11"/>
        <v>1016.96</v>
      </c>
      <c r="K720" s="195">
        <f>SUMIF(FALTAS!A:A,A720,FALTAS!D:D)</f>
        <v>0</v>
      </c>
    </row>
    <row r="721" spans="1:11" x14ac:dyDescent="0.2">
      <c r="A721" s="235">
        <v>113649</v>
      </c>
      <c r="B721" s="236" t="s">
        <v>897</v>
      </c>
      <c r="C721" s="236" t="s">
        <v>1589</v>
      </c>
      <c r="D721" s="236" t="s">
        <v>413</v>
      </c>
      <c r="E721" s="237">
        <v>43617</v>
      </c>
      <c r="F721" s="236" t="s">
        <v>1234</v>
      </c>
      <c r="G721" s="237">
        <v>44993</v>
      </c>
      <c r="H721" s="234">
        <f>SUMIF(VA!B:B,A721,VA!I:I)</f>
        <v>359.46</v>
      </c>
      <c r="I721" s="33">
        <f>SUMIF(VR!B:B,A721,VR!I:I)</f>
        <v>657.5</v>
      </c>
      <c r="J721" s="4">
        <f t="shared" si="11"/>
        <v>1016.96</v>
      </c>
      <c r="K721" s="195">
        <f>SUMIF(FALTAS!A:A,A721,FALTAS!D:D)</f>
        <v>0</v>
      </c>
    </row>
    <row r="722" spans="1:11" x14ac:dyDescent="0.2">
      <c r="A722" s="235">
        <v>119920</v>
      </c>
      <c r="B722" s="236" t="s">
        <v>1485</v>
      </c>
      <c r="C722" s="236" t="s">
        <v>1589</v>
      </c>
      <c r="D722" s="236" t="s">
        <v>15</v>
      </c>
      <c r="E722" s="237">
        <v>44760</v>
      </c>
      <c r="F722" s="236" t="s">
        <v>1235</v>
      </c>
      <c r="G722" s="237">
        <v>45147</v>
      </c>
      <c r="H722" s="234">
        <f>SUMIF(VA!B:B,A722,VA!I:I)</f>
        <v>359.46</v>
      </c>
      <c r="I722" s="33">
        <f>SUMIF(VR!B:B,A722,VR!I:I)</f>
        <v>657.5</v>
      </c>
      <c r="J722" s="4">
        <f t="shared" si="11"/>
        <v>1016.96</v>
      </c>
      <c r="K722" s="195">
        <f>SUMIF(FALTAS!A:A,A722,FALTAS!D:D)</f>
        <v>0</v>
      </c>
    </row>
    <row r="723" spans="1:11" x14ac:dyDescent="0.2">
      <c r="A723" s="235">
        <v>113125</v>
      </c>
      <c r="B723" s="236" t="s">
        <v>601</v>
      </c>
      <c r="C723" s="236" t="s">
        <v>1589</v>
      </c>
      <c r="D723" s="236" t="s">
        <v>22</v>
      </c>
      <c r="E723" s="237">
        <v>43617</v>
      </c>
      <c r="F723" s="236" t="s">
        <v>1234</v>
      </c>
      <c r="G723" s="237">
        <v>44898</v>
      </c>
      <c r="H723" s="234">
        <f>SUMIF(VA!B:B,A723,VA!I:I)</f>
        <v>359.46</v>
      </c>
      <c r="I723" s="33">
        <f>SUMIF(VR!B:B,A723,VR!I:I)</f>
        <v>657.5</v>
      </c>
      <c r="J723" s="4">
        <f t="shared" si="11"/>
        <v>1016.96</v>
      </c>
      <c r="K723" s="195">
        <f>SUMIF(FALTAS!A:A,A723,FALTAS!D:D)</f>
        <v>0</v>
      </c>
    </row>
    <row r="724" spans="1:11" x14ac:dyDescent="0.2">
      <c r="A724" s="235">
        <v>113339</v>
      </c>
      <c r="B724" s="236" t="s">
        <v>717</v>
      </c>
      <c r="C724" s="236" t="s">
        <v>1589</v>
      </c>
      <c r="D724" s="236" t="s">
        <v>385</v>
      </c>
      <c r="E724" s="237">
        <v>43617</v>
      </c>
      <c r="F724" s="236" t="s">
        <v>1234</v>
      </c>
      <c r="G724" s="237">
        <v>44806</v>
      </c>
      <c r="H724" s="234">
        <f>SUMIF(VA!B:B,A724,VA!I:I)</f>
        <v>359.46</v>
      </c>
      <c r="I724" s="33">
        <f>SUMIF(VR!B:B,A724,VR!I:I)</f>
        <v>657.5</v>
      </c>
      <c r="J724" s="4">
        <f t="shared" si="11"/>
        <v>1016.96</v>
      </c>
      <c r="K724" s="195">
        <f>SUMIF(FALTAS!A:A,A724,FALTAS!D:D)</f>
        <v>0</v>
      </c>
    </row>
    <row r="725" spans="1:11" x14ac:dyDescent="0.2">
      <c r="A725" s="235">
        <v>112515</v>
      </c>
      <c r="B725" s="236" t="s">
        <v>232</v>
      </c>
      <c r="C725" s="236" t="s">
        <v>8</v>
      </c>
      <c r="D725" s="236" t="s">
        <v>146</v>
      </c>
      <c r="E725" s="237">
        <v>43617</v>
      </c>
      <c r="F725" s="236" t="s">
        <v>1234</v>
      </c>
      <c r="G725" s="237">
        <v>45149</v>
      </c>
      <c r="H725" s="234">
        <f>SUMIF(VA!B:B,A725,VA!I:I)</f>
        <v>359.46</v>
      </c>
      <c r="I725" s="33">
        <f>SUMIF(VR!B:B,A725,VR!I:I)</f>
        <v>657.5</v>
      </c>
      <c r="J725" s="4">
        <f t="shared" si="11"/>
        <v>1016.96</v>
      </c>
      <c r="K725" s="195">
        <f>SUMIF(FALTAS!A:A,A725,FALTAS!D:D)</f>
        <v>0</v>
      </c>
    </row>
    <row r="726" spans="1:11" x14ac:dyDescent="0.2">
      <c r="A726" s="235">
        <v>122561</v>
      </c>
      <c r="B726" s="236" t="s">
        <v>1704</v>
      </c>
      <c r="C726" s="236" t="s">
        <v>32</v>
      </c>
      <c r="D726" s="236" t="s">
        <v>5</v>
      </c>
      <c r="E726" s="237">
        <v>45131</v>
      </c>
      <c r="F726" s="236" t="s">
        <v>1234</v>
      </c>
      <c r="G726" s="237">
        <v>45131</v>
      </c>
      <c r="H726" s="234">
        <f>SUMIF(VA!B:B,A726,VA!I:I)</f>
        <v>359.46</v>
      </c>
      <c r="I726" s="33">
        <f>SUMIF(VR!B:B,A726,VR!I:I)</f>
        <v>657.5</v>
      </c>
      <c r="J726" s="4">
        <f t="shared" si="11"/>
        <v>1016.96</v>
      </c>
      <c r="K726" s="195">
        <f>SUMIF(FALTAS!A:A,A726,FALTAS!D:D)</f>
        <v>0</v>
      </c>
    </row>
    <row r="727" spans="1:11" x14ac:dyDescent="0.2">
      <c r="A727" s="235">
        <v>113435</v>
      </c>
      <c r="B727" s="236" t="s">
        <v>779</v>
      </c>
      <c r="C727" s="236" t="s">
        <v>0</v>
      </c>
      <c r="D727" s="236" t="s">
        <v>2</v>
      </c>
      <c r="E727" s="237">
        <v>43617</v>
      </c>
      <c r="F727" s="236" t="s">
        <v>1234</v>
      </c>
      <c r="G727" s="237">
        <v>44960</v>
      </c>
      <c r="H727" s="234">
        <f>SUMIF(VA!B:B,A727,VA!I:I)</f>
        <v>359.46</v>
      </c>
      <c r="I727" s="33">
        <f>SUMIF(VR!B:B,A727,VR!I:I)</f>
        <v>657.5</v>
      </c>
      <c r="J727" s="4">
        <f t="shared" si="11"/>
        <v>1016.96</v>
      </c>
      <c r="K727" s="195">
        <f>SUMIF(FALTAS!A:A,A727,FALTAS!D:D)</f>
        <v>0</v>
      </c>
    </row>
    <row r="728" spans="1:11" x14ac:dyDescent="0.2">
      <c r="A728" s="235">
        <v>115408</v>
      </c>
      <c r="B728" s="236" t="s">
        <v>1161</v>
      </c>
      <c r="C728" s="236" t="s">
        <v>8</v>
      </c>
      <c r="D728" s="236" t="s">
        <v>5</v>
      </c>
      <c r="E728" s="237">
        <v>44048</v>
      </c>
      <c r="F728" s="236" t="s">
        <v>1234</v>
      </c>
      <c r="G728" s="237">
        <v>45086</v>
      </c>
      <c r="H728" s="234">
        <f>SUMIF(VA!B:B,A728,VA!I:I)</f>
        <v>359.46</v>
      </c>
      <c r="I728" s="33">
        <f>SUMIF(VR!B:B,A728,VR!I:I)</f>
        <v>657.5</v>
      </c>
      <c r="J728" s="4">
        <f t="shared" si="11"/>
        <v>1016.96</v>
      </c>
      <c r="K728" s="195">
        <f>SUMIF(FALTAS!A:A,A728,FALTAS!D:D)</f>
        <v>0</v>
      </c>
    </row>
    <row r="729" spans="1:11" x14ac:dyDescent="0.2">
      <c r="A729" s="235">
        <v>114744</v>
      </c>
      <c r="B729" s="236" t="s">
        <v>1091</v>
      </c>
      <c r="C729" s="236" t="s">
        <v>0</v>
      </c>
      <c r="D729" s="236" t="s">
        <v>5</v>
      </c>
      <c r="E729" s="237">
        <v>43874</v>
      </c>
      <c r="F729" s="236" t="s">
        <v>1235</v>
      </c>
      <c r="G729" s="237">
        <v>45147</v>
      </c>
      <c r="H729" s="234">
        <f>SUMIF(VA!B:B,A729,VA!I:I)</f>
        <v>359.46</v>
      </c>
      <c r="I729" s="33">
        <f>SUMIF(VR!B:B,A729,VR!I:I)</f>
        <v>657.5</v>
      </c>
      <c r="J729" s="4">
        <f t="shared" si="11"/>
        <v>1016.96</v>
      </c>
      <c r="K729" s="195">
        <f>SUMIF(FALTAS!A:A,A729,FALTAS!D:D)</f>
        <v>0</v>
      </c>
    </row>
    <row r="730" spans="1:11" x14ac:dyDescent="0.2">
      <c r="A730" s="235">
        <v>112315</v>
      </c>
      <c r="B730" s="236" t="s">
        <v>103</v>
      </c>
      <c r="C730" s="236" t="s">
        <v>19</v>
      </c>
      <c r="D730" s="236" t="s">
        <v>2</v>
      </c>
      <c r="E730" s="237">
        <v>43617</v>
      </c>
      <c r="F730" s="236" t="s">
        <v>1234</v>
      </c>
      <c r="G730" s="237">
        <v>45149</v>
      </c>
      <c r="H730" s="234">
        <f>SUMIF(VA!B:B,A730,VA!I:I)</f>
        <v>359.46</v>
      </c>
      <c r="I730" s="33">
        <f>SUMIF(VR!B:B,A730,VR!I:I)</f>
        <v>657.5</v>
      </c>
      <c r="J730" s="4">
        <f t="shared" si="11"/>
        <v>1016.96</v>
      </c>
      <c r="K730" s="195">
        <f>SUMIF(FALTAS!A:A,A730,FALTAS!D:D)</f>
        <v>0</v>
      </c>
    </row>
    <row r="731" spans="1:11" x14ac:dyDescent="0.2">
      <c r="A731" s="235">
        <v>114493</v>
      </c>
      <c r="B731" s="236" t="s">
        <v>1043</v>
      </c>
      <c r="C731" s="236" t="s">
        <v>0</v>
      </c>
      <c r="D731" s="236" t="s">
        <v>2</v>
      </c>
      <c r="E731" s="237">
        <v>43811</v>
      </c>
      <c r="F731" s="236" t="s">
        <v>1234</v>
      </c>
      <c r="G731" s="237">
        <v>45119</v>
      </c>
      <c r="H731" s="234">
        <f>SUMIF(VA!B:B,A731,VA!I:I)</f>
        <v>323.51</v>
      </c>
      <c r="I731" s="33">
        <f>SUMIF(VR!B:B,A731,VR!I:I)</f>
        <v>578.6</v>
      </c>
      <c r="J731" s="4">
        <f t="shared" si="11"/>
        <v>902.11</v>
      </c>
      <c r="K731" s="195">
        <f>SUMIF(FALTAS!A:A,A731,FALTAS!D:D)</f>
        <v>3</v>
      </c>
    </row>
    <row r="732" spans="1:11" x14ac:dyDescent="0.2">
      <c r="A732" s="235">
        <v>122080</v>
      </c>
      <c r="B732" s="236" t="s">
        <v>1641</v>
      </c>
      <c r="C732" s="236" t="s">
        <v>8</v>
      </c>
      <c r="D732" s="236" t="s">
        <v>5</v>
      </c>
      <c r="E732" s="237">
        <v>45061</v>
      </c>
      <c r="F732" s="236" t="s">
        <v>1234</v>
      </c>
      <c r="G732" s="237">
        <v>45061</v>
      </c>
      <c r="H732" s="234">
        <f>SUMIF(VA!B:B,A732,VA!I:I)</f>
        <v>359.46</v>
      </c>
      <c r="I732" s="33">
        <f>SUMIF(VR!B:B,A732,VR!I:I)</f>
        <v>657.5</v>
      </c>
      <c r="J732" s="4">
        <f t="shared" si="11"/>
        <v>1016.96</v>
      </c>
      <c r="K732" s="195">
        <f>SUMIF(FALTAS!A:A,A732,FALTAS!D:D)</f>
        <v>0</v>
      </c>
    </row>
    <row r="733" spans="1:11" x14ac:dyDescent="0.2">
      <c r="A733" s="235">
        <v>113381</v>
      </c>
      <c r="B733" s="236" t="s">
        <v>743</v>
      </c>
      <c r="C733" s="236" t="s">
        <v>0</v>
      </c>
      <c r="D733" s="236" t="s">
        <v>2</v>
      </c>
      <c r="E733" s="237">
        <v>43617</v>
      </c>
      <c r="F733" s="236" t="s">
        <v>1234</v>
      </c>
      <c r="G733" s="237">
        <v>44898</v>
      </c>
      <c r="H733" s="234">
        <f>SUMIF(VA!B:B,A733,VA!I:I)</f>
        <v>359.46</v>
      </c>
      <c r="I733" s="33">
        <f>SUMIF(VR!B:B,A733,VR!I:I)</f>
        <v>657.5</v>
      </c>
      <c r="J733" s="4">
        <f t="shared" si="11"/>
        <v>1016.96</v>
      </c>
      <c r="K733" s="195">
        <f>SUMIF(FALTAS!A:A,A733,FALTAS!D:D)</f>
        <v>0</v>
      </c>
    </row>
    <row r="734" spans="1:11" x14ac:dyDescent="0.2">
      <c r="A734" s="235">
        <v>112252</v>
      </c>
      <c r="B734" s="236" t="s">
        <v>63</v>
      </c>
      <c r="C734" s="236" t="s">
        <v>10</v>
      </c>
      <c r="D734" s="236" t="s">
        <v>2</v>
      </c>
      <c r="E734" s="237">
        <v>43617</v>
      </c>
      <c r="F734" s="236" t="s">
        <v>1234</v>
      </c>
      <c r="G734" s="237">
        <v>44776</v>
      </c>
      <c r="H734" s="234">
        <f>SUMIF(VA!B:B,A734,VA!I:I)</f>
        <v>359.46</v>
      </c>
      <c r="I734" s="33">
        <f>SUMIF(VR!B:B,A734,VR!I:I)</f>
        <v>657.5</v>
      </c>
      <c r="J734" s="4">
        <f t="shared" si="11"/>
        <v>1016.96</v>
      </c>
      <c r="K734" s="195">
        <f>SUMIF(FALTAS!A:A,A734,FALTAS!D:D)</f>
        <v>0</v>
      </c>
    </row>
    <row r="735" spans="1:11" x14ac:dyDescent="0.2">
      <c r="A735" s="235">
        <v>113036</v>
      </c>
      <c r="B735" s="236" t="s">
        <v>556</v>
      </c>
      <c r="C735" s="236" t="s">
        <v>19</v>
      </c>
      <c r="D735" s="236" t="s">
        <v>2</v>
      </c>
      <c r="E735" s="237">
        <v>43617</v>
      </c>
      <c r="F735" s="236" t="s">
        <v>1234</v>
      </c>
      <c r="G735" s="237">
        <v>44930</v>
      </c>
      <c r="H735" s="234">
        <f>SUMIF(VA!B:B,A735,VA!I:I)</f>
        <v>359.46</v>
      </c>
      <c r="I735" s="33">
        <f>SUMIF(VR!B:B,A735,VR!I:I)</f>
        <v>657.5</v>
      </c>
      <c r="J735" s="4">
        <f t="shared" si="11"/>
        <v>1016.96</v>
      </c>
      <c r="K735" s="195">
        <f>SUMIF(FALTAS!A:A,A735,FALTAS!D:D)</f>
        <v>0</v>
      </c>
    </row>
    <row r="736" spans="1:11" x14ac:dyDescent="0.2">
      <c r="A736" s="235">
        <v>113358</v>
      </c>
      <c r="B736" s="236" t="s">
        <v>727</v>
      </c>
      <c r="C736" s="236" t="s">
        <v>0</v>
      </c>
      <c r="D736" s="236" t="s">
        <v>2</v>
      </c>
      <c r="E736" s="237">
        <v>43617</v>
      </c>
      <c r="F736" s="236" t="s">
        <v>1234</v>
      </c>
      <c r="G736" s="237">
        <v>45119</v>
      </c>
      <c r="H736" s="234">
        <f>SUMIF(VA!B:B,A736,VA!I:I)</f>
        <v>359.46</v>
      </c>
      <c r="I736" s="33">
        <f>SUMIF(VR!B:B,A736,VR!I:I)</f>
        <v>657.5</v>
      </c>
      <c r="J736" s="4">
        <f t="shared" si="11"/>
        <v>1016.96</v>
      </c>
      <c r="K736" s="195">
        <f>SUMIF(FALTAS!A:A,A736,FALTAS!D:D)</f>
        <v>0</v>
      </c>
    </row>
    <row r="737" spans="1:11" x14ac:dyDescent="0.2">
      <c r="A737" s="235">
        <v>113437</v>
      </c>
      <c r="B737" s="236" t="s">
        <v>781</v>
      </c>
      <c r="C737" s="236" t="s">
        <v>0</v>
      </c>
      <c r="D737" s="236" t="s">
        <v>2</v>
      </c>
      <c r="E737" s="237">
        <v>43617</v>
      </c>
      <c r="F737" s="236" t="s">
        <v>1234</v>
      </c>
      <c r="G737" s="237">
        <v>45056</v>
      </c>
      <c r="H737" s="234">
        <f>SUMIF(VA!B:B,A737,VA!I:I)</f>
        <v>359.46</v>
      </c>
      <c r="I737" s="33">
        <f>SUMIF(VR!B:B,A737,VR!I:I)</f>
        <v>657.5</v>
      </c>
      <c r="J737" s="4">
        <f t="shared" si="11"/>
        <v>1016.96</v>
      </c>
      <c r="K737" s="195">
        <f>SUMIF(FALTAS!A:A,A737,FALTAS!D:D)</f>
        <v>0</v>
      </c>
    </row>
    <row r="738" spans="1:11" x14ac:dyDescent="0.2">
      <c r="A738" s="235">
        <v>113614</v>
      </c>
      <c r="B738" s="236" t="s">
        <v>781</v>
      </c>
      <c r="C738" s="236" t="s">
        <v>1589</v>
      </c>
      <c r="D738" s="236" t="s">
        <v>15</v>
      </c>
      <c r="E738" s="237">
        <v>43617</v>
      </c>
      <c r="F738" s="236" t="s">
        <v>1234</v>
      </c>
      <c r="G738" s="237">
        <v>44898</v>
      </c>
      <c r="H738" s="234">
        <f>SUMIF(VA!B:B,A738,VA!I:I)</f>
        <v>359.46</v>
      </c>
      <c r="I738" s="33">
        <f>SUMIF(VR!B:B,A738,VR!I:I)</f>
        <v>657.5</v>
      </c>
      <c r="J738" s="4">
        <f t="shared" si="11"/>
        <v>1016.96</v>
      </c>
      <c r="K738" s="195">
        <f>SUMIF(FALTAS!A:A,A738,FALTAS!D:D)</f>
        <v>0</v>
      </c>
    </row>
    <row r="739" spans="1:11" x14ac:dyDescent="0.2">
      <c r="A739" s="235">
        <v>113651</v>
      </c>
      <c r="B739" s="236" t="s">
        <v>781</v>
      </c>
      <c r="C739" s="236" t="s">
        <v>1589</v>
      </c>
      <c r="D739" s="236" t="s">
        <v>15</v>
      </c>
      <c r="E739" s="237">
        <v>43617</v>
      </c>
      <c r="F739" s="236" t="s">
        <v>1235</v>
      </c>
      <c r="G739" s="237">
        <v>45147</v>
      </c>
      <c r="H739" s="234">
        <f>SUMIF(VA!B:B,A739,VA!I:I)</f>
        <v>359.46</v>
      </c>
      <c r="I739" s="33">
        <f>SUMIF(VR!B:B,A739,VR!I:I)</f>
        <v>657.5</v>
      </c>
      <c r="J739" s="4">
        <f t="shared" si="11"/>
        <v>1016.96</v>
      </c>
      <c r="K739" s="195">
        <f>SUMIF(FALTAS!A:A,A739,FALTAS!D:D)</f>
        <v>0</v>
      </c>
    </row>
    <row r="740" spans="1:11" x14ac:dyDescent="0.2">
      <c r="A740" s="235">
        <v>113617</v>
      </c>
      <c r="B740" s="236" t="s">
        <v>877</v>
      </c>
      <c r="C740" s="236" t="s">
        <v>1589</v>
      </c>
      <c r="D740" s="236" t="s">
        <v>15</v>
      </c>
      <c r="E740" s="237">
        <v>43617</v>
      </c>
      <c r="F740" s="236" t="s">
        <v>1234</v>
      </c>
      <c r="G740" s="237">
        <v>45023</v>
      </c>
      <c r="H740" s="234">
        <f>SUMIF(VA!B:B,A740,VA!I:I)</f>
        <v>359.46</v>
      </c>
      <c r="I740" s="33">
        <f>SUMIF(VR!B:B,A740,VR!I:I)</f>
        <v>657.5</v>
      </c>
      <c r="J740" s="4">
        <f t="shared" si="11"/>
        <v>1016.96</v>
      </c>
      <c r="K740" s="195">
        <f>SUMIF(FALTAS!A:A,A740,FALTAS!D:D)</f>
        <v>0</v>
      </c>
    </row>
    <row r="741" spans="1:11" x14ac:dyDescent="0.2">
      <c r="A741" s="235">
        <v>113134</v>
      </c>
      <c r="B741" s="236" t="s">
        <v>604</v>
      </c>
      <c r="C741" s="236" t="s">
        <v>1589</v>
      </c>
      <c r="D741" s="236" t="s">
        <v>22</v>
      </c>
      <c r="E741" s="237">
        <v>43617</v>
      </c>
      <c r="F741" s="236" t="s">
        <v>1234</v>
      </c>
      <c r="G741" s="237">
        <v>45149</v>
      </c>
      <c r="H741" s="234">
        <f>SUMIF(VA!B:B,A741,VA!I:I)</f>
        <v>359.46</v>
      </c>
      <c r="I741" s="33">
        <f>SUMIF(VR!B:B,A741,VR!I:I)</f>
        <v>657.5</v>
      </c>
      <c r="J741" s="4">
        <f t="shared" si="11"/>
        <v>1016.96</v>
      </c>
      <c r="K741" s="195">
        <f>SUMIF(FALTAS!A:A,A741,FALTAS!D:D)</f>
        <v>0</v>
      </c>
    </row>
    <row r="742" spans="1:11" x14ac:dyDescent="0.2">
      <c r="A742" s="235">
        <v>112508</v>
      </c>
      <c r="B742" s="236" t="s">
        <v>226</v>
      </c>
      <c r="C742" s="236" t="s">
        <v>8</v>
      </c>
      <c r="D742" s="236" t="s">
        <v>39</v>
      </c>
      <c r="E742" s="237">
        <v>43617</v>
      </c>
      <c r="F742" s="236" t="s">
        <v>1234</v>
      </c>
      <c r="G742" s="237">
        <v>45023</v>
      </c>
      <c r="H742" s="234">
        <f>SUMIF(VA!B:B,A742,VA!I:I)</f>
        <v>359.46</v>
      </c>
      <c r="I742" s="33">
        <f>SUMIF(VR!B:B,A742,VR!I:I)</f>
        <v>657.5</v>
      </c>
      <c r="J742" s="4">
        <f t="shared" si="11"/>
        <v>1016.96</v>
      </c>
      <c r="K742" s="195">
        <f>SUMIF(FALTAS!A:A,A742,FALTAS!D:D)</f>
        <v>0</v>
      </c>
    </row>
    <row r="743" spans="1:11" x14ac:dyDescent="0.2">
      <c r="A743" s="235">
        <v>113335</v>
      </c>
      <c r="B743" s="236" t="s">
        <v>715</v>
      </c>
      <c r="C743" s="236" t="s">
        <v>1589</v>
      </c>
      <c r="D743" s="236" t="s">
        <v>146</v>
      </c>
      <c r="E743" s="237">
        <v>43617</v>
      </c>
      <c r="F743" s="236" t="s">
        <v>1234</v>
      </c>
      <c r="G743" s="237">
        <v>44835</v>
      </c>
      <c r="H743" s="234">
        <f>SUMIF(VA!B:B,A743,VA!I:I)</f>
        <v>359.46</v>
      </c>
      <c r="I743" s="33">
        <f>SUMIF(VR!B:B,A743,VR!I:I)</f>
        <v>657.5</v>
      </c>
      <c r="J743" s="4">
        <f t="shared" si="11"/>
        <v>1016.96</v>
      </c>
      <c r="K743" s="195">
        <f>SUMIF(FALTAS!A:A,A743,FALTAS!D:D)</f>
        <v>0</v>
      </c>
    </row>
    <row r="744" spans="1:11" x14ac:dyDescent="0.2">
      <c r="A744" s="235">
        <v>113618</v>
      </c>
      <c r="B744" s="236" t="s">
        <v>878</v>
      </c>
      <c r="C744" s="236" t="s">
        <v>1589</v>
      </c>
      <c r="D744" s="236" t="s">
        <v>407</v>
      </c>
      <c r="E744" s="237">
        <v>43617</v>
      </c>
      <c r="F744" s="236" t="s">
        <v>1234</v>
      </c>
      <c r="G744" s="237">
        <v>44835</v>
      </c>
      <c r="H744" s="234">
        <f>SUMIF(VA!B:B,A744,VA!I:I)</f>
        <v>359.46</v>
      </c>
      <c r="I744" s="33">
        <f>SUMIF(VR!B:B,A744,VR!I:I)</f>
        <v>657.5</v>
      </c>
      <c r="J744" s="4">
        <f t="shared" si="11"/>
        <v>1016.96</v>
      </c>
      <c r="K744" s="195">
        <f>SUMIF(FALTAS!A:A,A744,FALTAS!D:D)</f>
        <v>0</v>
      </c>
    </row>
    <row r="745" spans="1:11" x14ac:dyDescent="0.2">
      <c r="A745" s="235">
        <v>112935</v>
      </c>
      <c r="B745" s="236" t="s">
        <v>506</v>
      </c>
      <c r="C745" s="236" t="s">
        <v>8</v>
      </c>
      <c r="D745" s="236" t="s">
        <v>2</v>
      </c>
      <c r="E745" s="237">
        <v>43617</v>
      </c>
      <c r="F745" s="236" t="s">
        <v>1234</v>
      </c>
      <c r="G745" s="237">
        <v>44867</v>
      </c>
      <c r="H745" s="234">
        <f>SUMIF(VA!B:B,A745,VA!I:I)</f>
        <v>359.46</v>
      </c>
      <c r="I745" s="33">
        <f>SUMIF(VR!B:B,A745,VR!I:I)</f>
        <v>657.5</v>
      </c>
      <c r="J745" s="4">
        <f t="shared" si="11"/>
        <v>1016.96</v>
      </c>
      <c r="K745" s="195">
        <f>SUMIF(FALTAS!A:A,A745,FALTAS!D:D)</f>
        <v>0</v>
      </c>
    </row>
    <row r="746" spans="1:11" x14ac:dyDescent="0.2">
      <c r="A746" s="235">
        <v>112979</v>
      </c>
      <c r="B746" s="236" t="s">
        <v>531</v>
      </c>
      <c r="C746" s="236" t="s">
        <v>19</v>
      </c>
      <c r="D746" s="236" t="s">
        <v>5</v>
      </c>
      <c r="E746" s="237">
        <v>43617</v>
      </c>
      <c r="F746" s="236" t="s">
        <v>1234</v>
      </c>
      <c r="G746" s="237">
        <v>44744</v>
      </c>
      <c r="H746" s="234">
        <f>SUMIF(VA!B:B,A746,VA!I:I)</f>
        <v>359.46</v>
      </c>
      <c r="I746" s="33">
        <f>SUMIF(VR!B:B,A746,VR!I:I)</f>
        <v>657.5</v>
      </c>
      <c r="J746" s="4">
        <f t="shared" si="11"/>
        <v>1016.96</v>
      </c>
      <c r="K746" s="195">
        <f>SUMIF(FALTAS!A:A,A746,FALTAS!D:D)</f>
        <v>0</v>
      </c>
    </row>
    <row r="747" spans="1:11" x14ac:dyDescent="0.2">
      <c r="A747" s="235">
        <v>112255</v>
      </c>
      <c r="B747" s="236" t="s">
        <v>66</v>
      </c>
      <c r="C747" s="236" t="s">
        <v>10</v>
      </c>
      <c r="D747" s="236" t="s">
        <v>2</v>
      </c>
      <c r="E747" s="237">
        <v>43617</v>
      </c>
      <c r="F747" s="236" t="s">
        <v>1234</v>
      </c>
      <c r="G747" s="237">
        <v>44776</v>
      </c>
      <c r="H747" s="234">
        <f>SUMIF(VA!B:B,A747,VA!I:I)</f>
        <v>359.46</v>
      </c>
      <c r="I747" s="33">
        <f>SUMIF(VR!B:B,A747,VR!I:I)</f>
        <v>657.5</v>
      </c>
      <c r="J747" s="4">
        <f t="shared" si="11"/>
        <v>1016.96</v>
      </c>
      <c r="K747" s="195">
        <f>SUMIF(FALTAS!A:A,A747,FALTAS!D:D)</f>
        <v>0</v>
      </c>
    </row>
    <row r="748" spans="1:11" x14ac:dyDescent="0.2">
      <c r="A748" s="235">
        <v>119111</v>
      </c>
      <c r="B748" s="236" t="s">
        <v>1442</v>
      </c>
      <c r="C748" s="236" t="s">
        <v>1589</v>
      </c>
      <c r="D748" s="236" t="s">
        <v>146</v>
      </c>
      <c r="E748" s="237">
        <v>44630</v>
      </c>
      <c r="F748" s="236" t="s">
        <v>1234</v>
      </c>
      <c r="G748" s="237">
        <v>44630</v>
      </c>
      <c r="H748" s="234">
        <f>SUMIF(VA!B:B,A748,VA!I:I)</f>
        <v>359.46</v>
      </c>
      <c r="I748" s="33">
        <f>SUMIF(VR!B:B,A748,VR!I:I)</f>
        <v>657.5</v>
      </c>
      <c r="J748" s="4">
        <f t="shared" si="11"/>
        <v>1016.96</v>
      </c>
      <c r="K748" s="195">
        <f>SUMIF(FALTAS!A:A,A748,FALTAS!D:D)</f>
        <v>0</v>
      </c>
    </row>
    <row r="749" spans="1:11" x14ac:dyDescent="0.2">
      <c r="A749" s="235">
        <v>112259</v>
      </c>
      <c r="B749" s="236" t="s">
        <v>70</v>
      </c>
      <c r="C749" s="236" t="s">
        <v>8</v>
      </c>
      <c r="D749" s="236" t="s">
        <v>2</v>
      </c>
      <c r="E749" s="237">
        <v>43617</v>
      </c>
      <c r="F749" s="236" t="s">
        <v>1234</v>
      </c>
      <c r="G749" s="237">
        <v>44776</v>
      </c>
      <c r="H749" s="234">
        <f>SUMIF(VA!B:B,A749,VA!I:I)</f>
        <v>359.46</v>
      </c>
      <c r="I749" s="33">
        <f>SUMIF(VR!B:B,A749,VR!I:I)</f>
        <v>657.5</v>
      </c>
      <c r="J749" s="4">
        <f t="shared" si="11"/>
        <v>1016.96</v>
      </c>
      <c r="K749" s="195">
        <f>SUMIF(FALTAS!A:A,A749,FALTAS!D:D)</f>
        <v>0</v>
      </c>
    </row>
    <row r="750" spans="1:11" x14ac:dyDescent="0.2">
      <c r="A750" s="235">
        <v>112989</v>
      </c>
      <c r="B750" s="236" t="s">
        <v>534</v>
      </c>
      <c r="C750" s="236" t="s">
        <v>19</v>
      </c>
      <c r="D750" s="236" t="s">
        <v>39</v>
      </c>
      <c r="E750" s="237">
        <v>43617</v>
      </c>
      <c r="F750" s="236" t="s">
        <v>1234</v>
      </c>
      <c r="G750" s="237">
        <v>44960</v>
      </c>
      <c r="H750" s="234">
        <f>SUMIF(VA!B:B,A750,VA!I:I)</f>
        <v>359.46</v>
      </c>
      <c r="I750" s="33">
        <f>SUMIF(VR!B:B,A750,VR!I:I)</f>
        <v>657.5</v>
      </c>
      <c r="J750" s="4">
        <f t="shared" si="11"/>
        <v>1016.96</v>
      </c>
      <c r="K750" s="195">
        <f>SUMIF(FALTAS!A:A,A750,FALTAS!D:D)</f>
        <v>0</v>
      </c>
    </row>
    <row r="751" spans="1:11" x14ac:dyDescent="0.2">
      <c r="A751" s="235">
        <v>112937</v>
      </c>
      <c r="B751" s="236" t="s">
        <v>508</v>
      </c>
      <c r="C751" s="236" t="s">
        <v>8</v>
      </c>
      <c r="D751" s="236" t="s">
        <v>2</v>
      </c>
      <c r="E751" s="237">
        <v>43617</v>
      </c>
      <c r="F751" s="236" t="s">
        <v>1234</v>
      </c>
      <c r="G751" s="237">
        <v>45119</v>
      </c>
      <c r="H751" s="234">
        <f>SUMIF(VA!B:B,A751,VA!I:I)</f>
        <v>359.46</v>
      </c>
      <c r="I751" s="33">
        <f>SUMIF(VR!B:B,A751,VR!I:I)</f>
        <v>657.5</v>
      </c>
      <c r="J751" s="4">
        <f t="shared" si="11"/>
        <v>1016.96</v>
      </c>
      <c r="K751" s="195">
        <f>SUMIF(FALTAS!A:A,A751,FALTAS!D:D)</f>
        <v>0</v>
      </c>
    </row>
    <row r="752" spans="1:11" x14ac:dyDescent="0.2">
      <c r="A752" s="235">
        <v>119112</v>
      </c>
      <c r="B752" s="236" t="s">
        <v>1443</v>
      </c>
      <c r="C752" s="236" t="s">
        <v>8</v>
      </c>
      <c r="D752" s="236" t="s">
        <v>5</v>
      </c>
      <c r="E752" s="237">
        <v>44630</v>
      </c>
      <c r="F752" s="236" t="s">
        <v>1234</v>
      </c>
      <c r="G752" s="237">
        <v>45086</v>
      </c>
      <c r="H752" s="234">
        <f>SUMIF(VA!B:B,A752,VA!I:I)</f>
        <v>359.46</v>
      </c>
      <c r="I752" s="33">
        <f>SUMIF(VR!B:B,A752,VR!I:I)</f>
        <v>657.5</v>
      </c>
      <c r="J752" s="4">
        <f t="shared" si="11"/>
        <v>1016.96</v>
      </c>
      <c r="K752" s="195">
        <f>SUMIF(FALTAS!A:A,A752,FALTAS!D:D)</f>
        <v>0</v>
      </c>
    </row>
    <row r="753" spans="1:11" x14ac:dyDescent="0.2">
      <c r="A753" s="235">
        <v>113384</v>
      </c>
      <c r="B753" s="236" t="s">
        <v>744</v>
      </c>
      <c r="C753" s="236" t="s">
        <v>0</v>
      </c>
      <c r="D753" s="236" t="s">
        <v>2</v>
      </c>
      <c r="E753" s="237">
        <v>43620</v>
      </c>
      <c r="F753" s="236" t="s">
        <v>1234</v>
      </c>
      <c r="G753" s="237">
        <v>44930</v>
      </c>
      <c r="H753" s="234">
        <f>SUMIF(VA!B:B,A753,VA!I:I)</f>
        <v>359.46</v>
      </c>
      <c r="I753" s="33">
        <f>SUMIF(VR!B:B,A753,VR!I:I)</f>
        <v>657.5</v>
      </c>
      <c r="J753" s="4">
        <f t="shared" si="11"/>
        <v>1016.96</v>
      </c>
      <c r="K753" s="195">
        <f>SUMIF(FALTAS!A:A,A753,FALTAS!D:D)</f>
        <v>0</v>
      </c>
    </row>
    <row r="754" spans="1:11" x14ac:dyDescent="0.2">
      <c r="A754" s="235">
        <v>112983</v>
      </c>
      <c r="B754" s="236" t="s">
        <v>532</v>
      </c>
      <c r="C754" s="236" t="s">
        <v>19</v>
      </c>
      <c r="D754" s="236" t="s">
        <v>5</v>
      </c>
      <c r="E754" s="237">
        <v>43617</v>
      </c>
      <c r="F754" s="236" t="s">
        <v>1234</v>
      </c>
      <c r="G754" s="237">
        <v>45149</v>
      </c>
      <c r="H754" s="234">
        <f>SUMIF(VA!B:B,A754,VA!I:I)</f>
        <v>359.46</v>
      </c>
      <c r="I754" s="33">
        <f>SUMIF(VR!B:B,A754,VR!I:I)</f>
        <v>657.5</v>
      </c>
      <c r="J754" s="4">
        <f t="shared" si="11"/>
        <v>1016.96</v>
      </c>
      <c r="K754" s="195">
        <f>SUMIF(FALTAS!A:A,A754,FALTAS!D:D)</f>
        <v>0</v>
      </c>
    </row>
    <row r="755" spans="1:11" x14ac:dyDescent="0.2">
      <c r="A755" s="235">
        <v>112320</v>
      </c>
      <c r="B755" s="236" t="s">
        <v>105</v>
      </c>
      <c r="C755" s="236" t="s">
        <v>10</v>
      </c>
      <c r="D755" s="236" t="s">
        <v>2</v>
      </c>
      <c r="E755" s="237">
        <v>43617</v>
      </c>
      <c r="F755" s="236" t="s">
        <v>1234</v>
      </c>
      <c r="G755" s="237">
        <v>44806</v>
      </c>
      <c r="H755" s="234">
        <f>SUMIF(VA!B:B,A755,VA!I:I)</f>
        <v>359.46</v>
      </c>
      <c r="I755" s="33">
        <f>SUMIF(VR!B:B,A755,VR!I:I)</f>
        <v>657.5</v>
      </c>
      <c r="J755" s="4">
        <f t="shared" si="11"/>
        <v>1016.96</v>
      </c>
      <c r="K755" s="195">
        <f>SUMIF(FALTAS!A:A,A755,FALTAS!D:D)</f>
        <v>0</v>
      </c>
    </row>
    <row r="756" spans="1:11" x14ac:dyDescent="0.2">
      <c r="A756" s="235">
        <v>112499</v>
      </c>
      <c r="B756" s="236" t="s">
        <v>218</v>
      </c>
      <c r="C756" s="236" t="s">
        <v>32</v>
      </c>
      <c r="D756" s="236" t="s">
        <v>39</v>
      </c>
      <c r="E756" s="237">
        <v>43617</v>
      </c>
      <c r="F756" s="236" t="s">
        <v>1234</v>
      </c>
      <c r="G756" s="237">
        <v>45069</v>
      </c>
      <c r="H756" s="234">
        <f>SUMIF(VA!B:B,A756,VA!I:I)</f>
        <v>359.46</v>
      </c>
      <c r="I756" s="33">
        <f>SUMIF(VR!B:B,A756,VR!I:I)</f>
        <v>657.5</v>
      </c>
      <c r="J756" s="4">
        <f t="shared" si="11"/>
        <v>1016.96</v>
      </c>
      <c r="K756" s="195">
        <f>SUMIF(FALTAS!A:A,A756,FALTAS!D:D)</f>
        <v>0</v>
      </c>
    </row>
    <row r="757" spans="1:11" x14ac:dyDescent="0.2">
      <c r="A757" s="235">
        <v>113039</v>
      </c>
      <c r="B757" s="236" t="s">
        <v>108</v>
      </c>
      <c r="C757" s="236" t="s">
        <v>19</v>
      </c>
      <c r="D757" s="236" t="s">
        <v>2</v>
      </c>
      <c r="E757" s="237">
        <v>43620</v>
      </c>
      <c r="F757" s="236" t="s">
        <v>1234</v>
      </c>
      <c r="G757" s="237">
        <v>45056</v>
      </c>
      <c r="H757" s="234">
        <f>SUMIF(VA!B:B,A757,VA!I:I)</f>
        <v>359.46</v>
      </c>
      <c r="I757" s="33">
        <f>SUMIF(VR!B:B,A757,VR!I:I)</f>
        <v>657.5</v>
      </c>
      <c r="J757" s="4">
        <f t="shared" si="11"/>
        <v>1016.96</v>
      </c>
      <c r="K757" s="195">
        <f>SUMIF(FALTAS!A:A,A757,FALTAS!D:D)</f>
        <v>0</v>
      </c>
    </row>
    <row r="758" spans="1:11" x14ac:dyDescent="0.2">
      <c r="A758" s="235">
        <v>113628</v>
      </c>
      <c r="B758" s="236" t="s">
        <v>884</v>
      </c>
      <c r="C758" s="236" t="s">
        <v>1589</v>
      </c>
      <c r="D758" s="236" t="s">
        <v>15</v>
      </c>
      <c r="E758" s="237">
        <v>43620</v>
      </c>
      <c r="F758" s="236" t="s">
        <v>1234</v>
      </c>
      <c r="G758" s="237">
        <v>44898</v>
      </c>
      <c r="H758" s="234">
        <f>SUMIF(VA!B:B,A758,VA!I:I)</f>
        <v>359.46</v>
      </c>
      <c r="I758" s="33">
        <f>SUMIF(VR!B:B,A758,VR!I:I)</f>
        <v>657.5</v>
      </c>
      <c r="J758" s="4">
        <f t="shared" si="11"/>
        <v>1016.96</v>
      </c>
      <c r="K758" s="195">
        <f>SUMIF(FALTAS!A:A,A758,FALTAS!D:D)</f>
        <v>0</v>
      </c>
    </row>
    <row r="759" spans="1:11" x14ac:dyDescent="0.2">
      <c r="A759" s="235">
        <v>114923</v>
      </c>
      <c r="B759" s="236" t="s">
        <v>1114</v>
      </c>
      <c r="C759" s="236" t="s">
        <v>1589</v>
      </c>
      <c r="D759" s="236" t="s">
        <v>5</v>
      </c>
      <c r="E759" s="237">
        <v>43916</v>
      </c>
      <c r="F759" s="236" t="s">
        <v>1234</v>
      </c>
      <c r="G759" s="237">
        <v>45056</v>
      </c>
      <c r="H759" s="234">
        <f>SUMIF(VA!B:B,A759,VA!I:I)</f>
        <v>359.46</v>
      </c>
      <c r="I759" s="33">
        <f>SUMIF(VR!B:B,A759,VR!I:I)</f>
        <v>657.5</v>
      </c>
      <c r="J759" s="4">
        <f t="shared" si="11"/>
        <v>1016.96</v>
      </c>
      <c r="K759" s="195">
        <f>SUMIF(FALTAS!A:A,A759,FALTAS!D:D)</f>
        <v>0</v>
      </c>
    </row>
    <row r="760" spans="1:11" x14ac:dyDescent="0.2">
      <c r="A760" s="235">
        <v>112352</v>
      </c>
      <c r="B760" s="236" t="s">
        <v>126</v>
      </c>
      <c r="C760" s="236" t="s">
        <v>8</v>
      </c>
      <c r="D760" s="236" t="s">
        <v>5</v>
      </c>
      <c r="E760" s="237">
        <v>43617</v>
      </c>
      <c r="F760" s="236" t="s">
        <v>1234</v>
      </c>
      <c r="G760" s="237">
        <v>44806</v>
      </c>
      <c r="H760" s="234">
        <f>SUMIF(VA!B:B,A760,VA!I:I)</f>
        <v>359.46</v>
      </c>
      <c r="I760" s="33">
        <f>SUMIF(VR!B:B,A760,VR!I:I)</f>
        <v>657.5</v>
      </c>
      <c r="J760" s="4">
        <f t="shared" si="11"/>
        <v>1016.96</v>
      </c>
      <c r="K760" s="195">
        <f>SUMIF(FALTAS!A:A,A760,FALTAS!D:D)</f>
        <v>0</v>
      </c>
    </row>
    <row r="761" spans="1:11" x14ac:dyDescent="0.2">
      <c r="A761" s="235">
        <v>112505</v>
      </c>
      <c r="B761" s="236" t="s">
        <v>223</v>
      </c>
      <c r="C761" s="236" t="s">
        <v>32</v>
      </c>
      <c r="D761" s="236" t="s">
        <v>39</v>
      </c>
      <c r="E761" s="237">
        <v>43621</v>
      </c>
      <c r="F761" s="236" t="s">
        <v>1234</v>
      </c>
      <c r="G761" s="237">
        <v>45056</v>
      </c>
      <c r="H761" s="234">
        <f>SUMIF(VA!B:B,A761,VA!I:I)</f>
        <v>359.46</v>
      </c>
      <c r="I761" s="33">
        <f>SUMIF(VR!B:B,A761,VR!I:I)</f>
        <v>657.5</v>
      </c>
      <c r="J761" s="4">
        <f t="shared" si="11"/>
        <v>1016.96</v>
      </c>
      <c r="K761" s="195">
        <f>SUMIF(FALTAS!A:A,A761,FALTAS!D:D)</f>
        <v>0</v>
      </c>
    </row>
    <row r="762" spans="1:11" x14ac:dyDescent="0.2">
      <c r="A762" s="235">
        <v>112328</v>
      </c>
      <c r="B762" s="236" t="s">
        <v>110</v>
      </c>
      <c r="C762" s="236" t="s">
        <v>10</v>
      </c>
      <c r="D762" s="236" t="s">
        <v>2</v>
      </c>
      <c r="E762" s="237">
        <v>43617</v>
      </c>
      <c r="F762" s="236" t="s">
        <v>1234</v>
      </c>
      <c r="G762" s="237">
        <v>45023</v>
      </c>
      <c r="H762" s="234">
        <f>SUMIF(VA!B:B,A762,VA!I:I)</f>
        <v>359.46</v>
      </c>
      <c r="I762" s="33">
        <f>SUMIF(VR!B:B,A762,VR!I:I)</f>
        <v>657.5</v>
      </c>
      <c r="J762" s="4">
        <f t="shared" si="11"/>
        <v>1016.96</v>
      </c>
      <c r="K762" s="195">
        <f>SUMIF(FALTAS!A:A,A762,FALTAS!D:D)</f>
        <v>0</v>
      </c>
    </row>
    <row r="763" spans="1:11" x14ac:dyDescent="0.2">
      <c r="A763" s="235">
        <v>113412</v>
      </c>
      <c r="B763" s="236" t="s">
        <v>763</v>
      </c>
      <c r="C763" s="236" t="s">
        <v>0</v>
      </c>
      <c r="D763" s="236" t="s">
        <v>2</v>
      </c>
      <c r="E763" s="237">
        <v>43617</v>
      </c>
      <c r="F763" s="236" t="s">
        <v>1234</v>
      </c>
      <c r="G763" s="237">
        <v>44930</v>
      </c>
      <c r="H763" s="234">
        <f>SUMIF(VA!B:B,A763,VA!I:I)</f>
        <v>359.46</v>
      </c>
      <c r="I763" s="33">
        <f>SUMIF(VR!B:B,A763,VR!I:I)</f>
        <v>657.5</v>
      </c>
      <c r="J763" s="4">
        <f t="shared" si="11"/>
        <v>1016.96</v>
      </c>
      <c r="K763" s="195">
        <f>SUMIF(FALTAS!A:A,A763,FALTAS!D:D)</f>
        <v>0</v>
      </c>
    </row>
    <row r="764" spans="1:11" x14ac:dyDescent="0.2">
      <c r="A764" s="235">
        <v>113161</v>
      </c>
      <c r="B764" s="236" t="s">
        <v>622</v>
      </c>
      <c r="C764" s="236" t="s">
        <v>1589</v>
      </c>
      <c r="D764" s="236" t="s">
        <v>15</v>
      </c>
      <c r="E764" s="237">
        <v>43617</v>
      </c>
      <c r="F764" s="236" t="s">
        <v>1234</v>
      </c>
      <c r="G764" s="237">
        <v>44806</v>
      </c>
      <c r="H764" s="234">
        <f>SUMIF(VA!B:B,A764,VA!I:I)</f>
        <v>359.46</v>
      </c>
      <c r="I764" s="33">
        <f>SUMIF(VR!B:B,A764,VR!I:I)</f>
        <v>657.5</v>
      </c>
      <c r="J764" s="4">
        <f t="shared" si="11"/>
        <v>1016.96</v>
      </c>
      <c r="K764" s="195">
        <f>SUMIF(FALTAS!A:A,A764,FALTAS!D:D)</f>
        <v>0</v>
      </c>
    </row>
    <row r="765" spans="1:11" x14ac:dyDescent="0.2">
      <c r="A765" s="235">
        <v>112940</v>
      </c>
      <c r="B765" s="236" t="s">
        <v>509</v>
      </c>
      <c r="C765" s="236" t="s">
        <v>8</v>
      </c>
      <c r="D765" s="236" t="s">
        <v>2</v>
      </c>
      <c r="E765" s="237">
        <v>43617</v>
      </c>
      <c r="F765" s="236" t="s">
        <v>1234</v>
      </c>
      <c r="G765" s="237">
        <v>45119</v>
      </c>
      <c r="H765" s="234">
        <f>SUMIF(VA!B:B,A765,VA!I:I)</f>
        <v>359.46</v>
      </c>
      <c r="I765" s="33">
        <f>SUMIF(VR!B:B,A765,VR!I:I)</f>
        <v>657.5</v>
      </c>
      <c r="J765" s="4">
        <f t="shared" si="11"/>
        <v>1016.96</v>
      </c>
      <c r="K765" s="195">
        <f>SUMIF(FALTAS!A:A,A765,FALTAS!D:D)</f>
        <v>0</v>
      </c>
    </row>
    <row r="766" spans="1:11" x14ac:dyDescent="0.2">
      <c r="A766" s="235">
        <v>112221</v>
      </c>
      <c r="B766" s="236" t="s">
        <v>42</v>
      </c>
      <c r="C766" s="236" t="s">
        <v>0</v>
      </c>
      <c r="D766" s="236" t="s">
        <v>5</v>
      </c>
      <c r="E766" s="237">
        <v>43617</v>
      </c>
      <c r="F766" s="236" t="s">
        <v>1234</v>
      </c>
      <c r="G766" s="237">
        <v>44960</v>
      </c>
      <c r="H766" s="234">
        <f>SUMIF(VA!B:B,A766,VA!I:I)</f>
        <v>359.46</v>
      </c>
      <c r="I766" s="33">
        <f>SUMIF(VR!B:B,A766,VR!I:I)</f>
        <v>657.5</v>
      </c>
      <c r="J766" s="4">
        <f t="shared" si="11"/>
        <v>1016.96</v>
      </c>
      <c r="K766" s="195">
        <f>SUMIF(FALTAS!A:A,A766,FALTAS!D:D)</f>
        <v>0</v>
      </c>
    </row>
    <row r="767" spans="1:11" x14ac:dyDescent="0.2">
      <c r="A767" s="235">
        <v>117244</v>
      </c>
      <c r="B767" s="236" t="s">
        <v>1264</v>
      </c>
      <c r="C767" s="236" t="s">
        <v>8</v>
      </c>
      <c r="D767" s="236" t="s">
        <v>5</v>
      </c>
      <c r="E767" s="237">
        <v>44487</v>
      </c>
      <c r="F767" s="236" t="s">
        <v>1234</v>
      </c>
      <c r="G767" s="237">
        <v>45149</v>
      </c>
      <c r="H767" s="234">
        <f>SUMIF(VA!B:B,A767,VA!I:I)</f>
        <v>359.46</v>
      </c>
      <c r="I767" s="33">
        <f>SUMIF(VR!B:B,A767,VR!I:I)</f>
        <v>657.5</v>
      </c>
      <c r="J767" s="4">
        <f t="shared" si="11"/>
        <v>1016.96</v>
      </c>
      <c r="K767" s="195">
        <f>SUMIF(FALTAS!A:A,A767,FALTAS!D:D)</f>
        <v>0</v>
      </c>
    </row>
    <row r="768" spans="1:11" x14ac:dyDescent="0.2">
      <c r="A768" s="235">
        <v>112517</v>
      </c>
      <c r="B768" s="236" t="s">
        <v>233</v>
      </c>
      <c r="C768" s="236" t="s">
        <v>8</v>
      </c>
      <c r="D768" s="236" t="s">
        <v>2</v>
      </c>
      <c r="E768" s="237">
        <v>43617</v>
      </c>
      <c r="F768" s="236" t="s">
        <v>1234</v>
      </c>
      <c r="G768" s="237">
        <v>44960</v>
      </c>
      <c r="H768" s="234">
        <f>SUMIF(VA!B:B,A768,VA!I:I)</f>
        <v>359.46</v>
      </c>
      <c r="I768" s="33">
        <f>SUMIF(VR!B:B,A768,VR!I:I)</f>
        <v>657.5</v>
      </c>
      <c r="J768" s="4">
        <f t="shared" si="11"/>
        <v>1016.96</v>
      </c>
      <c r="K768" s="195">
        <f>SUMIF(FALTAS!A:A,A768,FALTAS!D:D)</f>
        <v>0</v>
      </c>
    </row>
    <row r="769" spans="1:11" x14ac:dyDescent="0.2">
      <c r="A769" s="235">
        <v>112941</v>
      </c>
      <c r="B769" s="236" t="s">
        <v>510</v>
      </c>
      <c r="C769" s="236" t="s">
        <v>8</v>
      </c>
      <c r="D769" s="236" t="s">
        <v>2</v>
      </c>
      <c r="E769" s="237">
        <v>43617</v>
      </c>
      <c r="F769" s="236" t="s">
        <v>1234</v>
      </c>
      <c r="G769" s="237">
        <v>44898</v>
      </c>
      <c r="H769" s="234">
        <f>SUMIF(VA!B:B,A769,VA!I:I)</f>
        <v>359.46</v>
      </c>
      <c r="I769" s="33">
        <f>SUMIF(VR!B:B,A769,VR!I:I)</f>
        <v>657.5</v>
      </c>
      <c r="J769" s="4">
        <f t="shared" si="11"/>
        <v>1016.96</v>
      </c>
      <c r="K769" s="195">
        <f>SUMIF(FALTAS!A:A,A769,FALTAS!D:D)</f>
        <v>0</v>
      </c>
    </row>
    <row r="770" spans="1:11" x14ac:dyDescent="0.2">
      <c r="A770" s="235">
        <v>112943</v>
      </c>
      <c r="B770" s="236" t="s">
        <v>512</v>
      </c>
      <c r="C770" s="236" t="s">
        <v>8</v>
      </c>
      <c r="D770" s="236" t="s">
        <v>2</v>
      </c>
      <c r="E770" s="237">
        <v>43617</v>
      </c>
      <c r="F770" s="236" t="s">
        <v>1234</v>
      </c>
      <c r="G770" s="237">
        <v>44898</v>
      </c>
      <c r="H770" s="234">
        <f>SUMIF(VA!B:B,A770,VA!I:I)</f>
        <v>359.46</v>
      </c>
      <c r="I770" s="33">
        <f>SUMIF(VR!B:B,A770,VR!I:I)</f>
        <v>657.5</v>
      </c>
      <c r="J770" s="4">
        <f t="shared" ref="J770:J833" si="12">H770+I770</f>
        <v>1016.96</v>
      </c>
      <c r="K770" s="195">
        <f>SUMIF(FALTAS!A:A,A770,FALTAS!D:D)</f>
        <v>0</v>
      </c>
    </row>
    <row r="771" spans="1:11" x14ac:dyDescent="0.2">
      <c r="A771" s="235">
        <v>113114</v>
      </c>
      <c r="B771" s="236" t="s">
        <v>593</v>
      </c>
      <c r="C771" s="236" t="s">
        <v>0</v>
      </c>
      <c r="D771" s="236" t="s">
        <v>2</v>
      </c>
      <c r="E771" s="237">
        <v>43617</v>
      </c>
      <c r="F771" s="236" t="s">
        <v>1234</v>
      </c>
      <c r="G771" s="237">
        <v>44898</v>
      </c>
      <c r="H771" s="234">
        <f>SUMIF(VA!B:B,A771,VA!I:I)</f>
        <v>359.46</v>
      </c>
      <c r="I771" s="33">
        <f>SUMIF(VR!B:B,A771,VR!I:I)</f>
        <v>657.5</v>
      </c>
      <c r="J771" s="4">
        <f t="shared" si="12"/>
        <v>1016.96</v>
      </c>
      <c r="K771" s="195">
        <f>SUMIF(FALTAS!A:A,A771,FALTAS!D:D)</f>
        <v>0</v>
      </c>
    </row>
    <row r="772" spans="1:11" x14ac:dyDescent="0.2">
      <c r="A772" s="235">
        <v>114924</v>
      </c>
      <c r="B772" s="236" t="s">
        <v>593</v>
      </c>
      <c r="C772" s="236" t="s">
        <v>1589</v>
      </c>
      <c r="D772" s="236" t="s">
        <v>5</v>
      </c>
      <c r="E772" s="237">
        <v>43916</v>
      </c>
      <c r="F772" s="236" t="s">
        <v>1234</v>
      </c>
      <c r="G772" s="237">
        <v>45149</v>
      </c>
      <c r="H772" s="234">
        <f>SUMIF(VA!B:B,A772,VA!I:I)</f>
        <v>359.46</v>
      </c>
      <c r="I772" s="33">
        <f>SUMIF(VR!B:B,A772,VR!I:I)</f>
        <v>657.5</v>
      </c>
      <c r="J772" s="4">
        <f t="shared" si="12"/>
        <v>1016.96</v>
      </c>
      <c r="K772" s="195">
        <f>SUMIF(FALTAS!A:A,A772,FALTAS!D:D)</f>
        <v>0</v>
      </c>
    </row>
    <row r="773" spans="1:11" x14ac:dyDescent="0.2">
      <c r="A773" s="235">
        <v>122409</v>
      </c>
      <c r="B773" s="236" t="s">
        <v>1705</v>
      </c>
      <c r="C773" s="236" t="s">
        <v>1589</v>
      </c>
      <c r="D773" s="236" t="s">
        <v>15</v>
      </c>
      <c r="E773" s="237">
        <v>45117</v>
      </c>
      <c r="F773" s="236" t="s">
        <v>1234</v>
      </c>
      <c r="G773" s="237">
        <v>45117</v>
      </c>
      <c r="H773" s="234">
        <f>SUMIF(VA!B:B,A773,VA!I:I)</f>
        <v>359.46</v>
      </c>
      <c r="I773" s="33">
        <f>SUMIF(VR!B:B,A773,VR!I:I)</f>
        <v>657.5</v>
      </c>
      <c r="J773" s="4">
        <f t="shared" si="12"/>
        <v>1016.96</v>
      </c>
      <c r="K773" s="195">
        <f>SUMIF(FALTAS!A:A,A773,FALTAS!D:D)</f>
        <v>0</v>
      </c>
    </row>
    <row r="774" spans="1:11" x14ac:dyDescent="0.2">
      <c r="A774" s="235">
        <v>113414</v>
      </c>
      <c r="B774" s="236" t="s">
        <v>765</v>
      </c>
      <c r="C774" s="236" t="s">
        <v>0</v>
      </c>
      <c r="D774" s="236" t="s">
        <v>2</v>
      </c>
      <c r="E774" s="237">
        <v>43617</v>
      </c>
      <c r="F774" s="236" t="s">
        <v>1234</v>
      </c>
      <c r="G774" s="237">
        <v>45056</v>
      </c>
      <c r="H774" s="234">
        <f>SUMIF(VA!B:B,A774,VA!I:I)</f>
        <v>359.46</v>
      </c>
      <c r="I774" s="33">
        <f>SUMIF(VR!B:B,A774,VR!I:I)</f>
        <v>657.5</v>
      </c>
      <c r="J774" s="4">
        <f t="shared" si="12"/>
        <v>1016.96</v>
      </c>
      <c r="K774" s="195">
        <f>SUMIF(FALTAS!A:A,A774,FALTAS!D:D)</f>
        <v>0</v>
      </c>
    </row>
    <row r="775" spans="1:11" x14ac:dyDescent="0.2">
      <c r="A775" s="235">
        <v>121316</v>
      </c>
      <c r="B775" s="236" t="s">
        <v>1541</v>
      </c>
      <c r="C775" s="236" t="s">
        <v>8</v>
      </c>
      <c r="D775" s="236" t="s">
        <v>5</v>
      </c>
      <c r="E775" s="237">
        <v>44945</v>
      </c>
      <c r="F775" s="236" t="s">
        <v>1234</v>
      </c>
      <c r="G775" s="237">
        <v>44945</v>
      </c>
      <c r="H775" s="234">
        <f>SUMIF(VA!B:B,A775,VA!I:I)</f>
        <v>359.46</v>
      </c>
      <c r="I775" s="33">
        <f>SUMIF(VR!B:B,A775,VR!I:I)</f>
        <v>657.5</v>
      </c>
      <c r="J775" s="4">
        <f t="shared" si="12"/>
        <v>1016.96</v>
      </c>
      <c r="K775" s="195">
        <f>SUMIF(FALTAS!A:A,A775,FALTAS!D:D)</f>
        <v>0</v>
      </c>
    </row>
    <row r="776" spans="1:11" x14ac:dyDescent="0.2">
      <c r="A776" s="235">
        <v>113344</v>
      </c>
      <c r="B776" s="236" t="s">
        <v>720</v>
      </c>
      <c r="C776" s="236" t="s">
        <v>1589</v>
      </c>
      <c r="D776" s="236" t="s">
        <v>413</v>
      </c>
      <c r="E776" s="237">
        <v>43617</v>
      </c>
      <c r="F776" s="236" t="s">
        <v>1235</v>
      </c>
      <c r="G776" s="237">
        <v>45147</v>
      </c>
      <c r="H776" s="234">
        <f>SUMIF(VA!B:B,A776,VA!I:I)</f>
        <v>359.46</v>
      </c>
      <c r="I776" s="33">
        <f>SUMIF(VR!B:B,A776,VR!I:I)</f>
        <v>657.5</v>
      </c>
      <c r="J776" s="4">
        <f t="shared" si="12"/>
        <v>1016.96</v>
      </c>
      <c r="K776" s="195">
        <f>SUMIF(FALTAS!A:A,A776,FALTAS!D:D)</f>
        <v>0</v>
      </c>
    </row>
    <row r="777" spans="1:11" x14ac:dyDescent="0.2">
      <c r="A777" s="235">
        <v>112264</v>
      </c>
      <c r="B777" s="236" t="s">
        <v>74</v>
      </c>
      <c r="C777" s="236" t="s">
        <v>10</v>
      </c>
      <c r="D777" s="236" t="s">
        <v>2</v>
      </c>
      <c r="E777" s="237">
        <v>43617</v>
      </c>
      <c r="F777" s="236" t="s">
        <v>1234</v>
      </c>
      <c r="G777" s="237">
        <v>45149</v>
      </c>
      <c r="H777" s="234">
        <f>SUMIF(VA!B:B,A777,VA!I:I)</f>
        <v>359.46</v>
      </c>
      <c r="I777" s="33">
        <f>SUMIF(VR!B:B,A777,VR!I:I)</f>
        <v>657.5</v>
      </c>
      <c r="J777" s="4">
        <f t="shared" si="12"/>
        <v>1016.96</v>
      </c>
      <c r="K777" s="195">
        <f>SUMIF(FALTAS!A:A,A777,FALTAS!D:D)</f>
        <v>0</v>
      </c>
    </row>
    <row r="778" spans="1:11" x14ac:dyDescent="0.2">
      <c r="A778" s="235">
        <v>112944</v>
      </c>
      <c r="B778" s="236" t="s">
        <v>513</v>
      </c>
      <c r="C778" s="236" t="s">
        <v>8</v>
      </c>
      <c r="D778" s="236" t="s">
        <v>2</v>
      </c>
      <c r="E778" s="237">
        <v>43617</v>
      </c>
      <c r="F778" s="236" t="s">
        <v>1234</v>
      </c>
      <c r="G778" s="237">
        <v>45119</v>
      </c>
      <c r="H778" s="234">
        <f>SUMIF(VA!B:B,A778,VA!I:I)</f>
        <v>359.46</v>
      </c>
      <c r="I778" s="33">
        <f>SUMIF(VR!B:B,A778,VR!I:I)</f>
        <v>657.5</v>
      </c>
      <c r="J778" s="4">
        <f t="shared" si="12"/>
        <v>1016.96</v>
      </c>
      <c r="K778" s="195">
        <f>SUMIF(FALTAS!A:A,A778,FALTAS!D:D)</f>
        <v>0</v>
      </c>
    </row>
    <row r="779" spans="1:11" x14ac:dyDescent="0.2">
      <c r="A779" s="235">
        <v>113637</v>
      </c>
      <c r="B779" s="236" t="s">
        <v>891</v>
      </c>
      <c r="C779" s="236" t="s">
        <v>1589</v>
      </c>
      <c r="D779" s="236" t="s">
        <v>15</v>
      </c>
      <c r="E779" s="237">
        <v>43617</v>
      </c>
      <c r="F779" s="236" t="s">
        <v>1234</v>
      </c>
      <c r="G779" s="237">
        <v>45149</v>
      </c>
      <c r="H779" s="234">
        <f>SUMIF(VA!B:B,A779,VA!I:I)</f>
        <v>359.46</v>
      </c>
      <c r="I779" s="33">
        <f>SUMIF(VR!B:B,A779,VR!I:I)</f>
        <v>657.5</v>
      </c>
      <c r="J779" s="4">
        <f t="shared" si="12"/>
        <v>1016.96</v>
      </c>
      <c r="K779" s="195">
        <f>SUMIF(FALTAS!A:A,A779,FALTAS!D:D)</f>
        <v>0</v>
      </c>
    </row>
    <row r="780" spans="1:11" x14ac:dyDescent="0.2">
      <c r="A780" s="235">
        <v>113448</v>
      </c>
      <c r="B780" s="236" t="s">
        <v>787</v>
      </c>
      <c r="C780" s="236" t="s">
        <v>0</v>
      </c>
      <c r="D780" s="236" t="s">
        <v>2</v>
      </c>
      <c r="E780" s="237">
        <v>43617</v>
      </c>
      <c r="F780" s="236" t="s">
        <v>1234</v>
      </c>
      <c r="G780" s="237">
        <v>45056</v>
      </c>
      <c r="H780" s="234">
        <f>SUMIF(VA!B:B,A780,VA!I:I)</f>
        <v>359.46</v>
      </c>
      <c r="I780" s="33">
        <f>SUMIF(VR!B:B,A780,VR!I:I)</f>
        <v>657.5</v>
      </c>
      <c r="J780" s="4">
        <f t="shared" si="12"/>
        <v>1016.96</v>
      </c>
      <c r="K780" s="195">
        <f>SUMIF(FALTAS!A:A,A780,FALTAS!D:D)</f>
        <v>0</v>
      </c>
    </row>
    <row r="781" spans="1:11" x14ac:dyDescent="0.2">
      <c r="A781" s="235">
        <v>113320</v>
      </c>
      <c r="B781" s="236" t="s">
        <v>706</v>
      </c>
      <c r="C781" s="236" t="s">
        <v>1589</v>
      </c>
      <c r="D781" s="236" t="s">
        <v>22</v>
      </c>
      <c r="E781" s="237">
        <v>43617</v>
      </c>
      <c r="F781" s="236" t="s">
        <v>1234</v>
      </c>
      <c r="G781" s="237">
        <v>44898</v>
      </c>
      <c r="H781" s="234">
        <f>SUMIF(VA!B:B,A781,VA!I:I)</f>
        <v>359.46</v>
      </c>
      <c r="I781" s="33">
        <f>SUMIF(VR!B:B,A781,VR!I:I)</f>
        <v>657.5</v>
      </c>
      <c r="J781" s="4">
        <f t="shared" si="12"/>
        <v>1016.96</v>
      </c>
      <c r="K781" s="195">
        <f>SUMIF(FALTAS!A:A,A781,FALTAS!D:D)</f>
        <v>0</v>
      </c>
    </row>
    <row r="782" spans="1:11" x14ac:dyDescent="0.2">
      <c r="A782" s="235">
        <v>112946</v>
      </c>
      <c r="B782" s="236" t="s">
        <v>256</v>
      </c>
      <c r="C782" s="236" t="s">
        <v>8</v>
      </c>
      <c r="D782" s="236" t="s">
        <v>2</v>
      </c>
      <c r="E782" s="237">
        <v>43617</v>
      </c>
      <c r="F782" s="236" t="s">
        <v>1234</v>
      </c>
      <c r="G782" s="237">
        <v>45149</v>
      </c>
      <c r="H782" s="234">
        <f>SUMIF(VA!B:B,A782,VA!I:I)</f>
        <v>359.46</v>
      </c>
      <c r="I782" s="33">
        <f>SUMIF(VR!B:B,A782,VR!I:I)</f>
        <v>657.5</v>
      </c>
      <c r="J782" s="4">
        <f t="shared" si="12"/>
        <v>1016.96</v>
      </c>
      <c r="K782" s="195">
        <f>SUMIF(FALTAS!A:A,A782,FALTAS!D:D)</f>
        <v>0</v>
      </c>
    </row>
    <row r="783" spans="1:11" x14ac:dyDescent="0.2">
      <c r="A783" s="235">
        <v>113362</v>
      </c>
      <c r="B783" s="236" t="s">
        <v>730</v>
      </c>
      <c r="C783" s="236" t="s">
        <v>0</v>
      </c>
      <c r="D783" s="236" t="s">
        <v>2</v>
      </c>
      <c r="E783" s="237">
        <v>43617</v>
      </c>
      <c r="F783" s="236" t="s">
        <v>1234</v>
      </c>
      <c r="G783" s="237">
        <v>45119</v>
      </c>
      <c r="H783" s="234">
        <f>SUMIF(VA!B:B,A783,VA!I:I)</f>
        <v>359.46</v>
      </c>
      <c r="I783" s="33">
        <f>SUMIF(VR!B:B,A783,VR!I:I)</f>
        <v>657.5</v>
      </c>
      <c r="J783" s="4">
        <f t="shared" si="12"/>
        <v>1016.96</v>
      </c>
      <c r="K783" s="195">
        <f>SUMIF(FALTAS!A:A,A783,FALTAS!D:D)</f>
        <v>0</v>
      </c>
    </row>
    <row r="784" spans="1:11" x14ac:dyDescent="0.2">
      <c r="A784" s="235">
        <v>113385</v>
      </c>
      <c r="B784" s="236" t="s">
        <v>745</v>
      </c>
      <c r="C784" s="236" t="s">
        <v>0</v>
      </c>
      <c r="D784" s="236" t="s">
        <v>2</v>
      </c>
      <c r="E784" s="237">
        <v>43617</v>
      </c>
      <c r="F784" s="236" t="s">
        <v>1234</v>
      </c>
      <c r="G784" s="237">
        <v>44898</v>
      </c>
      <c r="H784" s="234">
        <f>SUMIF(VA!B:B,A784,VA!I:I)</f>
        <v>359.46</v>
      </c>
      <c r="I784" s="33">
        <f>SUMIF(VR!B:B,A784,VR!I:I)</f>
        <v>657.5</v>
      </c>
      <c r="J784" s="4">
        <f t="shared" si="12"/>
        <v>1016.96</v>
      </c>
      <c r="K784" s="195">
        <f>SUMIF(FALTAS!A:A,A784,FALTAS!D:D)</f>
        <v>0</v>
      </c>
    </row>
    <row r="785" spans="1:11" x14ac:dyDescent="0.2">
      <c r="A785" s="235">
        <v>112353</v>
      </c>
      <c r="B785" s="236" t="s">
        <v>127</v>
      </c>
      <c r="C785" s="236" t="s">
        <v>32</v>
      </c>
      <c r="D785" s="236" t="s">
        <v>2</v>
      </c>
      <c r="E785" s="237">
        <v>43617</v>
      </c>
      <c r="F785" s="236" t="s">
        <v>1235</v>
      </c>
      <c r="G785" s="237">
        <v>45147</v>
      </c>
      <c r="H785" s="234">
        <f>SUMIF(VA!B:B,A785,VA!I:I)</f>
        <v>359.46</v>
      </c>
      <c r="I785" s="33">
        <f>SUMIF(VR!B:B,A785,VR!I:I)</f>
        <v>657.5</v>
      </c>
      <c r="J785" s="4">
        <f t="shared" si="12"/>
        <v>1016.96</v>
      </c>
      <c r="K785" s="195">
        <f>SUMIF(FALTAS!A:A,A785,FALTAS!D:D)</f>
        <v>0</v>
      </c>
    </row>
    <row r="786" spans="1:11" x14ac:dyDescent="0.2">
      <c r="A786" s="235">
        <v>113387</v>
      </c>
      <c r="B786" s="236" t="s">
        <v>746</v>
      </c>
      <c r="C786" s="236" t="s">
        <v>0</v>
      </c>
      <c r="D786" s="236" t="s">
        <v>2</v>
      </c>
      <c r="E786" s="237">
        <v>43617</v>
      </c>
      <c r="F786" s="236" t="s">
        <v>1234</v>
      </c>
      <c r="G786" s="237">
        <v>44930</v>
      </c>
      <c r="H786" s="234">
        <f>SUMIF(VA!B:B,A786,VA!I:I)</f>
        <v>359.46</v>
      </c>
      <c r="I786" s="33">
        <f>SUMIF(VR!B:B,A786,VR!I:I)</f>
        <v>657.5</v>
      </c>
      <c r="J786" s="4">
        <f t="shared" si="12"/>
        <v>1016.96</v>
      </c>
      <c r="K786" s="195">
        <f>SUMIF(FALTAS!A:A,A786,FALTAS!D:D)</f>
        <v>0</v>
      </c>
    </row>
    <row r="787" spans="1:11" x14ac:dyDescent="0.2">
      <c r="A787" s="235">
        <v>113158</v>
      </c>
      <c r="B787" s="236" t="s">
        <v>619</v>
      </c>
      <c r="C787" s="236" t="s">
        <v>1589</v>
      </c>
      <c r="D787" s="236" t="s">
        <v>22</v>
      </c>
      <c r="E787" s="237">
        <v>43617</v>
      </c>
      <c r="F787" s="236" t="s">
        <v>1234</v>
      </c>
      <c r="G787" s="237">
        <v>44898</v>
      </c>
      <c r="H787" s="234">
        <f>SUMIF(VA!B:B,A787,VA!I:I)</f>
        <v>359.46</v>
      </c>
      <c r="I787" s="33">
        <f>SUMIF(VR!B:B,A787,VR!I:I)</f>
        <v>657.5</v>
      </c>
      <c r="J787" s="4">
        <f t="shared" si="12"/>
        <v>1016.96</v>
      </c>
      <c r="K787" s="195">
        <f>SUMIF(FALTAS!A:A,A787,FALTAS!D:D)</f>
        <v>0</v>
      </c>
    </row>
    <row r="788" spans="1:11" x14ac:dyDescent="0.2">
      <c r="A788" s="235">
        <v>112408</v>
      </c>
      <c r="B788" s="236" t="s">
        <v>161</v>
      </c>
      <c r="C788" s="236" t="s">
        <v>8</v>
      </c>
      <c r="D788" s="236" t="s">
        <v>5</v>
      </c>
      <c r="E788" s="237">
        <v>43617</v>
      </c>
      <c r="F788" s="236" t="s">
        <v>1234</v>
      </c>
      <c r="G788" s="237">
        <v>44867</v>
      </c>
      <c r="H788" s="234">
        <f>SUMIF(VA!B:B,A788,VA!I:I)</f>
        <v>359.46</v>
      </c>
      <c r="I788" s="33">
        <f>SUMIF(VR!B:B,A788,VR!I:I)</f>
        <v>657.5</v>
      </c>
      <c r="J788" s="4">
        <f t="shared" si="12"/>
        <v>1016.96</v>
      </c>
      <c r="K788" s="195">
        <f>SUMIF(FALTAS!A:A,A788,FALTAS!D:D)</f>
        <v>0</v>
      </c>
    </row>
    <row r="789" spans="1:11" x14ac:dyDescent="0.2">
      <c r="A789" s="235">
        <v>113417</v>
      </c>
      <c r="B789" s="236" t="s">
        <v>768</v>
      </c>
      <c r="C789" s="236" t="s">
        <v>0</v>
      </c>
      <c r="D789" s="236" t="s">
        <v>2</v>
      </c>
      <c r="E789" s="237">
        <v>43617</v>
      </c>
      <c r="F789" s="236" t="s">
        <v>1234</v>
      </c>
      <c r="G789" s="237">
        <v>44930</v>
      </c>
      <c r="H789" s="234">
        <f>SUMIF(VA!B:B,A789,VA!I:I)</f>
        <v>359.46</v>
      </c>
      <c r="I789" s="33">
        <f>SUMIF(VR!B:B,A789,VR!I:I)</f>
        <v>657.5</v>
      </c>
      <c r="J789" s="4">
        <f t="shared" si="12"/>
        <v>1016.96</v>
      </c>
      <c r="K789" s="195">
        <f>SUMIF(FALTAS!A:A,A789,FALTAS!D:D)</f>
        <v>0</v>
      </c>
    </row>
    <row r="790" spans="1:11" x14ac:dyDescent="0.2">
      <c r="A790" s="235">
        <v>122405</v>
      </c>
      <c r="B790" s="236" t="s">
        <v>1706</v>
      </c>
      <c r="C790" s="236" t="s">
        <v>1589</v>
      </c>
      <c r="D790" s="236" t="s">
        <v>15</v>
      </c>
      <c r="E790" s="237">
        <v>45117</v>
      </c>
      <c r="F790" s="236" t="s">
        <v>1234</v>
      </c>
      <c r="G790" s="237">
        <v>45117</v>
      </c>
      <c r="H790" s="234">
        <f>SUMIF(VA!B:B,A790,VA!I:I)</f>
        <v>359.46</v>
      </c>
      <c r="I790" s="33">
        <f>SUMIF(VR!B:B,A790,VR!I:I)</f>
        <v>657.5</v>
      </c>
      <c r="J790" s="4">
        <f t="shared" si="12"/>
        <v>1016.96</v>
      </c>
      <c r="K790" s="195">
        <f>SUMIF(FALTAS!A:A,A790,FALTAS!D:D)</f>
        <v>0</v>
      </c>
    </row>
    <row r="791" spans="1:11" x14ac:dyDescent="0.2">
      <c r="A791" s="235">
        <v>113366</v>
      </c>
      <c r="B791" s="236" t="s">
        <v>733</v>
      </c>
      <c r="C791" s="236" t="s">
        <v>0</v>
      </c>
      <c r="D791" s="236" t="s">
        <v>2</v>
      </c>
      <c r="E791" s="237">
        <v>43617</v>
      </c>
      <c r="F791" s="236" t="s">
        <v>1234</v>
      </c>
      <c r="G791" s="237">
        <v>45119</v>
      </c>
      <c r="H791" s="234">
        <f>SUMIF(VA!B:B,A791,VA!I:I)</f>
        <v>359.46</v>
      </c>
      <c r="I791" s="33">
        <f>SUMIF(VR!B:B,A791,VR!I:I)</f>
        <v>657.5</v>
      </c>
      <c r="J791" s="4">
        <f t="shared" si="12"/>
        <v>1016.96</v>
      </c>
      <c r="K791" s="195">
        <f>SUMIF(FALTAS!A:A,A791,FALTAS!D:D)</f>
        <v>0</v>
      </c>
    </row>
    <row r="792" spans="1:11" x14ac:dyDescent="0.2">
      <c r="A792" s="235">
        <v>119641</v>
      </c>
      <c r="B792" s="236" t="s">
        <v>1473</v>
      </c>
      <c r="C792" s="236" t="s">
        <v>8</v>
      </c>
      <c r="D792" s="236" t="s">
        <v>5</v>
      </c>
      <c r="E792" s="237">
        <v>44725</v>
      </c>
      <c r="F792" s="236" t="s">
        <v>1234</v>
      </c>
      <c r="G792" s="237">
        <v>44725</v>
      </c>
      <c r="H792" s="234">
        <f>SUMIF(VA!B:B,A792,VA!I:I)</f>
        <v>359.46</v>
      </c>
      <c r="I792" s="33">
        <f>SUMIF(VR!B:B,A792,VR!I:I)</f>
        <v>657.5</v>
      </c>
      <c r="J792" s="4">
        <f t="shared" si="12"/>
        <v>1016.96</v>
      </c>
      <c r="K792" s="195">
        <f>SUMIF(FALTAS!A:A,A792,FALTAS!D:D)</f>
        <v>0</v>
      </c>
    </row>
    <row r="793" spans="1:11" x14ac:dyDescent="0.2">
      <c r="A793" s="235">
        <v>113162</v>
      </c>
      <c r="B793" s="236" t="s">
        <v>514</v>
      </c>
      <c r="C793" s="236" t="s">
        <v>1589</v>
      </c>
      <c r="D793" s="236" t="s">
        <v>22</v>
      </c>
      <c r="E793" s="237">
        <v>43617</v>
      </c>
      <c r="F793" s="236" t="s">
        <v>1234</v>
      </c>
      <c r="G793" s="237">
        <v>45056</v>
      </c>
      <c r="H793" s="234">
        <f>SUMIF(VA!B:B,A793,VA!I:I)</f>
        <v>359.46</v>
      </c>
      <c r="I793" s="33">
        <f>SUMIF(VR!B:B,A793,VR!I:I)</f>
        <v>657.5</v>
      </c>
      <c r="J793" s="4">
        <f t="shared" si="12"/>
        <v>1016.96</v>
      </c>
      <c r="K793" s="195">
        <f>SUMIF(FALTAS!A:A,A793,FALTAS!D:D)</f>
        <v>0</v>
      </c>
    </row>
    <row r="794" spans="1:11" x14ac:dyDescent="0.2">
      <c r="A794" s="235">
        <v>112949</v>
      </c>
      <c r="B794" s="236" t="s">
        <v>515</v>
      </c>
      <c r="C794" s="236" t="s">
        <v>8</v>
      </c>
      <c r="D794" s="236" t="s">
        <v>2</v>
      </c>
      <c r="E794" s="237">
        <v>43617</v>
      </c>
      <c r="F794" s="236" t="s">
        <v>1234</v>
      </c>
      <c r="G794" s="237">
        <v>44867</v>
      </c>
      <c r="H794" s="234">
        <f>SUMIF(VA!B:B,A794,VA!I:I)</f>
        <v>359.46</v>
      </c>
      <c r="I794" s="33">
        <f>SUMIF(VR!B:B,A794,VR!I:I)</f>
        <v>657.5</v>
      </c>
      <c r="J794" s="4">
        <f t="shared" si="12"/>
        <v>1016.96</v>
      </c>
      <c r="K794" s="195">
        <f>SUMIF(FALTAS!A:A,A794,FALTAS!D:D)</f>
        <v>0</v>
      </c>
    </row>
    <row r="795" spans="1:11" x14ac:dyDescent="0.2">
      <c r="A795" s="235">
        <v>112495</v>
      </c>
      <c r="B795" s="236" t="s">
        <v>215</v>
      </c>
      <c r="C795" s="236" t="s">
        <v>32</v>
      </c>
      <c r="D795" s="236" t="s">
        <v>5</v>
      </c>
      <c r="E795" s="237">
        <v>43617</v>
      </c>
      <c r="F795" s="236" t="s">
        <v>1234</v>
      </c>
      <c r="G795" s="237">
        <v>44835</v>
      </c>
      <c r="H795" s="234">
        <f>SUMIF(VA!B:B,A795,VA!I:I)</f>
        <v>359.46</v>
      </c>
      <c r="I795" s="33">
        <f>SUMIF(VR!B:B,A795,VR!I:I)</f>
        <v>657.5</v>
      </c>
      <c r="J795" s="4">
        <f t="shared" si="12"/>
        <v>1016.96</v>
      </c>
      <c r="K795" s="195">
        <f>SUMIF(FALTAS!A:A,A795,FALTAS!D:D)</f>
        <v>0</v>
      </c>
    </row>
    <row r="796" spans="1:11" x14ac:dyDescent="0.2">
      <c r="A796" s="235">
        <v>113118</v>
      </c>
      <c r="B796" s="236" t="s">
        <v>596</v>
      </c>
      <c r="C796" s="236" t="s">
        <v>1589</v>
      </c>
      <c r="D796" s="236" t="s">
        <v>411</v>
      </c>
      <c r="E796" s="237">
        <v>43617</v>
      </c>
      <c r="F796" s="236" t="s">
        <v>1234</v>
      </c>
      <c r="G796" s="237">
        <v>44960</v>
      </c>
      <c r="H796" s="234">
        <f>SUMIF(VA!B:B,A796,VA!I:I)</f>
        <v>359.46</v>
      </c>
      <c r="I796" s="33">
        <f>SUMIF(VR!B:B,A796,VR!I:I)</f>
        <v>657.5</v>
      </c>
      <c r="J796" s="4">
        <f t="shared" si="12"/>
        <v>1016.96</v>
      </c>
      <c r="K796" s="195">
        <f>SUMIF(FALTAS!A:A,A796,FALTAS!D:D)</f>
        <v>0</v>
      </c>
    </row>
    <row r="797" spans="1:11" x14ac:dyDescent="0.2">
      <c r="A797" s="235">
        <v>112409</v>
      </c>
      <c r="B797" s="236" t="s">
        <v>162</v>
      </c>
      <c r="C797" s="236" t="s">
        <v>8</v>
      </c>
      <c r="D797" s="236" t="s">
        <v>2</v>
      </c>
      <c r="E797" s="237">
        <v>43617</v>
      </c>
      <c r="F797" s="236" t="s">
        <v>1234</v>
      </c>
      <c r="G797" s="237">
        <v>44806</v>
      </c>
      <c r="H797" s="234">
        <f>SUMIF(VA!B:B,A797,VA!I:I)</f>
        <v>359.46</v>
      </c>
      <c r="I797" s="33">
        <f>SUMIF(VR!B:B,A797,VR!I:I)</f>
        <v>657.5</v>
      </c>
      <c r="J797" s="4">
        <f t="shared" si="12"/>
        <v>1016.96</v>
      </c>
      <c r="K797" s="195">
        <f>SUMIF(FALTAS!A:A,A797,FALTAS!D:D)</f>
        <v>0</v>
      </c>
    </row>
    <row r="798" spans="1:11" x14ac:dyDescent="0.2">
      <c r="A798" s="235">
        <v>113159</v>
      </c>
      <c r="B798" s="236" t="s">
        <v>620</v>
      </c>
      <c r="C798" s="236" t="s">
        <v>1589</v>
      </c>
      <c r="D798" s="236" t="s">
        <v>22</v>
      </c>
      <c r="E798" s="237">
        <v>43617</v>
      </c>
      <c r="F798" s="236" t="s">
        <v>1234</v>
      </c>
      <c r="G798" s="237">
        <v>45149</v>
      </c>
      <c r="H798" s="234">
        <f>SUMIF(VA!B:B,A798,VA!I:I)</f>
        <v>359.46</v>
      </c>
      <c r="I798" s="33">
        <f>SUMIF(VR!B:B,A798,VR!I:I)</f>
        <v>657.5</v>
      </c>
      <c r="J798" s="4">
        <f t="shared" si="12"/>
        <v>1016.96</v>
      </c>
      <c r="K798" s="195">
        <f>SUMIF(FALTAS!A:A,A798,FALTAS!D:D)</f>
        <v>0</v>
      </c>
    </row>
    <row r="799" spans="1:11" x14ac:dyDescent="0.2">
      <c r="A799" s="235">
        <v>119114</v>
      </c>
      <c r="B799" s="236" t="s">
        <v>1444</v>
      </c>
      <c r="C799" s="236" t="s">
        <v>0</v>
      </c>
      <c r="D799" s="236" t="s">
        <v>2</v>
      </c>
      <c r="E799" s="237">
        <v>44630</v>
      </c>
      <c r="F799" s="236" t="s">
        <v>1235</v>
      </c>
      <c r="G799" s="237">
        <v>45147</v>
      </c>
      <c r="H799" s="234">
        <f>SUMIF(VA!B:B,A799,VA!I:I)</f>
        <v>359.46</v>
      </c>
      <c r="I799" s="33">
        <f>SUMIF(VR!B:B,A799,VR!I:I)</f>
        <v>657.5</v>
      </c>
      <c r="J799" s="4">
        <f t="shared" si="12"/>
        <v>1016.96</v>
      </c>
      <c r="K799" s="195">
        <f>SUMIF(FALTAS!A:A,A799,FALTAS!D:D)</f>
        <v>0</v>
      </c>
    </row>
    <row r="800" spans="1:11" x14ac:dyDescent="0.2">
      <c r="A800" s="235">
        <v>116388</v>
      </c>
      <c r="B800" s="236" t="s">
        <v>1216</v>
      </c>
      <c r="C800" s="236" t="s">
        <v>1589</v>
      </c>
      <c r="D800" s="236" t="s">
        <v>282</v>
      </c>
      <c r="E800" s="237">
        <v>44328</v>
      </c>
      <c r="F800" s="236" t="s">
        <v>1234</v>
      </c>
      <c r="G800" s="237">
        <v>44776</v>
      </c>
      <c r="H800" s="234">
        <f>SUMIF(VA!B:B,A800,VA!I:I)</f>
        <v>359.46</v>
      </c>
      <c r="I800" s="33">
        <f>SUMIF(VR!B:B,A800,VR!I:I)</f>
        <v>657.5</v>
      </c>
      <c r="J800" s="4">
        <f t="shared" si="12"/>
        <v>1016.96</v>
      </c>
      <c r="K800" s="195">
        <f>SUMIF(FALTAS!A:A,A800,FALTAS!D:D)</f>
        <v>0</v>
      </c>
    </row>
    <row r="801" spans="1:11" x14ac:dyDescent="0.2">
      <c r="A801" s="235">
        <v>113655</v>
      </c>
      <c r="B801" s="236" t="s">
        <v>900</v>
      </c>
      <c r="C801" s="236" t="s">
        <v>1589</v>
      </c>
      <c r="D801" s="236" t="s">
        <v>15</v>
      </c>
      <c r="E801" s="237">
        <v>43617</v>
      </c>
      <c r="F801" s="236" t="s">
        <v>1234</v>
      </c>
      <c r="G801" s="237">
        <v>45149</v>
      </c>
      <c r="H801" s="234">
        <f>SUMIF(VA!B:B,A801,VA!I:I)</f>
        <v>359.46</v>
      </c>
      <c r="I801" s="33">
        <f>SUMIF(VR!B:B,A801,VR!I:I)</f>
        <v>657.5</v>
      </c>
      <c r="J801" s="4">
        <f t="shared" si="12"/>
        <v>1016.96</v>
      </c>
      <c r="K801" s="195">
        <f>SUMIF(FALTAS!A:A,A801,FALTAS!D:D)</f>
        <v>0</v>
      </c>
    </row>
    <row r="802" spans="1:11" x14ac:dyDescent="0.2">
      <c r="A802" s="235">
        <v>114490</v>
      </c>
      <c r="B802" s="236" t="s">
        <v>1042</v>
      </c>
      <c r="C802" s="236" t="s">
        <v>0</v>
      </c>
      <c r="D802" s="236" t="s">
        <v>5</v>
      </c>
      <c r="E802" s="237">
        <v>43811</v>
      </c>
      <c r="F802" s="236" t="s">
        <v>1235</v>
      </c>
      <c r="G802" s="237">
        <v>45147</v>
      </c>
      <c r="H802" s="234">
        <f>SUMIF(VA!B:B,A802,VA!I:I)</f>
        <v>359.46</v>
      </c>
      <c r="I802" s="33">
        <f>SUMIF(VR!B:B,A802,VR!I:I)</f>
        <v>657.5</v>
      </c>
      <c r="J802" s="4">
        <f t="shared" si="12"/>
        <v>1016.96</v>
      </c>
      <c r="K802" s="195">
        <f>SUMIF(FALTAS!A:A,A802,FALTAS!D:D)</f>
        <v>0</v>
      </c>
    </row>
    <row r="803" spans="1:11" x14ac:dyDescent="0.2">
      <c r="A803" s="235">
        <v>113395</v>
      </c>
      <c r="B803" s="236" t="s">
        <v>754</v>
      </c>
      <c r="C803" s="236" t="s">
        <v>0</v>
      </c>
      <c r="D803" s="236" t="s">
        <v>2</v>
      </c>
      <c r="E803" s="237">
        <v>43617</v>
      </c>
      <c r="F803" s="236" t="s">
        <v>1234</v>
      </c>
      <c r="G803" s="237">
        <v>45056</v>
      </c>
      <c r="H803" s="234">
        <f>SUMIF(VA!B:B,A803,VA!I:I)</f>
        <v>359.46</v>
      </c>
      <c r="I803" s="33">
        <f>SUMIF(VR!B:B,A803,VR!I:I)</f>
        <v>657.5</v>
      </c>
      <c r="J803" s="4">
        <f t="shared" si="12"/>
        <v>1016.96</v>
      </c>
      <c r="K803" s="195">
        <f>SUMIF(FALTAS!A:A,A803,FALTAS!D:D)</f>
        <v>0</v>
      </c>
    </row>
    <row r="804" spans="1:11" x14ac:dyDescent="0.2">
      <c r="A804" s="235">
        <v>119124</v>
      </c>
      <c r="B804" s="236" t="s">
        <v>1445</v>
      </c>
      <c r="C804" s="236" t="s">
        <v>1589</v>
      </c>
      <c r="D804" s="236" t="s">
        <v>15</v>
      </c>
      <c r="E804" s="237">
        <v>44630</v>
      </c>
      <c r="F804" s="236" t="s">
        <v>1234</v>
      </c>
      <c r="G804" s="237">
        <v>45056</v>
      </c>
      <c r="H804" s="234">
        <f>SUMIF(VA!B:B,A804,VA!I:I)</f>
        <v>359.46</v>
      </c>
      <c r="I804" s="33">
        <f>SUMIF(VR!B:B,A804,VR!I:I)</f>
        <v>657.5</v>
      </c>
      <c r="J804" s="4">
        <f t="shared" si="12"/>
        <v>1016.96</v>
      </c>
      <c r="K804" s="195">
        <f>SUMIF(FALTAS!A:A,A804,FALTAS!D:D)</f>
        <v>0</v>
      </c>
    </row>
    <row r="805" spans="1:11" x14ac:dyDescent="0.2">
      <c r="A805" s="235">
        <v>112962</v>
      </c>
      <c r="B805" s="236" t="s">
        <v>524</v>
      </c>
      <c r="C805" s="236" t="s">
        <v>19</v>
      </c>
      <c r="D805" s="236" t="s">
        <v>5</v>
      </c>
      <c r="E805" s="237">
        <v>43617</v>
      </c>
      <c r="F805" s="236" t="s">
        <v>1234</v>
      </c>
      <c r="G805" s="237">
        <v>44835</v>
      </c>
      <c r="H805" s="234">
        <f>SUMIF(VA!B:B,A805,VA!I:I)</f>
        <v>359.46</v>
      </c>
      <c r="I805" s="33">
        <f>SUMIF(VR!B:B,A805,VR!I:I)</f>
        <v>657.5</v>
      </c>
      <c r="J805" s="4">
        <f t="shared" si="12"/>
        <v>1016.96</v>
      </c>
      <c r="K805" s="195">
        <f>SUMIF(FALTAS!A:A,A805,FALTAS!D:D)</f>
        <v>0</v>
      </c>
    </row>
    <row r="806" spans="1:11" x14ac:dyDescent="0.2">
      <c r="A806" s="235">
        <v>113458</v>
      </c>
      <c r="B806" s="236" t="s">
        <v>791</v>
      </c>
      <c r="C806" s="236" t="s">
        <v>0</v>
      </c>
      <c r="D806" s="236" t="s">
        <v>2</v>
      </c>
      <c r="E806" s="237">
        <v>43617</v>
      </c>
      <c r="F806" s="236" t="s">
        <v>1234</v>
      </c>
      <c r="G806" s="237">
        <v>44960</v>
      </c>
      <c r="H806" s="234">
        <f>SUMIF(VA!B:B,A806,VA!I:I)</f>
        <v>359.46</v>
      </c>
      <c r="I806" s="33">
        <f>SUMIF(VR!B:B,A806,VR!I:I)</f>
        <v>657.5</v>
      </c>
      <c r="J806" s="4">
        <f t="shared" si="12"/>
        <v>1016.96</v>
      </c>
      <c r="K806" s="195">
        <f>SUMIF(FALTAS!A:A,A806,FALTAS!D:D)</f>
        <v>0</v>
      </c>
    </row>
    <row r="807" spans="1:11" x14ac:dyDescent="0.2">
      <c r="A807" s="235">
        <v>113461</v>
      </c>
      <c r="B807" s="236" t="s">
        <v>794</v>
      </c>
      <c r="C807" s="236" t="s">
        <v>0</v>
      </c>
      <c r="D807" s="236" t="s">
        <v>2</v>
      </c>
      <c r="E807" s="237">
        <v>43617</v>
      </c>
      <c r="F807" s="236" t="s">
        <v>1234</v>
      </c>
      <c r="G807" s="237">
        <v>45056</v>
      </c>
      <c r="H807" s="234">
        <f>SUMIF(VA!B:B,A807,VA!I:I)</f>
        <v>359.46</v>
      </c>
      <c r="I807" s="33">
        <f>SUMIF(VR!B:B,A807,VR!I:I)</f>
        <v>657.5</v>
      </c>
      <c r="J807" s="4">
        <f t="shared" si="12"/>
        <v>1016.96</v>
      </c>
      <c r="K807" s="195">
        <f>SUMIF(FALTAS!A:A,A807,FALTAS!D:D)</f>
        <v>0</v>
      </c>
    </row>
    <row r="808" spans="1:11" x14ac:dyDescent="0.2">
      <c r="A808" s="235">
        <v>114991</v>
      </c>
      <c r="B808" s="236" t="s">
        <v>1142</v>
      </c>
      <c r="C808" s="236" t="s">
        <v>1589</v>
      </c>
      <c r="D808" s="236" t="s">
        <v>5</v>
      </c>
      <c r="E808" s="237">
        <v>43918</v>
      </c>
      <c r="F808" s="236" t="s">
        <v>1234</v>
      </c>
      <c r="G808" s="237">
        <v>45149</v>
      </c>
      <c r="H808" s="234">
        <f>SUMIF(VA!B:B,A808,VA!I:I)</f>
        <v>359.46</v>
      </c>
      <c r="I808" s="33">
        <f>SUMIF(VR!B:B,A808,VR!I:I)</f>
        <v>657.5</v>
      </c>
      <c r="J808" s="4">
        <f t="shared" si="12"/>
        <v>1016.96</v>
      </c>
      <c r="K808" s="195">
        <f>SUMIF(FALTAS!A:A,A808,FALTAS!D:D)</f>
        <v>0</v>
      </c>
    </row>
    <row r="809" spans="1:11" x14ac:dyDescent="0.2">
      <c r="A809" s="235">
        <v>120180</v>
      </c>
      <c r="B809" s="236" t="s">
        <v>1503</v>
      </c>
      <c r="C809" s="236" t="s">
        <v>1589</v>
      </c>
      <c r="D809" s="236" t="s">
        <v>582</v>
      </c>
      <c r="E809" s="237">
        <v>44791</v>
      </c>
      <c r="F809" s="236" t="s">
        <v>1234</v>
      </c>
      <c r="G809" s="237">
        <v>44791</v>
      </c>
      <c r="H809" s="234">
        <f>SUMIF(VA!B:B,A809,VA!I:I)</f>
        <v>359.46</v>
      </c>
      <c r="I809" s="33">
        <f>SUMIF(VR!B:B,A809,VR!I:I)</f>
        <v>657.5</v>
      </c>
      <c r="J809" s="4">
        <f t="shared" si="12"/>
        <v>1016.96</v>
      </c>
      <c r="K809" s="195">
        <f>SUMIF(FALTAS!A:A,A809,FALTAS!D:D)</f>
        <v>0</v>
      </c>
    </row>
    <row r="810" spans="1:11" x14ac:dyDescent="0.2">
      <c r="A810" s="235">
        <v>113325</v>
      </c>
      <c r="B810" s="236" t="s">
        <v>709</v>
      </c>
      <c r="C810" s="236" t="s">
        <v>1589</v>
      </c>
      <c r="D810" s="236" t="s">
        <v>22</v>
      </c>
      <c r="E810" s="237">
        <v>43617</v>
      </c>
      <c r="F810" s="236" t="s">
        <v>1234</v>
      </c>
      <c r="G810" s="237">
        <v>44867</v>
      </c>
      <c r="H810" s="234">
        <f>SUMIF(VA!B:B,A810,VA!I:I)</f>
        <v>335.49</v>
      </c>
      <c r="I810" s="33">
        <f>SUMIF(VR!B:B,A810,VR!I:I)</f>
        <v>604.9</v>
      </c>
      <c r="J810" s="4">
        <f t="shared" si="12"/>
        <v>940.39</v>
      </c>
      <c r="K810" s="195">
        <f>SUMIF(FALTAS!A:A,A810,FALTAS!D:D)</f>
        <v>2</v>
      </c>
    </row>
    <row r="811" spans="1:11" x14ac:dyDescent="0.2">
      <c r="A811" s="235">
        <v>113403</v>
      </c>
      <c r="B811" s="236" t="s">
        <v>758</v>
      </c>
      <c r="C811" s="236" t="s">
        <v>0</v>
      </c>
      <c r="D811" s="236" t="s">
        <v>2</v>
      </c>
      <c r="E811" s="237">
        <v>43617</v>
      </c>
      <c r="F811" s="236" t="s">
        <v>1285</v>
      </c>
      <c r="G811" s="237">
        <v>45141</v>
      </c>
      <c r="H811" s="234">
        <f>SUMIF(VA!B:B,A811,VA!I:I)</f>
        <v>0</v>
      </c>
      <c r="I811" s="33">
        <f>SUMIF(VR!B:B,A811,VR!I:I)</f>
        <v>0</v>
      </c>
      <c r="J811" s="4">
        <f t="shared" si="12"/>
        <v>0</v>
      </c>
      <c r="K811" s="195">
        <f>SUMIF(FALTAS!A:A,A811,FALTAS!D:D)</f>
        <v>0</v>
      </c>
    </row>
    <row r="812" spans="1:11" x14ac:dyDescent="0.2">
      <c r="A812" s="235">
        <v>113160</v>
      </c>
      <c r="B812" s="236" t="s">
        <v>621</v>
      </c>
      <c r="C812" s="236" t="s">
        <v>1589</v>
      </c>
      <c r="D812" s="236" t="s">
        <v>22</v>
      </c>
      <c r="E812" s="237">
        <v>43617</v>
      </c>
      <c r="F812" s="236" t="s">
        <v>1234</v>
      </c>
      <c r="G812" s="237">
        <v>44835</v>
      </c>
      <c r="H812" s="234">
        <f>SUMIF(VA!B:B,A812,VA!I:I)</f>
        <v>359.46</v>
      </c>
      <c r="I812" s="33">
        <f>SUMIF(VR!B:B,A812,VR!I:I)</f>
        <v>657.5</v>
      </c>
      <c r="J812" s="4">
        <f t="shared" si="12"/>
        <v>1016.96</v>
      </c>
      <c r="K812" s="195">
        <f>SUMIF(FALTAS!A:A,A812,FALTAS!D:D)</f>
        <v>0</v>
      </c>
    </row>
    <row r="813" spans="1:11" x14ac:dyDescent="0.2">
      <c r="A813" s="235">
        <v>112442</v>
      </c>
      <c r="B813" s="236" t="s">
        <v>183</v>
      </c>
      <c r="C813" s="236" t="s">
        <v>8</v>
      </c>
      <c r="D813" s="236" t="s">
        <v>5</v>
      </c>
      <c r="E813" s="237">
        <v>43617</v>
      </c>
      <c r="F813" s="236" t="s">
        <v>1234</v>
      </c>
      <c r="G813" s="237">
        <v>44930</v>
      </c>
      <c r="H813" s="234">
        <f>SUMIF(VA!B:B,A813,VA!I:I)</f>
        <v>359.46</v>
      </c>
      <c r="I813" s="33">
        <f>SUMIF(VR!B:B,A813,VR!I:I)</f>
        <v>657.5</v>
      </c>
      <c r="J813" s="4">
        <f t="shared" si="12"/>
        <v>1016.96</v>
      </c>
      <c r="K813" s="195">
        <f>SUMIF(FALTAS!A:A,A813,FALTAS!D:D)</f>
        <v>0</v>
      </c>
    </row>
    <row r="814" spans="1:11" x14ac:dyDescent="0.2">
      <c r="A814" s="235">
        <v>112951</v>
      </c>
      <c r="B814" s="236" t="s">
        <v>517</v>
      </c>
      <c r="C814" s="236" t="s">
        <v>8</v>
      </c>
      <c r="D814" s="236" t="s">
        <v>2</v>
      </c>
      <c r="E814" s="237">
        <v>43617</v>
      </c>
      <c r="F814" s="236" t="s">
        <v>1234</v>
      </c>
      <c r="G814" s="237">
        <v>45149</v>
      </c>
      <c r="H814" s="234">
        <f>SUMIF(VA!B:B,A814,VA!I:I)</f>
        <v>359.46</v>
      </c>
      <c r="I814" s="33">
        <f>SUMIF(VR!B:B,A814,VR!I:I)</f>
        <v>657.5</v>
      </c>
      <c r="J814" s="4">
        <f t="shared" si="12"/>
        <v>1016.96</v>
      </c>
      <c r="K814" s="195">
        <f>SUMIF(FALTAS!A:A,A814,FALTAS!D:D)</f>
        <v>0</v>
      </c>
    </row>
    <row r="815" spans="1:11" x14ac:dyDescent="0.2">
      <c r="A815" s="235">
        <v>112269</v>
      </c>
      <c r="B815" s="236" t="s">
        <v>77</v>
      </c>
      <c r="C815" s="236" t="s">
        <v>10</v>
      </c>
      <c r="D815" s="236" t="s">
        <v>2</v>
      </c>
      <c r="E815" s="237">
        <v>43617</v>
      </c>
      <c r="F815" s="236" t="s">
        <v>1234</v>
      </c>
      <c r="G815" s="237">
        <v>45119</v>
      </c>
      <c r="H815" s="234">
        <f>SUMIF(VA!B:B,A815,VA!I:I)</f>
        <v>359.46</v>
      </c>
      <c r="I815" s="33">
        <f>SUMIF(VR!B:B,A815,VR!I:I)</f>
        <v>657.5</v>
      </c>
      <c r="J815" s="4">
        <f t="shared" si="12"/>
        <v>1016.96</v>
      </c>
      <c r="K815" s="195">
        <f>SUMIF(FALTAS!A:A,A815,FALTAS!D:D)</f>
        <v>0</v>
      </c>
    </row>
    <row r="816" spans="1:11" x14ac:dyDescent="0.2">
      <c r="A816" s="235">
        <v>112337</v>
      </c>
      <c r="B816" s="236" t="s">
        <v>117</v>
      </c>
      <c r="C816" s="236" t="s">
        <v>10</v>
      </c>
      <c r="D816" s="236" t="s">
        <v>2</v>
      </c>
      <c r="E816" s="237">
        <v>43617</v>
      </c>
      <c r="F816" s="236" t="s">
        <v>1234</v>
      </c>
      <c r="G816" s="237">
        <v>45056</v>
      </c>
      <c r="H816" s="234">
        <f>SUMIF(VA!B:B,A816,VA!I:I)</f>
        <v>359.46</v>
      </c>
      <c r="I816" s="33">
        <f>SUMIF(VR!B:B,A816,VR!I:I)</f>
        <v>657.5</v>
      </c>
      <c r="J816" s="4">
        <f t="shared" si="12"/>
        <v>1016.96</v>
      </c>
      <c r="K816" s="195">
        <f>SUMIF(FALTAS!A:A,A816,FALTAS!D:D)</f>
        <v>0</v>
      </c>
    </row>
    <row r="817" spans="1:11" x14ac:dyDescent="0.2">
      <c r="A817" s="235">
        <v>112986</v>
      </c>
      <c r="B817" s="236" t="s">
        <v>533</v>
      </c>
      <c r="C817" s="236" t="s">
        <v>19</v>
      </c>
      <c r="D817" s="236" t="s">
        <v>5</v>
      </c>
      <c r="E817" s="237">
        <v>43617</v>
      </c>
      <c r="F817" s="236" t="s">
        <v>1234</v>
      </c>
      <c r="G817" s="237">
        <v>44986</v>
      </c>
      <c r="H817" s="234">
        <f>SUMIF(VA!B:B,A817,VA!I:I)</f>
        <v>359.46</v>
      </c>
      <c r="I817" s="33">
        <f>SUMIF(VR!B:B,A817,VR!I:I)</f>
        <v>657.5</v>
      </c>
      <c r="J817" s="4">
        <f t="shared" si="12"/>
        <v>1016.96</v>
      </c>
      <c r="K817" s="195">
        <f>SUMIF(FALTAS!A:A,A817,FALTAS!D:D)</f>
        <v>0</v>
      </c>
    </row>
    <row r="818" spans="1:11" x14ac:dyDescent="0.2">
      <c r="A818" s="235">
        <v>113327</v>
      </c>
      <c r="B818" s="236" t="s">
        <v>710</v>
      </c>
      <c r="C818" s="236" t="s">
        <v>1589</v>
      </c>
      <c r="D818" s="236" t="s">
        <v>22</v>
      </c>
      <c r="E818" s="237">
        <v>43617</v>
      </c>
      <c r="F818" s="236" t="s">
        <v>1234</v>
      </c>
      <c r="G818" s="237">
        <v>44930</v>
      </c>
      <c r="H818" s="234">
        <f>SUMIF(VA!B:B,A818,VA!I:I)</f>
        <v>359.46</v>
      </c>
      <c r="I818" s="33">
        <f>SUMIF(VR!B:B,A818,VR!I:I)</f>
        <v>657.5</v>
      </c>
      <c r="J818" s="4">
        <f t="shared" si="12"/>
        <v>1016.96</v>
      </c>
      <c r="K818" s="195">
        <f>SUMIF(FALTAS!A:A,A818,FALTAS!D:D)</f>
        <v>0</v>
      </c>
    </row>
    <row r="819" spans="1:11" x14ac:dyDescent="0.2">
      <c r="A819" s="235">
        <v>112283</v>
      </c>
      <c r="B819" s="236" t="s">
        <v>89</v>
      </c>
      <c r="C819" s="236" t="s">
        <v>10</v>
      </c>
      <c r="D819" s="236" t="s">
        <v>2</v>
      </c>
      <c r="E819" s="237">
        <v>43617</v>
      </c>
      <c r="F819" s="236" t="s">
        <v>1234</v>
      </c>
      <c r="G819" s="237">
        <v>44806</v>
      </c>
      <c r="H819" s="234">
        <f>SUMIF(VA!B:B,A819,VA!I:I)</f>
        <v>359.46</v>
      </c>
      <c r="I819" s="33">
        <f>SUMIF(VR!B:B,A819,VR!I:I)</f>
        <v>657.5</v>
      </c>
      <c r="J819" s="4">
        <f t="shared" si="12"/>
        <v>1016.96</v>
      </c>
      <c r="K819" s="195">
        <f>SUMIF(FALTAS!A:A,A819,FALTAS!D:D)</f>
        <v>0</v>
      </c>
    </row>
    <row r="820" spans="1:11" x14ac:dyDescent="0.2">
      <c r="A820" s="235">
        <v>112223</v>
      </c>
      <c r="B820" s="236" t="s">
        <v>45</v>
      </c>
      <c r="C820" s="236" t="s">
        <v>0</v>
      </c>
      <c r="D820" s="236" t="s">
        <v>2</v>
      </c>
      <c r="E820" s="237">
        <v>43617</v>
      </c>
      <c r="F820" s="236" t="s">
        <v>1234</v>
      </c>
      <c r="G820" s="237">
        <v>44776</v>
      </c>
      <c r="H820" s="234">
        <f>SUMIF(VA!B:B,A820,VA!I:I)</f>
        <v>359.46</v>
      </c>
      <c r="I820" s="33">
        <f>SUMIF(VR!B:B,A820,VR!I:I)</f>
        <v>657.5</v>
      </c>
      <c r="J820" s="4">
        <f t="shared" si="12"/>
        <v>1016.96</v>
      </c>
      <c r="K820" s="195">
        <f>SUMIF(FALTAS!A:A,A820,FALTAS!D:D)</f>
        <v>0</v>
      </c>
    </row>
    <row r="821" spans="1:11" x14ac:dyDescent="0.2">
      <c r="A821" s="235">
        <v>113467</v>
      </c>
      <c r="B821" s="236" t="s">
        <v>797</v>
      </c>
      <c r="C821" s="236" t="s">
        <v>0</v>
      </c>
      <c r="D821" s="236" t="s">
        <v>2</v>
      </c>
      <c r="E821" s="237">
        <v>43617</v>
      </c>
      <c r="F821" s="236" t="s">
        <v>1234</v>
      </c>
      <c r="G821" s="237">
        <v>44960</v>
      </c>
      <c r="H821" s="234">
        <f>SUMIF(VA!B:B,A821,VA!I:I)</f>
        <v>359.46</v>
      </c>
      <c r="I821" s="33">
        <f>SUMIF(VR!B:B,A821,VR!I:I)</f>
        <v>657.5</v>
      </c>
      <c r="J821" s="4">
        <f t="shared" si="12"/>
        <v>1016.96</v>
      </c>
      <c r="K821" s="195">
        <f>SUMIF(FALTAS!A:A,A821,FALTAS!D:D)</f>
        <v>0</v>
      </c>
    </row>
    <row r="822" spans="1:11" x14ac:dyDescent="0.2">
      <c r="A822" s="235">
        <v>112964</v>
      </c>
      <c r="B822" s="236" t="s">
        <v>525</v>
      </c>
      <c r="C822" s="236" t="s">
        <v>19</v>
      </c>
      <c r="D822" s="236" t="s">
        <v>5</v>
      </c>
      <c r="E822" s="237">
        <v>43617</v>
      </c>
      <c r="F822" s="236" t="s">
        <v>1234</v>
      </c>
      <c r="G822" s="237">
        <v>44930</v>
      </c>
      <c r="H822" s="234">
        <f>SUMIF(VA!B:B,A822,VA!I:I)</f>
        <v>359.46</v>
      </c>
      <c r="I822" s="33">
        <f>SUMIF(VR!B:B,A822,VR!I:I)</f>
        <v>657.5</v>
      </c>
      <c r="J822" s="4">
        <f t="shared" si="12"/>
        <v>1016.96</v>
      </c>
      <c r="K822" s="195">
        <f>SUMIF(FALTAS!A:A,A822,FALTAS!D:D)</f>
        <v>0</v>
      </c>
    </row>
    <row r="823" spans="1:11" x14ac:dyDescent="0.2">
      <c r="A823" s="235">
        <v>112952</v>
      </c>
      <c r="B823" s="236" t="s">
        <v>518</v>
      </c>
      <c r="C823" s="236" t="s">
        <v>8</v>
      </c>
      <c r="D823" s="236" t="s">
        <v>2</v>
      </c>
      <c r="E823" s="237">
        <v>43617</v>
      </c>
      <c r="F823" s="236" t="s">
        <v>1234</v>
      </c>
      <c r="G823" s="237">
        <v>44867</v>
      </c>
      <c r="H823" s="234">
        <f>SUMIF(VA!B:B,A823,VA!I:I)</f>
        <v>359.46</v>
      </c>
      <c r="I823" s="33">
        <f>SUMIF(VR!B:B,A823,VR!I:I)</f>
        <v>657.5</v>
      </c>
      <c r="J823" s="4">
        <f t="shared" si="12"/>
        <v>1016.96</v>
      </c>
      <c r="K823" s="195">
        <f>SUMIF(FALTAS!A:A,A823,FALTAS!D:D)</f>
        <v>0</v>
      </c>
    </row>
    <row r="824" spans="1:11" x14ac:dyDescent="0.2">
      <c r="A824" s="235">
        <v>120176</v>
      </c>
      <c r="B824" s="236" t="s">
        <v>1504</v>
      </c>
      <c r="C824" s="236" t="s">
        <v>32</v>
      </c>
      <c r="D824" s="236" t="s">
        <v>5</v>
      </c>
      <c r="E824" s="237">
        <v>44791</v>
      </c>
      <c r="F824" s="236" t="s">
        <v>1234</v>
      </c>
      <c r="G824" s="237">
        <v>44791</v>
      </c>
      <c r="H824" s="234">
        <f>SUMIF(VA!B:B,A824,VA!I:I)</f>
        <v>359.46</v>
      </c>
      <c r="I824" s="33">
        <f>SUMIF(VR!B:B,A824,VR!I:I)</f>
        <v>657.5</v>
      </c>
      <c r="J824" s="4">
        <f t="shared" si="12"/>
        <v>1016.96</v>
      </c>
      <c r="K824" s="195">
        <f>SUMIF(FALTAS!A:A,A824,FALTAS!D:D)</f>
        <v>0</v>
      </c>
    </row>
    <row r="825" spans="1:11" x14ac:dyDescent="0.2">
      <c r="A825" s="235">
        <v>112280</v>
      </c>
      <c r="B825" s="236" t="s">
        <v>86</v>
      </c>
      <c r="C825" s="236" t="s">
        <v>10</v>
      </c>
      <c r="D825" s="236" t="s">
        <v>2</v>
      </c>
      <c r="E825" s="237">
        <v>43617</v>
      </c>
      <c r="F825" s="236" t="s">
        <v>1234</v>
      </c>
      <c r="G825" s="237">
        <v>45149</v>
      </c>
      <c r="H825" s="234">
        <f>SUMIF(VA!B:B,A825,VA!I:I)</f>
        <v>359.46</v>
      </c>
      <c r="I825" s="33">
        <f>SUMIF(VR!B:B,A825,VR!I:I)</f>
        <v>657.5</v>
      </c>
      <c r="J825" s="4">
        <f t="shared" si="12"/>
        <v>1016.96</v>
      </c>
      <c r="K825" s="195">
        <f>SUMIF(FALTAS!A:A,A825,FALTAS!D:D)</f>
        <v>0</v>
      </c>
    </row>
    <row r="826" spans="1:11" x14ac:dyDescent="0.2">
      <c r="A826" s="235">
        <v>113633</v>
      </c>
      <c r="B826" s="236" t="s">
        <v>887</v>
      </c>
      <c r="C826" s="236" t="s">
        <v>1589</v>
      </c>
      <c r="D826" s="236" t="s">
        <v>15</v>
      </c>
      <c r="E826" s="237">
        <v>43617</v>
      </c>
      <c r="F826" s="236" t="s">
        <v>1234</v>
      </c>
      <c r="G826" s="237">
        <v>45149</v>
      </c>
      <c r="H826" s="234">
        <f>SUMIF(VA!B:B,A826,VA!I:I)</f>
        <v>359.46</v>
      </c>
      <c r="I826" s="33">
        <f>SUMIF(VR!B:B,A826,VR!I:I)</f>
        <v>657.5</v>
      </c>
      <c r="J826" s="4">
        <f t="shared" si="12"/>
        <v>1016.96</v>
      </c>
      <c r="K826" s="195">
        <f>SUMIF(FALTAS!A:A,A826,FALTAS!D:D)</f>
        <v>0</v>
      </c>
    </row>
    <row r="827" spans="1:11" x14ac:dyDescent="0.2">
      <c r="A827" s="235">
        <v>113163</v>
      </c>
      <c r="B827" s="236" t="s">
        <v>623</v>
      </c>
      <c r="C827" s="236" t="s">
        <v>1589</v>
      </c>
      <c r="D827" s="236" t="s">
        <v>22</v>
      </c>
      <c r="E827" s="237">
        <v>43617</v>
      </c>
      <c r="F827" s="236" t="s">
        <v>1234</v>
      </c>
      <c r="G827" s="237">
        <v>44835</v>
      </c>
      <c r="H827" s="234">
        <f>SUMIF(VA!B:B,A827,VA!I:I)</f>
        <v>359.46</v>
      </c>
      <c r="I827" s="33">
        <f>SUMIF(VR!B:B,A827,VR!I:I)</f>
        <v>657.5</v>
      </c>
      <c r="J827" s="4">
        <f t="shared" si="12"/>
        <v>1016.96</v>
      </c>
      <c r="K827" s="195">
        <f>SUMIF(FALTAS!A:A,A827,FALTAS!D:D)</f>
        <v>0</v>
      </c>
    </row>
    <row r="828" spans="1:11" x14ac:dyDescent="0.2">
      <c r="A828" s="235">
        <v>114926</v>
      </c>
      <c r="B828" s="236" t="s">
        <v>1116</v>
      </c>
      <c r="C828" s="236" t="s">
        <v>1589</v>
      </c>
      <c r="D828" s="236" t="s">
        <v>5</v>
      </c>
      <c r="E828" s="237">
        <v>43916</v>
      </c>
      <c r="F828" s="236" t="s">
        <v>1234</v>
      </c>
      <c r="G828" s="237">
        <v>45086</v>
      </c>
      <c r="H828" s="234">
        <f>SUMIF(VA!B:B,A828,VA!I:I)</f>
        <v>359.46</v>
      </c>
      <c r="I828" s="33">
        <f>SUMIF(VR!B:B,A828,VR!I:I)</f>
        <v>657.5</v>
      </c>
      <c r="J828" s="4">
        <f t="shared" si="12"/>
        <v>1016.96</v>
      </c>
      <c r="K828" s="195">
        <f>SUMIF(FALTAS!A:A,A828,FALTAS!D:D)</f>
        <v>0</v>
      </c>
    </row>
    <row r="829" spans="1:11" x14ac:dyDescent="0.2">
      <c r="A829" s="235">
        <v>112330</v>
      </c>
      <c r="B829" s="236" t="s">
        <v>112</v>
      </c>
      <c r="C829" s="236" t="s">
        <v>10</v>
      </c>
      <c r="D829" s="236" t="s">
        <v>2</v>
      </c>
      <c r="E829" s="237">
        <v>43617</v>
      </c>
      <c r="F829" s="236" t="s">
        <v>1234</v>
      </c>
      <c r="G829" s="237">
        <v>44806</v>
      </c>
      <c r="H829" s="234">
        <f>SUMIF(VA!B:B,A829,VA!I:I)</f>
        <v>359.46</v>
      </c>
      <c r="I829" s="33">
        <f>SUMIF(VR!B:B,A829,VR!I:I)</f>
        <v>657.5</v>
      </c>
      <c r="J829" s="4">
        <f t="shared" si="12"/>
        <v>1016.96</v>
      </c>
      <c r="K829" s="195">
        <f>SUMIF(FALTAS!A:A,A829,FALTAS!D:D)</f>
        <v>0</v>
      </c>
    </row>
    <row r="830" spans="1:11" x14ac:dyDescent="0.2">
      <c r="A830" s="235">
        <v>113635</v>
      </c>
      <c r="B830" s="236" t="s">
        <v>889</v>
      </c>
      <c r="C830" s="236" t="s">
        <v>1589</v>
      </c>
      <c r="D830" s="236" t="s">
        <v>15</v>
      </c>
      <c r="E830" s="237">
        <v>43617</v>
      </c>
      <c r="F830" s="236" t="s">
        <v>1234</v>
      </c>
      <c r="G830" s="237">
        <v>45119</v>
      </c>
      <c r="H830" s="234">
        <f>SUMIF(VA!B:B,A830,VA!I:I)</f>
        <v>359.46</v>
      </c>
      <c r="I830" s="33">
        <f>SUMIF(VR!B:B,A830,VR!I:I)</f>
        <v>657.5</v>
      </c>
      <c r="J830" s="4">
        <f t="shared" si="12"/>
        <v>1016.96</v>
      </c>
      <c r="K830" s="195">
        <f>SUMIF(FALTAS!A:A,A830,FALTAS!D:D)</f>
        <v>0</v>
      </c>
    </row>
    <row r="831" spans="1:11" x14ac:dyDescent="0.2">
      <c r="A831" s="235">
        <v>112526</v>
      </c>
      <c r="B831" s="236" t="s">
        <v>239</v>
      </c>
      <c r="C831" s="236" t="s">
        <v>8</v>
      </c>
      <c r="D831" s="236" t="s">
        <v>2</v>
      </c>
      <c r="E831" s="237">
        <v>43617</v>
      </c>
      <c r="F831" s="236" t="s">
        <v>1234</v>
      </c>
      <c r="G831" s="237">
        <v>44835</v>
      </c>
      <c r="H831" s="234">
        <f>SUMIF(VA!B:B,A831,VA!I:I)</f>
        <v>359.46</v>
      </c>
      <c r="I831" s="33">
        <f>SUMIF(VR!B:B,A831,VR!I:I)</f>
        <v>657.5</v>
      </c>
      <c r="J831" s="4">
        <f t="shared" si="12"/>
        <v>1016.96</v>
      </c>
      <c r="K831" s="195">
        <f>SUMIF(FALTAS!A:A,A831,FALTAS!D:D)</f>
        <v>0</v>
      </c>
    </row>
    <row r="832" spans="1:11" x14ac:dyDescent="0.2">
      <c r="A832" s="235">
        <v>114712</v>
      </c>
      <c r="B832" s="236" t="s">
        <v>1082</v>
      </c>
      <c r="C832" s="236" t="s">
        <v>10</v>
      </c>
      <c r="D832" s="236" t="s">
        <v>2</v>
      </c>
      <c r="E832" s="237">
        <v>43874</v>
      </c>
      <c r="F832" s="236" t="s">
        <v>1234</v>
      </c>
      <c r="G832" s="237">
        <v>45086</v>
      </c>
      <c r="H832" s="234">
        <f>SUMIF(VA!B:B,A832,VA!I:I)</f>
        <v>359.46</v>
      </c>
      <c r="I832" s="33">
        <f>SUMIF(VR!B:B,A832,VR!I:I)</f>
        <v>657.5</v>
      </c>
      <c r="J832" s="4">
        <f t="shared" si="12"/>
        <v>1016.96</v>
      </c>
      <c r="K832" s="195">
        <f>SUMIF(FALTAS!A:A,A832,FALTAS!D:D)</f>
        <v>0</v>
      </c>
    </row>
    <row r="833" spans="1:11" x14ac:dyDescent="0.2">
      <c r="A833" s="235">
        <v>114110</v>
      </c>
      <c r="B833" s="236" t="s">
        <v>1013</v>
      </c>
      <c r="C833" s="236" t="s">
        <v>8</v>
      </c>
      <c r="D833" s="236" t="s">
        <v>5</v>
      </c>
      <c r="E833" s="237">
        <v>43728</v>
      </c>
      <c r="F833" s="236" t="s">
        <v>1234</v>
      </c>
      <c r="G833" s="237">
        <v>45119</v>
      </c>
      <c r="H833" s="234">
        <f>SUMIF(VA!B:B,A833,VA!I:I)</f>
        <v>359.46</v>
      </c>
      <c r="I833" s="33">
        <f>SUMIF(VR!B:B,A833,VR!I:I)</f>
        <v>657.5</v>
      </c>
      <c r="J833" s="4">
        <f t="shared" si="12"/>
        <v>1016.96</v>
      </c>
      <c r="K833" s="195">
        <f>SUMIF(FALTAS!A:A,A833,FALTAS!D:D)</f>
        <v>0</v>
      </c>
    </row>
    <row r="834" spans="1:11" x14ac:dyDescent="0.2">
      <c r="A834" s="235">
        <v>112188</v>
      </c>
      <c r="B834" s="236" t="s">
        <v>23</v>
      </c>
      <c r="C834" s="236" t="s">
        <v>19</v>
      </c>
      <c r="D834" s="236" t="s">
        <v>39</v>
      </c>
      <c r="E834" s="237">
        <v>43617</v>
      </c>
      <c r="F834" s="236" t="s">
        <v>1234</v>
      </c>
      <c r="G834" s="237">
        <v>45149</v>
      </c>
      <c r="H834" s="234">
        <f>SUMIF(VA!B:B,A834,VA!I:I)</f>
        <v>359.46</v>
      </c>
      <c r="I834" s="33">
        <f>SUMIF(VR!B:B,A834,VR!I:I)</f>
        <v>657.5</v>
      </c>
      <c r="J834" s="4">
        <f t="shared" ref="J834:J897" si="13">H834+I834</f>
        <v>1016.96</v>
      </c>
      <c r="K834" s="195">
        <f>SUMIF(FALTAS!A:A,A834,FALTAS!D:D)</f>
        <v>0</v>
      </c>
    </row>
    <row r="835" spans="1:11" x14ac:dyDescent="0.2">
      <c r="A835" s="235">
        <v>112189</v>
      </c>
      <c r="B835" s="236" t="s">
        <v>24</v>
      </c>
      <c r="C835" s="236" t="s">
        <v>32</v>
      </c>
      <c r="D835" s="236" t="s">
        <v>2</v>
      </c>
      <c r="E835" s="237">
        <v>43617</v>
      </c>
      <c r="F835" s="236" t="s">
        <v>1234</v>
      </c>
      <c r="G835" s="237">
        <v>44776</v>
      </c>
      <c r="H835" s="234">
        <f>SUMIF(VA!B:B,A835,VA!I:I)</f>
        <v>359.46</v>
      </c>
      <c r="I835" s="33">
        <f>SUMIF(VR!B:B,A835,VR!I:I)</f>
        <v>657.5</v>
      </c>
      <c r="J835" s="4">
        <f t="shared" si="13"/>
        <v>1016.96</v>
      </c>
      <c r="K835" s="195">
        <f>SUMIF(FALTAS!A:A,A835,FALTAS!D:D)</f>
        <v>0</v>
      </c>
    </row>
    <row r="836" spans="1:11" x14ac:dyDescent="0.2">
      <c r="A836" s="235">
        <v>116976</v>
      </c>
      <c r="B836" s="236" t="s">
        <v>1244</v>
      </c>
      <c r="C836" s="236" t="s">
        <v>0</v>
      </c>
      <c r="D836" s="236" t="s">
        <v>5</v>
      </c>
      <c r="E836" s="237">
        <v>44419</v>
      </c>
      <c r="F836" s="236" t="s">
        <v>1234</v>
      </c>
      <c r="G836" s="237">
        <v>45119</v>
      </c>
      <c r="H836" s="234">
        <f>SUMIF(VA!B:B,A836,VA!I:I)</f>
        <v>359.46</v>
      </c>
      <c r="I836" s="33">
        <f>SUMIF(VR!B:B,A836,VR!I:I)</f>
        <v>657.5</v>
      </c>
      <c r="J836" s="4">
        <f t="shared" si="13"/>
        <v>1016.96</v>
      </c>
      <c r="K836" s="195">
        <f>SUMIF(FALTAS!A:A,A836,FALTAS!D:D)</f>
        <v>0</v>
      </c>
    </row>
    <row r="837" spans="1:11" x14ac:dyDescent="0.2">
      <c r="A837" s="235">
        <v>113921</v>
      </c>
      <c r="B837" s="236" t="s">
        <v>991</v>
      </c>
      <c r="C837" s="236" t="s">
        <v>32</v>
      </c>
      <c r="D837" s="236" t="s">
        <v>146</v>
      </c>
      <c r="E837" s="237">
        <v>43682</v>
      </c>
      <c r="F837" s="236" t="s">
        <v>1234</v>
      </c>
      <c r="G837" s="237">
        <v>44835</v>
      </c>
      <c r="H837" s="234">
        <f>SUMIF(VA!B:B,A837,VA!I:I)</f>
        <v>359.46</v>
      </c>
      <c r="I837" s="33">
        <f>SUMIF(VR!B:B,A837,VR!I:I)</f>
        <v>657.5</v>
      </c>
      <c r="J837" s="4">
        <f t="shared" si="13"/>
        <v>1016.96</v>
      </c>
      <c r="K837" s="195">
        <f>SUMIF(FALTAS!A:A,A837,FALTAS!D:D)</f>
        <v>0</v>
      </c>
    </row>
    <row r="838" spans="1:11" x14ac:dyDescent="0.2">
      <c r="A838" s="235">
        <v>112205</v>
      </c>
      <c r="B838" s="236" t="s">
        <v>34</v>
      </c>
      <c r="C838" s="236" t="s">
        <v>0</v>
      </c>
      <c r="D838" s="236" t="s">
        <v>2</v>
      </c>
      <c r="E838" s="237">
        <v>43617</v>
      </c>
      <c r="F838" s="236" t="s">
        <v>1234</v>
      </c>
      <c r="G838" s="237">
        <v>44776</v>
      </c>
      <c r="H838" s="234">
        <f>SUMIF(VA!B:B,A838,VA!I:I)</f>
        <v>359.46</v>
      </c>
      <c r="I838" s="33">
        <f>SUMIF(VR!B:B,A838,VR!I:I)</f>
        <v>657.5</v>
      </c>
      <c r="J838" s="4">
        <f t="shared" si="13"/>
        <v>1016.96</v>
      </c>
      <c r="K838" s="195">
        <f>SUMIF(FALTAS!A:A,A838,FALTAS!D:D)</f>
        <v>0</v>
      </c>
    </row>
    <row r="839" spans="1:11" x14ac:dyDescent="0.2">
      <c r="A839" s="235">
        <v>112209</v>
      </c>
      <c r="B839" s="236" t="s">
        <v>36</v>
      </c>
      <c r="C839" s="236" t="s">
        <v>8</v>
      </c>
      <c r="D839" s="236" t="s">
        <v>2</v>
      </c>
      <c r="E839" s="237">
        <v>43617</v>
      </c>
      <c r="F839" s="236" t="s">
        <v>1234</v>
      </c>
      <c r="G839" s="237">
        <v>44776</v>
      </c>
      <c r="H839" s="234">
        <f>SUMIF(VA!B:B,A839,VA!I:I)</f>
        <v>359.46</v>
      </c>
      <c r="I839" s="33">
        <f>SUMIF(VR!B:B,A839,VR!I:I)</f>
        <v>657.5</v>
      </c>
      <c r="J839" s="4">
        <f t="shared" si="13"/>
        <v>1016.96</v>
      </c>
      <c r="K839" s="195">
        <f>SUMIF(FALTAS!A:A,A839,FALTAS!D:D)</f>
        <v>0</v>
      </c>
    </row>
    <row r="840" spans="1:11" x14ac:dyDescent="0.2">
      <c r="A840" s="235">
        <v>116004</v>
      </c>
      <c r="B840" s="236" t="s">
        <v>1173</v>
      </c>
      <c r="C840" s="236" t="s">
        <v>0</v>
      </c>
      <c r="D840" s="236" t="s">
        <v>5</v>
      </c>
      <c r="E840" s="237">
        <v>44207</v>
      </c>
      <c r="F840" s="236" t="s">
        <v>1234</v>
      </c>
      <c r="G840" s="237">
        <v>45086</v>
      </c>
      <c r="H840" s="234">
        <f>SUMIF(VA!B:B,A840,VA!I:I)</f>
        <v>359.46</v>
      </c>
      <c r="I840" s="33">
        <f>SUMIF(VR!B:B,A840,VR!I:I)</f>
        <v>657.5</v>
      </c>
      <c r="J840" s="4">
        <f t="shared" si="13"/>
        <v>1016.96</v>
      </c>
      <c r="K840" s="195">
        <f>SUMIF(FALTAS!A:A,A840,FALTAS!D:D)</f>
        <v>0</v>
      </c>
    </row>
    <row r="841" spans="1:11" x14ac:dyDescent="0.2">
      <c r="A841" s="235">
        <v>112213</v>
      </c>
      <c r="B841" s="236" t="s">
        <v>38</v>
      </c>
      <c r="C841" s="236" t="s">
        <v>19</v>
      </c>
      <c r="D841" s="236" t="s">
        <v>2</v>
      </c>
      <c r="E841" s="237">
        <v>43617</v>
      </c>
      <c r="F841" s="236" t="s">
        <v>1234</v>
      </c>
      <c r="G841" s="237">
        <v>44993</v>
      </c>
      <c r="H841" s="234">
        <f>SUMIF(VA!B:B,A841,VA!I:I)</f>
        <v>359.46</v>
      </c>
      <c r="I841" s="33">
        <f>SUMIF(VR!B:B,A841,VR!I:I)</f>
        <v>657.5</v>
      </c>
      <c r="J841" s="4">
        <f t="shared" si="13"/>
        <v>1016.96</v>
      </c>
      <c r="K841" s="195">
        <f>SUMIF(FALTAS!A:A,A841,FALTAS!D:D)</f>
        <v>0</v>
      </c>
    </row>
    <row r="842" spans="1:11" x14ac:dyDescent="0.2">
      <c r="A842" s="235">
        <v>112222</v>
      </c>
      <c r="B842" s="236" t="s">
        <v>43</v>
      </c>
      <c r="C842" s="236" t="s">
        <v>8</v>
      </c>
      <c r="D842" s="236" t="s">
        <v>2</v>
      </c>
      <c r="E842" s="237">
        <v>43617</v>
      </c>
      <c r="F842" s="236" t="s">
        <v>1234</v>
      </c>
      <c r="G842" s="237">
        <v>44776</v>
      </c>
      <c r="H842" s="234">
        <f>SUMIF(VA!B:B,A842,VA!I:I)</f>
        <v>359.46</v>
      </c>
      <c r="I842" s="33">
        <f>SUMIF(VR!B:B,A842,VR!I:I)</f>
        <v>657.5</v>
      </c>
      <c r="J842" s="4">
        <f t="shared" si="13"/>
        <v>1016.96</v>
      </c>
      <c r="K842" s="195">
        <f>SUMIF(FALTAS!A:A,A842,FALTAS!D:D)</f>
        <v>0</v>
      </c>
    </row>
    <row r="843" spans="1:11" x14ac:dyDescent="0.2">
      <c r="A843" s="235">
        <v>112227</v>
      </c>
      <c r="B843" s="236" t="s">
        <v>49</v>
      </c>
      <c r="C843" s="236" t="s">
        <v>0</v>
      </c>
      <c r="D843" s="236" t="s">
        <v>5</v>
      </c>
      <c r="E843" s="237">
        <v>43617</v>
      </c>
      <c r="F843" s="236" t="s">
        <v>1234</v>
      </c>
      <c r="G843" s="237">
        <v>44930</v>
      </c>
      <c r="H843" s="234">
        <f>SUMIF(VA!B:B,A843,VA!I:I)</f>
        <v>359.46</v>
      </c>
      <c r="I843" s="33">
        <f>SUMIF(VR!B:B,A843,VR!I:I)</f>
        <v>657.5</v>
      </c>
      <c r="J843" s="4">
        <f t="shared" si="13"/>
        <v>1016.96</v>
      </c>
      <c r="K843" s="195">
        <f>SUMIF(FALTAS!A:A,A843,FALTAS!D:D)</f>
        <v>0</v>
      </c>
    </row>
    <row r="844" spans="1:11" x14ac:dyDescent="0.2">
      <c r="A844" s="235">
        <v>114953</v>
      </c>
      <c r="B844" s="236" t="s">
        <v>1129</v>
      </c>
      <c r="C844" s="236" t="s">
        <v>1589</v>
      </c>
      <c r="D844" s="236" t="s">
        <v>282</v>
      </c>
      <c r="E844" s="237">
        <v>43916</v>
      </c>
      <c r="F844" s="236" t="s">
        <v>1234</v>
      </c>
      <c r="G844" s="237">
        <v>45086</v>
      </c>
      <c r="H844" s="234">
        <f>SUMIF(VA!B:B,A844,VA!I:I)</f>
        <v>359.46</v>
      </c>
      <c r="I844" s="33">
        <f>SUMIF(VR!B:B,A844,VR!I:I)</f>
        <v>657.5</v>
      </c>
      <c r="J844" s="4">
        <f t="shared" si="13"/>
        <v>1016.96</v>
      </c>
      <c r="K844" s="195">
        <f>SUMIF(FALTAS!A:A,A844,FALTAS!D:D)</f>
        <v>0</v>
      </c>
    </row>
    <row r="845" spans="1:11" x14ac:dyDescent="0.2">
      <c r="A845" s="235">
        <v>112239</v>
      </c>
      <c r="B845" s="236" t="s">
        <v>57</v>
      </c>
      <c r="C845" s="236" t="s">
        <v>10</v>
      </c>
      <c r="D845" s="236" t="s">
        <v>2</v>
      </c>
      <c r="E845" s="237">
        <v>43617</v>
      </c>
      <c r="F845" s="236" t="s">
        <v>1234</v>
      </c>
      <c r="G845" s="237">
        <v>44867</v>
      </c>
      <c r="H845" s="234">
        <f>SUMIF(VA!B:B,A845,VA!I:I)</f>
        <v>359.46</v>
      </c>
      <c r="I845" s="33">
        <f>SUMIF(VR!B:B,A845,VR!I:I)</f>
        <v>657.5</v>
      </c>
      <c r="J845" s="4">
        <f t="shared" si="13"/>
        <v>1016.96</v>
      </c>
      <c r="K845" s="195">
        <f>SUMIF(FALTAS!A:A,A845,FALTAS!D:D)</f>
        <v>0</v>
      </c>
    </row>
    <row r="846" spans="1:11" x14ac:dyDescent="0.2">
      <c r="A846" s="235">
        <v>112253</v>
      </c>
      <c r="B846" s="236" t="s">
        <v>64</v>
      </c>
      <c r="C846" s="236" t="s">
        <v>1589</v>
      </c>
      <c r="D846" s="236" t="s">
        <v>15</v>
      </c>
      <c r="E846" s="237">
        <v>43617</v>
      </c>
      <c r="F846" s="236" t="s">
        <v>1234</v>
      </c>
      <c r="G846" s="237">
        <v>44960</v>
      </c>
      <c r="H846" s="234">
        <f>SUMIF(VA!B:B,A846,VA!I:I)</f>
        <v>359.46</v>
      </c>
      <c r="I846" s="33">
        <f>SUMIF(VR!B:B,A846,VR!I:I)</f>
        <v>657.5</v>
      </c>
      <c r="J846" s="4">
        <f t="shared" si="13"/>
        <v>1016.96</v>
      </c>
      <c r="K846" s="195">
        <f>SUMIF(FALTAS!A:A,A846,FALTAS!D:D)</f>
        <v>0</v>
      </c>
    </row>
    <row r="847" spans="1:11" x14ac:dyDescent="0.2">
      <c r="A847" s="235">
        <v>114940</v>
      </c>
      <c r="B847" s="236" t="s">
        <v>1125</v>
      </c>
      <c r="C847" s="236" t="s">
        <v>1589</v>
      </c>
      <c r="D847" s="236" t="s">
        <v>5</v>
      </c>
      <c r="E847" s="237">
        <v>43916</v>
      </c>
      <c r="F847" s="236" t="s">
        <v>1234</v>
      </c>
      <c r="G847" s="237">
        <v>45119</v>
      </c>
      <c r="H847" s="234">
        <f>SUMIF(VA!B:B,A847,VA!I:I)</f>
        <v>359.46</v>
      </c>
      <c r="I847" s="33">
        <f>SUMIF(VR!B:B,A847,VR!I:I)</f>
        <v>657.5</v>
      </c>
      <c r="J847" s="4">
        <f t="shared" si="13"/>
        <v>1016.96</v>
      </c>
      <c r="K847" s="195">
        <f>SUMIF(FALTAS!A:A,A847,FALTAS!D:D)</f>
        <v>0</v>
      </c>
    </row>
    <row r="848" spans="1:11" x14ac:dyDescent="0.2">
      <c r="A848" s="235">
        <v>112256</v>
      </c>
      <c r="B848" s="236" t="s">
        <v>67</v>
      </c>
      <c r="C848" s="236" t="s">
        <v>1589</v>
      </c>
      <c r="D848" s="236" t="s">
        <v>5</v>
      </c>
      <c r="E848" s="237">
        <v>43617</v>
      </c>
      <c r="F848" s="236" t="s">
        <v>1235</v>
      </c>
      <c r="G848" s="237">
        <v>45147</v>
      </c>
      <c r="H848" s="234">
        <f>SUMIF(VA!B:B,A848,VA!I:I)</f>
        <v>359.46</v>
      </c>
      <c r="I848" s="33">
        <f>SUMIF(VR!B:B,A848,VR!I:I)</f>
        <v>657.5</v>
      </c>
      <c r="J848" s="4">
        <f t="shared" si="13"/>
        <v>1016.96</v>
      </c>
      <c r="K848" s="195">
        <f>SUMIF(FALTAS!A:A,A848,FALTAS!D:D)</f>
        <v>0</v>
      </c>
    </row>
    <row r="849" spans="1:11" x14ac:dyDescent="0.2">
      <c r="A849" s="235">
        <v>112268</v>
      </c>
      <c r="B849" s="236" t="s">
        <v>76</v>
      </c>
      <c r="C849" s="236" t="s">
        <v>10</v>
      </c>
      <c r="D849" s="236" t="s">
        <v>2</v>
      </c>
      <c r="E849" s="237">
        <v>43617</v>
      </c>
      <c r="F849" s="236" t="s">
        <v>1234</v>
      </c>
      <c r="G849" s="237">
        <v>44776</v>
      </c>
      <c r="H849" s="234">
        <f>SUMIF(VA!B:B,A849,VA!I:I)</f>
        <v>359.46</v>
      </c>
      <c r="I849" s="33">
        <f>SUMIF(VR!B:B,A849,VR!I:I)</f>
        <v>657.5</v>
      </c>
      <c r="J849" s="4">
        <f t="shared" si="13"/>
        <v>1016.96</v>
      </c>
      <c r="K849" s="195">
        <f>SUMIF(FALTAS!A:A,A849,FALTAS!D:D)</f>
        <v>0</v>
      </c>
    </row>
    <row r="850" spans="1:11" x14ac:dyDescent="0.2">
      <c r="A850" s="235">
        <v>112273</v>
      </c>
      <c r="B850" s="236" t="s">
        <v>79</v>
      </c>
      <c r="C850" s="236" t="s">
        <v>32</v>
      </c>
      <c r="D850" s="236" t="s">
        <v>5</v>
      </c>
      <c r="E850" s="237">
        <v>43617</v>
      </c>
      <c r="F850" s="236" t="s">
        <v>1235</v>
      </c>
      <c r="G850" s="237">
        <v>45147</v>
      </c>
      <c r="H850" s="234">
        <f>SUMIF(VA!B:B,A850,VA!I:I)</f>
        <v>359.46</v>
      </c>
      <c r="I850" s="33">
        <f>SUMIF(VR!B:B,A850,VR!I:I)</f>
        <v>657.5</v>
      </c>
      <c r="J850" s="4">
        <f t="shared" si="13"/>
        <v>1016.96</v>
      </c>
      <c r="K850" s="195">
        <f>SUMIF(FALTAS!A:A,A850,FALTAS!D:D)</f>
        <v>0</v>
      </c>
    </row>
    <row r="851" spans="1:11" x14ac:dyDescent="0.2">
      <c r="A851" s="235">
        <v>112281</v>
      </c>
      <c r="B851" s="236" t="s">
        <v>87</v>
      </c>
      <c r="C851" s="236" t="s">
        <v>1589</v>
      </c>
      <c r="D851" s="236" t="s">
        <v>22</v>
      </c>
      <c r="E851" s="237">
        <v>43617</v>
      </c>
      <c r="F851" s="236" t="s">
        <v>1234</v>
      </c>
      <c r="G851" s="237">
        <v>45023</v>
      </c>
      <c r="H851" s="234">
        <f>SUMIF(VA!B:B,A851,VA!I:I)</f>
        <v>359.46</v>
      </c>
      <c r="I851" s="33">
        <f>SUMIF(VR!B:B,A851,VR!I:I)</f>
        <v>657.5</v>
      </c>
      <c r="J851" s="4">
        <f t="shared" si="13"/>
        <v>1016.96</v>
      </c>
      <c r="K851" s="195">
        <f>SUMIF(FALTAS!A:A,A851,FALTAS!D:D)</f>
        <v>0</v>
      </c>
    </row>
    <row r="852" spans="1:11" x14ac:dyDescent="0.2">
      <c r="A852" s="235">
        <v>119921</v>
      </c>
      <c r="B852" s="236" t="s">
        <v>1486</v>
      </c>
      <c r="C852" s="236" t="s">
        <v>0</v>
      </c>
      <c r="D852" s="236" t="s">
        <v>5</v>
      </c>
      <c r="E852" s="237">
        <v>44760</v>
      </c>
      <c r="F852" s="236" t="s">
        <v>1234</v>
      </c>
      <c r="G852" s="237">
        <v>45157</v>
      </c>
      <c r="H852" s="234">
        <f>SUMIF(VA!B:B,A852,VA!I:I)</f>
        <v>359.46</v>
      </c>
      <c r="I852" s="33">
        <f>SUMIF(VR!B:B,A852,VR!I:I)</f>
        <v>657.5</v>
      </c>
      <c r="J852" s="4">
        <f t="shared" si="13"/>
        <v>1016.96</v>
      </c>
      <c r="K852" s="195">
        <f>SUMIF(FALTAS!A:A,A852,FALTAS!D:D)</f>
        <v>0</v>
      </c>
    </row>
    <row r="853" spans="1:11" x14ac:dyDescent="0.2">
      <c r="A853" s="235">
        <v>112292</v>
      </c>
      <c r="B853" s="236" t="s">
        <v>92</v>
      </c>
      <c r="C853" s="236" t="s">
        <v>1589</v>
      </c>
      <c r="D853" s="236" t="s">
        <v>15</v>
      </c>
      <c r="E853" s="237">
        <v>43617</v>
      </c>
      <c r="F853" s="236" t="s">
        <v>1234</v>
      </c>
      <c r="G853" s="237">
        <v>45149</v>
      </c>
      <c r="H853" s="234">
        <f>SUMIF(VA!B:B,A853,VA!I:I)</f>
        <v>359.46</v>
      </c>
      <c r="I853" s="33">
        <f>SUMIF(VR!B:B,A853,VR!I:I)</f>
        <v>657.5</v>
      </c>
      <c r="J853" s="4">
        <f t="shared" si="13"/>
        <v>1016.96</v>
      </c>
      <c r="K853" s="195">
        <f>SUMIF(FALTAS!A:A,A853,FALTAS!D:D)</f>
        <v>0</v>
      </c>
    </row>
    <row r="854" spans="1:11" x14ac:dyDescent="0.2">
      <c r="A854" s="235">
        <v>121957</v>
      </c>
      <c r="B854" s="236" t="s">
        <v>1621</v>
      </c>
      <c r="C854" s="236" t="s">
        <v>0</v>
      </c>
      <c r="D854" s="236" t="s">
        <v>5</v>
      </c>
      <c r="E854" s="237">
        <v>45040</v>
      </c>
      <c r="F854" s="236" t="s">
        <v>1234</v>
      </c>
      <c r="G854" s="237">
        <v>45040</v>
      </c>
      <c r="H854" s="234">
        <f>SUMIF(VA!B:B,A854,VA!I:I)</f>
        <v>359.46</v>
      </c>
      <c r="I854" s="33">
        <f>SUMIF(VR!B:B,A854,VR!I:I)</f>
        <v>657.5</v>
      </c>
      <c r="J854" s="4">
        <f t="shared" si="13"/>
        <v>1016.96</v>
      </c>
      <c r="K854" s="195">
        <f>SUMIF(FALTAS!A:A,A854,FALTAS!D:D)</f>
        <v>0</v>
      </c>
    </row>
    <row r="855" spans="1:11" x14ac:dyDescent="0.2">
      <c r="A855" s="235">
        <v>112296</v>
      </c>
      <c r="B855" s="236" t="s">
        <v>94</v>
      </c>
      <c r="C855" s="236" t="s">
        <v>0</v>
      </c>
      <c r="D855" s="236" t="s">
        <v>5</v>
      </c>
      <c r="E855" s="237">
        <v>43617</v>
      </c>
      <c r="F855" s="236" t="s">
        <v>1234</v>
      </c>
      <c r="G855" s="237">
        <v>44867</v>
      </c>
      <c r="H855" s="234">
        <f>SUMIF(VA!B:B,A855,VA!I:I)</f>
        <v>359.46</v>
      </c>
      <c r="I855" s="33">
        <f>SUMIF(VR!B:B,A855,VR!I:I)</f>
        <v>657.5</v>
      </c>
      <c r="J855" s="4">
        <f t="shared" si="13"/>
        <v>1016.96</v>
      </c>
      <c r="K855" s="195">
        <f>SUMIF(FALTAS!A:A,A855,FALTAS!D:D)</f>
        <v>0</v>
      </c>
    </row>
    <row r="856" spans="1:11" x14ac:dyDescent="0.2">
      <c r="A856" s="235">
        <v>112309</v>
      </c>
      <c r="B856" s="236" t="s">
        <v>102</v>
      </c>
      <c r="C856" s="236" t="s">
        <v>19</v>
      </c>
      <c r="D856" s="236" t="s">
        <v>5</v>
      </c>
      <c r="E856" s="237">
        <v>43617</v>
      </c>
      <c r="F856" s="236" t="s">
        <v>1234</v>
      </c>
      <c r="G856" s="237">
        <v>44898</v>
      </c>
      <c r="H856" s="234">
        <f>SUMIF(VA!B:B,A856,VA!I:I)</f>
        <v>359.46</v>
      </c>
      <c r="I856" s="33">
        <f>SUMIF(VR!B:B,A856,VR!I:I)</f>
        <v>657.5</v>
      </c>
      <c r="J856" s="4">
        <f t="shared" si="13"/>
        <v>1016.96</v>
      </c>
      <c r="K856" s="195">
        <f>SUMIF(FALTAS!A:A,A856,FALTAS!D:D)</f>
        <v>0</v>
      </c>
    </row>
    <row r="857" spans="1:11" x14ac:dyDescent="0.2">
      <c r="A857" s="235">
        <v>112364</v>
      </c>
      <c r="B857" s="236" t="s">
        <v>132</v>
      </c>
      <c r="C857" s="236" t="s">
        <v>0</v>
      </c>
      <c r="D857" s="236" t="s">
        <v>5</v>
      </c>
      <c r="E857" s="237">
        <v>43617</v>
      </c>
      <c r="F857" s="236" t="s">
        <v>1234</v>
      </c>
      <c r="G857" s="237">
        <v>44806</v>
      </c>
      <c r="H857" s="234">
        <f>SUMIF(VA!B:B,A857,VA!I:I)</f>
        <v>347.47</v>
      </c>
      <c r="I857" s="33">
        <f>SUMIF(VR!B:B,A857,VR!I:I)</f>
        <v>631.20000000000005</v>
      </c>
      <c r="J857" s="4">
        <f t="shared" si="13"/>
        <v>978.67000000000007</v>
      </c>
      <c r="K857" s="195">
        <f>SUMIF(FALTAS!A:A,A857,FALTAS!D:D)</f>
        <v>1</v>
      </c>
    </row>
    <row r="858" spans="1:11" x14ac:dyDescent="0.2">
      <c r="A858" s="235">
        <v>112370</v>
      </c>
      <c r="B858" s="236" t="s">
        <v>135</v>
      </c>
      <c r="C858" s="236" t="s">
        <v>8</v>
      </c>
      <c r="D858" s="236" t="s">
        <v>5</v>
      </c>
      <c r="E858" s="237">
        <v>43617</v>
      </c>
      <c r="F858" s="236" t="s">
        <v>1285</v>
      </c>
      <c r="G858" s="237">
        <v>45160</v>
      </c>
      <c r="H858" s="234">
        <f>SUMIF(VA!B:B,A858,VA!I:I)</f>
        <v>0</v>
      </c>
      <c r="I858" s="33">
        <f>SUMIF(VR!B:B,A858,VR!I:I)</f>
        <v>0</v>
      </c>
      <c r="J858" s="4">
        <f t="shared" si="13"/>
        <v>0</v>
      </c>
      <c r="K858" s="195">
        <f>SUMIF(FALTAS!A:A,A858,FALTAS!D:D)</f>
        <v>0</v>
      </c>
    </row>
    <row r="859" spans="1:11" x14ac:dyDescent="0.2">
      <c r="A859" s="235">
        <v>114128</v>
      </c>
      <c r="B859" s="236" t="s">
        <v>1018</v>
      </c>
      <c r="C859" s="236" t="s">
        <v>1589</v>
      </c>
      <c r="D859" s="236" t="s">
        <v>15</v>
      </c>
      <c r="E859" s="237">
        <v>43739</v>
      </c>
      <c r="F859" s="236" t="s">
        <v>1234</v>
      </c>
      <c r="G859" s="237">
        <v>44930</v>
      </c>
      <c r="H859" s="234">
        <f>SUMIF(VA!B:B,A859,VA!I:I)</f>
        <v>359.46</v>
      </c>
      <c r="I859" s="33">
        <f>SUMIF(VR!B:B,A859,VR!I:I)</f>
        <v>657.5</v>
      </c>
      <c r="J859" s="4">
        <f t="shared" si="13"/>
        <v>1016.96</v>
      </c>
      <c r="K859" s="195">
        <f>SUMIF(FALTAS!A:A,A859,FALTAS!D:D)</f>
        <v>0</v>
      </c>
    </row>
    <row r="860" spans="1:11" x14ac:dyDescent="0.2">
      <c r="A860" s="235">
        <v>112379</v>
      </c>
      <c r="B860" s="236" t="s">
        <v>142</v>
      </c>
      <c r="C860" s="236" t="s">
        <v>1589</v>
      </c>
      <c r="D860" s="236" t="s">
        <v>15</v>
      </c>
      <c r="E860" s="237">
        <v>43617</v>
      </c>
      <c r="F860" s="236" t="s">
        <v>1234</v>
      </c>
      <c r="G860" s="237">
        <v>44867</v>
      </c>
      <c r="H860" s="234">
        <f>SUMIF(VA!B:B,A860,VA!I:I)</f>
        <v>359.46</v>
      </c>
      <c r="I860" s="33">
        <f>SUMIF(VR!B:B,A860,VR!I:I)</f>
        <v>657.5</v>
      </c>
      <c r="J860" s="4">
        <f t="shared" si="13"/>
        <v>1016.96</v>
      </c>
      <c r="K860" s="195">
        <f>SUMIF(FALTAS!A:A,A860,FALTAS!D:D)</f>
        <v>0</v>
      </c>
    </row>
    <row r="861" spans="1:11" x14ac:dyDescent="0.2">
      <c r="A861" s="235">
        <v>112384</v>
      </c>
      <c r="B861" s="236" t="s">
        <v>148</v>
      </c>
      <c r="C861" s="236" t="s">
        <v>1589</v>
      </c>
      <c r="D861" s="236" t="s">
        <v>15</v>
      </c>
      <c r="E861" s="237">
        <v>43620</v>
      </c>
      <c r="F861" s="236" t="s">
        <v>1234</v>
      </c>
      <c r="G861" s="237">
        <v>45119</v>
      </c>
      <c r="H861" s="234">
        <f>SUMIF(VA!B:B,A861,VA!I:I)</f>
        <v>359.46</v>
      </c>
      <c r="I861" s="33">
        <f>SUMIF(VR!B:B,A861,VR!I:I)</f>
        <v>657.5</v>
      </c>
      <c r="J861" s="4">
        <f t="shared" si="13"/>
        <v>1016.96</v>
      </c>
      <c r="K861" s="195">
        <f>SUMIF(FALTAS!A:A,A861,FALTAS!D:D)</f>
        <v>0</v>
      </c>
    </row>
    <row r="862" spans="1:11" x14ac:dyDescent="0.2">
      <c r="A862" s="235">
        <v>115796</v>
      </c>
      <c r="B862" s="236" t="s">
        <v>1167</v>
      </c>
      <c r="C862" s="236" t="s">
        <v>1589</v>
      </c>
      <c r="D862" s="236" t="s">
        <v>1668</v>
      </c>
      <c r="E862" s="237">
        <v>44145</v>
      </c>
      <c r="F862" s="236" t="s">
        <v>1234</v>
      </c>
      <c r="G862" s="237">
        <v>45139</v>
      </c>
      <c r="H862" s="234">
        <f>SUMIF(VA!B:B,A862,VA!I:I)</f>
        <v>359.46</v>
      </c>
      <c r="I862" s="33">
        <f>SUMIF(VR!B:B,A862,VR!I:I)</f>
        <v>657.5</v>
      </c>
      <c r="J862" s="4">
        <f t="shared" si="13"/>
        <v>1016.96</v>
      </c>
      <c r="K862" s="195">
        <f>SUMIF(FALTAS!A:A,A862,FALTAS!D:D)</f>
        <v>0</v>
      </c>
    </row>
    <row r="863" spans="1:11" x14ac:dyDescent="0.2">
      <c r="A863" s="235">
        <v>112394</v>
      </c>
      <c r="B863" s="236" t="s">
        <v>152</v>
      </c>
      <c r="C863" s="236" t="s">
        <v>0</v>
      </c>
      <c r="D863" s="236" t="s">
        <v>2</v>
      </c>
      <c r="E863" s="237">
        <v>43617</v>
      </c>
      <c r="F863" s="236" t="s">
        <v>1234</v>
      </c>
      <c r="G863" s="237">
        <v>44776</v>
      </c>
      <c r="H863" s="234">
        <f>SUMIF(VA!B:B,A863,VA!I:I)</f>
        <v>359.46</v>
      </c>
      <c r="I863" s="33">
        <f>SUMIF(VR!B:B,A863,VR!I:I)</f>
        <v>657.5</v>
      </c>
      <c r="J863" s="4">
        <f t="shared" si="13"/>
        <v>1016.96</v>
      </c>
      <c r="K863" s="195">
        <f>SUMIF(FALTAS!A:A,A863,FALTAS!D:D)</f>
        <v>0</v>
      </c>
    </row>
    <row r="864" spans="1:11" x14ac:dyDescent="0.2">
      <c r="A864" s="235">
        <v>113762</v>
      </c>
      <c r="B864" s="236" t="s">
        <v>968</v>
      </c>
      <c r="C864" s="236" t="s">
        <v>0</v>
      </c>
      <c r="D864" s="236" t="s">
        <v>470</v>
      </c>
      <c r="E864" s="237">
        <v>43621</v>
      </c>
      <c r="F864" s="236" t="s">
        <v>1234</v>
      </c>
      <c r="G864" s="237">
        <v>44898</v>
      </c>
      <c r="H864" s="234">
        <f>SUMIF(VA!B:B,A864,VA!I:I)</f>
        <v>359.46</v>
      </c>
      <c r="I864" s="33">
        <f>SUMIF(VR!B:B,A864,VR!I:I)</f>
        <v>657.5</v>
      </c>
      <c r="J864" s="4">
        <f t="shared" si="13"/>
        <v>1016.96</v>
      </c>
      <c r="K864" s="195">
        <f>SUMIF(FALTAS!A:A,A864,FALTAS!D:D)</f>
        <v>0</v>
      </c>
    </row>
    <row r="865" spans="1:11" x14ac:dyDescent="0.2">
      <c r="A865" s="235">
        <v>116234</v>
      </c>
      <c r="B865" s="236" t="s">
        <v>1199</v>
      </c>
      <c r="C865" s="236" t="s">
        <v>8</v>
      </c>
      <c r="D865" s="236" t="s">
        <v>2</v>
      </c>
      <c r="E865" s="237">
        <v>44273</v>
      </c>
      <c r="F865" s="236" t="s">
        <v>1234</v>
      </c>
      <c r="G865" s="237">
        <v>45086</v>
      </c>
      <c r="H865" s="234">
        <f>SUMIF(VA!B:B,A865,VA!I:I)</f>
        <v>359.46</v>
      </c>
      <c r="I865" s="33">
        <f>SUMIF(VR!B:B,A865,VR!I:I)</f>
        <v>657.5</v>
      </c>
      <c r="J865" s="4">
        <f t="shared" si="13"/>
        <v>1016.96</v>
      </c>
      <c r="K865" s="195">
        <f>SUMIF(FALTAS!A:A,A865,FALTAS!D:D)</f>
        <v>0</v>
      </c>
    </row>
    <row r="866" spans="1:11" x14ac:dyDescent="0.2">
      <c r="A866" s="235">
        <v>112401</v>
      </c>
      <c r="B866" s="236" t="s">
        <v>157</v>
      </c>
      <c r="C866" s="236" t="s">
        <v>1589</v>
      </c>
      <c r="D866" s="236" t="s">
        <v>15</v>
      </c>
      <c r="E866" s="237">
        <v>43627</v>
      </c>
      <c r="F866" s="236" t="s">
        <v>1234</v>
      </c>
      <c r="G866" s="237">
        <v>44960</v>
      </c>
      <c r="H866" s="234">
        <f>SUMIF(VA!B:B,A866,VA!I:I)</f>
        <v>359.46</v>
      </c>
      <c r="I866" s="33">
        <f>SUMIF(VR!B:B,A866,VR!I:I)</f>
        <v>657.5</v>
      </c>
      <c r="J866" s="4">
        <f t="shared" si="13"/>
        <v>1016.96</v>
      </c>
      <c r="K866" s="195">
        <f>SUMIF(FALTAS!A:A,A866,FALTAS!D:D)</f>
        <v>0</v>
      </c>
    </row>
    <row r="867" spans="1:11" x14ac:dyDescent="0.2">
      <c r="A867" s="235">
        <v>117236</v>
      </c>
      <c r="B867" s="236" t="s">
        <v>1259</v>
      </c>
      <c r="C867" s="236" t="s">
        <v>0</v>
      </c>
      <c r="D867" s="236" t="s">
        <v>2</v>
      </c>
      <c r="E867" s="237">
        <v>44487</v>
      </c>
      <c r="F867" s="236" t="s">
        <v>1234</v>
      </c>
      <c r="G867" s="237">
        <v>45086</v>
      </c>
      <c r="H867" s="234">
        <f>SUMIF(VA!B:B,A867,VA!I:I)</f>
        <v>359.46</v>
      </c>
      <c r="I867" s="33">
        <f>SUMIF(VR!B:B,A867,VR!I:I)</f>
        <v>657.5</v>
      </c>
      <c r="J867" s="4">
        <f t="shared" si="13"/>
        <v>1016.96</v>
      </c>
      <c r="K867" s="195">
        <f>SUMIF(FALTAS!A:A,A867,FALTAS!D:D)</f>
        <v>0</v>
      </c>
    </row>
    <row r="868" spans="1:11" x14ac:dyDescent="0.2">
      <c r="A868" s="235">
        <v>119647</v>
      </c>
      <c r="B868" s="236" t="s">
        <v>1474</v>
      </c>
      <c r="C868" s="236" t="s">
        <v>1589</v>
      </c>
      <c r="D868" s="236" t="s">
        <v>1663</v>
      </c>
      <c r="E868" s="237">
        <v>44725</v>
      </c>
      <c r="F868" s="236" t="s">
        <v>1234</v>
      </c>
      <c r="G868" s="237">
        <v>44725</v>
      </c>
      <c r="H868" s="234">
        <f>SUMIF(VA!B:B,A868,VA!I:I)</f>
        <v>359.46</v>
      </c>
      <c r="I868" s="33">
        <f>SUMIF(VR!B:B,A868,VR!I:I)</f>
        <v>657.5</v>
      </c>
      <c r="J868" s="4">
        <f t="shared" si="13"/>
        <v>1016.96</v>
      </c>
      <c r="K868" s="195">
        <f>SUMIF(FALTAS!A:A,A868,FALTAS!D:D)</f>
        <v>0</v>
      </c>
    </row>
    <row r="869" spans="1:11" x14ac:dyDescent="0.2">
      <c r="A869" s="235">
        <v>112415</v>
      </c>
      <c r="B869" s="236" t="s">
        <v>166</v>
      </c>
      <c r="C869" s="236" t="s">
        <v>1589</v>
      </c>
      <c r="D869" s="236" t="s">
        <v>22</v>
      </c>
      <c r="E869" s="237">
        <v>43617</v>
      </c>
      <c r="F869" s="236" t="s">
        <v>1234</v>
      </c>
      <c r="G869" s="237">
        <v>44993</v>
      </c>
      <c r="H869" s="234">
        <f>SUMIF(VA!B:B,A869,VA!I:I)</f>
        <v>359.46</v>
      </c>
      <c r="I869" s="33">
        <f>SUMIF(VR!B:B,A869,VR!I:I)</f>
        <v>657.5</v>
      </c>
      <c r="J869" s="4">
        <f t="shared" si="13"/>
        <v>1016.96</v>
      </c>
      <c r="K869" s="195">
        <f>SUMIF(FALTAS!A:A,A869,FALTAS!D:D)</f>
        <v>0</v>
      </c>
    </row>
    <row r="870" spans="1:11" x14ac:dyDescent="0.2">
      <c r="A870" s="235">
        <v>112418</v>
      </c>
      <c r="B870" s="236" t="s">
        <v>168</v>
      </c>
      <c r="C870" s="236" t="s">
        <v>0</v>
      </c>
      <c r="D870" s="236" t="s">
        <v>2</v>
      </c>
      <c r="E870" s="237">
        <v>43617</v>
      </c>
      <c r="F870" s="236" t="s">
        <v>1234</v>
      </c>
      <c r="G870" s="237">
        <v>44776</v>
      </c>
      <c r="H870" s="234">
        <f>SUMIF(VA!B:B,A870,VA!I:I)</f>
        <v>359.46</v>
      </c>
      <c r="I870" s="33">
        <f>SUMIF(VR!B:B,A870,VR!I:I)</f>
        <v>657.5</v>
      </c>
      <c r="J870" s="4">
        <f t="shared" si="13"/>
        <v>1016.96</v>
      </c>
      <c r="K870" s="195">
        <f>SUMIF(FALTAS!A:A,A870,FALTAS!D:D)</f>
        <v>0</v>
      </c>
    </row>
    <row r="871" spans="1:11" x14ac:dyDescent="0.2">
      <c r="A871" s="235">
        <v>112421</v>
      </c>
      <c r="B871" s="236" t="s">
        <v>170</v>
      </c>
      <c r="C871" s="236" t="s">
        <v>8</v>
      </c>
      <c r="D871" s="236" t="s">
        <v>5</v>
      </c>
      <c r="E871" s="237">
        <v>43617</v>
      </c>
      <c r="F871" s="236" t="s">
        <v>1234</v>
      </c>
      <c r="G871" s="237">
        <v>44930</v>
      </c>
      <c r="H871" s="234">
        <f>SUMIF(VA!B:B,A871,VA!I:I)</f>
        <v>359.46</v>
      </c>
      <c r="I871" s="33">
        <f>SUMIF(VR!B:B,A871,VR!I:I)</f>
        <v>657.5</v>
      </c>
      <c r="J871" s="4">
        <f t="shared" si="13"/>
        <v>1016.96</v>
      </c>
      <c r="K871" s="195">
        <f>SUMIF(FALTAS!A:A,A871,FALTAS!D:D)</f>
        <v>0</v>
      </c>
    </row>
    <row r="872" spans="1:11" x14ac:dyDescent="0.2">
      <c r="A872" s="235">
        <v>112424</v>
      </c>
      <c r="B872" s="236" t="s">
        <v>1572</v>
      </c>
      <c r="C872" s="236" t="s">
        <v>8</v>
      </c>
      <c r="D872" s="236" t="s">
        <v>2</v>
      </c>
      <c r="E872" s="237">
        <v>43617</v>
      </c>
      <c r="F872" s="236" t="s">
        <v>1582</v>
      </c>
      <c r="G872" s="237">
        <v>43922</v>
      </c>
      <c r="H872" s="234">
        <f>SUMIF(VA!B:B,A872,VA!I:I)</f>
        <v>0</v>
      </c>
      <c r="I872" s="33">
        <f>SUMIF(VR!B:B,A872,VR!I:I)</f>
        <v>0</v>
      </c>
      <c r="J872" s="4">
        <f t="shared" si="13"/>
        <v>0</v>
      </c>
      <c r="K872" s="195">
        <f>SUMIF(FALTAS!A:A,A872,FALTAS!D:D)</f>
        <v>0</v>
      </c>
    </row>
    <row r="873" spans="1:11" x14ac:dyDescent="0.2">
      <c r="A873" s="235">
        <v>112431</v>
      </c>
      <c r="B873" s="236" t="s">
        <v>174</v>
      </c>
      <c r="C873" s="236" t="s">
        <v>10</v>
      </c>
      <c r="D873" s="236" t="s">
        <v>5</v>
      </c>
      <c r="E873" s="237">
        <v>43617</v>
      </c>
      <c r="F873" s="236" t="s">
        <v>1234</v>
      </c>
      <c r="G873" s="237">
        <v>44835</v>
      </c>
      <c r="H873" s="234">
        <f>SUMIF(VA!B:B,A873,VA!I:I)</f>
        <v>359.46</v>
      </c>
      <c r="I873" s="33">
        <f>SUMIF(VR!B:B,A873,VR!I:I)</f>
        <v>657.5</v>
      </c>
      <c r="J873" s="4">
        <f t="shared" si="13"/>
        <v>1016.96</v>
      </c>
      <c r="K873" s="195">
        <f>SUMIF(FALTAS!A:A,A873,FALTAS!D:D)</f>
        <v>0</v>
      </c>
    </row>
    <row r="874" spans="1:11" x14ac:dyDescent="0.2">
      <c r="A874" s="235">
        <v>112437</v>
      </c>
      <c r="B874" s="236" t="s">
        <v>179</v>
      </c>
      <c r="C874" s="236" t="s">
        <v>1589</v>
      </c>
      <c r="D874" s="236" t="s">
        <v>282</v>
      </c>
      <c r="E874" s="237">
        <v>43617</v>
      </c>
      <c r="F874" s="236" t="s">
        <v>1234</v>
      </c>
      <c r="G874" s="237">
        <v>44993</v>
      </c>
      <c r="H874" s="234">
        <f>SUMIF(VA!B:B,A874,VA!I:I)</f>
        <v>359.46</v>
      </c>
      <c r="I874" s="33">
        <f>SUMIF(VR!B:B,A874,VR!I:I)</f>
        <v>657.5</v>
      </c>
      <c r="J874" s="4">
        <f t="shared" si="13"/>
        <v>1016.96</v>
      </c>
      <c r="K874" s="195">
        <f>SUMIF(FALTAS!A:A,A874,FALTAS!D:D)</f>
        <v>0</v>
      </c>
    </row>
    <row r="875" spans="1:11" x14ac:dyDescent="0.2">
      <c r="A875" s="235">
        <v>112470</v>
      </c>
      <c r="B875" s="236" t="s">
        <v>199</v>
      </c>
      <c r="C875" s="236" t="s">
        <v>0</v>
      </c>
      <c r="D875" s="236" t="s">
        <v>5</v>
      </c>
      <c r="E875" s="237">
        <v>43617</v>
      </c>
      <c r="F875" s="236" t="s">
        <v>1234</v>
      </c>
      <c r="G875" s="237">
        <v>45023</v>
      </c>
      <c r="H875" s="234">
        <f>SUMIF(VA!B:B,A875,VA!I:I)</f>
        <v>359.46</v>
      </c>
      <c r="I875" s="33">
        <f>SUMIF(VR!B:B,A875,VR!I:I)</f>
        <v>657.5</v>
      </c>
      <c r="J875" s="4">
        <f t="shared" si="13"/>
        <v>1016.96</v>
      </c>
      <c r="K875" s="195">
        <f>SUMIF(FALTAS!A:A,A875,FALTAS!D:D)</f>
        <v>0</v>
      </c>
    </row>
    <row r="876" spans="1:11" x14ac:dyDescent="0.2">
      <c r="A876" s="235">
        <v>122560</v>
      </c>
      <c r="B876" s="236" t="s">
        <v>1708</v>
      </c>
      <c r="C876" s="236" t="s">
        <v>32</v>
      </c>
      <c r="D876" s="236" t="s">
        <v>5</v>
      </c>
      <c r="E876" s="237">
        <v>45131</v>
      </c>
      <c r="F876" s="236" t="s">
        <v>1234</v>
      </c>
      <c r="G876" s="237">
        <v>45131</v>
      </c>
      <c r="H876" s="234">
        <f>SUMIF(VA!B:B,A876,VA!I:I)</f>
        <v>347.47</v>
      </c>
      <c r="I876" s="33">
        <f>SUMIF(VR!B:B,A876,VR!I:I)</f>
        <v>631.20000000000005</v>
      </c>
      <c r="J876" s="4">
        <f t="shared" si="13"/>
        <v>978.67000000000007</v>
      </c>
      <c r="K876" s="195">
        <f>SUMIF(FALTAS!A:A,A876,FALTAS!D:D)</f>
        <v>1</v>
      </c>
    </row>
    <row r="877" spans="1:11" x14ac:dyDescent="0.2">
      <c r="A877" s="235">
        <v>113782</v>
      </c>
      <c r="B877" s="236" t="s">
        <v>980</v>
      </c>
      <c r="C877" s="236" t="s">
        <v>1589</v>
      </c>
      <c r="D877" s="236" t="s">
        <v>981</v>
      </c>
      <c r="E877" s="237">
        <v>43626</v>
      </c>
      <c r="F877" s="236" t="s">
        <v>1234</v>
      </c>
      <c r="G877" s="237">
        <v>44930</v>
      </c>
      <c r="H877" s="234">
        <f>SUMIF(VA!B:B,A877,VA!I:I)</f>
        <v>359.46</v>
      </c>
      <c r="I877" s="33">
        <f>SUMIF(VR!B:B,A877,VR!I:I)</f>
        <v>657.5</v>
      </c>
      <c r="J877" s="4">
        <f t="shared" si="13"/>
        <v>1016.96</v>
      </c>
      <c r="K877" s="195">
        <f>SUMIF(FALTAS!A:A,A877,FALTAS!D:D)</f>
        <v>0</v>
      </c>
    </row>
    <row r="878" spans="1:11" x14ac:dyDescent="0.2">
      <c r="A878" s="235">
        <v>116978</v>
      </c>
      <c r="B878" s="236" t="s">
        <v>1246</v>
      </c>
      <c r="C878" s="236" t="s">
        <v>10</v>
      </c>
      <c r="D878" s="236" t="s">
        <v>5</v>
      </c>
      <c r="E878" s="237">
        <v>44419</v>
      </c>
      <c r="F878" s="236" t="s">
        <v>1234</v>
      </c>
      <c r="G878" s="237">
        <v>45086</v>
      </c>
      <c r="H878" s="234">
        <f>SUMIF(VA!B:B,A878,VA!I:I)</f>
        <v>335.49</v>
      </c>
      <c r="I878" s="33">
        <f>SUMIF(VR!B:B,A878,VR!I:I)</f>
        <v>604.9</v>
      </c>
      <c r="J878" s="4">
        <f t="shared" si="13"/>
        <v>940.39</v>
      </c>
      <c r="K878" s="195">
        <f>SUMIF(FALTAS!A:A,A878,FALTAS!D:D)</f>
        <v>2</v>
      </c>
    </row>
    <row r="879" spans="1:11" x14ac:dyDescent="0.2">
      <c r="A879" s="235">
        <v>121939</v>
      </c>
      <c r="B879" s="236" t="s">
        <v>1622</v>
      </c>
      <c r="C879" s="236" t="s">
        <v>1591</v>
      </c>
      <c r="D879" s="236" t="s">
        <v>1464</v>
      </c>
      <c r="E879" s="237">
        <v>45040</v>
      </c>
      <c r="F879" s="236" t="s">
        <v>1234</v>
      </c>
      <c r="G879" s="237">
        <v>45040</v>
      </c>
      <c r="H879" s="234">
        <f>SUMIF(VA!B:B,A879,VA!I:I)</f>
        <v>0</v>
      </c>
      <c r="I879" s="33">
        <f>SUMIF(VR!B:B,A879,VR!I:I)</f>
        <v>657.5</v>
      </c>
      <c r="J879" s="4">
        <f t="shared" si="13"/>
        <v>657.5</v>
      </c>
      <c r="K879" s="195">
        <f>SUMIF(FALTAS!A:A,A879,FALTAS!D:D)</f>
        <v>0</v>
      </c>
    </row>
    <row r="880" spans="1:11" x14ac:dyDescent="0.2">
      <c r="A880" s="235">
        <v>115371</v>
      </c>
      <c r="B880" s="236" t="s">
        <v>1153</v>
      </c>
      <c r="C880" s="236" t="s">
        <v>0</v>
      </c>
      <c r="D880" s="236" t="s">
        <v>5</v>
      </c>
      <c r="E880" s="237">
        <v>44046</v>
      </c>
      <c r="F880" s="236" t="s">
        <v>1234</v>
      </c>
      <c r="G880" s="237">
        <v>45086</v>
      </c>
      <c r="H880" s="234">
        <f>SUMIF(VA!B:B,A880,VA!I:I)</f>
        <v>359.46</v>
      </c>
      <c r="I880" s="33">
        <f>SUMIF(VR!B:B,A880,VR!I:I)</f>
        <v>657.5</v>
      </c>
      <c r="J880" s="4">
        <f t="shared" si="13"/>
        <v>1016.96</v>
      </c>
      <c r="K880" s="195">
        <f>SUMIF(FALTAS!A:A,A880,FALTAS!D:D)</f>
        <v>0</v>
      </c>
    </row>
    <row r="881" spans="1:11" x14ac:dyDescent="0.2">
      <c r="A881" s="235">
        <v>112478</v>
      </c>
      <c r="B881" s="236" t="s">
        <v>206</v>
      </c>
      <c r="C881" s="236" t="s">
        <v>1589</v>
      </c>
      <c r="D881" s="236" t="s">
        <v>22</v>
      </c>
      <c r="E881" s="237">
        <v>43617</v>
      </c>
      <c r="F881" s="236" t="s">
        <v>1234</v>
      </c>
      <c r="G881" s="237">
        <v>44960</v>
      </c>
      <c r="H881" s="234">
        <f>SUMIF(VA!B:B,A881,VA!I:I)</f>
        <v>359.46</v>
      </c>
      <c r="I881" s="33">
        <f>SUMIF(VR!B:B,A881,VR!I:I)</f>
        <v>657.5</v>
      </c>
      <c r="J881" s="4">
        <f t="shared" si="13"/>
        <v>1016.96</v>
      </c>
      <c r="K881" s="195">
        <f>SUMIF(FALTAS!A:A,A881,FALTAS!D:D)</f>
        <v>0</v>
      </c>
    </row>
    <row r="882" spans="1:11" x14ac:dyDescent="0.2">
      <c r="A882" s="235">
        <v>115403</v>
      </c>
      <c r="B882" s="236" t="s">
        <v>1158</v>
      </c>
      <c r="C882" s="236" t="s">
        <v>8</v>
      </c>
      <c r="D882" s="236" t="s">
        <v>5</v>
      </c>
      <c r="E882" s="237">
        <v>44048</v>
      </c>
      <c r="F882" s="236" t="s">
        <v>1285</v>
      </c>
      <c r="G882" s="237">
        <v>44932</v>
      </c>
      <c r="H882" s="234">
        <f>SUMIF(VA!B:B,A882,VA!I:I)</f>
        <v>0</v>
      </c>
      <c r="I882" s="33">
        <f>SUMIF(VR!B:B,A882,VR!I:I)</f>
        <v>0</v>
      </c>
      <c r="J882" s="4">
        <f t="shared" si="13"/>
        <v>0</v>
      </c>
      <c r="K882" s="195">
        <f>SUMIF(FALTAS!A:A,A882,FALTAS!D:D)</f>
        <v>0</v>
      </c>
    </row>
    <row r="883" spans="1:11" x14ac:dyDescent="0.2">
      <c r="A883" s="235">
        <v>114927</v>
      </c>
      <c r="B883" s="236" t="s">
        <v>1117</v>
      </c>
      <c r="C883" s="236" t="s">
        <v>1589</v>
      </c>
      <c r="D883" s="236" t="s">
        <v>5</v>
      </c>
      <c r="E883" s="237">
        <v>43916</v>
      </c>
      <c r="F883" s="236" t="s">
        <v>1234</v>
      </c>
      <c r="G883" s="237">
        <v>44960</v>
      </c>
      <c r="H883" s="234">
        <f>SUMIF(VA!B:B,A883,VA!I:I)</f>
        <v>359.46</v>
      </c>
      <c r="I883" s="33">
        <f>SUMIF(VR!B:B,A883,VR!I:I)</f>
        <v>657.5</v>
      </c>
      <c r="J883" s="4">
        <f t="shared" si="13"/>
        <v>1016.96</v>
      </c>
      <c r="K883" s="195">
        <f>SUMIF(FALTAS!A:A,A883,FALTAS!D:D)</f>
        <v>0</v>
      </c>
    </row>
    <row r="884" spans="1:11" x14ac:dyDescent="0.2">
      <c r="A884" s="235">
        <v>112503</v>
      </c>
      <c r="B884" s="236" t="s">
        <v>221</v>
      </c>
      <c r="C884" s="236" t="s">
        <v>8</v>
      </c>
      <c r="D884" s="236" t="s">
        <v>5</v>
      </c>
      <c r="E884" s="237">
        <v>43617</v>
      </c>
      <c r="F884" s="236" t="s">
        <v>1234</v>
      </c>
      <c r="G884" s="237">
        <v>45023</v>
      </c>
      <c r="H884" s="234">
        <f>SUMIF(VA!B:B,A884,VA!I:I)</f>
        <v>359.46</v>
      </c>
      <c r="I884" s="33">
        <f>SUMIF(VR!B:B,A884,VR!I:I)</f>
        <v>657.5</v>
      </c>
      <c r="J884" s="4">
        <f t="shared" si="13"/>
        <v>1016.96</v>
      </c>
      <c r="K884" s="195">
        <f>SUMIF(FALTAS!A:A,A884,FALTAS!D:D)</f>
        <v>0</v>
      </c>
    </row>
    <row r="885" spans="1:11" x14ac:dyDescent="0.2">
      <c r="A885" s="235">
        <v>116385</v>
      </c>
      <c r="B885" s="236" t="s">
        <v>1214</v>
      </c>
      <c r="C885" s="236" t="s">
        <v>32</v>
      </c>
      <c r="D885" s="236" t="s">
        <v>5</v>
      </c>
      <c r="E885" s="237">
        <v>44328</v>
      </c>
      <c r="F885" s="236" t="s">
        <v>1235</v>
      </c>
      <c r="G885" s="237">
        <v>45147</v>
      </c>
      <c r="H885" s="234">
        <f>SUMIF(VA!B:B,A885,VA!I:I)</f>
        <v>359.46</v>
      </c>
      <c r="I885" s="33">
        <f>SUMIF(VR!B:B,A885,VR!I:I)</f>
        <v>657.5</v>
      </c>
      <c r="J885" s="4">
        <f t="shared" si="13"/>
        <v>1016.96</v>
      </c>
      <c r="K885" s="195">
        <f>SUMIF(FALTAS!A:A,A885,FALTAS!D:D)</f>
        <v>0</v>
      </c>
    </row>
    <row r="886" spans="1:11" x14ac:dyDescent="0.2">
      <c r="A886" s="235">
        <v>112542</v>
      </c>
      <c r="B886" s="236" t="s">
        <v>252</v>
      </c>
      <c r="C886" s="236" t="s">
        <v>0</v>
      </c>
      <c r="D886" s="236" t="s">
        <v>5</v>
      </c>
      <c r="E886" s="237">
        <v>43617</v>
      </c>
      <c r="F886" s="236" t="s">
        <v>1234</v>
      </c>
      <c r="G886" s="237">
        <v>44898</v>
      </c>
      <c r="H886" s="234">
        <f>SUMIF(VA!B:B,A886,VA!I:I)</f>
        <v>347.47</v>
      </c>
      <c r="I886" s="33">
        <f>SUMIF(VR!B:B,A886,VR!I:I)</f>
        <v>631.20000000000005</v>
      </c>
      <c r="J886" s="4">
        <f t="shared" si="13"/>
        <v>978.67000000000007</v>
      </c>
      <c r="K886" s="195">
        <f>SUMIF(FALTAS!A:A,A886,FALTAS!D:D)</f>
        <v>1</v>
      </c>
    </row>
    <row r="887" spans="1:11" x14ac:dyDescent="0.2">
      <c r="A887" s="235">
        <v>112545</v>
      </c>
      <c r="B887" s="236" t="s">
        <v>253</v>
      </c>
      <c r="C887" s="236" t="s">
        <v>0</v>
      </c>
      <c r="D887" s="236" t="s">
        <v>2</v>
      </c>
      <c r="E887" s="237">
        <v>43617</v>
      </c>
      <c r="F887" s="236" t="s">
        <v>1234</v>
      </c>
      <c r="G887" s="237">
        <v>45090</v>
      </c>
      <c r="H887" s="234">
        <f>SUMIF(VA!B:B,A887,VA!I:I)</f>
        <v>359.46</v>
      </c>
      <c r="I887" s="33">
        <f>SUMIF(VR!B:B,A887,VR!I:I)</f>
        <v>657.5</v>
      </c>
      <c r="J887" s="4">
        <f t="shared" si="13"/>
        <v>1016.96</v>
      </c>
      <c r="K887" s="195">
        <f>SUMIF(FALTAS!A:A,A887,FALTAS!D:D)</f>
        <v>0</v>
      </c>
    </row>
    <row r="888" spans="1:11" x14ac:dyDescent="0.2">
      <c r="A888" s="235">
        <v>112546</v>
      </c>
      <c r="B888" s="236" t="s">
        <v>254</v>
      </c>
      <c r="C888" s="236" t="s">
        <v>1589</v>
      </c>
      <c r="D888" s="236" t="s">
        <v>255</v>
      </c>
      <c r="E888" s="237">
        <v>43617</v>
      </c>
      <c r="F888" s="236" t="s">
        <v>1234</v>
      </c>
      <c r="G888" s="237">
        <v>44993</v>
      </c>
      <c r="H888" s="234">
        <f>SUMIF(VA!B:B,A888,VA!I:I)</f>
        <v>359.46</v>
      </c>
      <c r="I888" s="33">
        <f>SUMIF(VR!B:B,A888,VR!I:I)</f>
        <v>657.5</v>
      </c>
      <c r="J888" s="4">
        <f t="shared" si="13"/>
        <v>1016.96</v>
      </c>
      <c r="K888" s="195">
        <f>SUMIF(FALTAS!A:A,A888,FALTAS!D:D)</f>
        <v>0</v>
      </c>
    </row>
    <row r="889" spans="1:11" x14ac:dyDescent="0.2">
      <c r="A889" s="235">
        <v>118649</v>
      </c>
      <c r="B889" s="236" t="s">
        <v>1409</v>
      </c>
      <c r="C889" s="236" t="s">
        <v>1589</v>
      </c>
      <c r="D889" s="236" t="s">
        <v>5</v>
      </c>
      <c r="E889" s="237">
        <v>44582</v>
      </c>
      <c r="F889" s="236" t="s">
        <v>1234</v>
      </c>
      <c r="G889" s="237">
        <v>44993</v>
      </c>
      <c r="H889" s="234">
        <f>SUMIF(VA!B:B,A889,VA!I:I)</f>
        <v>359.46</v>
      </c>
      <c r="I889" s="33">
        <f>SUMIF(VR!B:B,A889,VR!I:I)</f>
        <v>657.5</v>
      </c>
      <c r="J889" s="4">
        <f t="shared" si="13"/>
        <v>1016.96</v>
      </c>
      <c r="K889" s="195">
        <f>SUMIF(FALTAS!A:A,A889,FALTAS!D:D)</f>
        <v>0</v>
      </c>
    </row>
    <row r="890" spans="1:11" x14ac:dyDescent="0.2">
      <c r="A890" s="235">
        <v>122571</v>
      </c>
      <c r="B890" s="236" t="s">
        <v>1709</v>
      </c>
      <c r="C890" s="236" t="s">
        <v>1589</v>
      </c>
      <c r="D890" s="236" t="s">
        <v>15</v>
      </c>
      <c r="E890" s="237">
        <v>45131</v>
      </c>
      <c r="F890" s="236" t="s">
        <v>1234</v>
      </c>
      <c r="G890" s="237">
        <v>45131</v>
      </c>
      <c r="H890" s="234">
        <f>SUMIF(VA!B:B,A890,VA!I:I)</f>
        <v>359.46</v>
      </c>
      <c r="I890" s="33">
        <f>SUMIF(VR!B:B,A890,VR!I:I)</f>
        <v>657.5</v>
      </c>
      <c r="J890" s="4">
        <f t="shared" si="13"/>
        <v>1016.96</v>
      </c>
      <c r="K890" s="195">
        <f>SUMIF(FALTAS!A:A,A890,FALTAS!D:D)</f>
        <v>0</v>
      </c>
    </row>
    <row r="891" spans="1:11" x14ac:dyDescent="0.2">
      <c r="A891" s="235">
        <v>121476</v>
      </c>
      <c r="B891" s="236" t="s">
        <v>1573</v>
      </c>
      <c r="C891" s="236" t="s">
        <v>1589</v>
      </c>
      <c r="D891" s="236" t="s">
        <v>5</v>
      </c>
      <c r="E891" s="237">
        <v>44967</v>
      </c>
      <c r="F891" s="236" t="s">
        <v>1234</v>
      </c>
      <c r="G891" s="237">
        <v>44967</v>
      </c>
      <c r="H891" s="234">
        <f>SUMIF(VA!B:B,A891,VA!I:I)</f>
        <v>359.46</v>
      </c>
      <c r="I891" s="33">
        <f>SUMIF(VR!B:B,A891,VR!I:I)</f>
        <v>657.5</v>
      </c>
      <c r="J891" s="4">
        <f t="shared" si="13"/>
        <v>1016.96</v>
      </c>
      <c r="K891" s="195">
        <f>SUMIF(FALTAS!A:A,A891,FALTAS!D:D)</f>
        <v>0</v>
      </c>
    </row>
    <row r="892" spans="1:11" x14ac:dyDescent="0.2">
      <c r="A892" s="235">
        <v>112558</v>
      </c>
      <c r="B892" s="236" t="s">
        <v>264</v>
      </c>
      <c r="C892" s="236" t="s">
        <v>0</v>
      </c>
      <c r="D892" s="236" t="s">
        <v>146</v>
      </c>
      <c r="E892" s="237">
        <v>43617</v>
      </c>
      <c r="F892" s="236" t="s">
        <v>1234</v>
      </c>
      <c r="G892" s="237">
        <v>45023</v>
      </c>
      <c r="H892" s="234">
        <f>SUMIF(VA!B:B,A892,VA!I:I)</f>
        <v>359.46</v>
      </c>
      <c r="I892" s="33">
        <f>SUMIF(VR!B:B,A892,VR!I:I)</f>
        <v>657.5</v>
      </c>
      <c r="J892" s="4">
        <f t="shared" si="13"/>
        <v>1016.96</v>
      </c>
      <c r="K892" s="195">
        <f>SUMIF(FALTAS!A:A,A892,FALTAS!D:D)</f>
        <v>0</v>
      </c>
    </row>
    <row r="893" spans="1:11" x14ac:dyDescent="0.2">
      <c r="A893" s="235">
        <v>112577</v>
      </c>
      <c r="B893" s="236" t="s">
        <v>274</v>
      </c>
      <c r="C893" s="236" t="s">
        <v>0</v>
      </c>
      <c r="D893" s="236" t="s">
        <v>2</v>
      </c>
      <c r="E893" s="237">
        <v>43617</v>
      </c>
      <c r="F893" s="236" t="s">
        <v>1235</v>
      </c>
      <c r="G893" s="237">
        <v>45147</v>
      </c>
      <c r="H893" s="234">
        <f>SUMIF(VA!B:B,A893,VA!I:I)</f>
        <v>359.46</v>
      </c>
      <c r="I893" s="33">
        <f>SUMIF(VR!B:B,A893,VR!I:I)</f>
        <v>657.5</v>
      </c>
      <c r="J893" s="4">
        <f t="shared" si="13"/>
        <v>1016.96</v>
      </c>
      <c r="K893" s="195">
        <f>SUMIF(FALTAS!A:A,A893,FALTAS!D:D)</f>
        <v>0</v>
      </c>
    </row>
    <row r="894" spans="1:11" x14ac:dyDescent="0.2">
      <c r="A894" s="235">
        <v>112583</v>
      </c>
      <c r="B894" s="236" t="s">
        <v>278</v>
      </c>
      <c r="C894" s="236" t="s">
        <v>1589</v>
      </c>
      <c r="D894" s="236" t="s">
        <v>15</v>
      </c>
      <c r="E894" s="237">
        <v>43617</v>
      </c>
      <c r="F894" s="236" t="s">
        <v>1234</v>
      </c>
      <c r="G894" s="237">
        <v>44960</v>
      </c>
      <c r="H894" s="234">
        <f>SUMIF(VA!B:B,A894,VA!I:I)</f>
        <v>359.46</v>
      </c>
      <c r="I894" s="33">
        <f>SUMIF(VR!B:B,A894,VR!I:I)</f>
        <v>657.5</v>
      </c>
      <c r="J894" s="4">
        <f t="shared" si="13"/>
        <v>1016.96</v>
      </c>
      <c r="K894" s="195">
        <f>SUMIF(FALTAS!A:A,A894,FALTAS!D:D)</f>
        <v>0</v>
      </c>
    </row>
    <row r="895" spans="1:11" x14ac:dyDescent="0.2">
      <c r="A895" s="235">
        <v>112589</v>
      </c>
      <c r="B895" s="236" t="s">
        <v>281</v>
      </c>
      <c r="C895" s="236" t="s">
        <v>1589</v>
      </c>
      <c r="D895" s="236" t="s">
        <v>282</v>
      </c>
      <c r="E895" s="237">
        <v>43617</v>
      </c>
      <c r="F895" s="236" t="s">
        <v>1235</v>
      </c>
      <c r="G895" s="237">
        <v>45147</v>
      </c>
      <c r="H895" s="234">
        <f>SUMIF(VA!B:B,A895,VA!I:I)</f>
        <v>359.46</v>
      </c>
      <c r="I895" s="33">
        <f>SUMIF(VR!B:B,A895,VR!I:I)</f>
        <v>657.5</v>
      </c>
      <c r="J895" s="4">
        <f t="shared" si="13"/>
        <v>1016.96</v>
      </c>
      <c r="K895" s="195">
        <f>SUMIF(FALTAS!A:A,A895,FALTAS!D:D)</f>
        <v>0</v>
      </c>
    </row>
    <row r="896" spans="1:11" x14ac:dyDescent="0.2">
      <c r="A896" s="235">
        <v>112596</v>
      </c>
      <c r="B896" s="236" t="s">
        <v>285</v>
      </c>
      <c r="C896" s="236" t="s">
        <v>0</v>
      </c>
      <c r="D896" s="236" t="s">
        <v>2</v>
      </c>
      <c r="E896" s="237">
        <v>43617</v>
      </c>
      <c r="F896" s="236" t="s">
        <v>1234</v>
      </c>
      <c r="G896" s="237">
        <v>44806</v>
      </c>
      <c r="H896" s="234">
        <f>SUMIF(VA!B:B,A896,VA!I:I)</f>
        <v>359.46</v>
      </c>
      <c r="I896" s="33">
        <f>SUMIF(VR!B:B,A896,VR!I:I)</f>
        <v>657.5</v>
      </c>
      <c r="J896" s="4">
        <f t="shared" si="13"/>
        <v>1016.96</v>
      </c>
      <c r="K896" s="195">
        <f>SUMIF(FALTAS!A:A,A896,FALTAS!D:D)</f>
        <v>0</v>
      </c>
    </row>
    <row r="897" spans="1:11" x14ac:dyDescent="0.2">
      <c r="A897" s="235">
        <v>115404</v>
      </c>
      <c r="B897" s="236" t="s">
        <v>1159</v>
      </c>
      <c r="C897" s="236" t="s">
        <v>0</v>
      </c>
      <c r="D897" s="236" t="s">
        <v>2</v>
      </c>
      <c r="E897" s="237">
        <v>44048</v>
      </c>
      <c r="F897" s="236" t="s">
        <v>1234</v>
      </c>
      <c r="G897" s="237">
        <v>45086</v>
      </c>
      <c r="H897" s="234">
        <f>SUMIF(VA!B:B,A897,VA!I:I)</f>
        <v>359.46</v>
      </c>
      <c r="I897" s="33">
        <f>SUMIF(VR!B:B,A897,VR!I:I)</f>
        <v>657.5</v>
      </c>
      <c r="J897" s="4">
        <f t="shared" si="13"/>
        <v>1016.96</v>
      </c>
      <c r="K897" s="195">
        <f>SUMIF(FALTAS!A:A,A897,FALTAS!D:D)</f>
        <v>0</v>
      </c>
    </row>
    <row r="898" spans="1:11" x14ac:dyDescent="0.2">
      <c r="A898" s="235">
        <v>112604</v>
      </c>
      <c r="B898" s="236" t="s">
        <v>290</v>
      </c>
      <c r="C898" s="236" t="s">
        <v>1589</v>
      </c>
      <c r="D898" s="236" t="s">
        <v>15</v>
      </c>
      <c r="E898" s="237">
        <v>43617</v>
      </c>
      <c r="F898" s="236" t="s">
        <v>1235</v>
      </c>
      <c r="G898" s="237">
        <v>45147</v>
      </c>
      <c r="H898" s="234">
        <f>SUMIF(VA!B:B,A898,VA!I:I)</f>
        <v>359.46</v>
      </c>
      <c r="I898" s="33">
        <f>SUMIF(VR!B:B,A898,VR!I:I)</f>
        <v>657.5</v>
      </c>
      <c r="J898" s="4">
        <f t="shared" ref="J898:J961" si="14">H898+I898</f>
        <v>1016.96</v>
      </c>
      <c r="K898" s="195">
        <f>SUMIF(FALTAS!A:A,A898,FALTAS!D:D)</f>
        <v>0</v>
      </c>
    </row>
    <row r="899" spans="1:11" x14ac:dyDescent="0.2">
      <c r="A899" s="235">
        <v>112611</v>
      </c>
      <c r="B899" s="236" t="s">
        <v>296</v>
      </c>
      <c r="C899" s="236" t="s">
        <v>1589</v>
      </c>
      <c r="D899" s="236" t="s">
        <v>5</v>
      </c>
      <c r="E899" s="237">
        <v>43617</v>
      </c>
      <c r="F899" s="236" t="s">
        <v>1234</v>
      </c>
      <c r="G899" s="237">
        <v>44974</v>
      </c>
      <c r="H899" s="234">
        <f>SUMIF(VA!B:B,A899,VA!I:I)</f>
        <v>359.46</v>
      </c>
      <c r="I899" s="33">
        <f>SUMIF(VR!B:B,A899,VR!I:I)</f>
        <v>657.5</v>
      </c>
      <c r="J899" s="4">
        <f t="shared" si="14"/>
        <v>1016.96</v>
      </c>
      <c r="K899" s="195">
        <f>SUMIF(FALTAS!A:A,A899,FALTAS!D:D)</f>
        <v>0</v>
      </c>
    </row>
    <row r="900" spans="1:11" x14ac:dyDescent="0.2">
      <c r="A900" s="235">
        <v>112617</v>
      </c>
      <c r="B900" s="236" t="s">
        <v>301</v>
      </c>
      <c r="C900" s="236" t="s">
        <v>19</v>
      </c>
      <c r="D900" s="236" t="s">
        <v>2</v>
      </c>
      <c r="E900" s="237">
        <v>43617</v>
      </c>
      <c r="F900" s="236" t="s">
        <v>1234</v>
      </c>
      <c r="G900" s="237">
        <v>44835</v>
      </c>
      <c r="H900" s="234">
        <f>SUMIF(VA!B:B,A900,VA!I:I)</f>
        <v>359.46</v>
      </c>
      <c r="I900" s="33">
        <f>SUMIF(VR!B:B,A900,VR!I:I)</f>
        <v>657.5</v>
      </c>
      <c r="J900" s="4">
        <f t="shared" si="14"/>
        <v>1016.96</v>
      </c>
      <c r="K900" s="195">
        <f>SUMIF(FALTAS!A:A,A900,FALTAS!D:D)</f>
        <v>0</v>
      </c>
    </row>
    <row r="901" spans="1:11" x14ac:dyDescent="0.2">
      <c r="A901" s="235">
        <v>112625</v>
      </c>
      <c r="B901" s="236" t="s">
        <v>306</v>
      </c>
      <c r="C901" s="236" t="s">
        <v>1589</v>
      </c>
      <c r="D901" s="236" t="s">
        <v>15</v>
      </c>
      <c r="E901" s="237">
        <v>43617</v>
      </c>
      <c r="F901" s="236" t="s">
        <v>1234</v>
      </c>
      <c r="G901" s="237">
        <v>45149</v>
      </c>
      <c r="H901" s="234">
        <f>SUMIF(VA!B:B,A901,VA!I:I)</f>
        <v>359.46</v>
      </c>
      <c r="I901" s="33">
        <f>SUMIF(VR!B:B,A901,VR!I:I)</f>
        <v>657.5</v>
      </c>
      <c r="J901" s="4">
        <f t="shared" si="14"/>
        <v>1016.96</v>
      </c>
      <c r="K901" s="195">
        <f>SUMIF(FALTAS!A:A,A901,FALTAS!D:D)</f>
        <v>0</v>
      </c>
    </row>
    <row r="902" spans="1:11" x14ac:dyDescent="0.2">
      <c r="A902" s="235">
        <v>112630</v>
      </c>
      <c r="B902" s="236" t="s">
        <v>310</v>
      </c>
      <c r="C902" s="236" t="s">
        <v>0</v>
      </c>
      <c r="D902" s="236" t="s">
        <v>5</v>
      </c>
      <c r="E902" s="237">
        <v>43617</v>
      </c>
      <c r="F902" s="236" t="s">
        <v>1234</v>
      </c>
      <c r="G902" s="237">
        <v>45023</v>
      </c>
      <c r="H902" s="234">
        <f>SUMIF(VA!B:B,A902,VA!I:I)</f>
        <v>359.46</v>
      </c>
      <c r="I902" s="33">
        <f>SUMIF(VR!B:B,A902,VR!I:I)</f>
        <v>657.5</v>
      </c>
      <c r="J902" s="4">
        <f t="shared" si="14"/>
        <v>1016.96</v>
      </c>
      <c r="K902" s="195">
        <f>SUMIF(FALTAS!A:A,A902,FALTAS!D:D)</f>
        <v>0</v>
      </c>
    </row>
    <row r="903" spans="1:11" x14ac:dyDescent="0.2">
      <c r="A903" s="235">
        <v>114736</v>
      </c>
      <c r="B903" s="236" t="s">
        <v>1089</v>
      </c>
      <c r="C903" s="236" t="s">
        <v>32</v>
      </c>
      <c r="D903" s="236" t="s">
        <v>5</v>
      </c>
      <c r="E903" s="237">
        <v>43874</v>
      </c>
      <c r="F903" s="236" t="s">
        <v>1234</v>
      </c>
      <c r="G903" s="237">
        <v>45113</v>
      </c>
      <c r="H903" s="234">
        <f>SUMIF(VA!B:B,A903,VA!I:I)</f>
        <v>347.47</v>
      </c>
      <c r="I903" s="33">
        <f>SUMIF(VR!B:B,A903,VR!I:I)</f>
        <v>631.20000000000005</v>
      </c>
      <c r="J903" s="4">
        <f t="shared" si="14"/>
        <v>978.67000000000007</v>
      </c>
      <c r="K903" s="195">
        <f>SUMIF(FALTAS!A:A,A903,FALTAS!D:D)</f>
        <v>1</v>
      </c>
    </row>
    <row r="904" spans="1:11" x14ac:dyDescent="0.2">
      <c r="A904" s="235">
        <v>116024</v>
      </c>
      <c r="B904" s="236" t="s">
        <v>1179</v>
      </c>
      <c r="C904" s="236" t="s">
        <v>10</v>
      </c>
      <c r="D904" s="236" t="s">
        <v>5</v>
      </c>
      <c r="E904" s="237">
        <v>44207</v>
      </c>
      <c r="F904" s="236" t="s">
        <v>1234</v>
      </c>
      <c r="G904" s="237">
        <v>45119</v>
      </c>
      <c r="H904" s="234">
        <f>SUMIF(VA!B:B,A904,VA!I:I)</f>
        <v>359.46</v>
      </c>
      <c r="I904" s="33">
        <f>SUMIF(VR!B:B,A904,VR!I:I)</f>
        <v>657.5</v>
      </c>
      <c r="J904" s="4">
        <f t="shared" si="14"/>
        <v>1016.96</v>
      </c>
      <c r="K904" s="195">
        <f>SUMIF(FALTAS!A:A,A904,FALTAS!D:D)</f>
        <v>0</v>
      </c>
    </row>
    <row r="905" spans="1:11" x14ac:dyDescent="0.2">
      <c r="A905" s="235">
        <v>112640</v>
      </c>
      <c r="B905" s="236" t="s">
        <v>315</v>
      </c>
      <c r="C905" s="236" t="s">
        <v>1589</v>
      </c>
      <c r="D905" s="236" t="s">
        <v>1449</v>
      </c>
      <c r="E905" s="237">
        <v>43617</v>
      </c>
      <c r="F905" s="236" t="s">
        <v>1234</v>
      </c>
      <c r="G905" s="237">
        <v>44930</v>
      </c>
      <c r="H905" s="234">
        <f>SUMIF(VA!B:B,A905,VA!I:I)</f>
        <v>359.46</v>
      </c>
      <c r="I905" s="33">
        <f>SUMIF(VR!B:B,A905,VR!I:I)</f>
        <v>657.5</v>
      </c>
      <c r="J905" s="4">
        <f t="shared" si="14"/>
        <v>1016.96</v>
      </c>
      <c r="K905" s="195">
        <f>SUMIF(FALTAS!A:A,A905,FALTAS!D:D)</f>
        <v>0</v>
      </c>
    </row>
    <row r="906" spans="1:11" x14ac:dyDescent="0.2">
      <c r="A906" s="235">
        <v>112649</v>
      </c>
      <c r="B906" s="236" t="s">
        <v>319</v>
      </c>
      <c r="C906" s="236" t="s">
        <v>8</v>
      </c>
      <c r="D906" s="236" t="s">
        <v>2</v>
      </c>
      <c r="E906" s="237">
        <v>43617</v>
      </c>
      <c r="F906" s="236" t="s">
        <v>1234</v>
      </c>
      <c r="G906" s="237">
        <v>44867</v>
      </c>
      <c r="H906" s="234">
        <f>SUMIF(VA!B:B,A906,VA!I:I)</f>
        <v>359.46</v>
      </c>
      <c r="I906" s="33">
        <f>SUMIF(VR!B:B,A906,VR!I:I)</f>
        <v>657.5</v>
      </c>
      <c r="J906" s="4">
        <f t="shared" si="14"/>
        <v>1016.96</v>
      </c>
      <c r="K906" s="195">
        <f>SUMIF(FALTAS!A:A,A906,FALTAS!D:D)</f>
        <v>0</v>
      </c>
    </row>
    <row r="907" spans="1:11" x14ac:dyDescent="0.2">
      <c r="A907" s="235">
        <v>122088</v>
      </c>
      <c r="B907" s="236" t="s">
        <v>1642</v>
      </c>
      <c r="C907" s="236" t="s">
        <v>1589</v>
      </c>
      <c r="D907" s="236" t="s">
        <v>5</v>
      </c>
      <c r="E907" s="237">
        <v>45061</v>
      </c>
      <c r="F907" s="236" t="s">
        <v>1234</v>
      </c>
      <c r="G907" s="237">
        <v>45061</v>
      </c>
      <c r="H907" s="234">
        <f>SUMIF(VA!B:B,A907,VA!I:I)</f>
        <v>359.46</v>
      </c>
      <c r="I907" s="33">
        <f>SUMIF(VR!B:B,A907,VR!I:I)</f>
        <v>657.5</v>
      </c>
      <c r="J907" s="4">
        <f t="shared" si="14"/>
        <v>1016.96</v>
      </c>
      <c r="K907" s="195">
        <f>SUMIF(FALTAS!A:A,A907,FALTAS!D:D)</f>
        <v>0</v>
      </c>
    </row>
    <row r="908" spans="1:11" x14ac:dyDescent="0.2">
      <c r="A908" s="235">
        <v>112658</v>
      </c>
      <c r="B908" s="236" t="s">
        <v>324</v>
      </c>
      <c r="C908" s="236" t="s">
        <v>1589</v>
      </c>
      <c r="D908" s="236" t="s">
        <v>15</v>
      </c>
      <c r="E908" s="237">
        <v>43617</v>
      </c>
      <c r="F908" s="236" t="s">
        <v>1235</v>
      </c>
      <c r="G908" s="237">
        <v>45147</v>
      </c>
      <c r="H908" s="234">
        <f>SUMIF(VA!B:B,A908,VA!I:I)</f>
        <v>359.46</v>
      </c>
      <c r="I908" s="33">
        <f>SUMIF(VR!B:B,A908,VR!I:I)</f>
        <v>657.5</v>
      </c>
      <c r="J908" s="4">
        <f t="shared" si="14"/>
        <v>1016.96</v>
      </c>
      <c r="K908" s="195">
        <f>SUMIF(FALTAS!A:A,A908,FALTAS!D:D)</f>
        <v>0</v>
      </c>
    </row>
    <row r="909" spans="1:11" x14ac:dyDescent="0.2">
      <c r="A909" s="235">
        <v>119752</v>
      </c>
      <c r="B909" s="236" t="s">
        <v>1475</v>
      </c>
      <c r="C909" s="236" t="s">
        <v>1591</v>
      </c>
      <c r="D909" s="236" t="s">
        <v>1464</v>
      </c>
      <c r="E909" s="237">
        <v>44734</v>
      </c>
      <c r="F909" s="236" t="s">
        <v>1234</v>
      </c>
      <c r="G909" s="237">
        <v>44734</v>
      </c>
      <c r="H909" s="234">
        <f>SUMIF(VA!B:B,A909,VA!I:I)</f>
        <v>0</v>
      </c>
      <c r="I909" s="33">
        <f>SUMIF(VR!B:B,A909,VR!I:I)</f>
        <v>657.5</v>
      </c>
      <c r="J909" s="4">
        <f t="shared" si="14"/>
        <v>657.5</v>
      </c>
      <c r="K909" s="195">
        <f>SUMIF(FALTAS!A:A,A909,FALTAS!D:D)</f>
        <v>0</v>
      </c>
    </row>
    <row r="910" spans="1:11" x14ac:dyDescent="0.2">
      <c r="A910" s="235">
        <v>113768</v>
      </c>
      <c r="B910" s="236" t="s">
        <v>972</v>
      </c>
      <c r="C910" s="236" t="s">
        <v>0</v>
      </c>
      <c r="D910" s="236" t="s">
        <v>146</v>
      </c>
      <c r="E910" s="237">
        <v>43622</v>
      </c>
      <c r="F910" s="236" t="s">
        <v>1234</v>
      </c>
      <c r="G910" s="237">
        <v>44867</v>
      </c>
      <c r="H910" s="234">
        <f>SUMIF(VA!B:B,A910,VA!I:I)</f>
        <v>359.46</v>
      </c>
      <c r="I910" s="33">
        <f>SUMIF(VR!B:B,A910,VR!I:I)</f>
        <v>657.5</v>
      </c>
      <c r="J910" s="4">
        <f t="shared" si="14"/>
        <v>1016.96</v>
      </c>
      <c r="K910" s="195">
        <f>SUMIF(FALTAS!A:A,A910,FALTAS!D:D)</f>
        <v>0</v>
      </c>
    </row>
    <row r="911" spans="1:11" x14ac:dyDescent="0.2">
      <c r="A911" s="235">
        <v>114749</v>
      </c>
      <c r="B911" s="236" t="s">
        <v>1094</v>
      </c>
      <c r="C911" s="236" t="s">
        <v>10</v>
      </c>
      <c r="D911" s="236" t="s">
        <v>5</v>
      </c>
      <c r="E911" s="237">
        <v>43874</v>
      </c>
      <c r="F911" s="236" t="s">
        <v>1234</v>
      </c>
      <c r="G911" s="237">
        <v>45119</v>
      </c>
      <c r="H911" s="234">
        <f>SUMIF(VA!B:B,A911,VA!I:I)</f>
        <v>359.46</v>
      </c>
      <c r="I911" s="33">
        <f>SUMIF(VR!B:B,A911,VR!I:I)</f>
        <v>657.5</v>
      </c>
      <c r="J911" s="4">
        <f t="shared" si="14"/>
        <v>1016.96</v>
      </c>
      <c r="K911" s="195">
        <f>SUMIF(FALTAS!A:A,A911,FALTAS!D:D)</f>
        <v>0</v>
      </c>
    </row>
    <row r="912" spans="1:11" x14ac:dyDescent="0.2">
      <c r="A912" s="235">
        <v>112667</v>
      </c>
      <c r="B912" s="236" t="s">
        <v>329</v>
      </c>
      <c r="C912" s="236" t="s">
        <v>1589</v>
      </c>
      <c r="D912" s="236" t="s">
        <v>139</v>
      </c>
      <c r="E912" s="237">
        <v>43617</v>
      </c>
      <c r="F912" s="236" t="s">
        <v>1234</v>
      </c>
      <c r="G912" s="237">
        <v>45070</v>
      </c>
      <c r="H912" s="234">
        <f>SUMIF(VA!B:B,A912,VA!I:I)</f>
        <v>359.46</v>
      </c>
      <c r="I912" s="33">
        <f>SUMIF(VR!B:B,A912,VR!I:I)</f>
        <v>657.5</v>
      </c>
      <c r="J912" s="4">
        <f t="shared" si="14"/>
        <v>1016.96</v>
      </c>
      <c r="K912" s="195">
        <f>SUMIF(FALTAS!A:A,A912,FALTAS!D:D)</f>
        <v>0</v>
      </c>
    </row>
    <row r="913" spans="1:11" x14ac:dyDescent="0.2">
      <c r="A913" s="235">
        <v>112677</v>
      </c>
      <c r="B913" s="236" t="s">
        <v>334</v>
      </c>
      <c r="C913" s="236" t="s">
        <v>1589</v>
      </c>
      <c r="D913" s="236" t="s">
        <v>15</v>
      </c>
      <c r="E913" s="237">
        <v>43617</v>
      </c>
      <c r="F913" s="236" t="s">
        <v>1234</v>
      </c>
      <c r="G913" s="237">
        <v>44960</v>
      </c>
      <c r="H913" s="234">
        <f>SUMIF(VA!B:B,A913,VA!I:I)</f>
        <v>359.46</v>
      </c>
      <c r="I913" s="33">
        <f>SUMIF(VR!B:B,A913,VR!I:I)</f>
        <v>657.5</v>
      </c>
      <c r="J913" s="4">
        <f t="shared" si="14"/>
        <v>1016.96</v>
      </c>
      <c r="K913" s="195">
        <f>SUMIF(FALTAS!A:A,A913,FALTAS!D:D)</f>
        <v>0</v>
      </c>
    </row>
    <row r="914" spans="1:11" x14ac:dyDescent="0.2">
      <c r="A914" s="235">
        <v>112682</v>
      </c>
      <c r="B914" s="236" t="s">
        <v>338</v>
      </c>
      <c r="C914" s="236" t="s">
        <v>8</v>
      </c>
      <c r="D914" s="236" t="s">
        <v>5</v>
      </c>
      <c r="E914" s="237">
        <v>43617</v>
      </c>
      <c r="F914" s="236" t="s">
        <v>1234</v>
      </c>
      <c r="G914" s="237">
        <v>44930</v>
      </c>
      <c r="H914" s="234">
        <f>SUMIF(VA!B:B,A914,VA!I:I)</f>
        <v>359.46</v>
      </c>
      <c r="I914" s="33">
        <f>SUMIF(VR!B:B,A914,VR!I:I)</f>
        <v>657.5</v>
      </c>
      <c r="J914" s="4">
        <f t="shared" si="14"/>
        <v>1016.96</v>
      </c>
      <c r="K914" s="195">
        <f>SUMIF(FALTAS!A:A,A914,FALTAS!D:D)</f>
        <v>0</v>
      </c>
    </row>
    <row r="915" spans="1:11" x14ac:dyDescent="0.2">
      <c r="A915" s="235">
        <v>112684</v>
      </c>
      <c r="B915" s="236" t="s">
        <v>340</v>
      </c>
      <c r="C915" s="236" t="s">
        <v>10</v>
      </c>
      <c r="D915" s="236" t="s">
        <v>2</v>
      </c>
      <c r="E915" s="237">
        <v>43617</v>
      </c>
      <c r="F915" s="236" t="s">
        <v>1234</v>
      </c>
      <c r="G915" s="237">
        <v>45124</v>
      </c>
      <c r="H915" s="234">
        <f>SUMIF(VA!B:B,A915,VA!I:I)</f>
        <v>359.46</v>
      </c>
      <c r="I915" s="33">
        <f>SUMIF(VR!B:B,A915,VR!I:I)</f>
        <v>657.5</v>
      </c>
      <c r="J915" s="4">
        <f t="shared" si="14"/>
        <v>1016.96</v>
      </c>
      <c r="K915" s="195">
        <f>SUMIF(FALTAS!A:A,A915,FALTAS!D:D)</f>
        <v>0</v>
      </c>
    </row>
    <row r="916" spans="1:11" x14ac:dyDescent="0.2">
      <c r="A916" s="235">
        <v>112687</v>
      </c>
      <c r="B916" s="236" t="s">
        <v>343</v>
      </c>
      <c r="C916" s="236" t="s">
        <v>0</v>
      </c>
      <c r="D916" s="236" t="s">
        <v>2</v>
      </c>
      <c r="E916" s="237">
        <v>43617</v>
      </c>
      <c r="F916" s="236" t="s">
        <v>1234</v>
      </c>
      <c r="G916" s="237">
        <v>44806</v>
      </c>
      <c r="H916" s="234">
        <f>SUMIF(VA!B:B,A916,VA!I:I)</f>
        <v>359.46</v>
      </c>
      <c r="I916" s="33">
        <f>SUMIF(VR!B:B,A916,VR!I:I)</f>
        <v>657.5</v>
      </c>
      <c r="J916" s="4">
        <f t="shared" si="14"/>
        <v>1016.96</v>
      </c>
      <c r="K916" s="195">
        <f>SUMIF(FALTAS!A:A,A916,FALTAS!D:D)</f>
        <v>0</v>
      </c>
    </row>
    <row r="917" spans="1:11" x14ac:dyDescent="0.2">
      <c r="A917" s="235">
        <v>112690</v>
      </c>
      <c r="B917" s="236" t="s">
        <v>1552</v>
      </c>
      <c r="C917" s="236" t="s">
        <v>10</v>
      </c>
      <c r="D917" s="236" t="s">
        <v>5</v>
      </c>
      <c r="E917" s="237">
        <v>43617</v>
      </c>
      <c r="F917" s="236" t="s">
        <v>1234</v>
      </c>
      <c r="G917" s="237">
        <v>44962</v>
      </c>
      <c r="H917" s="234">
        <f>SUMIF(VA!B:B,A917,VA!I:I)</f>
        <v>359.46</v>
      </c>
      <c r="I917" s="33">
        <f>SUMIF(VR!B:B,A917,VR!I:I)</f>
        <v>657.5</v>
      </c>
      <c r="J917" s="4">
        <f t="shared" si="14"/>
        <v>1016.96</v>
      </c>
      <c r="K917" s="195">
        <f>SUMIF(FALTAS!A:A,A917,FALTAS!D:D)</f>
        <v>0</v>
      </c>
    </row>
    <row r="918" spans="1:11" x14ac:dyDescent="0.2">
      <c r="A918" s="235">
        <v>115814</v>
      </c>
      <c r="B918" s="236" t="s">
        <v>1168</v>
      </c>
      <c r="C918" s="236" t="s">
        <v>1589</v>
      </c>
      <c r="D918" s="236" t="s">
        <v>120</v>
      </c>
      <c r="E918" s="237">
        <v>44154</v>
      </c>
      <c r="F918" s="236" t="s">
        <v>1285</v>
      </c>
      <c r="G918" s="237">
        <v>45146</v>
      </c>
      <c r="H918" s="234">
        <f>SUMIF(VA!B:B,A918,VA!I:I)</f>
        <v>0</v>
      </c>
      <c r="I918" s="33">
        <f>SUMIF(VR!B:B,A918,VR!I:I)</f>
        <v>0</v>
      </c>
      <c r="J918" s="4">
        <f t="shared" si="14"/>
        <v>0</v>
      </c>
      <c r="K918" s="195">
        <f>SUMIF(FALTAS!A:A,A918,FALTAS!D:D)</f>
        <v>0</v>
      </c>
    </row>
    <row r="919" spans="1:11" x14ac:dyDescent="0.2">
      <c r="A919" s="235">
        <v>114030</v>
      </c>
      <c r="B919" s="236" t="s">
        <v>999</v>
      </c>
      <c r="C919" s="236" t="s">
        <v>8</v>
      </c>
      <c r="D919" s="236" t="s">
        <v>5</v>
      </c>
      <c r="E919" s="237">
        <v>43710</v>
      </c>
      <c r="F919" s="236" t="s">
        <v>1234</v>
      </c>
      <c r="G919" s="237">
        <v>45119</v>
      </c>
      <c r="H919" s="234">
        <f>SUMIF(VA!B:B,A919,VA!I:I)</f>
        <v>359.46</v>
      </c>
      <c r="I919" s="33">
        <f>SUMIF(VR!B:B,A919,VR!I:I)</f>
        <v>657.5</v>
      </c>
      <c r="J919" s="4">
        <f t="shared" si="14"/>
        <v>1016.96</v>
      </c>
      <c r="K919" s="195">
        <f>SUMIF(FALTAS!A:A,A919,FALTAS!D:D)</f>
        <v>0</v>
      </c>
    </row>
    <row r="920" spans="1:11" x14ac:dyDescent="0.2">
      <c r="A920" s="235">
        <v>119643</v>
      </c>
      <c r="B920" s="236" t="s">
        <v>1476</v>
      </c>
      <c r="C920" s="236" t="s">
        <v>0</v>
      </c>
      <c r="D920" s="236" t="s">
        <v>5</v>
      </c>
      <c r="E920" s="237">
        <v>44725</v>
      </c>
      <c r="F920" s="236" t="s">
        <v>1234</v>
      </c>
      <c r="G920" s="237">
        <v>44725</v>
      </c>
      <c r="H920" s="234">
        <f>SUMIF(VA!B:B,A920,VA!I:I)</f>
        <v>359.46</v>
      </c>
      <c r="I920" s="33">
        <f>SUMIF(VR!B:B,A920,VR!I:I)</f>
        <v>657.5</v>
      </c>
      <c r="J920" s="4">
        <f t="shared" si="14"/>
        <v>1016.96</v>
      </c>
      <c r="K920" s="195">
        <f>SUMIF(FALTAS!A:A,A920,FALTAS!D:D)</f>
        <v>0</v>
      </c>
    </row>
    <row r="921" spans="1:11" x14ac:dyDescent="0.2">
      <c r="A921" s="235">
        <v>121949</v>
      </c>
      <c r="B921" s="236" t="s">
        <v>1623</v>
      </c>
      <c r="C921" s="236" t="s">
        <v>1591</v>
      </c>
      <c r="D921" s="236" t="s">
        <v>1464</v>
      </c>
      <c r="E921" s="237">
        <v>45040</v>
      </c>
      <c r="F921" s="236" t="s">
        <v>1234</v>
      </c>
      <c r="G921" s="237">
        <v>45040</v>
      </c>
      <c r="H921" s="234">
        <f>SUMIF(VA!B:B,A921,VA!I:I)</f>
        <v>0</v>
      </c>
      <c r="I921" s="33">
        <f>SUMIF(VR!B:B,A921,VR!I:I)</f>
        <v>657.5</v>
      </c>
      <c r="J921" s="4">
        <f t="shared" si="14"/>
        <v>657.5</v>
      </c>
      <c r="K921" s="195">
        <f>SUMIF(FALTAS!A:A,A921,FALTAS!D:D)</f>
        <v>0</v>
      </c>
    </row>
    <row r="922" spans="1:11" x14ac:dyDescent="0.2">
      <c r="A922" s="235">
        <v>116386</v>
      </c>
      <c r="B922" s="236" t="s">
        <v>1215</v>
      </c>
      <c r="C922" s="236" t="s">
        <v>1589</v>
      </c>
      <c r="D922" s="236" t="s">
        <v>15</v>
      </c>
      <c r="E922" s="237">
        <v>44328</v>
      </c>
      <c r="F922" s="236" t="s">
        <v>1235</v>
      </c>
      <c r="G922" s="237">
        <v>45147</v>
      </c>
      <c r="H922" s="234">
        <f>SUMIF(VA!B:B,A922,VA!I:I)</f>
        <v>359.46</v>
      </c>
      <c r="I922" s="33">
        <f>SUMIF(VR!B:B,A922,VR!I:I)</f>
        <v>657.5</v>
      </c>
      <c r="J922" s="4">
        <f t="shared" si="14"/>
        <v>1016.96</v>
      </c>
      <c r="K922" s="195">
        <f>SUMIF(FALTAS!A:A,A922,FALTAS!D:D)</f>
        <v>0</v>
      </c>
    </row>
    <row r="923" spans="1:11" x14ac:dyDescent="0.2">
      <c r="A923" s="235">
        <v>112693</v>
      </c>
      <c r="B923" s="236" t="s">
        <v>346</v>
      </c>
      <c r="C923" s="236" t="s">
        <v>19</v>
      </c>
      <c r="D923" s="236" t="s">
        <v>2</v>
      </c>
      <c r="E923" s="237">
        <v>43617</v>
      </c>
      <c r="F923" s="236" t="s">
        <v>1234</v>
      </c>
      <c r="G923" s="237">
        <v>45023</v>
      </c>
      <c r="H923" s="234">
        <f>SUMIF(VA!B:B,A923,VA!I:I)</f>
        <v>359.46</v>
      </c>
      <c r="I923" s="33">
        <f>SUMIF(VR!B:B,A923,VR!I:I)</f>
        <v>657.5</v>
      </c>
      <c r="J923" s="4">
        <f t="shared" si="14"/>
        <v>1016.96</v>
      </c>
      <c r="K923" s="195">
        <f>SUMIF(FALTAS!A:A,A923,FALTAS!D:D)</f>
        <v>0</v>
      </c>
    </row>
    <row r="924" spans="1:11" x14ac:dyDescent="0.2">
      <c r="A924" s="235">
        <v>112694</v>
      </c>
      <c r="B924" s="236" t="s">
        <v>347</v>
      </c>
      <c r="C924" s="236" t="s">
        <v>19</v>
      </c>
      <c r="D924" s="236" t="s">
        <v>39</v>
      </c>
      <c r="E924" s="237">
        <v>43617</v>
      </c>
      <c r="F924" s="236" t="s">
        <v>1234</v>
      </c>
      <c r="G924" s="237">
        <v>44806</v>
      </c>
      <c r="H924" s="234">
        <f>SUMIF(VA!B:B,A924,VA!I:I)</f>
        <v>359.46</v>
      </c>
      <c r="I924" s="33">
        <f>SUMIF(VR!B:B,A924,VR!I:I)</f>
        <v>657.5</v>
      </c>
      <c r="J924" s="4">
        <f t="shared" si="14"/>
        <v>1016.96</v>
      </c>
      <c r="K924" s="195">
        <f>SUMIF(FALTAS!A:A,A924,FALTAS!D:D)</f>
        <v>0</v>
      </c>
    </row>
    <row r="925" spans="1:11" x14ac:dyDescent="0.2">
      <c r="A925" s="235">
        <v>112699</v>
      </c>
      <c r="B925" s="236" t="s">
        <v>351</v>
      </c>
      <c r="C925" s="236" t="s">
        <v>0</v>
      </c>
      <c r="D925" s="236" t="s">
        <v>2</v>
      </c>
      <c r="E925" s="237">
        <v>43617</v>
      </c>
      <c r="F925" s="236" t="s">
        <v>1234</v>
      </c>
      <c r="G925" s="237">
        <v>45119</v>
      </c>
      <c r="H925" s="234">
        <f>SUMIF(VA!B:B,A925,VA!I:I)</f>
        <v>359.46</v>
      </c>
      <c r="I925" s="33">
        <f>SUMIF(VR!B:B,A925,VR!I:I)</f>
        <v>657.5</v>
      </c>
      <c r="J925" s="4">
        <f t="shared" si="14"/>
        <v>1016.96</v>
      </c>
      <c r="K925" s="195">
        <f>SUMIF(FALTAS!A:A,A925,FALTAS!D:D)</f>
        <v>0</v>
      </c>
    </row>
    <row r="926" spans="1:11" x14ac:dyDescent="0.2">
      <c r="A926" s="235">
        <v>119922</v>
      </c>
      <c r="B926" s="236" t="s">
        <v>1487</v>
      </c>
      <c r="C926" s="236" t="s">
        <v>1589</v>
      </c>
      <c r="D926" s="236" t="s">
        <v>5</v>
      </c>
      <c r="E926" s="237">
        <v>44760</v>
      </c>
      <c r="F926" s="236" t="s">
        <v>1235</v>
      </c>
      <c r="G926" s="237">
        <v>45147</v>
      </c>
      <c r="H926" s="234">
        <f>SUMIF(VA!B:B,A926,VA!I:I)</f>
        <v>347.47</v>
      </c>
      <c r="I926" s="33">
        <f>SUMIF(VR!B:B,A926,VR!I:I)</f>
        <v>631.20000000000005</v>
      </c>
      <c r="J926" s="4">
        <f t="shared" si="14"/>
        <v>978.67000000000007</v>
      </c>
      <c r="K926" s="195">
        <f>SUMIF(FALTAS!A:A,A926,FALTAS!D:D)</f>
        <v>1</v>
      </c>
    </row>
    <row r="927" spans="1:11" x14ac:dyDescent="0.2">
      <c r="A927" s="235">
        <v>118060</v>
      </c>
      <c r="B927" s="236" t="s">
        <v>1410</v>
      </c>
      <c r="C927" s="236" t="s">
        <v>0</v>
      </c>
      <c r="D927" s="236" t="s">
        <v>5</v>
      </c>
      <c r="E927" s="237">
        <v>44567</v>
      </c>
      <c r="F927" s="236" t="s">
        <v>1235</v>
      </c>
      <c r="G927" s="237">
        <v>45147</v>
      </c>
      <c r="H927" s="234">
        <f>SUMIF(VA!B:B,A927,VA!I:I)</f>
        <v>347.47</v>
      </c>
      <c r="I927" s="33">
        <f>SUMIF(VR!B:B,A927,VR!I:I)</f>
        <v>631.20000000000005</v>
      </c>
      <c r="J927" s="4">
        <f t="shared" si="14"/>
        <v>978.67000000000007</v>
      </c>
      <c r="K927" s="195">
        <f>SUMIF(FALTAS!A:A,A927,FALTAS!D:D)</f>
        <v>1</v>
      </c>
    </row>
    <row r="928" spans="1:11" x14ac:dyDescent="0.2">
      <c r="A928" s="235">
        <v>112732</v>
      </c>
      <c r="B928" s="236" t="s">
        <v>372</v>
      </c>
      <c r="C928" s="236" t="s">
        <v>0</v>
      </c>
      <c r="D928" s="236" t="s">
        <v>5</v>
      </c>
      <c r="E928" s="237">
        <v>43617</v>
      </c>
      <c r="F928" s="236" t="s">
        <v>1234</v>
      </c>
      <c r="G928" s="237">
        <v>44960</v>
      </c>
      <c r="H928" s="234">
        <f>SUMIF(VA!B:B,A928,VA!I:I)</f>
        <v>359.46</v>
      </c>
      <c r="I928" s="33">
        <f>SUMIF(VR!B:B,A928,VR!I:I)</f>
        <v>657.5</v>
      </c>
      <c r="J928" s="4">
        <f t="shared" si="14"/>
        <v>1016.96</v>
      </c>
      <c r="K928" s="195">
        <f>SUMIF(FALTAS!A:A,A928,FALTAS!D:D)</f>
        <v>0</v>
      </c>
    </row>
    <row r="929" spans="1:11" x14ac:dyDescent="0.2">
      <c r="A929" s="235">
        <v>112748</v>
      </c>
      <c r="B929" s="236" t="s">
        <v>382</v>
      </c>
      <c r="C929" s="236" t="s">
        <v>10</v>
      </c>
      <c r="D929" s="236" t="s">
        <v>5</v>
      </c>
      <c r="E929" s="237">
        <v>43617</v>
      </c>
      <c r="F929" s="236" t="s">
        <v>1234</v>
      </c>
      <c r="G929" s="237">
        <v>45023</v>
      </c>
      <c r="H929" s="234">
        <f>SUMIF(VA!B:B,A929,VA!I:I)</f>
        <v>359.46</v>
      </c>
      <c r="I929" s="33">
        <f>SUMIF(VR!B:B,A929,VR!I:I)</f>
        <v>657.5</v>
      </c>
      <c r="J929" s="4">
        <f t="shared" si="14"/>
        <v>1016.96</v>
      </c>
      <c r="K929" s="195">
        <f>SUMIF(FALTAS!A:A,A929,FALTAS!D:D)</f>
        <v>0</v>
      </c>
    </row>
    <row r="930" spans="1:11" x14ac:dyDescent="0.2">
      <c r="A930" s="235">
        <v>112771</v>
      </c>
      <c r="B930" s="236" t="s">
        <v>397</v>
      </c>
      <c r="C930" s="236" t="s">
        <v>1589</v>
      </c>
      <c r="D930" s="236" t="s">
        <v>15</v>
      </c>
      <c r="E930" s="237">
        <v>43617</v>
      </c>
      <c r="F930" s="236" t="s">
        <v>1234</v>
      </c>
      <c r="G930" s="237">
        <v>44867</v>
      </c>
      <c r="H930" s="234">
        <f>SUMIF(VA!B:B,A930,VA!I:I)</f>
        <v>359.46</v>
      </c>
      <c r="I930" s="33">
        <f>SUMIF(VR!B:B,A930,VR!I:I)</f>
        <v>657.5</v>
      </c>
      <c r="J930" s="4">
        <f t="shared" si="14"/>
        <v>1016.96</v>
      </c>
      <c r="K930" s="195">
        <f>SUMIF(FALTAS!A:A,A930,FALTAS!D:D)</f>
        <v>0</v>
      </c>
    </row>
    <row r="931" spans="1:11" x14ac:dyDescent="0.2">
      <c r="A931" s="235">
        <v>112775</v>
      </c>
      <c r="B931" s="236" t="s">
        <v>400</v>
      </c>
      <c r="C931" s="236" t="s">
        <v>0</v>
      </c>
      <c r="D931" s="236" t="s">
        <v>5</v>
      </c>
      <c r="E931" s="237">
        <v>43617</v>
      </c>
      <c r="F931" s="236" t="s">
        <v>1234</v>
      </c>
      <c r="G931" s="237">
        <v>44867</v>
      </c>
      <c r="H931" s="234">
        <f>SUMIF(VA!B:B,A931,VA!I:I)</f>
        <v>359.46</v>
      </c>
      <c r="I931" s="33">
        <f>SUMIF(VR!B:B,A931,VR!I:I)</f>
        <v>657.5</v>
      </c>
      <c r="J931" s="4">
        <f t="shared" si="14"/>
        <v>1016.96</v>
      </c>
      <c r="K931" s="195">
        <f>SUMIF(FALTAS!A:A,A931,FALTAS!D:D)</f>
        <v>0</v>
      </c>
    </row>
    <row r="932" spans="1:11" x14ac:dyDescent="0.2">
      <c r="A932" s="235">
        <v>119242</v>
      </c>
      <c r="B932" s="236" t="s">
        <v>1456</v>
      </c>
      <c r="C932" s="236" t="s">
        <v>1591</v>
      </c>
      <c r="D932" s="236" t="s">
        <v>1457</v>
      </c>
      <c r="E932" s="237">
        <v>44658</v>
      </c>
      <c r="F932" s="236" t="s">
        <v>1234</v>
      </c>
      <c r="G932" s="237">
        <v>44658</v>
      </c>
      <c r="H932" s="234">
        <f>SUMIF(VA!B:B,A932,VA!I:I)</f>
        <v>359.46</v>
      </c>
      <c r="I932" s="33">
        <f>SUMIF(VR!B:B,A932,VR!I:I)</f>
        <v>657.5</v>
      </c>
      <c r="J932" s="4">
        <f t="shared" si="14"/>
        <v>1016.96</v>
      </c>
      <c r="K932" s="195">
        <f>SUMIF(FALTAS!A:A,A932,FALTAS!D:D)</f>
        <v>0</v>
      </c>
    </row>
    <row r="933" spans="1:11" x14ac:dyDescent="0.2">
      <c r="A933" s="235">
        <v>112781</v>
      </c>
      <c r="B933" s="236" t="s">
        <v>405</v>
      </c>
      <c r="C933" s="236" t="s">
        <v>0</v>
      </c>
      <c r="D933" s="236" t="s">
        <v>39</v>
      </c>
      <c r="E933" s="237">
        <v>43617</v>
      </c>
      <c r="F933" s="236" t="s">
        <v>1234</v>
      </c>
      <c r="G933" s="237">
        <v>45093</v>
      </c>
      <c r="H933" s="234">
        <f>SUMIF(VA!B:B,A933,VA!I:I)</f>
        <v>359.46</v>
      </c>
      <c r="I933" s="33">
        <f>SUMIF(VR!B:B,A933,VR!I:I)</f>
        <v>657.5</v>
      </c>
      <c r="J933" s="4">
        <f t="shared" si="14"/>
        <v>1016.96</v>
      </c>
      <c r="K933" s="195">
        <f>SUMIF(FALTAS!A:A,A933,FALTAS!D:D)</f>
        <v>0</v>
      </c>
    </row>
    <row r="934" spans="1:11" x14ac:dyDescent="0.2">
      <c r="A934" s="235">
        <v>122632</v>
      </c>
      <c r="B934" s="236" t="s">
        <v>1726</v>
      </c>
      <c r="C934" s="236" t="s">
        <v>1589</v>
      </c>
      <c r="D934" s="236" t="s">
        <v>15</v>
      </c>
      <c r="E934" s="237">
        <v>45145</v>
      </c>
      <c r="F934" s="236" t="s">
        <v>1234</v>
      </c>
      <c r="G934" s="237">
        <v>45145</v>
      </c>
      <c r="H934" s="234">
        <f>SUMIF(VA!B:B,A934,VA!I:I)</f>
        <v>359.46</v>
      </c>
      <c r="I934" s="33">
        <f>SUMIF(VR!B:B,A934,VR!I:I)</f>
        <v>657.5</v>
      </c>
      <c r="J934" s="4">
        <f t="shared" si="14"/>
        <v>1016.96</v>
      </c>
      <c r="K934" s="195">
        <f>SUMIF(FALTAS!A:A,A934,FALTAS!D:D)</f>
        <v>0</v>
      </c>
    </row>
    <row r="935" spans="1:11" x14ac:dyDescent="0.2">
      <c r="A935" s="235">
        <v>114527</v>
      </c>
      <c r="B935" s="236" t="s">
        <v>1052</v>
      </c>
      <c r="C935" s="236" t="s">
        <v>0</v>
      </c>
      <c r="D935" s="236" t="s">
        <v>2</v>
      </c>
      <c r="E935" s="237">
        <v>43813</v>
      </c>
      <c r="F935" s="236" t="s">
        <v>1234</v>
      </c>
      <c r="G935" s="237">
        <v>45149</v>
      </c>
      <c r="H935" s="234">
        <f>SUMIF(VA!B:B,A935,VA!I:I)</f>
        <v>359.46</v>
      </c>
      <c r="I935" s="33">
        <f>SUMIF(VR!B:B,A935,VR!I:I)</f>
        <v>657.5</v>
      </c>
      <c r="J935" s="4">
        <f t="shared" si="14"/>
        <v>1016.96</v>
      </c>
      <c r="K935" s="195">
        <f>SUMIF(FALTAS!A:A,A935,FALTAS!D:D)</f>
        <v>0</v>
      </c>
    </row>
    <row r="936" spans="1:11" x14ac:dyDescent="0.2">
      <c r="A936" s="235">
        <v>112803</v>
      </c>
      <c r="B936" s="236" t="s">
        <v>422</v>
      </c>
      <c r="C936" s="236" t="s">
        <v>0</v>
      </c>
      <c r="D936" s="236" t="s">
        <v>2</v>
      </c>
      <c r="E936" s="237">
        <v>43617</v>
      </c>
      <c r="F936" s="236" t="s">
        <v>1234</v>
      </c>
      <c r="G936" s="237">
        <v>44835</v>
      </c>
      <c r="H936" s="234">
        <f>SUMIF(VA!B:B,A936,VA!I:I)</f>
        <v>359.46</v>
      </c>
      <c r="I936" s="33">
        <f>SUMIF(VR!B:B,A936,VR!I:I)</f>
        <v>657.5</v>
      </c>
      <c r="J936" s="4">
        <f t="shared" si="14"/>
        <v>1016.96</v>
      </c>
      <c r="K936" s="195">
        <f>SUMIF(FALTAS!A:A,A936,FALTAS!D:D)</f>
        <v>0</v>
      </c>
    </row>
    <row r="937" spans="1:11" x14ac:dyDescent="0.2">
      <c r="A937" s="235">
        <v>112809</v>
      </c>
      <c r="B937" s="236" t="s">
        <v>426</v>
      </c>
      <c r="C937" s="236" t="s">
        <v>8</v>
      </c>
      <c r="D937" s="236" t="s">
        <v>5</v>
      </c>
      <c r="E937" s="237">
        <v>43621</v>
      </c>
      <c r="F937" s="236" t="s">
        <v>1234</v>
      </c>
      <c r="G937" s="237">
        <v>45023</v>
      </c>
      <c r="H937" s="234">
        <f>SUMIF(VA!B:B,A937,VA!I:I)</f>
        <v>359.46</v>
      </c>
      <c r="I937" s="33">
        <f>SUMIF(VR!B:B,A937,VR!I:I)</f>
        <v>657.5</v>
      </c>
      <c r="J937" s="4">
        <f t="shared" si="14"/>
        <v>1016.96</v>
      </c>
      <c r="K937" s="195">
        <f>SUMIF(FALTAS!A:A,A937,FALTAS!D:D)</f>
        <v>0</v>
      </c>
    </row>
    <row r="938" spans="1:11" x14ac:dyDescent="0.2">
      <c r="A938" s="235">
        <v>116980</v>
      </c>
      <c r="B938" s="236" t="s">
        <v>1247</v>
      </c>
      <c r="C938" s="236" t="s">
        <v>1589</v>
      </c>
      <c r="D938" s="236" t="s">
        <v>15</v>
      </c>
      <c r="E938" s="237">
        <v>44419</v>
      </c>
      <c r="F938" s="236" t="s">
        <v>1234</v>
      </c>
      <c r="G938" s="237">
        <v>44835</v>
      </c>
      <c r="H938" s="234">
        <f>SUMIF(VA!B:B,A938,VA!I:I)</f>
        <v>359.46</v>
      </c>
      <c r="I938" s="33">
        <f>SUMIF(VR!B:B,A938,VR!I:I)</f>
        <v>657.5</v>
      </c>
      <c r="J938" s="4">
        <f t="shared" si="14"/>
        <v>1016.96</v>
      </c>
      <c r="K938" s="195">
        <f>SUMIF(FALTAS!A:A,A938,FALTAS!D:D)</f>
        <v>0</v>
      </c>
    </row>
    <row r="939" spans="1:11" x14ac:dyDescent="0.2">
      <c r="A939" s="235">
        <v>121317</v>
      </c>
      <c r="B939" s="236" t="s">
        <v>1542</v>
      </c>
      <c r="C939" s="236" t="s">
        <v>10</v>
      </c>
      <c r="D939" s="236" t="s">
        <v>5</v>
      </c>
      <c r="E939" s="237">
        <v>44945</v>
      </c>
      <c r="F939" s="236" t="s">
        <v>1234</v>
      </c>
      <c r="G939" s="237">
        <v>44945</v>
      </c>
      <c r="H939" s="234">
        <f>SUMIF(VA!B:B,A939,VA!I:I)</f>
        <v>359.46</v>
      </c>
      <c r="I939" s="33">
        <f>SUMIF(VR!B:B,A939,VR!I:I)</f>
        <v>657.5</v>
      </c>
      <c r="J939" s="4">
        <f t="shared" si="14"/>
        <v>1016.96</v>
      </c>
      <c r="K939" s="195">
        <f>SUMIF(FALTAS!A:A,A939,FALTAS!D:D)</f>
        <v>0</v>
      </c>
    </row>
    <row r="940" spans="1:11" x14ac:dyDescent="0.2">
      <c r="A940" s="235">
        <v>112813</v>
      </c>
      <c r="B940" s="236" t="s">
        <v>394</v>
      </c>
      <c r="C940" s="236" t="s">
        <v>10</v>
      </c>
      <c r="D940" s="236" t="s">
        <v>5</v>
      </c>
      <c r="E940" s="237">
        <v>43617</v>
      </c>
      <c r="F940" s="236" t="s">
        <v>1234</v>
      </c>
      <c r="G940" s="237">
        <v>44960</v>
      </c>
      <c r="H940" s="234">
        <f>SUMIF(VA!B:B,A940,VA!I:I)</f>
        <v>359.46</v>
      </c>
      <c r="I940" s="33">
        <f>SUMIF(VR!B:B,A940,VR!I:I)</f>
        <v>657.5</v>
      </c>
      <c r="J940" s="4">
        <f t="shared" si="14"/>
        <v>1016.96</v>
      </c>
      <c r="K940" s="195">
        <f>SUMIF(FALTAS!A:A,A940,FALTAS!D:D)</f>
        <v>0</v>
      </c>
    </row>
    <row r="941" spans="1:11" x14ac:dyDescent="0.2">
      <c r="A941" s="235">
        <v>112837</v>
      </c>
      <c r="B941" s="236" t="s">
        <v>446</v>
      </c>
      <c r="C941" s="236" t="s">
        <v>1589</v>
      </c>
      <c r="D941" s="236" t="s">
        <v>15</v>
      </c>
      <c r="E941" s="237">
        <v>43617</v>
      </c>
      <c r="F941" s="236" t="s">
        <v>1234</v>
      </c>
      <c r="G941" s="237">
        <v>45161</v>
      </c>
      <c r="H941" s="234">
        <f>SUMIF(VA!B:B,A941,VA!I:I)</f>
        <v>359.46</v>
      </c>
      <c r="I941" s="33">
        <f>SUMIF(VR!B:B,A941,VR!I:I)</f>
        <v>657.5</v>
      </c>
      <c r="J941" s="4">
        <f t="shared" si="14"/>
        <v>1016.96</v>
      </c>
      <c r="K941" s="195">
        <f>SUMIF(FALTAS!A:A,A941,FALTAS!D:D)</f>
        <v>0</v>
      </c>
    </row>
    <row r="942" spans="1:11" x14ac:dyDescent="0.2">
      <c r="A942" s="235">
        <v>122090</v>
      </c>
      <c r="B942" s="236" t="s">
        <v>1643</v>
      </c>
      <c r="C942" s="236" t="s">
        <v>19</v>
      </c>
      <c r="D942" s="236" t="s">
        <v>5</v>
      </c>
      <c r="E942" s="237">
        <v>45061</v>
      </c>
      <c r="F942" s="236" t="s">
        <v>1285</v>
      </c>
      <c r="G942" s="237">
        <v>45101</v>
      </c>
      <c r="H942" s="234">
        <f>SUMIF(VA!B:B,A942,VA!I:I)</f>
        <v>0</v>
      </c>
      <c r="I942" s="33">
        <f>SUMIF(VR!B:B,A942,VR!I:I)</f>
        <v>0</v>
      </c>
      <c r="J942" s="4">
        <f t="shared" si="14"/>
        <v>0</v>
      </c>
      <c r="K942" s="195">
        <f>SUMIF(FALTAS!A:A,A942,FALTAS!D:D)</f>
        <v>0</v>
      </c>
    </row>
    <row r="943" spans="1:11" x14ac:dyDescent="0.2">
      <c r="A943" s="235">
        <v>121687</v>
      </c>
      <c r="B943" s="236" t="s">
        <v>1600</v>
      </c>
      <c r="C943" s="236" t="s">
        <v>10</v>
      </c>
      <c r="D943" s="236" t="s">
        <v>5</v>
      </c>
      <c r="E943" s="237">
        <v>44994</v>
      </c>
      <c r="F943" s="236" t="s">
        <v>1234</v>
      </c>
      <c r="G943" s="237">
        <v>44994</v>
      </c>
      <c r="H943" s="234">
        <f>SUMIF(VA!B:B,A943,VA!I:I)</f>
        <v>359.46</v>
      </c>
      <c r="I943" s="33">
        <f>SUMIF(VR!B:B,A943,VR!I:I)</f>
        <v>657.5</v>
      </c>
      <c r="J943" s="4">
        <f t="shared" si="14"/>
        <v>1016.96</v>
      </c>
      <c r="K943" s="195">
        <f>SUMIF(FALTAS!A:A,A943,FALTAS!D:D)</f>
        <v>0</v>
      </c>
    </row>
    <row r="944" spans="1:11" x14ac:dyDescent="0.2">
      <c r="A944" s="235">
        <v>112892</v>
      </c>
      <c r="B944" s="236" t="s">
        <v>480</v>
      </c>
      <c r="C944" s="236" t="s">
        <v>1589</v>
      </c>
      <c r="D944" s="236" t="s">
        <v>378</v>
      </c>
      <c r="E944" s="237">
        <v>43617</v>
      </c>
      <c r="F944" s="236" t="s">
        <v>1234</v>
      </c>
      <c r="G944" s="237">
        <v>44867</v>
      </c>
      <c r="H944" s="234">
        <f>SUMIF(VA!B:B,A944,VA!I:I)</f>
        <v>359.46</v>
      </c>
      <c r="I944" s="33">
        <f>SUMIF(VR!B:B,A944,VR!I:I)</f>
        <v>657.5</v>
      </c>
      <c r="J944" s="4">
        <f t="shared" si="14"/>
        <v>1016.96</v>
      </c>
      <c r="K944" s="195">
        <f>SUMIF(FALTAS!A:A,A944,FALTAS!D:D)</f>
        <v>0</v>
      </c>
    </row>
    <row r="945" spans="1:11" x14ac:dyDescent="0.2">
      <c r="A945" s="235">
        <v>112897</v>
      </c>
      <c r="B945" s="236" t="s">
        <v>485</v>
      </c>
      <c r="C945" s="236" t="s">
        <v>8</v>
      </c>
      <c r="D945" s="236" t="s">
        <v>2</v>
      </c>
      <c r="E945" s="237">
        <v>43617</v>
      </c>
      <c r="F945" s="236" t="s">
        <v>1235</v>
      </c>
      <c r="G945" s="237">
        <v>45147</v>
      </c>
      <c r="H945" s="234">
        <f>SUMIF(VA!B:B,A945,VA!I:I)</f>
        <v>359.46</v>
      </c>
      <c r="I945" s="33">
        <f>SUMIF(VR!B:B,A945,VR!I:I)</f>
        <v>657.5</v>
      </c>
      <c r="J945" s="4">
        <f t="shared" si="14"/>
        <v>1016.96</v>
      </c>
      <c r="K945" s="195">
        <f>SUMIF(FALTAS!A:A,A945,FALTAS!D:D)</f>
        <v>0</v>
      </c>
    </row>
    <row r="946" spans="1:11" x14ac:dyDescent="0.2">
      <c r="A946" s="235">
        <v>112902</v>
      </c>
      <c r="B946" s="236" t="s">
        <v>488</v>
      </c>
      <c r="C946" s="236" t="s">
        <v>8</v>
      </c>
      <c r="D946" s="236" t="s">
        <v>5</v>
      </c>
      <c r="E946" s="237">
        <v>43617</v>
      </c>
      <c r="F946" s="236" t="s">
        <v>1234</v>
      </c>
      <c r="G946" s="237">
        <v>44924</v>
      </c>
      <c r="H946" s="234">
        <f>SUMIF(VA!B:B,A946,VA!I:I)</f>
        <v>359.46</v>
      </c>
      <c r="I946" s="33">
        <f>SUMIF(VR!B:B,A946,VR!I:I)</f>
        <v>657.5</v>
      </c>
      <c r="J946" s="4">
        <f t="shared" si="14"/>
        <v>1016.96</v>
      </c>
      <c r="K946" s="195">
        <f>SUMIF(FALTAS!A:A,A946,FALTAS!D:D)</f>
        <v>0</v>
      </c>
    </row>
    <row r="947" spans="1:11" x14ac:dyDescent="0.2">
      <c r="A947" s="235">
        <v>121955</v>
      </c>
      <c r="B947" s="236" t="s">
        <v>1624</v>
      </c>
      <c r="C947" s="236" t="s">
        <v>8</v>
      </c>
      <c r="D947" s="236" t="s">
        <v>5</v>
      </c>
      <c r="E947" s="237">
        <v>45040</v>
      </c>
      <c r="F947" s="236" t="s">
        <v>1234</v>
      </c>
      <c r="G947" s="237">
        <v>45040</v>
      </c>
      <c r="H947" s="234">
        <f>SUMIF(VA!B:B,A947,VA!I:I)</f>
        <v>359.46</v>
      </c>
      <c r="I947" s="33">
        <f>SUMIF(VR!B:B,A947,VR!I:I)</f>
        <v>657.5</v>
      </c>
      <c r="J947" s="4">
        <f t="shared" si="14"/>
        <v>1016.96</v>
      </c>
      <c r="K947" s="195">
        <f>SUMIF(FALTAS!A:A,A947,FALTAS!D:D)</f>
        <v>0</v>
      </c>
    </row>
    <row r="948" spans="1:11" x14ac:dyDescent="0.2">
      <c r="A948" s="235">
        <v>112906</v>
      </c>
      <c r="B948" s="236" t="s">
        <v>1574</v>
      </c>
      <c r="C948" s="236" t="s">
        <v>0</v>
      </c>
      <c r="D948" s="236" t="s">
        <v>2</v>
      </c>
      <c r="E948" s="237">
        <v>43617</v>
      </c>
      <c r="F948" s="236" t="s">
        <v>1234</v>
      </c>
      <c r="G948" s="237">
        <v>45056</v>
      </c>
      <c r="H948" s="234">
        <f>SUMIF(VA!B:B,A948,VA!I:I)</f>
        <v>359.46</v>
      </c>
      <c r="I948" s="33">
        <f>SUMIF(VR!B:B,A948,VR!I:I)</f>
        <v>657.5</v>
      </c>
      <c r="J948" s="4">
        <f t="shared" si="14"/>
        <v>1016.96</v>
      </c>
      <c r="K948" s="195">
        <f>SUMIF(FALTAS!A:A,A948,FALTAS!D:D)</f>
        <v>0</v>
      </c>
    </row>
    <row r="949" spans="1:11" x14ac:dyDescent="0.2">
      <c r="A949" s="235">
        <v>112920</v>
      </c>
      <c r="B949" s="236" t="s">
        <v>498</v>
      </c>
      <c r="C949" s="236" t="s">
        <v>1589</v>
      </c>
      <c r="D949" s="236" t="s">
        <v>15</v>
      </c>
      <c r="E949" s="237">
        <v>43627</v>
      </c>
      <c r="F949" s="236" t="s">
        <v>1234</v>
      </c>
      <c r="G949" s="237">
        <v>44960</v>
      </c>
      <c r="H949" s="234">
        <f>SUMIF(VA!B:B,A949,VA!I:I)</f>
        <v>359.46</v>
      </c>
      <c r="I949" s="33">
        <f>SUMIF(VR!B:B,A949,VR!I:I)</f>
        <v>657.5</v>
      </c>
      <c r="J949" s="4">
        <f t="shared" si="14"/>
        <v>1016.96</v>
      </c>
      <c r="K949" s="195">
        <f>SUMIF(FALTAS!A:A,A949,FALTAS!D:D)</f>
        <v>0</v>
      </c>
    </row>
    <row r="950" spans="1:11" x14ac:dyDescent="0.2">
      <c r="A950" s="235">
        <v>112975</v>
      </c>
      <c r="B950" s="236" t="s">
        <v>529</v>
      </c>
      <c r="C950" s="236" t="s">
        <v>1589</v>
      </c>
      <c r="D950" s="236" t="s">
        <v>416</v>
      </c>
      <c r="E950" s="237">
        <v>43617</v>
      </c>
      <c r="F950" s="236" t="s">
        <v>1234</v>
      </c>
      <c r="G950" s="237">
        <v>44945</v>
      </c>
      <c r="H950" s="234">
        <f>SUMIF(VA!B:B,A950,VA!I:I)</f>
        <v>359.46</v>
      </c>
      <c r="I950" s="33">
        <f>SUMIF(VR!B:B,A950,VR!I:I)</f>
        <v>657.5</v>
      </c>
      <c r="J950" s="4">
        <f t="shared" si="14"/>
        <v>1016.96</v>
      </c>
      <c r="K950" s="195">
        <f>SUMIF(FALTAS!A:A,A950,FALTAS!D:D)</f>
        <v>0</v>
      </c>
    </row>
    <row r="951" spans="1:11" x14ac:dyDescent="0.2">
      <c r="A951" s="235">
        <v>122235</v>
      </c>
      <c r="B951" s="236" t="s">
        <v>1669</v>
      </c>
      <c r="C951" s="236" t="s">
        <v>1589</v>
      </c>
      <c r="D951" s="236" t="s">
        <v>15</v>
      </c>
      <c r="E951" s="237">
        <v>45089</v>
      </c>
      <c r="F951" s="236" t="s">
        <v>1234</v>
      </c>
      <c r="G951" s="237">
        <v>45089</v>
      </c>
      <c r="H951" s="234">
        <f>SUMIF(VA!B:B,A951,VA!I:I)</f>
        <v>359.46</v>
      </c>
      <c r="I951" s="33">
        <f>SUMIF(VR!B:B,A951,VR!I:I)</f>
        <v>657.5</v>
      </c>
      <c r="J951" s="4">
        <f t="shared" si="14"/>
        <v>1016.96</v>
      </c>
      <c r="K951" s="195">
        <f>SUMIF(FALTAS!A:A,A951,FALTAS!D:D)</f>
        <v>0</v>
      </c>
    </row>
    <row r="952" spans="1:11" x14ac:dyDescent="0.2">
      <c r="A952" s="235">
        <v>112996</v>
      </c>
      <c r="B952" s="236" t="s">
        <v>539</v>
      </c>
      <c r="C952" s="236" t="s">
        <v>8</v>
      </c>
      <c r="D952" s="236" t="s">
        <v>2</v>
      </c>
      <c r="E952" s="237">
        <v>43617</v>
      </c>
      <c r="F952" s="236" t="s">
        <v>1234</v>
      </c>
      <c r="G952" s="237">
        <v>45056</v>
      </c>
      <c r="H952" s="234">
        <f>SUMIF(VA!B:B,A952,VA!I:I)</f>
        <v>359.46</v>
      </c>
      <c r="I952" s="33">
        <f>SUMIF(VR!B:B,A952,VR!I:I)</f>
        <v>657.5</v>
      </c>
      <c r="J952" s="4">
        <f t="shared" si="14"/>
        <v>1016.96</v>
      </c>
      <c r="K952" s="195">
        <f>SUMIF(FALTAS!A:A,A952,FALTAS!D:D)</f>
        <v>0</v>
      </c>
    </row>
    <row r="953" spans="1:11" x14ac:dyDescent="0.2">
      <c r="A953" s="235">
        <v>113002</v>
      </c>
      <c r="B953" s="236" t="s">
        <v>541</v>
      </c>
      <c r="C953" s="236" t="s">
        <v>0</v>
      </c>
      <c r="D953" s="236" t="s">
        <v>2</v>
      </c>
      <c r="E953" s="237">
        <v>43617</v>
      </c>
      <c r="F953" s="236" t="s">
        <v>1234</v>
      </c>
      <c r="G953" s="237">
        <v>44867</v>
      </c>
      <c r="H953" s="234">
        <f>SUMIF(VA!B:B,A953,VA!I:I)</f>
        <v>359.46</v>
      </c>
      <c r="I953" s="33">
        <f>SUMIF(VR!B:B,A953,VR!I:I)</f>
        <v>657.5</v>
      </c>
      <c r="J953" s="4">
        <f t="shared" si="14"/>
        <v>1016.96</v>
      </c>
      <c r="K953" s="195">
        <f>SUMIF(FALTAS!A:A,A953,FALTAS!D:D)</f>
        <v>0</v>
      </c>
    </row>
    <row r="954" spans="1:11" x14ac:dyDescent="0.2">
      <c r="A954" s="235">
        <v>119924</v>
      </c>
      <c r="B954" s="236" t="s">
        <v>1488</v>
      </c>
      <c r="C954" s="236" t="s">
        <v>1589</v>
      </c>
      <c r="D954" s="236" t="s">
        <v>5</v>
      </c>
      <c r="E954" s="237">
        <v>44760</v>
      </c>
      <c r="F954" s="236" t="s">
        <v>1234</v>
      </c>
      <c r="G954" s="237">
        <v>44760</v>
      </c>
      <c r="H954" s="234">
        <f>SUMIF(VA!B:B,A954,VA!I:I)</f>
        <v>347.47</v>
      </c>
      <c r="I954" s="33">
        <f>SUMIF(VR!B:B,A954,VR!I:I)</f>
        <v>631.20000000000005</v>
      </c>
      <c r="J954" s="4">
        <f t="shared" si="14"/>
        <v>978.67000000000007</v>
      </c>
      <c r="K954" s="195">
        <f>SUMIF(FALTAS!A:A,A954,FALTAS!D:D)</f>
        <v>1</v>
      </c>
    </row>
    <row r="955" spans="1:11" x14ac:dyDescent="0.2">
      <c r="A955" s="235">
        <v>113024</v>
      </c>
      <c r="B955" s="236" t="s">
        <v>548</v>
      </c>
      <c r="C955" s="236" t="s">
        <v>0</v>
      </c>
      <c r="D955" s="236" t="s">
        <v>39</v>
      </c>
      <c r="E955" s="237">
        <v>43617</v>
      </c>
      <c r="F955" s="236" t="s">
        <v>1234</v>
      </c>
      <c r="G955" s="237">
        <v>44867</v>
      </c>
      <c r="H955" s="234">
        <f>SUMIF(VA!B:B,A955,VA!I:I)</f>
        <v>359.46</v>
      </c>
      <c r="I955" s="33">
        <f>SUMIF(VR!B:B,A955,VR!I:I)</f>
        <v>657.5</v>
      </c>
      <c r="J955" s="4">
        <f t="shared" si="14"/>
        <v>1016.96</v>
      </c>
      <c r="K955" s="195">
        <f>SUMIF(FALTAS!A:A,A955,FALTAS!D:D)</f>
        <v>0</v>
      </c>
    </row>
    <row r="956" spans="1:11" x14ac:dyDescent="0.2">
      <c r="A956" s="235">
        <v>113033</v>
      </c>
      <c r="B956" s="236" t="s">
        <v>553</v>
      </c>
      <c r="C956" s="236" t="s">
        <v>1589</v>
      </c>
      <c r="D956" s="236" t="s">
        <v>15</v>
      </c>
      <c r="E956" s="237">
        <v>43617</v>
      </c>
      <c r="F956" s="236" t="s">
        <v>1234</v>
      </c>
      <c r="G956" s="237">
        <v>44835</v>
      </c>
      <c r="H956" s="234">
        <f>SUMIF(VA!B:B,A956,VA!I:I)</f>
        <v>359.46</v>
      </c>
      <c r="I956" s="33">
        <f>SUMIF(VR!B:B,A956,VR!I:I)</f>
        <v>657.5</v>
      </c>
      <c r="J956" s="4">
        <f t="shared" si="14"/>
        <v>1016.96</v>
      </c>
      <c r="K956" s="195">
        <f>SUMIF(FALTAS!A:A,A956,FALTAS!D:D)</f>
        <v>0</v>
      </c>
    </row>
    <row r="957" spans="1:11" x14ac:dyDescent="0.2">
      <c r="A957" s="235">
        <v>116006</v>
      </c>
      <c r="B957" s="236" t="s">
        <v>1174</v>
      </c>
      <c r="C957" s="236" t="s">
        <v>0</v>
      </c>
      <c r="D957" s="236" t="s">
        <v>5</v>
      </c>
      <c r="E957" s="237">
        <v>44207</v>
      </c>
      <c r="F957" s="236" t="s">
        <v>1235</v>
      </c>
      <c r="G957" s="237">
        <v>45147</v>
      </c>
      <c r="H957" s="234">
        <f>SUMIF(VA!B:B,A957,VA!I:I)</f>
        <v>359.46</v>
      </c>
      <c r="I957" s="33">
        <f>SUMIF(VR!B:B,A957,VR!I:I)</f>
        <v>657.5</v>
      </c>
      <c r="J957" s="4">
        <f t="shared" si="14"/>
        <v>1016.96</v>
      </c>
      <c r="K957" s="195">
        <f>SUMIF(FALTAS!A:A,A957,FALTAS!D:D)</f>
        <v>0</v>
      </c>
    </row>
    <row r="958" spans="1:11" x14ac:dyDescent="0.2">
      <c r="A958" s="235">
        <v>113042</v>
      </c>
      <c r="B958" s="236" t="s">
        <v>558</v>
      </c>
      <c r="C958" s="236" t="s">
        <v>0</v>
      </c>
      <c r="D958" s="236" t="s">
        <v>5</v>
      </c>
      <c r="E958" s="237">
        <v>43617</v>
      </c>
      <c r="F958" s="236" t="s">
        <v>1234</v>
      </c>
      <c r="G958" s="237">
        <v>45056</v>
      </c>
      <c r="H958" s="234">
        <f>SUMIF(VA!B:B,A958,VA!I:I)</f>
        <v>359.46</v>
      </c>
      <c r="I958" s="33">
        <f>SUMIF(VR!B:B,A958,VR!I:I)</f>
        <v>657.5</v>
      </c>
      <c r="J958" s="4">
        <f t="shared" si="14"/>
        <v>1016.96</v>
      </c>
      <c r="K958" s="195">
        <f>SUMIF(FALTAS!A:A,A958,FALTAS!D:D)</f>
        <v>0</v>
      </c>
    </row>
    <row r="959" spans="1:11" x14ac:dyDescent="0.2">
      <c r="A959" s="235">
        <v>117247</v>
      </c>
      <c r="B959" s="236" t="s">
        <v>1265</v>
      </c>
      <c r="C959" s="236" t="s">
        <v>10</v>
      </c>
      <c r="D959" s="236" t="s">
        <v>182</v>
      </c>
      <c r="E959" s="237">
        <v>44487</v>
      </c>
      <c r="F959" s="236" t="s">
        <v>1235</v>
      </c>
      <c r="G959" s="237">
        <v>45147</v>
      </c>
      <c r="H959" s="234">
        <f>SUMIF(VA!B:B,A959,VA!I:I)</f>
        <v>359.46</v>
      </c>
      <c r="I959" s="33">
        <f>SUMIF(VR!B:B,A959,VR!I:I)</f>
        <v>657.5</v>
      </c>
      <c r="J959" s="4">
        <f t="shared" si="14"/>
        <v>1016.96</v>
      </c>
      <c r="K959" s="195">
        <f>SUMIF(FALTAS!A:A,A959,FALTAS!D:D)</f>
        <v>0</v>
      </c>
    </row>
    <row r="960" spans="1:11" x14ac:dyDescent="0.2">
      <c r="A960" s="235">
        <v>116321</v>
      </c>
      <c r="B960" s="236" t="s">
        <v>1207</v>
      </c>
      <c r="C960" s="236" t="s">
        <v>0</v>
      </c>
      <c r="D960" s="236" t="s">
        <v>5</v>
      </c>
      <c r="E960" s="237">
        <v>44308</v>
      </c>
      <c r="F960" s="236" t="s">
        <v>1234</v>
      </c>
      <c r="G960" s="237">
        <v>44987</v>
      </c>
      <c r="H960" s="234">
        <f>SUMIF(VA!B:B,A960,VA!I:I)</f>
        <v>359.46</v>
      </c>
      <c r="I960" s="33">
        <f>SUMIF(VR!B:B,A960,VR!I:I)</f>
        <v>657.5</v>
      </c>
      <c r="J960" s="4">
        <f t="shared" si="14"/>
        <v>1016.96</v>
      </c>
      <c r="K960" s="195">
        <f>SUMIF(FALTAS!A:A,A960,FALTAS!D:D)</f>
        <v>0</v>
      </c>
    </row>
    <row r="961" spans="1:11" x14ac:dyDescent="0.2">
      <c r="A961" s="235">
        <v>113055</v>
      </c>
      <c r="B961" s="236" t="s">
        <v>563</v>
      </c>
      <c r="C961" s="236" t="s">
        <v>19</v>
      </c>
      <c r="D961" s="236" t="s">
        <v>2</v>
      </c>
      <c r="E961" s="237">
        <v>43617</v>
      </c>
      <c r="F961" s="236" t="s">
        <v>1234</v>
      </c>
      <c r="G961" s="237">
        <v>45023</v>
      </c>
      <c r="H961" s="234">
        <f>SUMIF(VA!B:B,A961,VA!I:I)</f>
        <v>359.46</v>
      </c>
      <c r="I961" s="33">
        <f>SUMIF(VR!B:B,A961,VR!I:I)</f>
        <v>657.5</v>
      </c>
      <c r="J961" s="4">
        <f t="shared" si="14"/>
        <v>1016.96</v>
      </c>
      <c r="K961" s="195">
        <f>SUMIF(FALTAS!A:A,A961,FALTAS!D:D)</f>
        <v>0</v>
      </c>
    </row>
    <row r="962" spans="1:11" x14ac:dyDescent="0.2">
      <c r="A962" s="235">
        <v>113073</v>
      </c>
      <c r="B962" s="236" t="s">
        <v>572</v>
      </c>
      <c r="C962" s="236" t="s">
        <v>0</v>
      </c>
      <c r="D962" s="236" t="s">
        <v>2</v>
      </c>
      <c r="E962" s="237">
        <v>43617</v>
      </c>
      <c r="F962" s="236" t="s">
        <v>1234</v>
      </c>
      <c r="G962" s="237">
        <v>44867</v>
      </c>
      <c r="H962" s="234">
        <f>SUMIF(VA!B:B,A962,VA!I:I)</f>
        <v>359.46</v>
      </c>
      <c r="I962" s="33">
        <f>SUMIF(VR!B:B,A962,VR!I:I)</f>
        <v>657.5</v>
      </c>
      <c r="J962" s="4">
        <f t="shared" ref="J962:J1025" si="15">H962+I962</f>
        <v>1016.96</v>
      </c>
      <c r="K962" s="195">
        <f>SUMIF(FALTAS!A:A,A962,FALTAS!D:D)</f>
        <v>0</v>
      </c>
    </row>
    <row r="963" spans="1:11" x14ac:dyDescent="0.2">
      <c r="A963" s="235">
        <v>121855</v>
      </c>
      <c r="B963" s="236" t="s">
        <v>1625</v>
      </c>
      <c r="C963" s="236" t="s">
        <v>10</v>
      </c>
      <c r="D963" s="236" t="s">
        <v>5</v>
      </c>
      <c r="E963" s="237">
        <v>45022</v>
      </c>
      <c r="F963" s="236" t="s">
        <v>1234</v>
      </c>
      <c r="G963" s="237">
        <v>45022</v>
      </c>
      <c r="H963" s="234">
        <f>SUMIF(VA!B:B,A963,VA!I:I)</f>
        <v>359.46</v>
      </c>
      <c r="I963" s="33">
        <f>SUMIF(VR!B:B,A963,VR!I:I)</f>
        <v>657.5</v>
      </c>
      <c r="J963" s="4">
        <f t="shared" si="15"/>
        <v>1016.96</v>
      </c>
      <c r="K963" s="195">
        <f>SUMIF(FALTAS!A:A,A963,FALTAS!D:D)</f>
        <v>0</v>
      </c>
    </row>
    <row r="964" spans="1:11" x14ac:dyDescent="0.2">
      <c r="A964" s="235">
        <v>113095</v>
      </c>
      <c r="B964" s="236" t="s">
        <v>585</v>
      </c>
      <c r="C964" s="236" t="s">
        <v>10</v>
      </c>
      <c r="D964" s="236" t="s">
        <v>146</v>
      </c>
      <c r="E964" s="237">
        <v>43617</v>
      </c>
      <c r="F964" s="236" t="s">
        <v>1234</v>
      </c>
      <c r="G964" s="237">
        <v>44835</v>
      </c>
      <c r="H964" s="234">
        <f>SUMIF(VA!B:B,A964,VA!I:I)</f>
        <v>359.46</v>
      </c>
      <c r="I964" s="33">
        <f>SUMIF(VR!B:B,A964,VR!I:I)</f>
        <v>657.5</v>
      </c>
      <c r="J964" s="4">
        <f t="shared" si="15"/>
        <v>1016.96</v>
      </c>
      <c r="K964" s="195">
        <f>SUMIF(FALTAS!A:A,A964,FALTAS!D:D)</f>
        <v>0</v>
      </c>
    </row>
    <row r="965" spans="1:11" x14ac:dyDescent="0.2">
      <c r="A965" s="235">
        <v>113101</v>
      </c>
      <c r="B965" s="236" t="s">
        <v>587</v>
      </c>
      <c r="C965" s="236" t="s">
        <v>8</v>
      </c>
      <c r="D965" s="236" t="s">
        <v>5</v>
      </c>
      <c r="E965" s="237">
        <v>43617</v>
      </c>
      <c r="F965" s="236" t="s">
        <v>1234</v>
      </c>
      <c r="G965" s="237">
        <v>44930</v>
      </c>
      <c r="H965" s="234">
        <f>SUMIF(VA!B:B,A965,VA!I:I)</f>
        <v>359.46</v>
      </c>
      <c r="I965" s="33">
        <f>SUMIF(VR!B:B,A965,VR!I:I)</f>
        <v>657.5</v>
      </c>
      <c r="J965" s="4">
        <f t="shared" si="15"/>
        <v>1016.96</v>
      </c>
      <c r="K965" s="195">
        <f>SUMIF(FALTAS!A:A,A965,FALTAS!D:D)</f>
        <v>0</v>
      </c>
    </row>
    <row r="966" spans="1:11" x14ac:dyDescent="0.2">
      <c r="A966" s="235">
        <v>113106</v>
      </c>
      <c r="B966" s="236" t="s">
        <v>85</v>
      </c>
      <c r="C966" s="236" t="s">
        <v>0</v>
      </c>
      <c r="D966" s="236" t="s">
        <v>2</v>
      </c>
      <c r="E966" s="237">
        <v>43617</v>
      </c>
      <c r="F966" s="236" t="s">
        <v>1235</v>
      </c>
      <c r="G966" s="237">
        <v>45147</v>
      </c>
      <c r="H966" s="234">
        <f>SUMIF(VA!B:B,A966,VA!I:I)</f>
        <v>359.46</v>
      </c>
      <c r="I966" s="33">
        <f>SUMIF(VR!B:B,A966,VR!I:I)</f>
        <v>657.5</v>
      </c>
      <c r="J966" s="4">
        <f t="shared" si="15"/>
        <v>1016.96</v>
      </c>
      <c r="K966" s="195">
        <f>SUMIF(FALTAS!A:A,A966,FALTAS!D:D)</f>
        <v>0</v>
      </c>
    </row>
    <row r="967" spans="1:11" x14ac:dyDescent="0.2">
      <c r="A967" s="235">
        <v>113110</v>
      </c>
      <c r="B967" s="236" t="s">
        <v>591</v>
      </c>
      <c r="C967" s="236" t="s">
        <v>8</v>
      </c>
      <c r="D967" s="236" t="s">
        <v>2</v>
      </c>
      <c r="E967" s="237">
        <v>43617</v>
      </c>
      <c r="F967" s="236" t="s">
        <v>1234</v>
      </c>
      <c r="G967" s="237">
        <v>45056</v>
      </c>
      <c r="H967" s="234">
        <f>SUMIF(VA!B:B,A967,VA!I:I)</f>
        <v>359.46</v>
      </c>
      <c r="I967" s="33">
        <f>SUMIF(VR!B:B,A967,VR!I:I)</f>
        <v>657.5</v>
      </c>
      <c r="J967" s="4">
        <f t="shared" si="15"/>
        <v>1016.96</v>
      </c>
      <c r="K967" s="195">
        <f>SUMIF(FALTAS!A:A,A967,FALTAS!D:D)</f>
        <v>0</v>
      </c>
    </row>
    <row r="968" spans="1:11" x14ac:dyDescent="0.2">
      <c r="A968" s="235">
        <v>113116</v>
      </c>
      <c r="B968" s="236" t="s">
        <v>594</v>
      </c>
      <c r="C968" s="236" t="s">
        <v>10</v>
      </c>
      <c r="D968" s="236" t="s">
        <v>2</v>
      </c>
      <c r="E968" s="237">
        <v>43617</v>
      </c>
      <c r="F968" s="236" t="s">
        <v>1234</v>
      </c>
      <c r="G968" s="237">
        <v>45056</v>
      </c>
      <c r="H968" s="234">
        <f>SUMIF(VA!B:B,A968,VA!I:I)</f>
        <v>359.46</v>
      </c>
      <c r="I968" s="33">
        <f>SUMIF(VR!B:B,A968,VR!I:I)</f>
        <v>657.5</v>
      </c>
      <c r="J968" s="4">
        <f t="shared" si="15"/>
        <v>1016.96</v>
      </c>
      <c r="K968" s="195">
        <f>SUMIF(FALTAS!A:A,A968,FALTAS!D:D)</f>
        <v>0</v>
      </c>
    </row>
    <row r="969" spans="1:11" x14ac:dyDescent="0.2">
      <c r="A969" s="235">
        <v>113122</v>
      </c>
      <c r="B969" s="236" t="s">
        <v>1524</v>
      </c>
      <c r="C969" s="236" t="s">
        <v>0</v>
      </c>
      <c r="D969" s="236" t="s">
        <v>2</v>
      </c>
      <c r="E969" s="237">
        <v>43617</v>
      </c>
      <c r="F969" s="236" t="s">
        <v>1234</v>
      </c>
      <c r="G969" s="237">
        <v>45068</v>
      </c>
      <c r="H969" s="234">
        <f>SUMIF(VA!B:B,A969,VA!I:I)</f>
        <v>359.46</v>
      </c>
      <c r="I969" s="33">
        <f>SUMIF(VR!B:B,A969,VR!I:I)</f>
        <v>657.5</v>
      </c>
      <c r="J969" s="4">
        <f t="shared" si="15"/>
        <v>1016.96</v>
      </c>
      <c r="K969" s="195">
        <f>SUMIF(FALTAS!A:A,A969,FALTAS!D:D)</f>
        <v>0</v>
      </c>
    </row>
    <row r="970" spans="1:11" x14ac:dyDescent="0.2">
      <c r="A970" s="235">
        <v>113127</v>
      </c>
      <c r="B970" s="236" t="s">
        <v>1267</v>
      </c>
      <c r="C970" s="236" t="s">
        <v>10</v>
      </c>
      <c r="D970" s="236" t="s">
        <v>2</v>
      </c>
      <c r="E970" s="237">
        <v>43617</v>
      </c>
      <c r="F970" s="236" t="s">
        <v>1234</v>
      </c>
      <c r="G970" s="237">
        <v>44898</v>
      </c>
      <c r="H970" s="234">
        <f>SUMIF(VA!B:B,A970,VA!I:I)</f>
        <v>359.46</v>
      </c>
      <c r="I970" s="33">
        <f>SUMIF(VR!B:B,A970,VR!I:I)</f>
        <v>657.5</v>
      </c>
      <c r="J970" s="4">
        <f t="shared" si="15"/>
        <v>1016.96</v>
      </c>
      <c r="K970" s="195">
        <f>SUMIF(FALTAS!A:A,A970,FALTAS!D:D)</f>
        <v>0</v>
      </c>
    </row>
    <row r="971" spans="1:11" x14ac:dyDescent="0.2">
      <c r="A971" s="235">
        <v>113137</v>
      </c>
      <c r="B971" s="236" t="s">
        <v>607</v>
      </c>
      <c r="C971" s="236" t="s">
        <v>1589</v>
      </c>
      <c r="D971" s="236" t="s">
        <v>22</v>
      </c>
      <c r="E971" s="237">
        <v>43617</v>
      </c>
      <c r="F971" s="236" t="s">
        <v>1234</v>
      </c>
      <c r="G971" s="237">
        <v>45149</v>
      </c>
      <c r="H971" s="234">
        <f>SUMIF(VA!B:B,A971,VA!I:I)</f>
        <v>359.46</v>
      </c>
      <c r="I971" s="33">
        <f>SUMIF(VR!B:B,A971,VR!I:I)</f>
        <v>657.5</v>
      </c>
      <c r="J971" s="4">
        <f t="shared" si="15"/>
        <v>1016.96</v>
      </c>
      <c r="K971" s="195">
        <f>SUMIF(FALTAS!A:A,A971,FALTAS!D:D)</f>
        <v>0</v>
      </c>
    </row>
    <row r="972" spans="1:11" x14ac:dyDescent="0.2">
      <c r="A972" s="235">
        <v>113140</v>
      </c>
      <c r="B972" s="236" t="s">
        <v>609</v>
      </c>
      <c r="C972" s="236" t="s">
        <v>0</v>
      </c>
      <c r="D972" s="236" t="s">
        <v>2</v>
      </c>
      <c r="E972" s="237">
        <v>43617</v>
      </c>
      <c r="F972" s="236" t="s">
        <v>1234</v>
      </c>
      <c r="G972" s="237">
        <v>44867</v>
      </c>
      <c r="H972" s="234">
        <f>SUMIF(VA!B:B,A972,VA!I:I)</f>
        <v>359.46</v>
      </c>
      <c r="I972" s="33">
        <f>SUMIF(VR!B:B,A972,VR!I:I)</f>
        <v>657.5</v>
      </c>
      <c r="J972" s="4">
        <f t="shared" si="15"/>
        <v>1016.96</v>
      </c>
      <c r="K972" s="195">
        <f>SUMIF(FALTAS!A:A,A972,FALTAS!D:D)</f>
        <v>0</v>
      </c>
    </row>
    <row r="973" spans="1:11" x14ac:dyDescent="0.2">
      <c r="A973" s="235">
        <v>113142</v>
      </c>
      <c r="B973" s="236" t="s">
        <v>611</v>
      </c>
      <c r="C973" s="236" t="s">
        <v>1589</v>
      </c>
      <c r="D973" s="236" t="s">
        <v>22</v>
      </c>
      <c r="E973" s="237">
        <v>43617</v>
      </c>
      <c r="F973" s="236" t="s">
        <v>1235</v>
      </c>
      <c r="G973" s="237">
        <v>45147</v>
      </c>
      <c r="H973" s="234">
        <f>SUMIF(VA!B:B,A973,VA!I:I)</f>
        <v>359.46</v>
      </c>
      <c r="I973" s="33">
        <f>SUMIF(VR!B:B,A973,VR!I:I)</f>
        <v>657.5</v>
      </c>
      <c r="J973" s="4">
        <f t="shared" si="15"/>
        <v>1016.96</v>
      </c>
      <c r="K973" s="195">
        <f>SUMIF(FALTAS!A:A,A973,FALTAS!D:D)</f>
        <v>0</v>
      </c>
    </row>
    <row r="974" spans="1:11" x14ac:dyDescent="0.2">
      <c r="A974" s="235">
        <v>113146</v>
      </c>
      <c r="B974" s="236" t="s">
        <v>612</v>
      </c>
      <c r="C974" s="236" t="s">
        <v>10</v>
      </c>
      <c r="D974" s="236" t="s">
        <v>2</v>
      </c>
      <c r="E974" s="237">
        <v>43617</v>
      </c>
      <c r="F974" s="236" t="s">
        <v>1234</v>
      </c>
      <c r="G974" s="237">
        <v>44930</v>
      </c>
      <c r="H974" s="234">
        <f>SUMIF(VA!B:B,A974,VA!I:I)</f>
        <v>359.46</v>
      </c>
      <c r="I974" s="33">
        <f>SUMIF(VR!B:B,A974,VR!I:I)</f>
        <v>657.5</v>
      </c>
      <c r="J974" s="4">
        <f t="shared" si="15"/>
        <v>1016.96</v>
      </c>
      <c r="K974" s="195">
        <f>SUMIF(FALTAS!A:A,A974,FALTAS!D:D)</f>
        <v>0</v>
      </c>
    </row>
    <row r="975" spans="1:11" x14ac:dyDescent="0.2">
      <c r="A975" s="235">
        <v>113149</v>
      </c>
      <c r="B975" s="236" t="s">
        <v>613</v>
      </c>
      <c r="C975" s="236" t="s">
        <v>19</v>
      </c>
      <c r="D975" s="236" t="s">
        <v>2</v>
      </c>
      <c r="E975" s="237">
        <v>43617</v>
      </c>
      <c r="F975" s="236" t="s">
        <v>1234</v>
      </c>
      <c r="G975" s="237">
        <v>45023</v>
      </c>
      <c r="H975" s="234">
        <f>SUMIF(VA!B:B,A975,VA!I:I)</f>
        <v>359.46</v>
      </c>
      <c r="I975" s="33">
        <f>SUMIF(VR!B:B,A975,VR!I:I)</f>
        <v>657.5</v>
      </c>
      <c r="J975" s="4">
        <f t="shared" si="15"/>
        <v>1016.96</v>
      </c>
      <c r="K975" s="195">
        <f>SUMIF(FALTAS!A:A,A975,FALTAS!D:D)</f>
        <v>0</v>
      </c>
    </row>
    <row r="976" spans="1:11" x14ac:dyDescent="0.2">
      <c r="A976" s="235">
        <v>113155</v>
      </c>
      <c r="B976" s="236" t="s">
        <v>617</v>
      </c>
      <c r="C976" s="236" t="s">
        <v>1589</v>
      </c>
      <c r="D976" s="236" t="s">
        <v>15</v>
      </c>
      <c r="E976" s="237">
        <v>43617</v>
      </c>
      <c r="F976" s="236" t="s">
        <v>1234</v>
      </c>
      <c r="G976" s="237">
        <v>44806</v>
      </c>
      <c r="H976" s="234">
        <f>SUMIF(VA!B:B,A976,VA!I:I)</f>
        <v>359.46</v>
      </c>
      <c r="I976" s="33">
        <f>SUMIF(VR!B:B,A976,VR!I:I)</f>
        <v>657.5</v>
      </c>
      <c r="J976" s="4">
        <f t="shared" si="15"/>
        <v>1016.96</v>
      </c>
      <c r="K976" s="195">
        <f>SUMIF(FALTAS!A:A,A976,FALTAS!D:D)</f>
        <v>0</v>
      </c>
    </row>
    <row r="977" spans="1:11" x14ac:dyDescent="0.2">
      <c r="A977" s="235">
        <v>113167</v>
      </c>
      <c r="B977" s="236" t="s">
        <v>626</v>
      </c>
      <c r="C977" s="236" t="s">
        <v>0</v>
      </c>
      <c r="D977" s="236" t="s">
        <v>2</v>
      </c>
      <c r="E977" s="237">
        <v>43617</v>
      </c>
      <c r="F977" s="236" t="s">
        <v>1234</v>
      </c>
      <c r="G977" s="237">
        <v>45050</v>
      </c>
      <c r="H977" s="234">
        <f>SUMIF(VA!B:B,A977,VA!I:I)</f>
        <v>359.46</v>
      </c>
      <c r="I977" s="33">
        <f>SUMIF(VR!B:B,A977,VR!I:I)</f>
        <v>657.5</v>
      </c>
      <c r="J977" s="4">
        <f t="shared" si="15"/>
        <v>1016.96</v>
      </c>
      <c r="K977" s="195">
        <f>SUMIF(FALTAS!A:A,A977,FALTAS!D:D)</f>
        <v>0</v>
      </c>
    </row>
    <row r="978" spans="1:11" x14ac:dyDescent="0.2">
      <c r="A978" s="235">
        <v>113169</v>
      </c>
      <c r="B978" s="236" t="s">
        <v>627</v>
      </c>
      <c r="C978" s="236" t="s">
        <v>19</v>
      </c>
      <c r="D978" s="236" t="s">
        <v>2</v>
      </c>
      <c r="E978" s="237">
        <v>43617</v>
      </c>
      <c r="F978" s="236" t="s">
        <v>1234</v>
      </c>
      <c r="G978" s="237">
        <v>45107</v>
      </c>
      <c r="H978" s="234">
        <f>SUMIF(VA!B:B,A978,VA!I:I)</f>
        <v>359.46</v>
      </c>
      <c r="I978" s="33">
        <f>SUMIF(VR!B:B,A978,VR!I:I)</f>
        <v>657.5</v>
      </c>
      <c r="J978" s="4">
        <f t="shared" si="15"/>
        <v>1016.96</v>
      </c>
      <c r="K978" s="195">
        <f>SUMIF(FALTAS!A:A,A978,FALTAS!D:D)</f>
        <v>0</v>
      </c>
    </row>
    <row r="979" spans="1:11" x14ac:dyDescent="0.2">
      <c r="A979" s="235">
        <v>113172</v>
      </c>
      <c r="B979" s="236" t="s">
        <v>629</v>
      </c>
      <c r="C979" s="236" t="s">
        <v>0</v>
      </c>
      <c r="D979" s="236" t="s">
        <v>2</v>
      </c>
      <c r="E979" s="237">
        <v>43617</v>
      </c>
      <c r="F979" s="236" t="s">
        <v>1234</v>
      </c>
      <c r="G979" s="237">
        <v>44867</v>
      </c>
      <c r="H979" s="234">
        <f>SUMIF(VA!B:B,A979,VA!I:I)</f>
        <v>359.46</v>
      </c>
      <c r="I979" s="33">
        <f>SUMIF(VR!B:B,A979,VR!I:I)</f>
        <v>657.5</v>
      </c>
      <c r="J979" s="4">
        <f t="shared" si="15"/>
        <v>1016.96</v>
      </c>
      <c r="K979" s="195">
        <f>SUMIF(FALTAS!A:A,A979,FALTAS!D:D)</f>
        <v>0</v>
      </c>
    </row>
    <row r="980" spans="1:11" x14ac:dyDescent="0.2">
      <c r="A980" s="235">
        <v>113177</v>
      </c>
      <c r="B980" s="236" t="s">
        <v>631</v>
      </c>
      <c r="C980" s="236" t="s">
        <v>10</v>
      </c>
      <c r="D980" s="236" t="s">
        <v>2</v>
      </c>
      <c r="E980" s="237">
        <v>43617</v>
      </c>
      <c r="F980" s="236" t="s">
        <v>1234</v>
      </c>
      <c r="G980" s="237">
        <v>44930</v>
      </c>
      <c r="H980" s="234">
        <f>SUMIF(VA!B:B,A980,VA!I:I)</f>
        <v>359.46</v>
      </c>
      <c r="I980" s="33">
        <f>SUMIF(VR!B:B,A980,VR!I:I)</f>
        <v>657.5</v>
      </c>
      <c r="J980" s="4">
        <f t="shared" si="15"/>
        <v>1016.96</v>
      </c>
      <c r="K980" s="195">
        <f>SUMIF(FALTAS!A:A,A980,FALTAS!D:D)</f>
        <v>0</v>
      </c>
    </row>
    <row r="981" spans="1:11" x14ac:dyDescent="0.2">
      <c r="A981" s="235">
        <v>113185</v>
      </c>
      <c r="B981" s="236" t="s">
        <v>635</v>
      </c>
      <c r="C981" s="236" t="s">
        <v>1589</v>
      </c>
      <c r="D981" s="236" t="s">
        <v>15</v>
      </c>
      <c r="E981" s="237">
        <v>43617</v>
      </c>
      <c r="F981" s="236" t="s">
        <v>1234</v>
      </c>
      <c r="G981" s="237">
        <v>44993</v>
      </c>
      <c r="H981" s="234">
        <f>SUMIF(VA!B:B,A981,VA!I:I)</f>
        <v>359.46</v>
      </c>
      <c r="I981" s="33">
        <f>SUMIF(VR!B:B,A981,VR!I:I)</f>
        <v>657.5</v>
      </c>
      <c r="J981" s="4">
        <f t="shared" si="15"/>
        <v>1016.96</v>
      </c>
      <c r="K981" s="195">
        <f>SUMIF(FALTAS!A:A,A981,FALTAS!D:D)</f>
        <v>0</v>
      </c>
    </row>
    <row r="982" spans="1:11" x14ac:dyDescent="0.2">
      <c r="A982" s="235">
        <v>113189</v>
      </c>
      <c r="B982" s="236" t="s">
        <v>638</v>
      </c>
      <c r="C982" s="236" t="s">
        <v>1589</v>
      </c>
      <c r="D982" s="236" t="s">
        <v>22</v>
      </c>
      <c r="E982" s="237">
        <v>43617</v>
      </c>
      <c r="F982" s="236" t="s">
        <v>1234</v>
      </c>
      <c r="G982" s="237">
        <v>44898</v>
      </c>
      <c r="H982" s="234">
        <f>SUMIF(VA!B:B,A982,VA!I:I)</f>
        <v>359.46</v>
      </c>
      <c r="I982" s="33">
        <f>SUMIF(VR!B:B,A982,VR!I:I)</f>
        <v>657.5</v>
      </c>
      <c r="J982" s="4">
        <f t="shared" si="15"/>
        <v>1016.96</v>
      </c>
      <c r="K982" s="195">
        <f>SUMIF(FALTAS!A:A,A982,FALTAS!D:D)</f>
        <v>0</v>
      </c>
    </row>
    <row r="983" spans="1:11" x14ac:dyDescent="0.2">
      <c r="A983" s="235">
        <v>113720</v>
      </c>
      <c r="B983" s="236" t="s">
        <v>937</v>
      </c>
      <c r="C983" s="236" t="s">
        <v>1591</v>
      </c>
      <c r="D983" s="236" t="s">
        <v>930</v>
      </c>
      <c r="E983" s="237">
        <v>43619</v>
      </c>
      <c r="F983" s="236" t="s">
        <v>1234</v>
      </c>
      <c r="G983" s="237">
        <v>45139</v>
      </c>
      <c r="H983" s="234">
        <f>SUMIF(VA!B:B,A983,VA!I:I)</f>
        <v>359.46</v>
      </c>
      <c r="I983" s="33">
        <f>SUMIF(VR!B:B,A983,VR!I:I)</f>
        <v>657.5</v>
      </c>
      <c r="J983" s="4">
        <f t="shared" si="15"/>
        <v>1016.96</v>
      </c>
      <c r="K983" s="195">
        <f>SUMIF(FALTAS!A:A,A983,FALTAS!D:D)</f>
        <v>0</v>
      </c>
    </row>
    <row r="984" spans="1:11" x14ac:dyDescent="0.2">
      <c r="A984" s="235">
        <v>113198</v>
      </c>
      <c r="B984" s="236" t="s">
        <v>641</v>
      </c>
      <c r="C984" s="236" t="s">
        <v>19</v>
      </c>
      <c r="D984" s="236" t="s">
        <v>146</v>
      </c>
      <c r="E984" s="237">
        <v>43617</v>
      </c>
      <c r="F984" s="236" t="s">
        <v>1234</v>
      </c>
      <c r="G984" s="237">
        <v>44993</v>
      </c>
      <c r="H984" s="234">
        <f>SUMIF(VA!B:B,A984,VA!I:I)</f>
        <v>359.46</v>
      </c>
      <c r="I984" s="33">
        <f>SUMIF(VR!B:B,A984,VR!I:I)</f>
        <v>657.5</v>
      </c>
      <c r="J984" s="4">
        <f t="shared" si="15"/>
        <v>1016.96</v>
      </c>
      <c r="K984" s="195">
        <f>SUMIF(FALTAS!A:A,A984,FALTAS!D:D)</f>
        <v>0</v>
      </c>
    </row>
    <row r="985" spans="1:11" x14ac:dyDescent="0.2">
      <c r="A985" s="235">
        <v>113203</v>
      </c>
      <c r="B985" s="236" t="s">
        <v>645</v>
      </c>
      <c r="C985" s="236" t="s">
        <v>0</v>
      </c>
      <c r="D985" s="236" t="s">
        <v>5</v>
      </c>
      <c r="E985" s="237">
        <v>43617</v>
      </c>
      <c r="F985" s="236" t="s">
        <v>1234</v>
      </c>
      <c r="G985" s="237">
        <v>45023</v>
      </c>
      <c r="H985" s="234">
        <f>SUMIF(VA!B:B,A985,VA!I:I)</f>
        <v>359.46</v>
      </c>
      <c r="I985" s="33">
        <f>SUMIF(VR!B:B,A985,VR!I:I)</f>
        <v>657.5</v>
      </c>
      <c r="J985" s="4">
        <f t="shared" si="15"/>
        <v>1016.96</v>
      </c>
      <c r="K985" s="195">
        <f>SUMIF(FALTAS!A:A,A985,FALTAS!D:D)</f>
        <v>0</v>
      </c>
    </row>
    <row r="986" spans="1:11" x14ac:dyDescent="0.2">
      <c r="A986" s="235">
        <v>114726</v>
      </c>
      <c r="B986" s="236" t="s">
        <v>1083</v>
      </c>
      <c r="C986" s="236" t="s">
        <v>0</v>
      </c>
      <c r="D986" s="236" t="s">
        <v>5</v>
      </c>
      <c r="E986" s="237">
        <v>43874</v>
      </c>
      <c r="F986" s="236" t="s">
        <v>1235</v>
      </c>
      <c r="G986" s="237">
        <v>45147</v>
      </c>
      <c r="H986" s="234">
        <f>SUMIF(VA!B:B,A986,VA!I:I)</f>
        <v>359.46</v>
      </c>
      <c r="I986" s="33">
        <f>SUMIF(VR!B:B,A986,VR!I:I)</f>
        <v>657.5</v>
      </c>
      <c r="J986" s="4">
        <f t="shared" si="15"/>
        <v>1016.96</v>
      </c>
      <c r="K986" s="195">
        <f>SUMIF(FALTAS!A:A,A986,FALTAS!D:D)</f>
        <v>0</v>
      </c>
    </row>
    <row r="987" spans="1:11" x14ac:dyDescent="0.2">
      <c r="A987" s="235">
        <v>113205</v>
      </c>
      <c r="B987" s="236" t="s">
        <v>647</v>
      </c>
      <c r="C987" s="236" t="s">
        <v>0</v>
      </c>
      <c r="D987" s="236" t="s">
        <v>2</v>
      </c>
      <c r="E987" s="237">
        <v>43617</v>
      </c>
      <c r="F987" s="236" t="s">
        <v>1234</v>
      </c>
      <c r="G987" s="237">
        <v>44867</v>
      </c>
      <c r="H987" s="234">
        <f>SUMIF(VA!B:B,A987,VA!I:I)</f>
        <v>359.46</v>
      </c>
      <c r="I987" s="33">
        <f>SUMIF(VR!B:B,A987,VR!I:I)</f>
        <v>657.5</v>
      </c>
      <c r="J987" s="4">
        <f t="shared" si="15"/>
        <v>1016.96</v>
      </c>
      <c r="K987" s="195">
        <f>SUMIF(FALTAS!A:A,A987,FALTAS!D:D)</f>
        <v>0</v>
      </c>
    </row>
    <row r="988" spans="1:11" x14ac:dyDescent="0.2">
      <c r="A988" s="235">
        <v>115399</v>
      </c>
      <c r="B988" s="236" t="s">
        <v>1156</v>
      </c>
      <c r="C988" s="236" t="s">
        <v>0</v>
      </c>
      <c r="D988" s="236" t="s">
        <v>5</v>
      </c>
      <c r="E988" s="237">
        <v>44048</v>
      </c>
      <c r="F988" s="236" t="s">
        <v>1234</v>
      </c>
      <c r="G988" s="237">
        <v>45086</v>
      </c>
      <c r="H988" s="234">
        <f>SUMIF(VA!B:B,A988,VA!I:I)</f>
        <v>359.46</v>
      </c>
      <c r="I988" s="33">
        <f>SUMIF(VR!B:B,A988,VR!I:I)</f>
        <v>657.5</v>
      </c>
      <c r="J988" s="4">
        <f t="shared" si="15"/>
        <v>1016.96</v>
      </c>
      <c r="K988" s="195">
        <f>SUMIF(FALTAS!A:A,A988,FALTAS!D:D)</f>
        <v>0</v>
      </c>
    </row>
    <row r="989" spans="1:11" x14ac:dyDescent="0.2">
      <c r="A989" s="235">
        <v>113208</v>
      </c>
      <c r="B989" s="236" t="s">
        <v>650</v>
      </c>
      <c r="C989" s="236" t="s">
        <v>19</v>
      </c>
      <c r="D989" s="236" t="s">
        <v>2</v>
      </c>
      <c r="E989" s="237">
        <v>43617</v>
      </c>
      <c r="F989" s="236" t="s">
        <v>1234</v>
      </c>
      <c r="G989" s="237">
        <v>44898</v>
      </c>
      <c r="H989" s="234">
        <f>SUMIF(VA!B:B,A989,VA!I:I)</f>
        <v>359.46</v>
      </c>
      <c r="I989" s="33">
        <f>SUMIF(VR!B:B,A989,VR!I:I)</f>
        <v>657.5</v>
      </c>
      <c r="J989" s="4">
        <f t="shared" si="15"/>
        <v>1016.96</v>
      </c>
      <c r="K989" s="195">
        <f>SUMIF(FALTAS!A:A,A989,FALTAS!D:D)</f>
        <v>0</v>
      </c>
    </row>
    <row r="990" spans="1:11" x14ac:dyDescent="0.2">
      <c r="A990" s="235">
        <v>117362</v>
      </c>
      <c r="B990" s="236" t="s">
        <v>1270</v>
      </c>
      <c r="C990" s="236" t="s">
        <v>1589</v>
      </c>
      <c r="D990" s="236" t="s">
        <v>282</v>
      </c>
      <c r="E990" s="237">
        <v>44508</v>
      </c>
      <c r="F990" s="236" t="s">
        <v>1234</v>
      </c>
      <c r="G990" s="237">
        <v>45056</v>
      </c>
      <c r="H990" s="234">
        <f>SUMIF(VA!B:B,A990,VA!I:I)</f>
        <v>359.46</v>
      </c>
      <c r="I990" s="33">
        <f>SUMIF(VR!B:B,A990,VR!I:I)</f>
        <v>657.5</v>
      </c>
      <c r="J990" s="4">
        <f t="shared" si="15"/>
        <v>1016.96</v>
      </c>
      <c r="K990" s="195">
        <f>SUMIF(FALTAS!A:A,A990,FALTAS!D:D)</f>
        <v>0</v>
      </c>
    </row>
    <row r="991" spans="1:11" x14ac:dyDescent="0.2">
      <c r="A991" s="235">
        <v>113217</v>
      </c>
      <c r="B991" s="236" t="s">
        <v>653</v>
      </c>
      <c r="C991" s="236" t="s">
        <v>10</v>
      </c>
      <c r="D991" s="236" t="s">
        <v>5</v>
      </c>
      <c r="E991" s="237">
        <v>43617</v>
      </c>
      <c r="F991" s="236" t="s">
        <v>1234</v>
      </c>
      <c r="G991" s="237">
        <v>44835</v>
      </c>
      <c r="H991" s="234">
        <f>SUMIF(VA!B:B,A991,VA!I:I)</f>
        <v>347.47</v>
      </c>
      <c r="I991" s="33">
        <f>SUMIF(VR!B:B,A991,VR!I:I)</f>
        <v>631.20000000000005</v>
      </c>
      <c r="J991" s="4">
        <f t="shared" si="15"/>
        <v>978.67000000000007</v>
      </c>
      <c r="K991" s="195">
        <f>SUMIF(FALTAS!A:A,A991,FALTAS!D:D)</f>
        <v>1</v>
      </c>
    </row>
    <row r="992" spans="1:11" x14ac:dyDescent="0.2">
      <c r="A992" s="235">
        <v>113227</v>
      </c>
      <c r="B992" s="236" t="s">
        <v>660</v>
      </c>
      <c r="C992" s="236" t="s">
        <v>1589</v>
      </c>
      <c r="D992" s="236" t="s">
        <v>15</v>
      </c>
      <c r="E992" s="237">
        <v>43617</v>
      </c>
      <c r="F992" s="236" t="s">
        <v>1235</v>
      </c>
      <c r="G992" s="237">
        <v>45147</v>
      </c>
      <c r="H992" s="234">
        <f>SUMIF(VA!B:B,A992,VA!I:I)</f>
        <v>359.46</v>
      </c>
      <c r="I992" s="33">
        <f>SUMIF(VR!B:B,A992,VR!I:I)</f>
        <v>657.5</v>
      </c>
      <c r="J992" s="4">
        <f t="shared" si="15"/>
        <v>1016.96</v>
      </c>
      <c r="K992" s="195">
        <f>SUMIF(FALTAS!A:A,A992,FALTAS!D:D)</f>
        <v>0</v>
      </c>
    </row>
    <row r="993" spans="1:11" x14ac:dyDescent="0.2">
      <c r="A993" s="235">
        <v>115220</v>
      </c>
      <c r="B993" s="236" t="s">
        <v>1148</v>
      </c>
      <c r="C993" s="236" t="s">
        <v>8</v>
      </c>
      <c r="D993" s="236" t="s">
        <v>5</v>
      </c>
      <c r="E993" s="237">
        <v>44018</v>
      </c>
      <c r="F993" s="236" t="s">
        <v>1234</v>
      </c>
      <c r="G993" s="237">
        <v>45086</v>
      </c>
      <c r="H993" s="234">
        <f>SUMIF(VA!B:B,A993,VA!I:I)</f>
        <v>359.46</v>
      </c>
      <c r="I993" s="33">
        <f>SUMIF(VR!B:B,A993,VR!I:I)</f>
        <v>657.5</v>
      </c>
      <c r="J993" s="4">
        <f t="shared" si="15"/>
        <v>1016.96</v>
      </c>
      <c r="K993" s="195">
        <f>SUMIF(FALTAS!A:A,A993,FALTAS!D:D)</f>
        <v>0</v>
      </c>
    </row>
    <row r="994" spans="1:11" x14ac:dyDescent="0.2">
      <c r="A994" s="235">
        <v>118641</v>
      </c>
      <c r="B994" s="236" t="s">
        <v>1411</v>
      </c>
      <c r="C994" s="236" t="s">
        <v>0</v>
      </c>
      <c r="D994" s="236" t="s">
        <v>5</v>
      </c>
      <c r="E994" s="237">
        <v>44582</v>
      </c>
      <c r="F994" s="236" t="s">
        <v>1234</v>
      </c>
      <c r="G994" s="237">
        <v>45042</v>
      </c>
      <c r="H994" s="234">
        <f>SUMIF(VA!B:B,A994,VA!I:I)</f>
        <v>359.46</v>
      </c>
      <c r="I994" s="33">
        <f>SUMIF(VR!B:B,A994,VR!I:I)</f>
        <v>657.5</v>
      </c>
      <c r="J994" s="4">
        <f t="shared" si="15"/>
        <v>1016.96</v>
      </c>
      <c r="K994" s="195">
        <f>SUMIF(FALTAS!A:A,A994,FALTAS!D:D)</f>
        <v>0</v>
      </c>
    </row>
    <row r="995" spans="1:11" x14ac:dyDescent="0.2">
      <c r="A995" s="235">
        <v>114034</v>
      </c>
      <c r="B995" s="236" t="s">
        <v>1001</v>
      </c>
      <c r="C995" s="236" t="s">
        <v>10</v>
      </c>
      <c r="D995" s="236" t="s">
        <v>146</v>
      </c>
      <c r="E995" s="237">
        <v>43710</v>
      </c>
      <c r="F995" s="236" t="s">
        <v>1234</v>
      </c>
      <c r="G995" s="237">
        <v>44867</v>
      </c>
      <c r="H995" s="234">
        <f>SUMIF(VA!B:B,A995,VA!I:I)</f>
        <v>359.46</v>
      </c>
      <c r="I995" s="33">
        <f>SUMIF(VR!B:B,A995,VR!I:I)</f>
        <v>657.5</v>
      </c>
      <c r="J995" s="4">
        <f t="shared" si="15"/>
        <v>1016.96</v>
      </c>
      <c r="K995" s="195">
        <f>SUMIF(FALTAS!A:A,A995,FALTAS!D:D)</f>
        <v>0</v>
      </c>
    </row>
    <row r="996" spans="1:11" x14ac:dyDescent="0.2">
      <c r="A996" s="235">
        <v>118050</v>
      </c>
      <c r="B996" s="236" t="s">
        <v>1412</v>
      </c>
      <c r="C996" s="236" t="s">
        <v>0</v>
      </c>
      <c r="D996" s="236" t="s">
        <v>5</v>
      </c>
      <c r="E996" s="237">
        <v>44567</v>
      </c>
      <c r="F996" s="236" t="s">
        <v>1234</v>
      </c>
      <c r="G996" s="237">
        <v>44567</v>
      </c>
      <c r="H996" s="234">
        <f>SUMIF(VA!B:B,A996,VA!I:I)</f>
        <v>359.46</v>
      </c>
      <c r="I996" s="33">
        <f>SUMIF(VR!B:B,A996,VR!I:I)</f>
        <v>657.5</v>
      </c>
      <c r="J996" s="4">
        <f t="shared" si="15"/>
        <v>1016.96</v>
      </c>
      <c r="K996" s="195">
        <f>SUMIF(FALTAS!A:A,A996,FALTAS!D:D)</f>
        <v>0</v>
      </c>
    </row>
    <row r="997" spans="1:11" x14ac:dyDescent="0.2">
      <c r="A997" s="235">
        <v>122082</v>
      </c>
      <c r="B997" s="236" t="s">
        <v>1644</v>
      </c>
      <c r="C997" s="236" t="s">
        <v>19</v>
      </c>
      <c r="D997" s="236" t="s">
        <v>5</v>
      </c>
      <c r="E997" s="237">
        <v>45061</v>
      </c>
      <c r="F997" s="236" t="s">
        <v>1234</v>
      </c>
      <c r="G997" s="237">
        <v>45061</v>
      </c>
      <c r="H997" s="234">
        <f>SUMIF(VA!B:B,A997,VA!I:I)</f>
        <v>359.46</v>
      </c>
      <c r="I997" s="33">
        <f>SUMIF(VR!B:B,A997,VR!I:I)</f>
        <v>657.5</v>
      </c>
      <c r="J997" s="4">
        <f t="shared" si="15"/>
        <v>1016.96</v>
      </c>
      <c r="K997" s="195">
        <f>SUMIF(FALTAS!A:A,A997,FALTAS!D:D)</f>
        <v>0</v>
      </c>
    </row>
    <row r="998" spans="1:11" x14ac:dyDescent="0.2">
      <c r="A998" s="235">
        <v>113237</v>
      </c>
      <c r="B998" s="236" t="s">
        <v>665</v>
      </c>
      <c r="C998" s="236" t="s">
        <v>10</v>
      </c>
      <c r="D998" s="236" t="s">
        <v>2</v>
      </c>
      <c r="E998" s="237">
        <v>43617</v>
      </c>
      <c r="F998" s="236" t="s">
        <v>1234</v>
      </c>
      <c r="G998" s="237">
        <v>44930</v>
      </c>
      <c r="H998" s="234">
        <f>SUMIF(VA!B:B,A998,VA!I:I)</f>
        <v>359.46</v>
      </c>
      <c r="I998" s="33">
        <f>SUMIF(VR!B:B,A998,VR!I:I)</f>
        <v>657.5</v>
      </c>
      <c r="J998" s="4">
        <f t="shared" si="15"/>
        <v>1016.96</v>
      </c>
      <c r="K998" s="195">
        <f>SUMIF(FALTAS!A:A,A998,FALTAS!D:D)</f>
        <v>0</v>
      </c>
    </row>
    <row r="999" spans="1:11" x14ac:dyDescent="0.2">
      <c r="A999" s="235">
        <v>113240</v>
      </c>
      <c r="B999" s="236" t="s">
        <v>1575</v>
      </c>
      <c r="C999" s="236" t="s">
        <v>10</v>
      </c>
      <c r="D999" s="236" t="s">
        <v>5</v>
      </c>
      <c r="E999" s="237">
        <v>43617</v>
      </c>
      <c r="F999" s="236" t="s">
        <v>1285</v>
      </c>
      <c r="G999" s="237">
        <v>44149</v>
      </c>
      <c r="H999" s="234">
        <f>SUMIF(VA!B:B,A999,VA!I:I)</f>
        <v>0</v>
      </c>
      <c r="I999" s="33">
        <f>SUMIF(VR!B:B,A999,VR!I:I)</f>
        <v>0</v>
      </c>
      <c r="J999" s="4">
        <f t="shared" si="15"/>
        <v>0</v>
      </c>
      <c r="K999" s="195">
        <f>SUMIF(FALTAS!A:A,A999,FALTAS!D:D)</f>
        <v>0</v>
      </c>
    </row>
    <row r="1000" spans="1:11" x14ac:dyDescent="0.2">
      <c r="A1000" s="235">
        <v>113242</v>
      </c>
      <c r="B1000" s="236" t="s">
        <v>666</v>
      </c>
      <c r="C1000" s="236" t="s">
        <v>19</v>
      </c>
      <c r="D1000" s="236" t="s">
        <v>5</v>
      </c>
      <c r="E1000" s="237">
        <v>43617</v>
      </c>
      <c r="F1000" s="236" t="s">
        <v>1234</v>
      </c>
      <c r="G1000" s="237">
        <v>45023</v>
      </c>
      <c r="H1000" s="234">
        <f>SUMIF(VA!B:B,A1000,VA!I:I)</f>
        <v>359.46</v>
      </c>
      <c r="I1000" s="33">
        <f>SUMIF(VR!B:B,A1000,VR!I:I)</f>
        <v>657.5</v>
      </c>
      <c r="J1000" s="4">
        <f t="shared" si="15"/>
        <v>1016.96</v>
      </c>
      <c r="K1000" s="195">
        <f>SUMIF(FALTAS!A:A,A1000,FALTAS!D:D)</f>
        <v>0</v>
      </c>
    </row>
    <row r="1001" spans="1:11" x14ac:dyDescent="0.2">
      <c r="A1001" s="235">
        <v>113244</v>
      </c>
      <c r="B1001" s="236" t="s">
        <v>667</v>
      </c>
      <c r="C1001" s="236" t="s">
        <v>0</v>
      </c>
      <c r="D1001" s="236" t="s">
        <v>2</v>
      </c>
      <c r="E1001" s="237">
        <v>43617</v>
      </c>
      <c r="F1001" s="236" t="s">
        <v>1234</v>
      </c>
      <c r="G1001" s="237">
        <v>44898</v>
      </c>
      <c r="H1001" s="234">
        <f>SUMIF(VA!B:B,A1001,VA!I:I)</f>
        <v>359.46</v>
      </c>
      <c r="I1001" s="33">
        <f>SUMIF(VR!B:B,A1001,VR!I:I)</f>
        <v>657.5</v>
      </c>
      <c r="J1001" s="4">
        <f t="shared" si="15"/>
        <v>1016.96</v>
      </c>
      <c r="K1001" s="195">
        <f>SUMIF(FALTAS!A:A,A1001,FALTAS!D:D)</f>
        <v>0</v>
      </c>
    </row>
    <row r="1002" spans="1:11" x14ac:dyDescent="0.2">
      <c r="A1002" s="235">
        <v>116228</v>
      </c>
      <c r="B1002" s="236" t="s">
        <v>1196</v>
      </c>
      <c r="C1002" s="236" t="s">
        <v>19</v>
      </c>
      <c r="D1002" s="236" t="s">
        <v>5</v>
      </c>
      <c r="E1002" s="237">
        <v>44273</v>
      </c>
      <c r="F1002" s="236" t="s">
        <v>1234</v>
      </c>
      <c r="G1002" s="237">
        <v>45149</v>
      </c>
      <c r="H1002" s="234">
        <f>SUMIF(VA!B:B,A1002,VA!I:I)</f>
        <v>359.46</v>
      </c>
      <c r="I1002" s="33">
        <f>SUMIF(VR!B:B,A1002,VR!I:I)</f>
        <v>657.5</v>
      </c>
      <c r="J1002" s="4">
        <f t="shared" si="15"/>
        <v>1016.96</v>
      </c>
      <c r="K1002" s="195">
        <f>SUMIF(FALTAS!A:A,A1002,FALTAS!D:D)</f>
        <v>0</v>
      </c>
    </row>
    <row r="1003" spans="1:11" x14ac:dyDescent="0.2">
      <c r="A1003" s="235">
        <v>113250</v>
      </c>
      <c r="B1003" s="236" t="s">
        <v>670</v>
      </c>
      <c r="C1003" s="236" t="s">
        <v>10</v>
      </c>
      <c r="D1003" s="236" t="s">
        <v>5</v>
      </c>
      <c r="E1003" s="237">
        <v>43617</v>
      </c>
      <c r="F1003" s="236" t="s">
        <v>1234</v>
      </c>
      <c r="G1003" s="237">
        <v>44930</v>
      </c>
      <c r="H1003" s="234">
        <f>SUMIF(VA!B:B,A1003,VA!I:I)</f>
        <v>359.46</v>
      </c>
      <c r="I1003" s="33">
        <f>SUMIF(VR!B:B,A1003,VR!I:I)</f>
        <v>657.5</v>
      </c>
      <c r="J1003" s="4">
        <f t="shared" si="15"/>
        <v>1016.96</v>
      </c>
      <c r="K1003" s="195">
        <f>SUMIF(FALTAS!A:A,A1003,FALTAS!D:D)</f>
        <v>0</v>
      </c>
    </row>
    <row r="1004" spans="1:11" x14ac:dyDescent="0.2">
      <c r="A1004" s="235">
        <v>119930</v>
      </c>
      <c r="B1004" s="236" t="s">
        <v>1489</v>
      </c>
      <c r="C1004" s="236" t="s">
        <v>0</v>
      </c>
      <c r="D1004" s="236" t="s">
        <v>5</v>
      </c>
      <c r="E1004" s="237">
        <v>44760</v>
      </c>
      <c r="F1004" s="236" t="s">
        <v>1234</v>
      </c>
      <c r="G1004" s="237">
        <v>44760</v>
      </c>
      <c r="H1004" s="234">
        <f>SUMIF(VA!B:B,A1004,VA!I:I)</f>
        <v>359.46</v>
      </c>
      <c r="I1004" s="33">
        <f>SUMIF(VR!B:B,A1004,VR!I:I)</f>
        <v>657.5</v>
      </c>
      <c r="J1004" s="4">
        <f t="shared" si="15"/>
        <v>1016.96</v>
      </c>
      <c r="K1004" s="195">
        <f>SUMIF(FALTAS!A:A,A1004,FALTAS!D:D)</f>
        <v>0</v>
      </c>
    </row>
    <row r="1005" spans="1:11" x14ac:dyDescent="0.2">
      <c r="A1005" s="235">
        <v>113263</v>
      </c>
      <c r="B1005" s="236" t="s">
        <v>677</v>
      </c>
      <c r="C1005" s="236" t="s">
        <v>10</v>
      </c>
      <c r="D1005" s="236" t="s">
        <v>2</v>
      </c>
      <c r="E1005" s="237">
        <v>43617</v>
      </c>
      <c r="F1005" s="236" t="s">
        <v>1234</v>
      </c>
      <c r="G1005" s="237">
        <v>45056</v>
      </c>
      <c r="H1005" s="234">
        <f>SUMIF(VA!B:B,A1005,VA!I:I)</f>
        <v>359.46</v>
      </c>
      <c r="I1005" s="33">
        <f>SUMIF(VR!B:B,A1005,VR!I:I)</f>
        <v>657.5</v>
      </c>
      <c r="J1005" s="4">
        <f t="shared" si="15"/>
        <v>1016.96</v>
      </c>
      <c r="K1005" s="195">
        <f>SUMIF(FALTAS!A:A,A1005,FALTAS!D:D)</f>
        <v>0</v>
      </c>
    </row>
    <row r="1006" spans="1:11" x14ac:dyDescent="0.2">
      <c r="A1006" s="235">
        <v>113650</v>
      </c>
      <c r="B1006" s="236" t="s">
        <v>898</v>
      </c>
      <c r="C1006" s="236" t="s">
        <v>1589</v>
      </c>
      <c r="D1006" s="236" t="s">
        <v>22</v>
      </c>
      <c r="E1006" s="237">
        <v>43617</v>
      </c>
      <c r="F1006" s="236" t="s">
        <v>1234</v>
      </c>
      <c r="G1006" s="237">
        <v>44776</v>
      </c>
      <c r="H1006" s="234">
        <f>SUMIF(VA!B:B,A1006,VA!I:I)</f>
        <v>359.46</v>
      </c>
      <c r="I1006" s="33">
        <f>SUMIF(VR!B:B,A1006,VR!I:I)</f>
        <v>657.5</v>
      </c>
      <c r="J1006" s="4">
        <f t="shared" si="15"/>
        <v>1016.96</v>
      </c>
      <c r="K1006" s="195">
        <f>SUMIF(FALTAS!A:A,A1006,FALTAS!D:D)</f>
        <v>0</v>
      </c>
    </row>
    <row r="1007" spans="1:11" x14ac:dyDescent="0.2">
      <c r="A1007" s="235">
        <v>113273</v>
      </c>
      <c r="B1007" s="236" t="s">
        <v>682</v>
      </c>
      <c r="C1007" s="236" t="s">
        <v>1589</v>
      </c>
      <c r="D1007" s="236" t="s">
        <v>22</v>
      </c>
      <c r="E1007" s="237">
        <v>43617</v>
      </c>
      <c r="F1007" s="236" t="s">
        <v>1234</v>
      </c>
      <c r="G1007" s="237">
        <v>44993</v>
      </c>
      <c r="H1007" s="234">
        <f>SUMIF(VA!B:B,A1007,VA!I:I)</f>
        <v>359.46</v>
      </c>
      <c r="I1007" s="33">
        <f>SUMIF(VR!B:B,A1007,VR!I:I)</f>
        <v>657.5</v>
      </c>
      <c r="J1007" s="4">
        <f t="shared" si="15"/>
        <v>1016.96</v>
      </c>
      <c r="K1007" s="195">
        <f>SUMIF(FALTAS!A:A,A1007,FALTAS!D:D)</f>
        <v>0</v>
      </c>
    </row>
    <row r="1008" spans="1:11" x14ac:dyDescent="0.2">
      <c r="A1008" s="235">
        <v>113276</v>
      </c>
      <c r="B1008" s="236" t="s">
        <v>684</v>
      </c>
      <c r="C1008" s="236" t="s">
        <v>10</v>
      </c>
      <c r="D1008" s="236" t="s">
        <v>5</v>
      </c>
      <c r="E1008" s="237">
        <v>43617</v>
      </c>
      <c r="F1008" s="236" t="s">
        <v>1234</v>
      </c>
      <c r="G1008" s="237">
        <v>44806</v>
      </c>
      <c r="H1008" s="234">
        <f>SUMIF(VA!B:B,A1008,VA!I:I)</f>
        <v>359.46</v>
      </c>
      <c r="I1008" s="33">
        <f>SUMIF(VR!B:B,A1008,VR!I:I)</f>
        <v>657.5</v>
      </c>
      <c r="J1008" s="4">
        <f t="shared" si="15"/>
        <v>1016.96</v>
      </c>
      <c r="K1008" s="195">
        <f>SUMIF(FALTAS!A:A,A1008,FALTAS!D:D)</f>
        <v>0</v>
      </c>
    </row>
    <row r="1009" spans="1:11" x14ac:dyDescent="0.2">
      <c r="A1009" s="235">
        <v>113279</v>
      </c>
      <c r="B1009" s="236" t="s">
        <v>686</v>
      </c>
      <c r="C1009" s="236" t="s">
        <v>1589</v>
      </c>
      <c r="D1009" s="236" t="s">
        <v>385</v>
      </c>
      <c r="E1009" s="237">
        <v>43617</v>
      </c>
      <c r="F1009" s="236" t="s">
        <v>1234</v>
      </c>
      <c r="G1009" s="237">
        <v>44835</v>
      </c>
      <c r="H1009" s="234">
        <f>SUMIF(VA!B:B,A1009,VA!I:I)</f>
        <v>359.46</v>
      </c>
      <c r="I1009" s="33">
        <f>SUMIF(VR!B:B,A1009,VR!I:I)</f>
        <v>657.5</v>
      </c>
      <c r="J1009" s="4">
        <f t="shared" si="15"/>
        <v>1016.96</v>
      </c>
      <c r="K1009" s="195">
        <f>SUMIF(FALTAS!A:A,A1009,FALTAS!D:D)</f>
        <v>0</v>
      </c>
    </row>
    <row r="1010" spans="1:11" x14ac:dyDescent="0.2">
      <c r="A1010" s="235">
        <v>113282</v>
      </c>
      <c r="B1010" s="236" t="s">
        <v>688</v>
      </c>
      <c r="C1010" s="236" t="s">
        <v>1589</v>
      </c>
      <c r="D1010" s="236" t="s">
        <v>15</v>
      </c>
      <c r="E1010" s="237">
        <v>43617</v>
      </c>
      <c r="F1010" s="236" t="s">
        <v>1234</v>
      </c>
      <c r="G1010" s="237">
        <v>44744</v>
      </c>
      <c r="H1010" s="234">
        <f>SUMIF(VA!B:B,A1010,VA!I:I)</f>
        <v>359.46</v>
      </c>
      <c r="I1010" s="33">
        <f>SUMIF(VR!B:B,A1010,VR!I:I)</f>
        <v>657.5</v>
      </c>
      <c r="J1010" s="4">
        <f t="shared" si="15"/>
        <v>1016.96</v>
      </c>
      <c r="K1010" s="195">
        <f>SUMIF(FALTAS!A:A,A1010,FALTAS!D:D)</f>
        <v>0</v>
      </c>
    </row>
    <row r="1011" spans="1:11" x14ac:dyDescent="0.2">
      <c r="A1011" s="235">
        <v>114641</v>
      </c>
      <c r="B1011" s="236" t="s">
        <v>1065</v>
      </c>
      <c r="C1011" s="236" t="s">
        <v>1589</v>
      </c>
      <c r="D1011" s="236" t="s">
        <v>282</v>
      </c>
      <c r="E1011" s="237">
        <v>43850</v>
      </c>
      <c r="F1011" s="236" t="s">
        <v>1234</v>
      </c>
      <c r="G1011" s="237">
        <v>45056</v>
      </c>
      <c r="H1011" s="234">
        <f>SUMIF(VA!B:B,A1011,VA!I:I)</f>
        <v>359.46</v>
      </c>
      <c r="I1011" s="33">
        <f>SUMIF(VR!B:B,A1011,VR!I:I)</f>
        <v>657.5</v>
      </c>
      <c r="J1011" s="4">
        <f t="shared" si="15"/>
        <v>1016.96</v>
      </c>
      <c r="K1011" s="195">
        <f>SUMIF(FALTAS!A:A,A1011,FALTAS!D:D)</f>
        <v>0</v>
      </c>
    </row>
    <row r="1012" spans="1:11" x14ac:dyDescent="0.2">
      <c r="A1012" s="235">
        <v>113286</v>
      </c>
      <c r="B1012" s="236" t="s">
        <v>689</v>
      </c>
      <c r="C1012" s="236" t="s">
        <v>1589</v>
      </c>
      <c r="D1012" s="236" t="s">
        <v>22</v>
      </c>
      <c r="E1012" s="237">
        <v>43617</v>
      </c>
      <c r="F1012" s="236" t="s">
        <v>1234</v>
      </c>
      <c r="G1012" s="237">
        <v>44867</v>
      </c>
      <c r="H1012" s="234">
        <f>SUMIF(VA!B:B,A1012,VA!I:I)</f>
        <v>359.46</v>
      </c>
      <c r="I1012" s="33">
        <f>SUMIF(VR!B:B,A1012,VR!I:I)</f>
        <v>657.5</v>
      </c>
      <c r="J1012" s="4">
        <f t="shared" si="15"/>
        <v>1016.96</v>
      </c>
      <c r="K1012" s="195">
        <f>SUMIF(FALTAS!A:A,A1012,FALTAS!D:D)</f>
        <v>0</v>
      </c>
    </row>
    <row r="1013" spans="1:11" x14ac:dyDescent="0.2">
      <c r="A1013" s="235">
        <v>121315</v>
      </c>
      <c r="B1013" s="236" t="s">
        <v>1543</v>
      </c>
      <c r="C1013" s="236" t="s">
        <v>19</v>
      </c>
      <c r="D1013" s="236" t="s">
        <v>2</v>
      </c>
      <c r="E1013" s="237">
        <v>44945</v>
      </c>
      <c r="F1013" s="236" t="s">
        <v>1234</v>
      </c>
      <c r="G1013" s="237">
        <v>44945</v>
      </c>
      <c r="H1013" s="234">
        <f>SUMIF(VA!B:B,A1013,VA!I:I)</f>
        <v>359.46</v>
      </c>
      <c r="I1013" s="33">
        <f>SUMIF(VR!B:B,A1013,VR!I:I)</f>
        <v>657.5</v>
      </c>
      <c r="J1013" s="4">
        <f t="shared" si="15"/>
        <v>1016.96</v>
      </c>
      <c r="K1013" s="195">
        <f>SUMIF(FALTAS!A:A,A1013,FALTAS!D:D)</f>
        <v>0</v>
      </c>
    </row>
    <row r="1014" spans="1:11" x14ac:dyDescent="0.2">
      <c r="A1014" s="235">
        <v>114757</v>
      </c>
      <c r="B1014" s="236" t="s">
        <v>1097</v>
      </c>
      <c r="C1014" s="236" t="s">
        <v>1589</v>
      </c>
      <c r="D1014" s="236" t="s">
        <v>15</v>
      </c>
      <c r="E1014" s="237">
        <v>43874</v>
      </c>
      <c r="F1014" s="236" t="s">
        <v>1234</v>
      </c>
      <c r="G1014" s="237">
        <v>45086</v>
      </c>
      <c r="H1014" s="234">
        <f>SUMIF(VA!B:B,A1014,VA!I:I)</f>
        <v>359.46</v>
      </c>
      <c r="I1014" s="33">
        <f>SUMIF(VR!B:B,A1014,VR!I:I)</f>
        <v>657.5</v>
      </c>
      <c r="J1014" s="4">
        <f t="shared" si="15"/>
        <v>1016.96</v>
      </c>
      <c r="K1014" s="195">
        <f>SUMIF(FALTAS!A:A,A1014,FALTAS!D:D)</f>
        <v>0</v>
      </c>
    </row>
    <row r="1015" spans="1:11" x14ac:dyDescent="0.2">
      <c r="A1015" s="235">
        <v>114267</v>
      </c>
      <c r="B1015" s="236" t="s">
        <v>1032</v>
      </c>
      <c r="C1015" s="236" t="s">
        <v>0</v>
      </c>
      <c r="D1015" s="236" t="s">
        <v>5</v>
      </c>
      <c r="E1015" s="237">
        <v>43804</v>
      </c>
      <c r="F1015" s="236" t="s">
        <v>1234</v>
      </c>
      <c r="G1015" s="237">
        <v>45119</v>
      </c>
      <c r="H1015" s="234">
        <f>SUMIF(VA!B:B,A1015,VA!I:I)</f>
        <v>359.46</v>
      </c>
      <c r="I1015" s="33">
        <f>SUMIF(VR!B:B,A1015,VR!I:I)</f>
        <v>657.5</v>
      </c>
      <c r="J1015" s="4">
        <f t="shared" si="15"/>
        <v>1016.96</v>
      </c>
      <c r="K1015" s="195">
        <f>SUMIF(FALTAS!A:A,A1015,FALTAS!D:D)</f>
        <v>0</v>
      </c>
    </row>
    <row r="1016" spans="1:11" x14ac:dyDescent="0.2">
      <c r="A1016" s="235">
        <v>113292</v>
      </c>
      <c r="B1016" s="236" t="s">
        <v>693</v>
      </c>
      <c r="C1016" s="236" t="s">
        <v>8</v>
      </c>
      <c r="D1016" s="236" t="s">
        <v>2</v>
      </c>
      <c r="E1016" s="237">
        <v>43617</v>
      </c>
      <c r="F1016" s="236" t="s">
        <v>1234</v>
      </c>
      <c r="G1016" s="237">
        <v>45056</v>
      </c>
      <c r="H1016" s="234">
        <f>SUMIF(VA!B:B,A1016,VA!I:I)</f>
        <v>359.46</v>
      </c>
      <c r="I1016" s="33">
        <f>SUMIF(VR!B:B,A1016,VR!I:I)</f>
        <v>657.5</v>
      </c>
      <c r="J1016" s="4">
        <f t="shared" si="15"/>
        <v>1016.96</v>
      </c>
      <c r="K1016" s="195">
        <f>SUMIF(FALTAS!A:A,A1016,FALTAS!D:D)</f>
        <v>0</v>
      </c>
    </row>
    <row r="1017" spans="1:11" x14ac:dyDescent="0.2">
      <c r="A1017" s="235">
        <v>113294</v>
      </c>
      <c r="B1017" s="236" t="s">
        <v>694</v>
      </c>
      <c r="C1017" s="236" t="s">
        <v>19</v>
      </c>
      <c r="D1017" s="236" t="s">
        <v>2</v>
      </c>
      <c r="E1017" s="237">
        <v>43617</v>
      </c>
      <c r="F1017" s="236" t="s">
        <v>1234</v>
      </c>
      <c r="G1017" s="237">
        <v>45023</v>
      </c>
      <c r="H1017" s="234">
        <f>SUMIF(VA!B:B,A1017,VA!I:I)</f>
        <v>359.46</v>
      </c>
      <c r="I1017" s="33">
        <f>SUMIF(VR!B:B,A1017,VR!I:I)</f>
        <v>657.5</v>
      </c>
      <c r="J1017" s="4">
        <f t="shared" si="15"/>
        <v>1016.96</v>
      </c>
      <c r="K1017" s="195">
        <f>SUMIF(FALTAS!A:A,A1017,FALTAS!D:D)</f>
        <v>0</v>
      </c>
    </row>
    <row r="1018" spans="1:11" x14ac:dyDescent="0.2">
      <c r="A1018" s="235">
        <v>113313</v>
      </c>
      <c r="B1018" s="236" t="s">
        <v>703</v>
      </c>
      <c r="C1018" s="236" t="s">
        <v>0</v>
      </c>
      <c r="D1018" s="236" t="s">
        <v>5</v>
      </c>
      <c r="E1018" s="237">
        <v>43617</v>
      </c>
      <c r="F1018" s="236" t="s">
        <v>1234</v>
      </c>
      <c r="G1018" s="237">
        <v>44989</v>
      </c>
      <c r="H1018" s="234">
        <f>SUMIF(VA!B:B,A1018,VA!I:I)</f>
        <v>347.47</v>
      </c>
      <c r="I1018" s="33">
        <f>SUMIF(VR!B:B,A1018,VR!I:I)</f>
        <v>631.20000000000005</v>
      </c>
      <c r="J1018" s="4">
        <f t="shared" si="15"/>
        <v>978.67000000000007</v>
      </c>
      <c r="K1018" s="195">
        <f>SUMIF(FALTAS!A:A,A1018,FALTAS!D:D)</f>
        <v>1</v>
      </c>
    </row>
    <row r="1019" spans="1:11" x14ac:dyDescent="0.2">
      <c r="A1019" s="235">
        <v>119126</v>
      </c>
      <c r="B1019" s="236" t="s">
        <v>1446</v>
      </c>
      <c r="C1019" s="236" t="s">
        <v>1589</v>
      </c>
      <c r="D1019" s="236" t="s">
        <v>15</v>
      </c>
      <c r="E1019" s="237">
        <v>44630</v>
      </c>
      <c r="F1019" s="236" t="s">
        <v>1234</v>
      </c>
      <c r="G1019" s="237">
        <v>45056</v>
      </c>
      <c r="H1019" s="234">
        <f>SUMIF(VA!B:B,A1019,VA!I:I)</f>
        <v>359.46</v>
      </c>
      <c r="I1019" s="33">
        <f>SUMIF(VR!B:B,A1019,VR!I:I)</f>
        <v>657.5</v>
      </c>
      <c r="J1019" s="4">
        <f t="shared" si="15"/>
        <v>1016.96</v>
      </c>
      <c r="K1019" s="195">
        <f>SUMIF(FALTAS!A:A,A1019,FALTAS!D:D)</f>
        <v>0</v>
      </c>
    </row>
    <row r="1020" spans="1:11" x14ac:dyDescent="0.2">
      <c r="A1020" s="235">
        <v>118993</v>
      </c>
      <c r="B1020" s="236" t="s">
        <v>1433</v>
      </c>
      <c r="C1020" s="236" t="s">
        <v>1589</v>
      </c>
      <c r="D1020" s="236" t="s">
        <v>936</v>
      </c>
      <c r="E1020" s="237">
        <v>44613</v>
      </c>
      <c r="F1020" s="236" t="s">
        <v>1234</v>
      </c>
      <c r="G1020" s="237">
        <v>45149</v>
      </c>
      <c r="H1020" s="234">
        <f>SUMIF(VA!B:B,A1020,VA!I:I)</f>
        <v>359.46</v>
      </c>
      <c r="I1020" s="33">
        <f>SUMIF(VR!B:B,A1020,VR!I:I)</f>
        <v>657.5</v>
      </c>
      <c r="J1020" s="4">
        <f t="shared" si="15"/>
        <v>1016.96</v>
      </c>
      <c r="K1020" s="195">
        <f>SUMIF(FALTAS!A:A,A1020,FALTAS!D:D)</f>
        <v>0</v>
      </c>
    </row>
    <row r="1021" spans="1:11" x14ac:dyDescent="0.2">
      <c r="A1021" s="235">
        <v>114254</v>
      </c>
      <c r="B1021" s="236" t="s">
        <v>1022</v>
      </c>
      <c r="C1021" s="236" t="s">
        <v>0</v>
      </c>
      <c r="D1021" s="236" t="s">
        <v>2</v>
      </c>
      <c r="E1021" s="237">
        <v>43804</v>
      </c>
      <c r="F1021" s="236" t="s">
        <v>1234</v>
      </c>
      <c r="G1021" s="237">
        <v>45086</v>
      </c>
      <c r="H1021" s="234">
        <f>SUMIF(VA!B:B,A1021,VA!I:I)</f>
        <v>359.46</v>
      </c>
      <c r="I1021" s="33">
        <f>SUMIF(VR!B:B,A1021,VR!I:I)</f>
        <v>657.5</v>
      </c>
      <c r="J1021" s="4">
        <f t="shared" si="15"/>
        <v>1016.96</v>
      </c>
      <c r="K1021" s="195">
        <f>SUMIF(FALTAS!A:A,A1021,FALTAS!D:D)</f>
        <v>0</v>
      </c>
    </row>
    <row r="1022" spans="1:11" x14ac:dyDescent="0.2">
      <c r="A1022" s="235">
        <v>113324</v>
      </c>
      <c r="B1022" s="236" t="s">
        <v>708</v>
      </c>
      <c r="C1022" s="236" t="s">
        <v>0</v>
      </c>
      <c r="D1022" s="236" t="s">
        <v>2</v>
      </c>
      <c r="E1022" s="237">
        <v>43617</v>
      </c>
      <c r="F1022" s="236" t="s">
        <v>1234</v>
      </c>
      <c r="G1022" s="237">
        <v>44898</v>
      </c>
      <c r="H1022" s="234">
        <f>SUMIF(VA!B:B,A1022,VA!I:I)</f>
        <v>359.46</v>
      </c>
      <c r="I1022" s="33">
        <f>SUMIF(VR!B:B,A1022,VR!I:I)</f>
        <v>657.5</v>
      </c>
      <c r="J1022" s="4">
        <f t="shared" si="15"/>
        <v>1016.96</v>
      </c>
      <c r="K1022" s="195">
        <f>SUMIF(FALTAS!A:A,A1022,FALTAS!D:D)</f>
        <v>0</v>
      </c>
    </row>
    <row r="1023" spans="1:11" x14ac:dyDescent="0.2">
      <c r="A1023" s="235">
        <v>122418</v>
      </c>
      <c r="B1023" s="236" t="s">
        <v>1710</v>
      </c>
      <c r="C1023" s="236" t="s">
        <v>1589</v>
      </c>
      <c r="D1023" s="236" t="s">
        <v>15</v>
      </c>
      <c r="E1023" s="237">
        <v>45117</v>
      </c>
      <c r="F1023" s="236" t="s">
        <v>1234</v>
      </c>
      <c r="G1023" s="237">
        <v>45117</v>
      </c>
      <c r="H1023" s="234">
        <f>SUMIF(VA!B:B,A1023,VA!I:I)</f>
        <v>359.46</v>
      </c>
      <c r="I1023" s="33">
        <f>SUMIF(VR!B:B,A1023,VR!I:I)</f>
        <v>657.5</v>
      </c>
      <c r="J1023" s="4">
        <f t="shared" si="15"/>
        <v>1016.96</v>
      </c>
      <c r="K1023" s="195">
        <f>SUMIF(FALTAS!A:A,A1023,FALTAS!D:D)</f>
        <v>0</v>
      </c>
    </row>
    <row r="1024" spans="1:11" x14ac:dyDescent="0.2">
      <c r="A1024" s="235">
        <v>113329</v>
      </c>
      <c r="B1024" s="236" t="s">
        <v>712</v>
      </c>
      <c r="C1024" s="236" t="s">
        <v>32</v>
      </c>
      <c r="D1024" s="236" t="s">
        <v>2</v>
      </c>
      <c r="E1024" s="237">
        <v>43617</v>
      </c>
      <c r="F1024" s="236" t="s">
        <v>1234</v>
      </c>
      <c r="G1024" s="237">
        <v>45086</v>
      </c>
      <c r="H1024" s="234">
        <f>SUMIF(VA!B:B,A1024,VA!I:I)</f>
        <v>359.46</v>
      </c>
      <c r="I1024" s="33">
        <f>SUMIF(VR!B:B,A1024,VR!I:I)</f>
        <v>657.5</v>
      </c>
      <c r="J1024" s="4">
        <f t="shared" si="15"/>
        <v>1016.96</v>
      </c>
      <c r="K1024" s="195">
        <f>SUMIF(FALTAS!A:A,A1024,FALTAS!D:D)</f>
        <v>0</v>
      </c>
    </row>
    <row r="1025" spans="1:11" x14ac:dyDescent="0.2">
      <c r="A1025" s="235">
        <v>114934</v>
      </c>
      <c r="B1025" s="236" t="s">
        <v>1121</v>
      </c>
      <c r="C1025" s="236" t="s">
        <v>1589</v>
      </c>
      <c r="D1025" s="236" t="s">
        <v>481</v>
      </c>
      <c r="E1025" s="237">
        <v>43916</v>
      </c>
      <c r="F1025" s="236" t="s">
        <v>1234</v>
      </c>
      <c r="G1025" s="237">
        <v>44806</v>
      </c>
      <c r="H1025" s="234">
        <f>SUMIF(VA!B:B,A1025,VA!I:I)</f>
        <v>359.46</v>
      </c>
      <c r="I1025" s="33">
        <f>SUMIF(VR!B:B,A1025,VR!I:I)</f>
        <v>657.5</v>
      </c>
      <c r="J1025" s="4">
        <f t="shared" si="15"/>
        <v>1016.96</v>
      </c>
      <c r="K1025" s="195">
        <f>SUMIF(FALTAS!A:A,A1025,FALTAS!D:D)</f>
        <v>0</v>
      </c>
    </row>
    <row r="1026" spans="1:11" x14ac:dyDescent="0.2">
      <c r="A1026" s="235">
        <v>113337</v>
      </c>
      <c r="B1026" s="236" t="s">
        <v>716</v>
      </c>
      <c r="C1026" s="236" t="s">
        <v>10</v>
      </c>
      <c r="D1026" s="236" t="s">
        <v>5</v>
      </c>
      <c r="E1026" s="237">
        <v>43617</v>
      </c>
      <c r="F1026" s="236" t="s">
        <v>1234</v>
      </c>
      <c r="G1026" s="237">
        <v>45149</v>
      </c>
      <c r="H1026" s="234">
        <f>SUMIF(VA!B:B,A1026,VA!I:I)</f>
        <v>359.46</v>
      </c>
      <c r="I1026" s="33">
        <f>SUMIF(VR!B:B,A1026,VR!I:I)</f>
        <v>657.5</v>
      </c>
      <c r="J1026" s="4">
        <f t="shared" ref="J1026:J1089" si="16">H1026+I1026</f>
        <v>1016.96</v>
      </c>
      <c r="K1026" s="195">
        <f>SUMIF(FALTAS!A:A,A1026,FALTAS!D:D)</f>
        <v>0</v>
      </c>
    </row>
    <row r="1027" spans="1:11" x14ac:dyDescent="0.2">
      <c r="A1027" s="235">
        <v>113342</v>
      </c>
      <c r="B1027" s="236" t="s">
        <v>719</v>
      </c>
      <c r="C1027" s="236" t="s">
        <v>10</v>
      </c>
      <c r="D1027" s="236" t="s">
        <v>5</v>
      </c>
      <c r="E1027" s="237">
        <v>43617</v>
      </c>
      <c r="F1027" s="236" t="s">
        <v>1234</v>
      </c>
      <c r="G1027" s="237">
        <v>44806</v>
      </c>
      <c r="H1027" s="234">
        <f>SUMIF(VA!B:B,A1027,VA!I:I)</f>
        <v>359.46</v>
      </c>
      <c r="I1027" s="33">
        <f>SUMIF(VR!B:B,A1027,VR!I:I)</f>
        <v>657.5</v>
      </c>
      <c r="J1027" s="4">
        <f t="shared" si="16"/>
        <v>1016.96</v>
      </c>
      <c r="K1027" s="195">
        <f>SUMIF(FALTAS!A:A,A1027,FALTAS!D:D)</f>
        <v>0</v>
      </c>
    </row>
    <row r="1028" spans="1:11" x14ac:dyDescent="0.2">
      <c r="A1028" s="235">
        <v>118995</v>
      </c>
      <c r="B1028" s="236" t="s">
        <v>1434</v>
      </c>
      <c r="C1028" s="236" t="s">
        <v>1589</v>
      </c>
      <c r="D1028" s="236" t="s">
        <v>15</v>
      </c>
      <c r="E1028" s="237">
        <v>44613</v>
      </c>
      <c r="F1028" s="236" t="s">
        <v>1234</v>
      </c>
      <c r="G1028" s="237">
        <v>45086</v>
      </c>
      <c r="H1028" s="234">
        <f>SUMIF(VA!B:B,A1028,VA!I:I)</f>
        <v>359.46</v>
      </c>
      <c r="I1028" s="33">
        <f>SUMIF(VR!B:B,A1028,VR!I:I)</f>
        <v>657.5</v>
      </c>
      <c r="J1028" s="4">
        <f t="shared" si="16"/>
        <v>1016.96</v>
      </c>
      <c r="K1028" s="195">
        <f>SUMIF(FALTAS!A:A,A1028,FALTAS!D:D)</f>
        <v>0</v>
      </c>
    </row>
    <row r="1029" spans="1:11" x14ac:dyDescent="0.2">
      <c r="A1029" s="235">
        <v>113721</v>
      </c>
      <c r="B1029" s="236" t="s">
        <v>938</v>
      </c>
      <c r="C1029" s="236" t="s">
        <v>8</v>
      </c>
      <c r="D1029" s="236" t="s">
        <v>470</v>
      </c>
      <c r="E1029" s="237">
        <v>43619</v>
      </c>
      <c r="F1029" s="236" t="s">
        <v>1234</v>
      </c>
      <c r="G1029" s="237">
        <v>45149</v>
      </c>
      <c r="H1029" s="234">
        <f>SUMIF(VA!B:B,A1029,VA!I:I)</f>
        <v>359.46</v>
      </c>
      <c r="I1029" s="33">
        <f>SUMIF(VR!B:B,A1029,VR!I:I)</f>
        <v>657.5</v>
      </c>
      <c r="J1029" s="4">
        <f t="shared" si="16"/>
        <v>1016.96</v>
      </c>
      <c r="K1029" s="195">
        <f>SUMIF(FALTAS!A:A,A1029,FALTAS!D:D)</f>
        <v>0</v>
      </c>
    </row>
    <row r="1030" spans="1:11" x14ac:dyDescent="0.2">
      <c r="A1030" s="235">
        <v>113783</v>
      </c>
      <c r="B1030" s="236" t="s">
        <v>982</v>
      </c>
      <c r="C1030" s="236" t="s">
        <v>1589</v>
      </c>
      <c r="D1030" s="236" t="s">
        <v>1663</v>
      </c>
      <c r="E1030" s="237">
        <v>43624</v>
      </c>
      <c r="F1030" s="236" t="s">
        <v>1234</v>
      </c>
      <c r="G1030" s="237">
        <v>44960</v>
      </c>
      <c r="H1030" s="234">
        <f>SUMIF(VA!B:B,A1030,VA!I:I)</f>
        <v>359.46</v>
      </c>
      <c r="I1030" s="33">
        <f>SUMIF(VR!B:B,A1030,VR!I:I)</f>
        <v>657.5</v>
      </c>
      <c r="J1030" s="4">
        <f t="shared" si="16"/>
        <v>1016.96</v>
      </c>
      <c r="K1030" s="195">
        <f>SUMIF(FALTAS!A:A,A1030,FALTAS!D:D)</f>
        <v>0</v>
      </c>
    </row>
    <row r="1031" spans="1:11" x14ac:dyDescent="0.2">
      <c r="A1031" s="235">
        <v>112193</v>
      </c>
      <c r="B1031" s="236" t="s">
        <v>25</v>
      </c>
      <c r="C1031" s="236" t="s">
        <v>10</v>
      </c>
      <c r="D1031" s="236" t="s">
        <v>5</v>
      </c>
      <c r="E1031" s="237">
        <v>43617</v>
      </c>
      <c r="F1031" s="236" t="s">
        <v>1235</v>
      </c>
      <c r="G1031" s="237">
        <v>45147</v>
      </c>
      <c r="H1031" s="234">
        <f>SUMIF(VA!B:B,A1031,VA!I:I)</f>
        <v>359.46</v>
      </c>
      <c r="I1031" s="33">
        <f>SUMIF(VR!B:B,A1031,VR!I:I)</f>
        <v>657.5</v>
      </c>
      <c r="J1031" s="4">
        <f t="shared" si="16"/>
        <v>1016.96</v>
      </c>
      <c r="K1031" s="195">
        <f>SUMIF(FALTAS!A:A,A1031,FALTAS!D:D)</f>
        <v>0</v>
      </c>
    </row>
    <row r="1032" spans="1:11" x14ac:dyDescent="0.2">
      <c r="A1032" s="235">
        <v>122254</v>
      </c>
      <c r="B1032" s="236" t="s">
        <v>1670</v>
      </c>
      <c r="C1032" s="236" t="s">
        <v>1589</v>
      </c>
      <c r="D1032" s="236" t="s">
        <v>967</v>
      </c>
      <c r="E1032" s="237">
        <v>45089</v>
      </c>
      <c r="F1032" s="236" t="s">
        <v>1234</v>
      </c>
      <c r="G1032" s="237">
        <v>45089</v>
      </c>
      <c r="H1032" s="234">
        <f>SUMIF(VA!B:B,A1032,VA!I:I)</f>
        <v>359.46</v>
      </c>
      <c r="I1032" s="33">
        <f>SUMIF(VR!B:B,A1032,VR!I:I)</f>
        <v>657.5</v>
      </c>
      <c r="J1032" s="4">
        <f t="shared" si="16"/>
        <v>1016.96</v>
      </c>
      <c r="K1032" s="195">
        <f>SUMIF(FALTAS!A:A,A1032,FALTAS!D:D)</f>
        <v>0</v>
      </c>
    </row>
    <row r="1033" spans="1:11" x14ac:dyDescent="0.2">
      <c r="A1033" s="235">
        <v>117414</v>
      </c>
      <c r="B1033" s="236" t="s">
        <v>1280</v>
      </c>
      <c r="C1033" s="236" t="s">
        <v>10</v>
      </c>
      <c r="D1033" s="236" t="s">
        <v>2</v>
      </c>
      <c r="E1033" s="237">
        <v>44522</v>
      </c>
      <c r="F1033" s="236" t="s">
        <v>1234</v>
      </c>
      <c r="G1033" s="237">
        <v>45086</v>
      </c>
      <c r="H1033" s="234">
        <f>SUMIF(VA!B:B,A1033,VA!I:I)</f>
        <v>359.46</v>
      </c>
      <c r="I1033" s="33">
        <f>SUMIF(VR!B:B,A1033,VR!I:I)</f>
        <v>657.5</v>
      </c>
      <c r="J1033" s="4">
        <f t="shared" si="16"/>
        <v>1016.96</v>
      </c>
      <c r="K1033" s="195">
        <f>SUMIF(FALTAS!A:A,A1033,FALTAS!D:D)</f>
        <v>0</v>
      </c>
    </row>
    <row r="1034" spans="1:11" x14ac:dyDescent="0.2">
      <c r="A1034" s="235">
        <v>112201</v>
      </c>
      <c r="B1034" s="236" t="s">
        <v>30</v>
      </c>
      <c r="C1034" s="236" t="s">
        <v>10</v>
      </c>
      <c r="D1034" s="236" t="s">
        <v>5</v>
      </c>
      <c r="E1034" s="237">
        <v>43617</v>
      </c>
      <c r="F1034" s="236" t="s">
        <v>1234</v>
      </c>
      <c r="G1034" s="237">
        <v>45149</v>
      </c>
      <c r="H1034" s="234">
        <f>SUMIF(VA!B:B,A1034,VA!I:I)</f>
        <v>359.46</v>
      </c>
      <c r="I1034" s="33">
        <f>SUMIF(VR!B:B,A1034,VR!I:I)</f>
        <v>657.5</v>
      </c>
      <c r="J1034" s="4">
        <f t="shared" si="16"/>
        <v>1016.96</v>
      </c>
      <c r="K1034" s="195">
        <f>SUMIF(FALTAS!A:A,A1034,FALTAS!D:D)</f>
        <v>0</v>
      </c>
    </row>
    <row r="1035" spans="1:11" x14ac:dyDescent="0.2">
      <c r="A1035" s="235">
        <v>113778</v>
      </c>
      <c r="B1035" s="236" t="s">
        <v>979</v>
      </c>
      <c r="C1035" s="236" t="s">
        <v>0</v>
      </c>
      <c r="D1035" s="236" t="s">
        <v>7</v>
      </c>
      <c r="E1035" s="237">
        <v>43623</v>
      </c>
      <c r="F1035" s="236" t="s">
        <v>1234</v>
      </c>
      <c r="G1035" s="237">
        <v>45000</v>
      </c>
      <c r="H1035" s="234">
        <f>SUMIF(VA!B:B,A1035,VA!I:I)</f>
        <v>359.46</v>
      </c>
      <c r="I1035" s="33">
        <f>SUMIF(VR!B:B,A1035,VR!I:I)</f>
        <v>657.5</v>
      </c>
      <c r="J1035" s="4">
        <f t="shared" si="16"/>
        <v>1016.96</v>
      </c>
      <c r="K1035" s="195">
        <f>SUMIF(FALTAS!A:A,A1035,FALTAS!D:D)</f>
        <v>0</v>
      </c>
    </row>
    <row r="1036" spans="1:11" x14ac:dyDescent="0.2">
      <c r="A1036" s="235">
        <v>112230</v>
      </c>
      <c r="B1036" s="236" t="s">
        <v>52</v>
      </c>
      <c r="C1036" s="236" t="s">
        <v>0</v>
      </c>
      <c r="D1036" s="236" t="s">
        <v>2</v>
      </c>
      <c r="E1036" s="237">
        <v>43617</v>
      </c>
      <c r="F1036" s="236" t="s">
        <v>1235</v>
      </c>
      <c r="G1036" s="237">
        <v>45147</v>
      </c>
      <c r="H1036" s="234">
        <f>SUMIF(VA!B:B,A1036,VA!I:I)</f>
        <v>359.46</v>
      </c>
      <c r="I1036" s="33">
        <f>SUMIF(VR!B:B,A1036,VR!I:I)</f>
        <v>657.5</v>
      </c>
      <c r="J1036" s="4">
        <f t="shared" si="16"/>
        <v>1016.96</v>
      </c>
      <c r="K1036" s="195">
        <f>SUMIF(FALTAS!A:A,A1036,FALTAS!D:D)</f>
        <v>0</v>
      </c>
    </row>
    <row r="1037" spans="1:11" x14ac:dyDescent="0.2">
      <c r="A1037" s="235">
        <v>114106</v>
      </c>
      <c r="B1037" s="236" t="s">
        <v>1010</v>
      </c>
      <c r="C1037" s="236" t="s">
        <v>10</v>
      </c>
      <c r="D1037" s="236" t="s">
        <v>5</v>
      </c>
      <c r="E1037" s="237">
        <v>43728</v>
      </c>
      <c r="F1037" s="236" t="s">
        <v>1234</v>
      </c>
      <c r="G1037" s="237">
        <v>45086</v>
      </c>
      <c r="H1037" s="234">
        <f>SUMIF(VA!B:B,A1037,VA!I:I)</f>
        <v>359.46</v>
      </c>
      <c r="I1037" s="33">
        <f>SUMIF(VR!B:B,A1037,VR!I:I)</f>
        <v>657.5</v>
      </c>
      <c r="J1037" s="4">
        <f t="shared" si="16"/>
        <v>1016.96</v>
      </c>
      <c r="K1037" s="195">
        <f>SUMIF(FALTAS!A:A,A1037,FALTAS!D:D)</f>
        <v>0</v>
      </c>
    </row>
    <row r="1038" spans="1:11" x14ac:dyDescent="0.2">
      <c r="A1038" s="235">
        <v>119672</v>
      </c>
      <c r="B1038" s="236" t="s">
        <v>1477</v>
      </c>
      <c r="C1038" s="236" t="s">
        <v>0</v>
      </c>
      <c r="D1038" s="236" t="s">
        <v>2</v>
      </c>
      <c r="E1038" s="237">
        <v>44725</v>
      </c>
      <c r="F1038" s="236" t="s">
        <v>1234</v>
      </c>
      <c r="G1038" s="237">
        <v>44725</v>
      </c>
      <c r="H1038" s="234">
        <f>SUMIF(VA!B:B,A1038,VA!I:I)</f>
        <v>359.46</v>
      </c>
      <c r="I1038" s="33">
        <f>SUMIF(VR!B:B,A1038,VR!I:I)</f>
        <v>657.5</v>
      </c>
      <c r="J1038" s="4">
        <f t="shared" si="16"/>
        <v>1016.96</v>
      </c>
      <c r="K1038" s="195">
        <f>SUMIF(FALTAS!A:A,A1038,FALTAS!D:D)</f>
        <v>0</v>
      </c>
    </row>
    <row r="1039" spans="1:11" x14ac:dyDescent="0.2">
      <c r="A1039" s="235">
        <v>112240</v>
      </c>
      <c r="B1039" s="236" t="s">
        <v>58</v>
      </c>
      <c r="C1039" s="236" t="s">
        <v>0</v>
      </c>
      <c r="D1039" s="236" t="s">
        <v>2</v>
      </c>
      <c r="E1039" s="237">
        <v>43617</v>
      </c>
      <c r="F1039" s="236" t="s">
        <v>1234</v>
      </c>
      <c r="G1039" s="237">
        <v>44776</v>
      </c>
      <c r="H1039" s="234">
        <f>SUMIF(VA!B:B,A1039,VA!I:I)</f>
        <v>359.46</v>
      </c>
      <c r="I1039" s="33">
        <f>SUMIF(VR!B:B,A1039,VR!I:I)</f>
        <v>657.5</v>
      </c>
      <c r="J1039" s="4">
        <f t="shared" si="16"/>
        <v>1016.96</v>
      </c>
      <c r="K1039" s="195">
        <f>SUMIF(FALTAS!A:A,A1039,FALTAS!D:D)</f>
        <v>0</v>
      </c>
    </row>
    <row r="1040" spans="1:11" x14ac:dyDescent="0.2">
      <c r="A1040" s="235">
        <v>112262</v>
      </c>
      <c r="B1040" s="236" t="s">
        <v>72</v>
      </c>
      <c r="C1040" s="236" t="s">
        <v>0</v>
      </c>
      <c r="D1040" s="236" t="s">
        <v>5</v>
      </c>
      <c r="E1040" s="237">
        <v>43617</v>
      </c>
      <c r="F1040" s="236" t="s">
        <v>1234</v>
      </c>
      <c r="G1040" s="237">
        <v>44806</v>
      </c>
      <c r="H1040" s="234">
        <f>SUMIF(VA!B:B,A1040,VA!I:I)</f>
        <v>359.46</v>
      </c>
      <c r="I1040" s="33">
        <f>SUMIF(VR!B:B,A1040,VR!I:I)</f>
        <v>657.5</v>
      </c>
      <c r="J1040" s="4">
        <f t="shared" si="16"/>
        <v>1016.96</v>
      </c>
      <c r="K1040" s="195">
        <f>SUMIF(FALTAS!A:A,A1040,FALTAS!D:D)</f>
        <v>0</v>
      </c>
    </row>
    <row r="1041" spans="1:11" x14ac:dyDescent="0.2">
      <c r="A1041" s="235">
        <v>119742</v>
      </c>
      <c r="B1041" s="236" t="s">
        <v>1166</v>
      </c>
      <c r="C1041" s="236" t="s">
        <v>1589</v>
      </c>
      <c r="D1041" s="236" t="s">
        <v>120</v>
      </c>
      <c r="E1041" s="237">
        <v>44733</v>
      </c>
      <c r="F1041" s="236" t="s">
        <v>1234</v>
      </c>
      <c r="G1041" s="237">
        <v>45134</v>
      </c>
      <c r="H1041" s="234">
        <f>SUMIF(VA!B:B,A1041,VA!I:I)</f>
        <v>359.46</v>
      </c>
      <c r="I1041" s="33">
        <f>SUMIF(VR!B:B,A1041,VR!I:I)</f>
        <v>657.5</v>
      </c>
      <c r="J1041" s="4">
        <f t="shared" si="16"/>
        <v>1016.96</v>
      </c>
      <c r="K1041" s="195">
        <f>SUMIF(FALTAS!A:A,A1041,FALTAS!D:D)</f>
        <v>0</v>
      </c>
    </row>
    <row r="1042" spans="1:11" x14ac:dyDescent="0.2">
      <c r="A1042" s="235">
        <v>112277</v>
      </c>
      <c r="B1042" s="236" t="s">
        <v>82</v>
      </c>
      <c r="C1042" s="236" t="s">
        <v>8</v>
      </c>
      <c r="D1042" s="236" t="s">
        <v>5</v>
      </c>
      <c r="E1042" s="237">
        <v>43617</v>
      </c>
      <c r="F1042" s="236" t="s">
        <v>1234</v>
      </c>
      <c r="G1042" s="237">
        <v>44835</v>
      </c>
      <c r="H1042" s="234">
        <f>SUMIF(VA!B:B,A1042,VA!I:I)</f>
        <v>359.46</v>
      </c>
      <c r="I1042" s="33">
        <f>SUMIF(VR!B:B,A1042,VR!I:I)</f>
        <v>657.5</v>
      </c>
      <c r="J1042" s="4">
        <f t="shared" si="16"/>
        <v>1016.96</v>
      </c>
      <c r="K1042" s="195">
        <f>SUMIF(FALTAS!A:A,A1042,FALTAS!D:D)</f>
        <v>0</v>
      </c>
    </row>
    <row r="1043" spans="1:11" x14ac:dyDescent="0.2">
      <c r="A1043" s="235">
        <v>112306</v>
      </c>
      <c r="B1043" s="236" t="s">
        <v>100</v>
      </c>
      <c r="C1043" s="236" t="s">
        <v>10</v>
      </c>
      <c r="D1043" s="236" t="s">
        <v>2</v>
      </c>
      <c r="E1043" s="237">
        <v>43617</v>
      </c>
      <c r="F1043" s="236" t="s">
        <v>1234</v>
      </c>
      <c r="G1043" s="237">
        <v>45149</v>
      </c>
      <c r="H1043" s="234">
        <f>SUMIF(VA!B:B,A1043,VA!I:I)</f>
        <v>359.46</v>
      </c>
      <c r="I1043" s="33">
        <f>SUMIF(VR!B:B,A1043,VR!I:I)</f>
        <v>657.5</v>
      </c>
      <c r="J1043" s="4">
        <f t="shared" si="16"/>
        <v>1016.96</v>
      </c>
      <c r="K1043" s="195">
        <f>SUMIF(FALTAS!A:A,A1043,FALTAS!D:D)</f>
        <v>0</v>
      </c>
    </row>
    <row r="1044" spans="1:11" x14ac:dyDescent="0.2">
      <c r="A1044" s="235">
        <v>113675</v>
      </c>
      <c r="B1044" s="236" t="s">
        <v>912</v>
      </c>
      <c r="C1044" s="236" t="s">
        <v>19</v>
      </c>
      <c r="D1044" s="236" t="s">
        <v>5</v>
      </c>
      <c r="E1044" s="237">
        <v>43617</v>
      </c>
      <c r="F1044" s="236" t="s">
        <v>1234</v>
      </c>
      <c r="G1044" s="237">
        <v>44776</v>
      </c>
      <c r="H1044" s="234">
        <f>SUMIF(VA!B:B,A1044,VA!I:I)</f>
        <v>359.46</v>
      </c>
      <c r="I1044" s="33">
        <f>SUMIF(VR!B:B,A1044,VR!I:I)</f>
        <v>657.5</v>
      </c>
      <c r="J1044" s="4">
        <f t="shared" si="16"/>
        <v>1016.96</v>
      </c>
      <c r="K1044" s="195">
        <f>SUMIF(FALTAS!A:A,A1044,FALTAS!D:D)</f>
        <v>0</v>
      </c>
    </row>
    <row r="1045" spans="1:11" x14ac:dyDescent="0.2">
      <c r="A1045" s="235">
        <v>112373</v>
      </c>
      <c r="B1045" s="236" t="s">
        <v>137</v>
      </c>
      <c r="C1045" s="236" t="s">
        <v>0</v>
      </c>
      <c r="D1045" s="236" t="s">
        <v>5</v>
      </c>
      <c r="E1045" s="237">
        <v>43617</v>
      </c>
      <c r="F1045" s="236" t="s">
        <v>1234</v>
      </c>
      <c r="G1045" s="237">
        <v>44744</v>
      </c>
      <c r="H1045" s="234">
        <f>SUMIF(VA!B:B,A1045,VA!I:I)</f>
        <v>359.46</v>
      </c>
      <c r="I1045" s="33">
        <f>SUMIF(VR!B:B,A1045,VR!I:I)</f>
        <v>657.5</v>
      </c>
      <c r="J1045" s="4">
        <f t="shared" si="16"/>
        <v>1016.96</v>
      </c>
      <c r="K1045" s="195">
        <f>SUMIF(FALTAS!A:A,A1045,FALTAS!D:D)</f>
        <v>0</v>
      </c>
    </row>
    <row r="1046" spans="1:11" x14ac:dyDescent="0.2">
      <c r="A1046" s="235">
        <v>112380</v>
      </c>
      <c r="B1046" s="236" t="s">
        <v>143</v>
      </c>
      <c r="C1046" s="236" t="s">
        <v>0</v>
      </c>
      <c r="D1046" s="236" t="s">
        <v>2</v>
      </c>
      <c r="E1046" s="237">
        <v>43617</v>
      </c>
      <c r="F1046" s="236" t="s">
        <v>1234</v>
      </c>
      <c r="G1046" s="237">
        <v>44776</v>
      </c>
      <c r="H1046" s="234">
        <f>SUMIF(VA!B:B,A1046,VA!I:I)</f>
        <v>359.46</v>
      </c>
      <c r="I1046" s="33">
        <f>SUMIF(VR!B:B,A1046,VR!I:I)</f>
        <v>657.5</v>
      </c>
      <c r="J1046" s="4">
        <f t="shared" si="16"/>
        <v>1016.96</v>
      </c>
      <c r="K1046" s="195">
        <f>SUMIF(FALTAS!A:A,A1046,FALTAS!D:D)</f>
        <v>0</v>
      </c>
    </row>
    <row r="1047" spans="1:11" x14ac:dyDescent="0.2">
      <c r="A1047" s="235">
        <v>112392</v>
      </c>
      <c r="B1047" s="236" t="s">
        <v>150</v>
      </c>
      <c r="C1047" s="236" t="s">
        <v>0</v>
      </c>
      <c r="D1047" s="236" t="s">
        <v>2</v>
      </c>
      <c r="E1047" s="237">
        <v>43617</v>
      </c>
      <c r="F1047" s="236" t="s">
        <v>1234</v>
      </c>
      <c r="G1047" s="237">
        <v>44776</v>
      </c>
      <c r="H1047" s="234">
        <f>SUMIF(VA!B:B,A1047,VA!I:I)</f>
        <v>359.46</v>
      </c>
      <c r="I1047" s="33">
        <f>SUMIF(VR!B:B,A1047,VR!I:I)</f>
        <v>657.5</v>
      </c>
      <c r="J1047" s="4">
        <f t="shared" si="16"/>
        <v>1016.96</v>
      </c>
      <c r="K1047" s="195">
        <f>SUMIF(FALTAS!A:A,A1047,FALTAS!D:D)</f>
        <v>0</v>
      </c>
    </row>
    <row r="1048" spans="1:11" x14ac:dyDescent="0.2">
      <c r="A1048" s="235">
        <v>116719</v>
      </c>
      <c r="B1048" s="236" t="s">
        <v>1222</v>
      </c>
      <c r="C1048" s="236" t="s">
        <v>8</v>
      </c>
      <c r="D1048" s="236" t="s">
        <v>2</v>
      </c>
      <c r="E1048" s="237">
        <v>44368</v>
      </c>
      <c r="F1048" s="236" t="s">
        <v>1234</v>
      </c>
      <c r="G1048" s="237">
        <v>44993</v>
      </c>
      <c r="H1048" s="234">
        <f>SUMIF(VA!B:B,A1048,VA!I:I)</f>
        <v>323.51</v>
      </c>
      <c r="I1048" s="33">
        <f>SUMIF(VR!B:B,A1048,VR!I:I)</f>
        <v>578.6</v>
      </c>
      <c r="J1048" s="4">
        <f t="shared" si="16"/>
        <v>902.11</v>
      </c>
      <c r="K1048" s="195">
        <f>SUMIF(FALTAS!A:A,A1048,FALTAS!D:D)</f>
        <v>3</v>
      </c>
    </row>
    <row r="1049" spans="1:11" x14ac:dyDescent="0.2">
      <c r="A1049" s="235">
        <v>112397</v>
      </c>
      <c r="B1049" s="236" t="s">
        <v>153</v>
      </c>
      <c r="C1049" s="236" t="s">
        <v>10</v>
      </c>
      <c r="D1049" s="236" t="s">
        <v>2</v>
      </c>
      <c r="E1049" s="237">
        <v>43617</v>
      </c>
      <c r="F1049" s="236" t="s">
        <v>1234</v>
      </c>
      <c r="G1049" s="237">
        <v>44835</v>
      </c>
      <c r="H1049" s="234">
        <f>SUMIF(VA!B:B,A1049,VA!I:I)</f>
        <v>359.46</v>
      </c>
      <c r="I1049" s="33">
        <f>SUMIF(VR!B:B,A1049,VR!I:I)</f>
        <v>657.5</v>
      </c>
      <c r="J1049" s="4">
        <f t="shared" si="16"/>
        <v>1016.96</v>
      </c>
      <c r="K1049" s="195">
        <f>SUMIF(FALTAS!A:A,A1049,FALTAS!D:D)</f>
        <v>0</v>
      </c>
    </row>
    <row r="1050" spans="1:11" x14ac:dyDescent="0.2">
      <c r="A1050" s="235">
        <v>112402</v>
      </c>
      <c r="B1050" s="236" t="s">
        <v>158</v>
      </c>
      <c r="C1050" s="236" t="s">
        <v>0</v>
      </c>
      <c r="D1050" s="236" t="s">
        <v>5</v>
      </c>
      <c r="E1050" s="237">
        <v>43617</v>
      </c>
      <c r="F1050" s="236" t="s">
        <v>1234</v>
      </c>
      <c r="G1050" s="237">
        <v>44993</v>
      </c>
      <c r="H1050" s="234">
        <f>SUMIF(VA!B:B,A1050,VA!I:I)</f>
        <v>359.46</v>
      </c>
      <c r="I1050" s="33">
        <f>SUMIF(VR!B:B,A1050,VR!I:I)</f>
        <v>657.5</v>
      </c>
      <c r="J1050" s="4">
        <f t="shared" si="16"/>
        <v>1016.96</v>
      </c>
      <c r="K1050" s="195">
        <f>SUMIF(FALTAS!A:A,A1050,FALTAS!D:D)</f>
        <v>0</v>
      </c>
    </row>
    <row r="1051" spans="1:11" x14ac:dyDescent="0.2">
      <c r="A1051" s="235">
        <v>112405</v>
      </c>
      <c r="B1051" s="236" t="s">
        <v>160</v>
      </c>
      <c r="C1051" s="236" t="s">
        <v>8</v>
      </c>
      <c r="D1051" s="236" t="s">
        <v>2</v>
      </c>
      <c r="E1051" s="237">
        <v>43617</v>
      </c>
      <c r="F1051" s="236" t="s">
        <v>1234</v>
      </c>
      <c r="G1051" s="237">
        <v>44806</v>
      </c>
      <c r="H1051" s="234">
        <f>SUMIF(VA!B:B,A1051,VA!I:I)</f>
        <v>359.46</v>
      </c>
      <c r="I1051" s="33">
        <f>SUMIF(VR!B:B,A1051,VR!I:I)</f>
        <v>657.5</v>
      </c>
      <c r="J1051" s="4">
        <f t="shared" si="16"/>
        <v>1016.96</v>
      </c>
      <c r="K1051" s="195">
        <f>SUMIF(FALTAS!A:A,A1051,FALTAS!D:D)</f>
        <v>0</v>
      </c>
    </row>
    <row r="1052" spans="1:11" x14ac:dyDescent="0.2">
      <c r="A1052" s="235">
        <v>114928</v>
      </c>
      <c r="B1052" s="236" t="s">
        <v>1118</v>
      </c>
      <c r="C1052" s="236" t="s">
        <v>1589</v>
      </c>
      <c r="D1052" s="236" t="s">
        <v>5</v>
      </c>
      <c r="E1052" s="237">
        <v>43916</v>
      </c>
      <c r="F1052" s="236" t="s">
        <v>1235</v>
      </c>
      <c r="G1052" s="237">
        <v>45147</v>
      </c>
      <c r="H1052" s="234">
        <f>SUMIF(VA!B:B,A1052,VA!I:I)</f>
        <v>359.46</v>
      </c>
      <c r="I1052" s="33">
        <f>SUMIF(VR!B:B,A1052,VR!I:I)</f>
        <v>657.5</v>
      </c>
      <c r="J1052" s="4">
        <f t="shared" si="16"/>
        <v>1016.96</v>
      </c>
      <c r="K1052" s="195">
        <f>SUMIF(FALTAS!A:A,A1052,FALTAS!D:D)</f>
        <v>0</v>
      </c>
    </row>
    <row r="1053" spans="1:11" x14ac:dyDescent="0.2">
      <c r="A1053" s="235">
        <v>112445</v>
      </c>
      <c r="B1053" s="236" t="s">
        <v>186</v>
      </c>
      <c r="C1053" s="236" t="s">
        <v>10</v>
      </c>
      <c r="D1053" s="236" t="s">
        <v>2</v>
      </c>
      <c r="E1053" s="237">
        <v>43617</v>
      </c>
      <c r="F1053" s="236" t="s">
        <v>1234</v>
      </c>
      <c r="G1053" s="237">
        <v>44989</v>
      </c>
      <c r="H1053" s="234">
        <f>SUMIF(VA!B:B,A1053,VA!I:I)</f>
        <v>359.46</v>
      </c>
      <c r="I1053" s="33">
        <f>SUMIF(VR!B:B,A1053,VR!I:I)</f>
        <v>657.5</v>
      </c>
      <c r="J1053" s="4">
        <f t="shared" si="16"/>
        <v>1016.96</v>
      </c>
      <c r="K1053" s="195">
        <f>SUMIF(FALTAS!A:A,A1053,FALTAS!D:D)</f>
        <v>0</v>
      </c>
    </row>
    <row r="1054" spans="1:11" x14ac:dyDescent="0.2">
      <c r="A1054" s="235">
        <v>121690</v>
      </c>
      <c r="B1054" s="236" t="s">
        <v>1601</v>
      </c>
      <c r="C1054" s="236" t="s">
        <v>1591</v>
      </c>
      <c r="D1054" s="236" t="s">
        <v>470</v>
      </c>
      <c r="E1054" s="237">
        <v>44994</v>
      </c>
      <c r="F1054" s="236" t="s">
        <v>1234</v>
      </c>
      <c r="G1054" s="237">
        <v>44994</v>
      </c>
      <c r="H1054" s="234">
        <f>SUMIF(VA!B:B,A1054,VA!I:I)</f>
        <v>359.46</v>
      </c>
      <c r="I1054" s="33">
        <f>SUMIF(VR!B:B,A1054,VR!I:I)</f>
        <v>657.5</v>
      </c>
      <c r="J1054" s="4">
        <f t="shared" si="16"/>
        <v>1016.96</v>
      </c>
      <c r="K1054" s="195">
        <f>SUMIF(FALTAS!A:A,A1054,FALTAS!D:D)</f>
        <v>0</v>
      </c>
    </row>
    <row r="1055" spans="1:11" x14ac:dyDescent="0.2">
      <c r="A1055" s="235">
        <v>114272</v>
      </c>
      <c r="B1055" s="236" t="s">
        <v>1033</v>
      </c>
      <c r="C1055" s="236" t="s">
        <v>10</v>
      </c>
      <c r="D1055" s="236" t="s">
        <v>2</v>
      </c>
      <c r="E1055" s="237">
        <v>43804</v>
      </c>
      <c r="F1055" s="236" t="s">
        <v>1234</v>
      </c>
      <c r="G1055" s="237">
        <v>45086</v>
      </c>
      <c r="H1055" s="234">
        <f>SUMIF(VA!B:B,A1055,VA!I:I)</f>
        <v>359.46</v>
      </c>
      <c r="I1055" s="33">
        <f>SUMIF(VR!B:B,A1055,VR!I:I)</f>
        <v>657.5</v>
      </c>
      <c r="J1055" s="4">
        <f t="shared" si="16"/>
        <v>1016.96</v>
      </c>
      <c r="K1055" s="195">
        <f>SUMIF(FALTAS!A:A,A1055,FALTAS!D:D)</f>
        <v>0</v>
      </c>
    </row>
    <row r="1056" spans="1:11" x14ac:dyDescent="0.2">
      <c r="A1056" s="235">
        <v>116713</v>
      </c>
      <c r="B1056" s="236" t="s">
        <v>1219</v>
      </c>
      <c r="C1056" s="236" t="s">
        <v>19</v>
      </c>
      <c r="D1056" s="236" t="s">
        <v>2</v>
      </c>
      <c r="E1056" s="237">
        <v>44368</v>
      </c>
      <c r="F1056" s="236" t="s">
        <v>1234</v>
      </c>
      <c r="G1056" s="237">
        <v>45056</v>
      </c>
      <c r="H1056" s="234">
        <f>SUMIF(VA!B:B,A1056,VA!I:I)</f>
        <v>359.46</v>
      </c>
      <c r="I1056" s="33">
        <f>SUMIF(VR!B:B,A1056,VR!I:I)</f>
        <v>657.5</v>
      </c>
      <c r="J1056" s="4">
        <f t="shared" si="16"/>
        <v>1016.96</v>
      </c>
      <c r="K1056" s="195">
        <f>SUMIF(FALTAS!A:A,A1056,FALTAS!D:D)</f>
        <v>0</v>
      </c>
    </row>
    <row r="1057" spans="1:11" x14ac:dyDescent="0.2">
      <c r="A1057" s="235">
        <v>112453</v>
      </c>
      <c r="B1057" s="236" t="s">
        <v>191</v>
      </c>
      <c r="C1057" s="236" t="s">
        <v>19</v>
      </c>
      <c r="D1057" s="236" t="s">
        <v>2</v>
      </c>
      <c r="E1057" s="237">
        <v>43617</v>
      </c>
      <c r="F1057" s="236" t="s">
        <v>1234</v>
      </c>
      <c r="G1057" s="237">
        <v>44806</v>
      </c>
      <c r="H1057" s="234">
        <f>SUMIF(VA!B:B,A1057,VA!I:I)</f>
        <v>359.46</v>
      </c>
      <c r="I1057" s="33">
        <f>SUMIF(VR!B:B,A1057,VR!I:I)</f>
        <v>657.5</v>
      </c>
      <c r="J1057" s="4">
        <f t="shared" si="16"/>
        <v>1016.96</v>
      </c>
      <c r="K1057" s="195">
        <f>SUMIF(FALTAS!A:A,A1057,FALTAS!D:D)</f>
        <v>0</v>
      </c>
    </row>
    <row r="1058" spans="1:11" x14ac:dyDescent="0.2">
      <c r="A1058" s="235">
        <v>112469</v>
      </c>
      <c r="B1058" s="236" t="s">
        <v>198</v>
      </c>
      <c r="C1058" s="236" t="s">
        <v>10</v>
      </c>
      <c r="D1058" s="236" t="s">
        <v>2</v>
      </c>
      <c r="E1058" s="237">
        <v>43617</v>
      </c>
      <c r="F1058" s="236" t="s">
        <v>1234</v>
      </c>
      <c r="G1058" s="237">
        <v>45119</v>
      </c>
      <c r="H1058" s="234">
        <f>SUMIF(VA!B:B,A1058,VA!I:I)</f>
        <v>359.46</v>
      </c>
      <c r="I1058" s="33">
        <f>SUMIF(VR!B:B,A1058,VR!I:I)</f>
        <v>657.5</v>
      </c>
      <c r="J1058" s="4">
        <f t="shared" si="16"/>
        <v>1016.96</v>
      </c>
      <c r="K1058" s="195">
        <f>SUMIF(FALTAS!A:A,A1058,FALTAS!D:D)</f>
        <v>0</v>
      </c>
    </row>
    <row r="1059" spans="1:11" x14ac:dyDescent="0.2">
      <c r="A1059" s="235">
        <v>112476</v>
      </c>
      <c r="B1059" s="236" t="s">
        <v>204</v>
      </c>
      <c r="C1059" s="236" t="s">
        <v>1591</v>
      </c>
      <c r="D1059" s="236" t="s">
        <v>904</v>
      </c>
      <c r="E1059" s="237">
        <v>43617</v>
      </c>
      <c r="F1059" s="236" t="s">
        <v>1234</v>
      </c>
      <c r="G1059" s="237">
        <v>44898</v>
      </c>
      <c r="H1059" s="234">
        <f>SUMIF(VA!B:B,A1059,VA!I:I)</f>
        <v>359.46</v>
      </c>
      <c r="I1059" s="33">
        <f>SUMIF(VR!B:B,A1059,VR!I:I)</f>
        <v>657.5</v>
      </c>
      <c r="J1059" s="4">
        <f t="shared" si="16"/>
        <v>1016.96</v>
      </c>
      <c r="K1059" s="195">
        <f>SUMIF(FALTAS!A:A,A1059,FALTAS!D:D)</f>
        <v>0</v>
      </c>
    </row>
    <row r="1060" spans="1:11" x14ac:dyDescent="0.2">
      <c r="A1060" s="235">
        <v>115012</v>
      </c>
      <c r="B1060" s="236" t="s">
        <v>1144</v>
      </c>
      <c r="C1060" s="236" t="s">
        <v>1589</v>
      </c>
      <c r="D1060" s="236" t="s">
        <v>5</v>
      </c>
      <c r="E1060" s="237">
        <v>43930</v>
      </c>
      <c r="F1060" s="236" t="s">
        <v>1234</v>
      </c>
      <c r="G1060" s="237">
        <v>44715</v>
      </c>
      <c r="H1060" s="234">
        <f>SUMIF(VA!B:B,A1060,VA!I:I)</f>
        <v>299.55</v>
      </c>
      <c r="I1060" s="33">
        <f>SUMIF(VR!B:B,A1060,VR!I:I)</f>
        <v>526</v>
      </c>
      <c r="J1060" s="4">
        <f t="shared" si="16"/>
        <v>825.55</v>
      </c>
      <c r="K1060" s="195">
        <f>SUMIF(FALTAS!A:A,A1060,FALTAS!D:D)</f>
        <v>5</v>
      </c>
    </row>
    <row r="1061" spans="1:11" x14ac:dyDescent="0.2">
      <c r="A1061" s="235">
        <v>114733</v>
      </c>
      <c r="B1061" s="236" t="s">
        <v>1087</v>
      </c>
      <c r="C1061" s="236" t="s">
        <v>32</v>
      </c>
      <c r="D1061" s="236" t="s">
        <v>5</v>
      </c>
      <c r="E1061" s="237">
        <v>43874</v>
      </c>
      <c r="F1061" s="236" t="s">
        <v>1234</v>
      </c>
      <c r="G1061" s="237">
        <v>45080</v>
      </c>
      <c r="H1061" s="234">
        <f>SUMIF(VA!B:B,A1061,VA!I:I)</f>
        <v>347.47</v>
      </c>
      <c r="I1061" s="33">
        <f>SUMIF(VR!B:B,A1061,VR!I:I)</f>
        <v>631.20000000000005</v>
      </c>
      <c r="J1061" s="4">
        <f t="shared" si="16"/>
        <v>978.67000000000007</v>
      </c>
      <c r="K1061" s="195">
        <f>SUMIF(FALTAS!A:A,A1061,FALTAS!D:D)</f>
        <v>1</v>
      </c>
    </row>
    <row r="1062" spans="1:11" x14ac:dyDescent="0.2">
      <c r="A1062" s="235">
        <v>116031</v>
      </c>
      <c r="B1062" s="236" t="s">
        <v>1182</v>
      </c>
      <c r="C1062" s="236" t="s">
        <v>0</v>
      </c>
      <c r="D1062" s="236" t="s">
        <v>5</v>
      </c>
      <c r="E1062" s="237">
        <v>44207</v>
      </c>
      <c r="F1062" s="236" t="s">
        <v>1235</v>
      </c>
      <c r="G1062" s="237">
        <v>45147</v>
      </c>
      <c r="H1062" s="234">
        <f>SUMIF(VA!B:B,A1062,VA!I:I)</f>
        <v>359.46</v>
      </c>
      <c r="I1062" s="33">
        <f>SUMIF(VR!B:B,A1062,VR!I:I)</f>
        <v>657.5</v>
      </c>
      <c r="J1062" s="4">
        <f t="shared" si="16"/>
        <v>1016.96</v>
      </c>
      <c r="K1062" s="195">
        <f>SUMIF(FALTAS!A:A,A1062,FALTAS!D:D)</f>
        <v>0</v>
      </c>
    </row>
    <row r="1063" spans="1:11" x14ac:dyDescent="0.2">
      <c r="A1063" s="235">
        <v>116977</v>
      </c>
      <c r="B1063" s="236" t="s">
        <v>1245</v>
      </c>
      <c r="C1063" s="236" t="s">
        <v>1589</v>
      </c>
      <c r="D1063" s="236" t="s">
        <v>5</v>
      </c>
      <c r="E1063" s="237">
        <v>44419</v>
      </c>
      <c r="F1063" s="236" t="s">
        <v>1234</v>
      </c>
      <c r="G1063" s="237">
        <v>44835</v>
      </c>
      <c r="H1063" s="234">
        <f>SUMIF(VA!B:B,A1063,VA!I:I)</f>
        <v>359.46</v>
      </c>
      <c r="I1063" s="33">
        <f>SUMIF(VR!B:B,A1063,VR!I:I)</f>
        <v>657.5</v>
      </c>
      <c r="J1063" s="4">
        <f t="shared" si="16"/>
        <v>1016.96</v>
      </c>
      <c r="K1063" s="195">
        <f>SUMIF(FALTAS!A:A,A1063,FALTAS!D:D)</f>
        <v>0</v>
      </c>
    </row>
    <row r="1064" spans="1:11" x14ac:dyDescent="0.2">
      <c r="A1064" s="235">
        <v>112492</v>
      </c>
      <c r="B1064" s="236" t="s">
        <v>213</v>
      </c>
      <c r="C1064" s="236" t="s">
        <v>8</v>
      </c>
      <c r="D1064" s="236" t="s">
        <v>2</v>
      </c>
      <c r="E1064" s="237">
        <v>43617</v>
      </c>
      <c r="F1064" s="236" t="s">
        <v>1234</v>
      </c>
      <c r="G1064" s="237">
        <v>44806</v>
      </c>
      <c r="H1064" s="234">
        <f>SUMIF(VA!B:B,A1064,VA!I:I)</f>
        <v>359.46</v>
      </c>
      <c r="I1064" s="33">
        <f>SUMIF(VR!B:B,A1064,VR!I:I)</f>
        <v>657.5</v>
      </c>
      <c r="J1064" s="4">
        <f t="shared" si="16"/>
        <v>1016.96</v>
      </c>
      <c r="K1064" s="195">
        <f>SUMIF(FALTAS!A:A,A1064,FALTAS!D:D)</f>
        <v>0</v>
      </c>
    </row>
    <row r="1065" spans="1:11" x14ac:dyDescent="0.2">
      <c r="A1065" s="235">
        <v>112497</v>
      </c>
      <c r="B1065" s="236" t="s">
        <v>216</v>
      </c>
      <c r="C1065" s="236" t="s">
        <v>10</v>
      </c>
      <c r="D1065" s="236" t="s">
        <v>5</v>
      </c>
      <c r="E1065" s="237">
        <v>43617</v>
      </c>
      <c r="F1065" s="236" t="s">
        <v>1234</v>
      </c>
      <c r="G1065" s="237">
        <v>44930</v>
      </c>
      <c r="H1065" s="234">
        <f>SUMIF(VA!B:B,A1065,VA!I:I)</f>
        <v>359.46</v>
      </c>
      <c r="I1065" s="33">
        <f>SUMIF(VR!B:B,A1065,VR!I:I)</f>
        <v>657.5</v>
      </c>
      <c r="J1065" s="4">
        <f t="shared" si="16"/>
        <v>1016.96</v>
      </c>
      <c r="K1065" s="195">
        <f>SUMIF(FALTAS!A:A,A1065,FALTAS!D:D)</f>
        <v>0</v>
      </c>
    </row>
    <row r="1066" spans="1:11" x14ac:dyDescent="0.2">
      <c r="A1066" s="235">
        <v>112578</v>
      </c>
      <c r="B1066" s="236" t="s">
        <v>275</v>
      </c>
      <c r="C1066" s="236" t="s">
        <v>19</v>
      </c>
      <c r="D1066" s="236" t="s">
        <v>5</v>
      </c>
      <c r="E1066" s="237">
        <v>43617</v>
      </c>
      <c r="F1066" s="236" t="s">
        <v>1234</v>
      </c>
      <c r="G1066" s="237">
        <v>44898</v>
      </c>
      <c r="H1066" s="234">
        <f>SUMIF(VA!B:B,A1066,VA!I:I)</f>
        <v>359.46</v>
      </c>
      <c r="I1066" s="33">
        <f>SUMIF(VR!B:B,A1066,VR!I:I)</f>
        <v>657.5</v>
      </c>
      <c r="J1066" s="4">
        <f t="shared" si="16"/>
        <v>1016.96</v>
      </c>
      <c r="K1066" s="195">
        <f>SUMIF(FALTAS!A:A,A1066,FALTAS!D:D)</f>
        <v>0</v>
      </c>
    </row>
    <row r="1067" spans="1:11" x14ac:dyDescent="0.2">
      <c r="A1067" s="235">
        <v>119925</v>
      </c>
      <c r="B1067" s="236" t="s">
        <v>1490</v>
      </c>
      <c r="C1067" s="236" t="s">
        <v>1589</v>
      </c>
      <c r="D1067" s="236" t="s">
        <v>5</v>
      </c>
      <c r="E1067" s="237">
        <v>44760</v>
      </c>
      <c r="F1067" s="236" t="s">
        <v>1234</v>
      </c>
      <c r="G1067" s="237">
        <v>44760</v>
      </c>
      <c r="H1067" s="234">
        <f>SUMIF(VA!B:B,A1067,VA!I:I)</f>
        <v>359.46</v>
      </c>
      <c r="I1067" s="33">
        <f>SUMIF(VR!B:B,A1067,VR!I:I)</f>
        <v>657.5</v>
      </c>
      <c r="J1067" s="4">
        <f t="shared" si="16"/>
        <v>1016.96</v>
      </c>
      <c r="K1067" s="195">
        <f>SUMIF(FALTAS!A:A,A1067,FALTAS!D:D)</f>
        <v>0</v>
      </c>
    </row>
    <row r="1068" spans="1:11" x14ac:dyDescent="0.2">
      <c r="A1068" s="235">
        <v>112608</v>
      </c>
      <c r="B1068" s="236" t="s">
        <v>293</v>
      </c>
      <c r="C1068" s="236" t="s">
        <v>1589</v>
      </c>
      <c r="D1068" s="236" t="s">
        <v>15</v>
      </c>
      <c r="E1068" s="237">
        <v>43617</v>
      </c>
      <c r="F1068" s="236" t="s">
        <v>1234</v>
      </c>
      <c r="G1068" s="237">
        <v>44867</v>
      </c>
      <c r="H1068" s="234">
        <f>SUMIF(VA!B:B,A1068,VA!I:I)</f>
        <v>359.46</v>
      </c>
      <c r="I1068" s="33">
        <f>SUMIF(VR!B:B,A1068,VR!I:I)</f>
        <v>657.5</v>
      </c>
      <c r="J1068" s="4">
        <f t="shared" si="16"/>
        <v>1016.96</v>
      </c>
      <c r="K1068" s="195">
        <f>SUMIF(FALTAS!A:A,A1068,FALTAS!D:D)</f>
        <v>0</v>
      </c>
    </row>
    <row r="1069" spans="1:11" x14ac:dyDescent="0.2">
      <c r="A1069" s="235">
        <v>121686</v>
      </c>
      <c r="B1069" s="236" t="s">
        <v>1602</v>
      </c>
      <c r="C1069" s="236" t="s">
        <v>10</v>
      </c>
      <c r="D1069" s="236" t="s">
        <v>5</v>
      </c>
      <c r="E1069" s="237">
        <v>44994</v>
      </c>
      <c r="F1069" s="236" t="s">
        <v>1234</v>
      </c>
      <c r="G1069" s="237">
        <v>44994</v>
      </c>
      <c r="H1069" s="234">
        <f>SUMIF(VA!B:B,A1069,VA!I:I)</f>
        <v>311.52999999999997</v>
      </c>
      <c r="I1069" s="33">
        <f>SUMIF(VR!B:B,A1069,VR!I:I)</f>
        <v>552.30000000000007</v>
      </c>
      <c r="J1069" s="4">
        <f t="shared" si="16"/>
        <v>863.83</v>
      </c>
      <c r="K1069" s="195">
        <f>SUMIF(FALTAS!A:A,A1069,FALTAS!D:D)</f>
        <v>4</v>
      </c>
    </row>
    <row r="1070" spans="1:11" x14ac:dyDescent="0.2">
      <c r="A1070" s="235">
        <v>122250</v>
      </c>
      <c r="B1070" s="236" t="s">
        <v>1671</v>
      </c>
      <c r="C1070" s="236" t="s">
        <v>1589</v>
      </c>
      <c r="D1070" s="236" t="s">
        <v>5</v>
      </c>
      <c r="E1070" s="237">
        <v>45089</v>
      </c>
      <c r="F1070" s="236" t="s">
        <v>1234</v>
      </c>
      <c r="G1070" s="237">
        <v>45089</v>
      </c>
      <c r="H1070" s="234">
        <f>SUMIF(VA!B:B,A1070,VA!I:I)</f>
        <v>239.64</v>
      </c>
      <c r="I1070" s="33">
        <f>SUMIF(VR!B:B,A1070,VR!I:I)</f>
        <v>394.5</v>
      </c>
      <c r="J1070" s="4">
        <f t="shared" si="16"/>
        <v>634.14</v>
      </c>
      <c r="K1070" s="195">
        <f>SUMIF(FALTAS!A:A,A1070,FALTAS!D:D)</f>
        <v>10</v>
      </c>
    </row>
    <row r="1071" spans="1:11" x14ac:dyDescent="0.2">
      <c r="A1071" s="235">
        <v>116981</v>
      </c>
      <c r="B1071" s="236" t="s">
        <v>1248</v>
      </c>
      <c r="C1071" s="236" t="s">
        <v>0</v>
      </c>
      <c r="D1071" s="236" t="s">
        <v>5</v>
      </c>
      <c r="E1071" s="237">
        <v>44419</v>
      </c>
      <c r="F1071" s="236" t="s">
        <v>1234</v>
      </c>
      <c r="G1071" s="237">
        <v>44960</v>
      </c>
      <c r="H1071" s="234">
        <f>SUMIF(VA!B:B,A1071,VA!I:I)</f>
        <v>359.46</v>
      </c>
      <c r="I1071" s="33">
        <f>SUMIF(VR!B:B,A1071,VR!I:I)</f>
        <v>657.5</v>
      </c>
      <c r="J1071" s="4">
        <f t="shared" si="16"/>
        <v>1016.96</v>
      </c>
      <c r="K1071" s="195">
        <f>SUMIF(FALTAS!A:A,A1071,FALTAS!D:D)</f>
        <v>0</v>
      </c>
    </row>
    <row r="1072" spans="1:11" x14ac:dyDescent="0.2">
      <c r="A1072" s="235">
        <v>112615</v>
      </c>
      <c r="B1072" s="236" t="s">
        <v>300</v>
      </c>
      <c r="C1072" s="236" t="s">
        <v>8</v>
      </c>
      <c r="D1072" s="236" t="s">
        <v>2</v>
      </c>
      <c r="E1072" s="237">
        <v>43617</v>
      </c>
      <c r="F1072" s="236" t="s">
        <v>1234</v>
      </c>
      <c r="G1072" s="237">
        <v>45149</v>
      </c>
      <c r="H1072" s="234">
        <f>SUMIF(VA!B:B,A1072,VA!I:I)</f>
        <v>359.46</v>
      </c>
      <c r="I1072" s="33">
        <f>SUMIF(VR!B:B,A1072,VR!I:I)</f>
        <v>657.5</v>
      </c>
      <c r="J1072" s="4">
        <f t="shared" si="16"/>
        <v>1016.96</v>
      </c>
      <c r="K1072" s="195">
        <f>SUMIF(FALTAS!A:A,A1072,FALTAS!D:D)</f>
        <v>0</v>
      </c>
    </row>
    <row r="1073" spans="1:11" x14ac:dyDescent="0.2">
      <c r="A1073" s="235">
        <v>112621</v>
      </c>
      <c r="B1073" s="236" t="s">
        <v>305</v>
      </c>
      <c r="C1073" s="236" t="s">
        <v>1589</v>
      </c>
      <c r="D1073" s="236" t="s">
        <v>5</v>
      </c>
      <c r="E1073" s="237">
        <v>43617</v>
      </c>
      <c r="F1073" s="236" t="s">
        <v>1234</v>
      </c>
      <c r="G1073" s="237">
        <v>44744</v>
      </c>
      <c r="H1073" s="234">
        <f>SUMIF(VA!B:B,A1073,VA!I:I)</f>
        <v>359.46</v>
      </c>
      <c r="I1073" s="33">
        <f>SUMIF(VR!B:B,A1073,VR!I:I)</f>
        <v>657.5</v>
      </c>
      <c r="J1073" s="4">
        <f t="shared" si="16"/>
        <v>1016.96</v>
      </c>
      <c r="K1073" s="195">
        <f>SUMIF(FALTAS!A:A,A1073,FALTAS!D:D)</f>
        <v>0</v>
      </c>
    </row>
    <row r="1074" spans="1:11" x14ac:dyDescent="0.2">
      <c r="A1074" s="235">
        <v>112635</v>
      </c>
      <c r="B1074" s="236" t="s">
        <v>313</v>
      </c>
      <c r="C1074" s="236" t="s">
        <v>8</v>
      </c>
      <c r="D1074" s="236" t="s">
        <v>2</v>
      </c>
      <c r="E1074" s="237">
        <v>43617</v>
      </c>
      <c r="F1074" s="236" t="s">
        <v>1234</v>
      </c>
      <c r="G1074" s="237">
        <v>44835</v>
      </c>
      <c r="H1074" s="234">
        <f>SUMIF(VA!B:B,A1074,VA!I:I)</f>
        <v>359.46</v>
      </c>
      <c r="I1074" s="33">
        <f>SUMIF(VR!B:B,A1074,VR!I:I)</f>
        <v>657.5</v>
      </c>
      <c r="J1074" s="4">
        <f t="shared" si="16"/>
        <v>1016.96</v>
      </c>
      <c r="K1074" s="195">
        <f>SUMIF(FALTAS!A:A,A1074,FALTAS!D:D)</f>
        <v>0</v>
      </c>
    </row>
    <row r="1075" spans="1:11" x14ac:dyDescent="0.2">
      <c r="A1075" s="235">
        <v>112659</v>
      </c>
      <c r="B1075" s="236" t="s">
        <v>325</v>
      </c>
      <c r="C1075" s="236" t="s">
        <v>10</v>
      </c>
      <c r="D1075" s="236" t="s">
        <v>2</v>
      </c>
      <c r="E1075" s="237">
        <v>43617</v>
      </c>
      <c r="F1075" s="236" t="s">
        <v>1234</v>
      </c>
      <c r="G1075" s="237">
        <v>45056</v>
      </c>
      <c r="H1075" s="234">
        <f>SUMIF(VA!B:B,A1075,VA!I:I)</f>
        <v>359.46</v>
      </c>
      <c r="I1075" s="33">
        <f>SUMIF(VR!B:B,A1075,VR!I:I)</f>
        <v>657.5</v>
      </c>
      <c r="J1075" s="4">
        <f t="shared" si="16"/>
        <v>1016.96</v>
      </c>
      <c r="K1075" s="195">
        <f>SUMIF(FALTAS!A:A,A1075,FALTAS!D:D)</f>
        <v>0</v>
      </c>
    </row>
    <row r="1076" spans="1:11" x14ac:dyDescent="0.2">
      <c r="A1076" s="235">
        <v>114750</v>
      </c>
      <c r="B1076" s="236" t="s">
        <v>1095</v>
      </c>
      <c r="C1076" s="236" t="s">
        <v>0</v>
      </c>
      <c r="D1076" s="236" t="s">
        <v>5</v>
      </c>
      <c r="E1076" s="237">
        <v>43874</v>
      </c>
      <c r="F1076" s="236" t="s">
        <v>1234</v>
      </c>
      <c r="G1076" s="237">
        <v>45070</v>
      </c>
      <c r="H1076" s="234">
        <f>SUMIF(VA!B:B,A1076,VA!I:I)</f>
        <v>347.47</v>
      </c>
      <c r="I1076" s="33">
        <f>SUMIF(VR!B:B,A1076,VR!I:I)</f>
        <v>631.20000000000005</v>
      </c>
      <c r="J1076" s="4">
        <f t="shared" si="16"/>
        <v>978.67000000000007</v>
      </c>
      <c r="K1076" s="195">
        <f>SUMIF(FALTAS!A:A,A1076,FALTAS!D:D)</f>
        <v>1</v>
      </c>
    </row>
    <row r="1077" spans="1:11" x14ac:dyDescent="0.2">
      <c r="A1077" s="235">
        <v>112669</v>
      </c>
      <c r="B1077" s="236" t="s">
        <v>331</v>
      </c>
      <c r="C1077" s="236" t="s">
        <v>0</v>
      </c>
      <c r="D1077" s="236" t="s">
        <v>2</v>
      </c>
      <c r="E1077" s="237">
        <v>43617</v>
      </c>
      <c r="F1077" s="236" t="s">
        <v>1234</v>
      </c>
      <c r="G1077" s="237">
        <v>44806</v>
      </c>
      <c r="H1077" s="234">
        <f>SUMIF(VA!B:B,A1077,VA!I:I)</f>
        <v>359.46</v>
      </c>
      <c r="I1077" s="33">
        <f>SUMIF(VR!B:B,A1077,VR!I:I)</f>
        <v>657.5</v>
      </c>
      <c r="J1077" s="4">
        <f t="shared" si="16"/>
        <v>1016.96</v>
      </c>
      <c r="K1077" s="195">
        <f>SUMIF(FALTAS!A:A,A1077,FALTAS!D:D)</f>
        <v>0</v>
      </c>
    </row>
    <row r="1078" spans="1:11" x14ac:dyDescent="0.2">
      <c r="A1078" s="235">
        <v>112675</v>
      </c>
      <c r="B1078" s="236" t="s">
        <v>333</v>
      </c>
      <c r="C1078" s="236" t="s">
        <v>10</v>
      </c>
      <c r="D1078" s="236" t="s">
        <v>2</v>
      </c>
      <c r="E1078" s="237">
        <v>43617</v>
      </c>
      <c r="F1078" s="236" t="s">
        <v>1234</v>
      </c>
      <c r="G1078" s="237">
        <v>44898</v>
      </c>
      <c r="H1078" s="234">
        <f>SUMIF(VA!B:B,A1078,VA!I:I)</f>
        <v>359.46</v>
      </c>
      <c r="I1078" s="33">
        <f>SUMIF(VR!B:B,A1078,VR!I:I)</f>
        <v>657.5</v>
      </c>
      <c r="J1078" s="4">
        <f t="shared" si="16"/>
        <v>1016.96</v>
      </c>
      <c r="K1078" s="195">
        <f>SUMIF(FALTAS!A:A,A1078,FALTAS!D:D)</f>
        <v>0</v>
      </c>
    </row>
    <row r="1079" spans="1:11" x14ac:dyDescent="0.2">
      <c r="A1079" s="235">
        <v>112681</v>
      </c>
      <c r="B1079" s="236" t="s">
        <v>337</v>
      </c>
      <c r="C1079" s="236" t="s">
        <v>10</v>
      </c>
      <c r="D1079" s="236" t="s">
        <v>2</v>
      </c>
      <c r="E1079" s="237">
        <v>43617</v>
      </c>
      <c r="F1079" s="236" t="s">
        <v>1235</v>
      </c>
      <c r="G1079" s="237">
        <v>45147</v>
      </c>
      <c r="H1079" s="234">
        <f>SUMIF(VA!B:B,A1079,VA!I:I)</f>
        <v>359.46</v>
      </c>
      <c r="I1079" s="33">
        <f>SUMIF(VR!B:B,A1079,VR!I:I)</f>
        <v>657.5</v>
      </c>
      <c r="J1079" s="4">
        <f t="shared" si="16"/>
        <v>1016.96</v>
      </c>
      <c r="K1079" s="195">
        <f>SUMIF(FALTAS!A:A,A1079,FALTAS!D:D)</f>
        <v>0</v>
      </c>
    </row>
    <row r="1080" spans="1:11" x14ac:dyDescent="0.2">
      <c r="A1080" s="235">
        <v>114231</v>
      </c>
      <c r="B1080" s="236" t="s">
        <v>1019</v>
      </c>
      <c r="C1080" s="236" t="s">
        <v>19</v>
      </c>
      <c r="D1080" s="236" t="s">
        <v>146</v>
      </c>
      <c r="E1080" s="237">
        <v>43788</v>
      </c>
      <c r="F1080" s="236" t="s">
        <v>1234</v>
      </c>
      <c r="G1080" s="237">
        <v>45056</v>
      </c>
      <c r="H1080" s="234">
        <f>SUMIF(VA!B:B,A1080,VA!I:I)</f>
        <v>359.46</v>
      </c>
      <c r="I1080" s="33">
        <f>SUMIF(VR!B:B,A1080,VR!I:I)</f>
        <v>657.5</v>
      </c>
      <c r="J1080" s="4">
        <f t="shared" si="16"/>
        <v>1016.96</v>
      </c>
      <c r="K1080" s="195">
        <f>SUMIF(FALTAS!A:A,A1080,FALTAS!D:D)</f>
        <v>0</v>
      </c>
    </row>
    <row r="1081" spans="1:11" x14ac:dyDescent="0.2">
      <c r="A1081" s="235">
        <v>112692</v>
      </c>
      <c r="B1081" s="236" t="s">
        <v>345</v>
      </c>
      <c r="C1081" s="236" t="s">
        <v>32</v>
      </c>
      <c r="D1081" s="236" t="s">
        <v>2</v>
      </c>
      <c r="E1081" s="237">
        <v>43617</v>
      </c>
      <c r="F1081" s="236" t="s">
        <v>1234</v>
      </c>
      <c r="G1081" s="237">
        <v>44867</v>
      </c>
      <c r="H1081" s="234">
        <f>SUMIF(VA!B:B,A1081,VA!I:I)</f>
        <v>359.46</v>
      </c>
      <c r="I1081" s="33">
        <f>SUMIF(VR!B:B,A1081,VR!I:I)</f>
        <v>657.5</v>
      </c>
      <c r="J1081" s="4">
        <f t="shared" si="16"/>
        <v>1016.96</v>
      </c>
      <c r="K1081" s="195">
        <f>SUMIF(FALTAS!A:A,A1081,FALTAS!D:D)</f>
        <v>0</v>
      </c>
    </row>
    <row r="1082" spans="1:11" x14ac:dyDescent="0.2">
      <c r="A1082" s="235">
        <v>113741</v>
      </c>
      <c r="B1082" s="236" t="s">
        <v>963</v>
      </c>
      <c r="C1082" s="236" t="s">
        <v>1591</v>
      </c>
      <c r="D1082" s="236" t="s">
        <v>964</v>
      </c>
      <c r="E1082" s="237">
        <v>43619</v>
      </c>
      <c r="F1082" s="236" t="s">
        <v>1234</v>
      </c>
      <c r="G1082" s="237">
        <v>45053</v>
      </c>
      <c r="H1082" s="234">
        <f>SUMIF(VA!B:B,A1082,VA!I:I)</f>
        <v>359.46</v>
      </c>
      <c r="I1082" s="33">
        <f>SUMIF(VR!B:B,A1082,VR!I:I)</f>
        <v>657.5</v>
      </c>
      <c r="J1082" s="4">
        <f t="shared" si="16"/>
        <v>1016.96</v>
      </c>
      <c r="K1082" s="195">
        <f>SUMIF(FALTAS!A:A,A1082,FALTAS!D:D)</f>
        <v>0</v>
      </c>
    </row>
    <row r="1083" spans="1:11" x14ac:dyDescent="0.2">
      <c r="A1083" s="235">
        <v>113582</v>
      </c>
      <c r="B1083" s="236" t="s">
        <v>859</v>
      </c>
      <c r="C1083" s="236" t="s">
        <v>0</v>
      </c>
      <c r="D1083" s="236" t="s">
        <v>2</v>
      </c>
      <c r="E1083" s="237">
        <v>43617</v>
      </c>
      <c r="F1083" s="236" t="s">
        <v>1234</v>
      </c>
      <c r="G1083" s="237">
        <v>45050</v>
      </c>
      <c r="H1083" s="234">
        <f>SUMIF(VA!B:B,A1083,VA!I:I)</f>
        <v>359.46</v>
      </c>
      <c r="I1083" s="33">
        <f>SUMIF(VR!B:B,A1083,VR!I:I)</f>
        <v>657.5</v>
      </c>
      <c r="J1083" s="4">
        <f t="shared" si="16"/>
        <v>1016.96</v>
      </c>
      <c r="K1083" s="195">
        <f>SUMIF(FALTAS!A:A,A1083,FALTAS!D:D)</f>
        <v>0</v>
      </c>
    </row>
    <row r="1084" spans="1:11" x14ac:dyDescent="0.2">
      <c r="A1084" s="235">
        <v>116718</v>
      </c>
      <c r="B1084" s="236" t="s">
        <v>1221</v>
      </c>
      <c r="C1084" s="236" t="s">
        <v>19</v>
      </c>
      <c r="D1084" s="236" t="s">
        <v>2</v>
      </c>
      <c r="E1084" s="237">
        <v>44368</v>
      </c>
      <c r="F1084" s="236" t="s">
        <v>1234</v>
      </c>
      <c r="G1084" s="237">
        <v>45023</v>
      </c>
      <c r="H1084" s="234">
        <f>SUMIF(VA!B:B,A1084,VA!I:I)</f>
        <v>359.46</v>
      </c>
      <c r="I1084" s="33">
        <f>SUMIF(VR!B:B,A1084,VR!I:I)</f>
        <v>657.5</v>
      </c>
      <c r="J1084" s="4">
        <f t="shared" si="16"/>
        <v>1016.96</v>
      </c>
      <c r="K1084" s="195">
        <f>SUMIF(FALTAS!A:A,A1084,FALTAS!D:D)</f>
        <v>0</v>
      </c>
    </row>
    <row r="1085" spans="1:11" x14ac:dyDescent="0.2">
      <c r="A1085" s="235">
        <v>112703</v>
      </c>
      <c r="B1085" s="236" t="s">
        <v>353</v>
      </c>
      <c r="C1085" s="236" t="s">
        <v>10</v>
      </c>
      <c r="D1085" s="236" t="s">
        <v>2</v>
      </c>
      <c r="E1085" s="237">
        <v>43617</v>
      </c>
      <c r="F1085" s="236" t="s">
        <v>1234</v>
      </c>
      <c r="G1085" s="237">
        <v>44960</v>
      </c>
      <c r="H1085" s="234">
        <f>SUMIF(VA!B:B,A1085,VA!I:I)</f>
        <v>359.46</v>
      </c>
      <c r="I1085" s="33">
        <f>SUMIF(VR!B:B,A1085,VR!I:I)</f>
        <v>657.5</v>
      </c>
      <c r="J1085" s="4">
        <f t="shared" si="16"/>
        <v>1016.96</v>
      </c>
      <c r="K1085" s="195">
        <f>SUMIF(FALTAS!A:A,A1085,FALTAS!D:D)</f>
        <v>0</v>
      </c>
    </row>
    <row r="1086" spans="1:11" x14ac:dyDescent="0.2">
      <c r="A1086" s="235">
        <v>114105</v>
      </c>
      <c r="B1086" s="236" t="s">
        <v>1009</v>
      </c>
      <c r="C1086" s="236" t="s">
        <v>1589</v>
      </c>
      <c r="D1086" s="236" t="s">
        <v>5</v>
      </c>
      <c r="E1086" s="237">
        <v>43728</v>
      </c>
      <c r="F1086" s="236" t="s">
        <v>1234</v>
      </c>
      <c r="G1086" s="237">
        <v>45149</v>
      </c>
      <c r="H1086" s="234">
        <f>SUMIF(VA!B:B,A1086,VA!I:I)</f>
        <v>359.46</v>
      </c>
      <c r="I1086" s="33">
        <f>SUMIF(VR!B:B,A1086,VR!I:I)</f>
        <v>657.5</v>
      </c>
      <c r="J1086" s="4">
        <f t="shared" si="16"/>
        <v>1016.96</v>
      </c>
      <c r="K1086" s="195">
        <f>SUMIF(FALTAS!A:A,A1086,FALTAS!D:D)</f>
        <v>0</v>
      </c>
    </row>
    <row r="1087" spans="1:11" x14ac:dyDescent="0.2">
      <c r="A1087" s="235">
        <v>114930</v>
      </c>
      <c r="B1087" s="236" t="s">
        <v>1119</v>
      </c>
      <c r="C1087" s="236" t="s">
        <v>10</v>
      </c>
      <c r="D1087" s="236" t="s">
        <v>5</v>
      </c>
      <c r="E1087" s="237">
        <v>43916</v>
      </c>
      <c r="F1087" s="236" t="s">
        <v>1235</v>
      </c>
      <c r="G1087" s="237">
        <v>45147</v>
      </c>
      <c r="H1087" s="234">
        <f>SUMIF(VA!B:B,A1087,VA!I:I)</f>
        <v>359.46</v>
      </c>
      <c r="I1087" s="33">
        <f>SUMIF(VR!B:B,A1087,VR!I:I)</f>
        <v>657.5</v>
      </c>
      <c r="J1087" s="4">
        <f t="shared" si="16"/>
        <v>1016.96</v>
      </c>
      <c r="K1087" s="195">
        <f>SUMIF(FALTAS!A:A,A1087,FALTAS!D:D)</f>
        <v>0</v>
      </c>
    </row>
    <row r="1088" spans="1:11" x14ac:dyDescent="0.2">
      <c r="A1088" s="235">
        <v>112718</v>
      </c>
      <c r="B1088" s="236" t="s">
        <v>362</v>
      </c>
      <c r="C1088" s="236" t="s">
        <v>8</v>
      </c>
      <c r="D1088" s="236" t="s">
        <v>2</v>
      </c>
      <c r="E1088" s="237">
        <v>43617</v>
      </c>
      <c r="F1088" s="236" t="s">
        <v>1234</v>
      </c>
      <c r="G1088" s="237">
        <v>44867</v>
      </c>
      <c r="H1088" s="234">
        <f>SUMIF(VA!B:B,A1088,VA!I:I)</f>
        <v>359.46</v>
      </c>
      <c r="I1088" s="33">
        <f>SUMIF(VR!B:B,A1088,VR!I:I)</f>
        <v>657.5</v>
      </c>
      <c r="J1088" s="4">
        <f t="shared" si="16"/>
        <v>1016.96</v>
      </c>
      <c r="K1088" s="195">
        <f>SUMIF(FALTAS!A:A,A1088,FALTAS!D:D)</f>
        <v>0</v>
      </c>
    </row>
    <row r="1089" spans="1:11" x14ac:dyDescent="0.2">
      <c r="A1089" s="235">
        <v>112731</v>
      </c>
      <c r="B1089" s="236" t="s">
        <v>371</v>
      </c>
      <c r="C1089" s="236" t="s">
        <v>8</v>
      </c>
      <c r="D1089" s="236" t="s">
        <v>2</v>
      </c>
      <c r="E1089" s="237">
        <v>43617</v>
      </c>
      <c r="F1089" s="236" t="s">
        <v>1234</v>
      </c>
      <c r="G1089" s="237">
        <v>44867</v>
      </c>
      <c r="H1089" s="234">
        <f>SUMIF(VA!B:B,A1089,VA!I:I)</f>
        <v>359.46</v>
      </c>
      <c r="I1089" s="33">
        <f>SUMIF(VR!B:B,A1089,VR!I:I)</f>
        <v>657.5</v>
      </c>
      <c r="J1089" s="4">
        <f t="shared" si="16"/>
        <v>1016.96</v>
      </c>
      <c r="K1089" s="195">
        <f>SUMIF(FALTAS!A:A,A1089,FALTAS!D:D)</f>
        <v>0</v>
      </c>
    </row>
    <row r="1090" spans="1:11" x14ac:dyDescent="0.2">
      <c r="A1090" s="235">
        <v>115447</v>
      </c>
      <c r="B1090" s="236" t="s">
        <v>1165</v>
      </c>
      <c r="C1090" s="236" t="s">
        <v>19</v>
      </c>
      <c r="D1090" s="236" t="s">
        <v>146</v>
      </c>
      <c r="E1090" s="237">
        <v>44062</v>
      </c>
      <c r="F1090" s="236" t="s">
        <v>1234</v>
      </c>
      <c r="G1090" s="237">
        <v>44956</v>
      </c>
      <c r="H1090" s="234">
        <f>SUMIF(VA!B:B,A1090,VA!I:I)</f>
        <v>359.46</v>
      </c>
      <c r="I1090" s="33">
        <f>SUMIF(VR!B:B,A1090,VR!I:I)</f>
        <v>657.5</v>
      </c>
      <c r="J1090" s="4">
        <f t="shared" ref="J1090:J1153" si="17">H1090+I1090</f>
        <v>1016.96</v>
      </c>
      <c r="K1090" s="195">
        <f>SUMIF(FALTAS!A:A,A1090,FALTAS!D:D)</f>
        <v>0</v>
      </c>
    </row>
    <row r="1091" spans="1:11" x14ac:dyDescent="0.2">
      <c r="A1091" s="235">
        <v>112744</v>
      </c>
      <c r="B1091" s="236" t="s">
        <v>379</v>
      </c>
      <c r="C1091" s="236" t="s">
        <v>10</v>
      </c>
      <c r="D1091" s="236" t="s">
        <v>39</v>
      </c>
      <c r="E1091" s="237">
        <v>43617</v>
      </c>
      <c r="F1091" s="236" t="s">
        <v>1234</v>
      </c>
      <c r="G1091" s="237">
        <v>44930</v>
      </c>
      <c r="H1091" s="234">
        <f>SUMIF(VA!B:B,A1091,VA!I:I)</f>
        <v>359.46</v>
      </c>
      <c r="I1091" s="33">
        <f>SUMIF(VR!B:B,A1091,VR!I:I)</f>
        <v>657.5</v>
      </c>
      <c r="J1091" s="4">
        <f t="shared" si="17"/>
        <v>1016.96</v>
      </c>
      <c r="K1091" s="195">
        <f>SUMIF(FALTAS!A:A,A1091,FALTAS!D:D)</f>
        <v>0</v>
      </c>
    </row>
    <row r="1092" spans="1:11" x14ac:dyDescent="0.2">
      <c r="A1092" s="235">
        <v>119928</v>
      </c>
      <c r="B1092" s="236" t="s">
        <v>1491</v>
      </c>
      <c r="C1092" s="236" t="s">
        <v>1589</v>
      </c>
      <c r="D1092" s="236" t="s">
        <v>5</v>
      </c>
      <c r="E1092" s="237">
        <v>44760</v>
      </c>
      <c r="F1092" s="236" t="s">
        <v>1235</v>
      </c>
      <c r="G1092" s="237">
        <v>45147</v>
      </c>
      <c r="H1092" s="234">
        <f>SUMIF(VA!B:B,A1092,VA!I:I)</f>
        <v>359.46</v>
      </c>
      <c r="I1092" s="33">
        <f>SUMIF(VR!B:B,A1092,VR!I:I)</f>
        <v>657.5</v>
      </c>
      <c r="J1092" s="4">
        <f t="shared" si="17"/>
        <v>1016.96</v>
      </c>
      <c r="K1092" s="195">
        <f>SUMIF(FALTAS!A:A,A1092,FALTAS!D:D)</f>
        <v>0</v>
      </c>
    </row>
    <row r="1093" spans="1:11" x14ac:dyDescent="0.2">
      <c r="A1093" s="235">
        <v>121319</v>
      </c>
      <c r="B1093" s="236" t="s">
        <v>1544</v>
      </c>
      <c r="C1093" s="236" t="s">
        <v>0</v>
      </c>
      <c r="D1093" s="236" t="s">
        <v>5</v>
      </c>
      <c r="E1093" s="237">
        <v>44945</v>
      </c>
      <c r="F1093" s="236" t="s">
        <v>1234</v>
      </c>
      <c r="G1093" s="237">
        <v>44945</v>
      </c>
      <c r="H1093" s="234">
        <f>SUMIF(VA!B:B,A1093,VA!I:I)</f>
        <v>359.46</v>
      </c>
      <c r="I1093" s="33">
        <f>SUMIF(VR!B:B,A1093,VR!I:I)</f>
        <v>657.5</v>
      </c>
      <c r="J1093" s="4">
        <f t="shared" si="17"/>
        <v>1016.96</v>
      </c>
      <c r="K1093" s="195">
        <f>SUMIF(FALTAS!A:A,A1093,FALTAS!D:D)</f>
        <v>0</v>
      </c>
    </row>
    <row r="1094" spans="1:11" x14ac:dyDescent="0.2">
      <c r="A1094" s="235">
        <v>121025</v>
      </c>
      <c r="B1094" s="236" t="s">
        <v>1525</v>
      </c>
      <c r="C1094" s="236" t="s">
        <v>8</v>
      </c>
      <c r="D1094" s="236" t="s">
        <v>2</v>
      </c>
      <c r="E1094" s="237">
        <v>44900</v>
      </c>
      <c r="F1094" s="236" t="s">
        <v>1234</v>
      </c>
      <c r="G1094" s="237">
        <v>44900</v>
      </c>
      <c r="H1094" s="234">
        <f>SUMIF(VA!B:B,A1094,VA!I:I)</f>
        <v>359.46</v>
      </c>
      <c r="I1094" s="33">
        <f>SUMIF(VR!B:B,A1094,VR!I:I)</f>
        <v>657.5</v>
      </c>
      <c r="J1094" s="4">
        <f t="shared" si="17"/>
        <v>1016.96</v>
      </c>
      <c r="K1094" s="195">
        <f>SUMIF(FALTAS!A:A,A1094,FALTAS!D:D)</f>
        <v>0</v>
      </c>
    </row>
    <row r="1095" spans="1:11" x14ac:dyDescent="0.2">
      <c r="A1095" s="235">
        <v>112761</v>
      </c>
      <c r="B1095" s="236" t="s">
        <v>389</v>
      </c>
      <c r="C1095" s="236" t="s">
        <v>10</v>
      </c>
      <c r="D1095" s="236" t="s">
        <v>2</v>
      </c>
      <c r="E1095" s="237">
        <v>43617</v>
      </c>
      <c r="F1095" s="236" t="s">
        <v>1234</v>
      </c>
      <c r="G1095" s="237">
        <v>44898</v>
      </c>
      <c r="H1095" s="234">
        <f>SUMIF(VA!B:B,A1095,VA!I:I)</f>
        <v>359.46</v>
      </c>
      <c r="I1095" s="33">
        <f>SUMIF(VR!B:B,A1095,VR!I:I)</f>
        <v>657.5</v>
      </c>
      <c r="J1095" s="4">
        <f t="shared" si="17"/>
        <v>1016.96</v>
      </c>
      <c r="K1095" s="195">
        <f>SUMIF(FALTAS!A:A,A1095,FALTAS!D:D)</f>
        <v>0</v>
      </c>
    </row>
    <row r="1096" spans="1:11" x14ac:dyDescent="0.2">
      <c r="A1096" s="235">
        <v>112765</v>
      </c>
      <c r="B1096" s="236" t="s">
        <v>392</v>
      </c>
      <c r="C1096" s="236" t="s">
        <v>0</v>
      </c>
      <c r="D1096" s="236" t="s">
        <v>2</v>
      </c>
      <c r="E1096" s="237">
        <v>43617</v>
      </c>
      <c r="F1096" s="236" t="s">
        <v>1234</v>
      </c>
      <c r="G1096" s="237">
        <v>45149</v>
      </c>
      <c r="H1096" s="234">
        <f>SUMIF(VA!B:B,A1096,VA!I:I)</f>
        <v>359.46</v>
      </c>
      <c r="I1096" s="33">
        <f>SUMIF(VR!B:B,A1096,VR!I:I)</f>
        <v>657.5</v>
      </c>
      <c r="J1096" s="4">
        <f t="shared" si="17"/>
        <v>1016.96</v>
      </c>
      <c r="K1096" s="195">
        <f>SUMIF(FALTAS!A:A,A1096,FALTAS!D:D)</f>
        <v>0</v>
      </c>
    </row>
    <row r="1097" spans="1:11" x14ac:dyDescent="0.2">
      <c r="A1097" s="235">
        <v>112772</v>
      </c>
      <c r="B1097" s="236" t="s">
        <v>398</v>
      </c>
      <c r="C1097" s="236" t="s">
        <v>0</v>
      </c>
      <c r="D1097" s="236" t="s">
        <v>2</v>
      </c>
      <c r="E1097" s="237">
        <v>43617</v>
      </c>
      <c r="F1097" s="236" t="s">
        <v>1234</v>
      </c>
      <c r="G1097" s="237">
        <v>44835</v>
      </c>
      <c r="H1097" s="234">
        <f>SUMIF(VA!B:B,A1097,VA!I:I)</f>
        <v>359.46</v>
      </c>
      <c r="I1097" s="33">
        <f>SUMIF(VR!B:B,A1097,VR!I:I)</f>
        <v>657.5</v>
      </c>
      <c r="J1097" s="4">
        <f t="shared" si="17"/>
        <v>1016.96</v>
      </c>
      <c r="K1097" s="195">
        <f>SUMIF(FALTAS!A:A,A1097,FALTAS!D:D)</f>
        <v>0</v>
      </c>
    </row>
    <row r="1098" spans="1:11" x14ac:dyDescent="0.2">
      <c r="A1098" s="235">
        <v>112780</v>
      </c>
      <c r="B1098" s="236" t="s">
        <v>404</v>
      </c>
      <c r="C1098" s="236" t="s">
        <v>8</v>
      </c>
      <c r="D1098" s="236" t="s">
        <v>2</v>
      </c>
      <c r="E1098" s="237">
        <v>43617</v>
      </c>
      <c r="F1098" s="236" t="s">
        <v>1234</v>
      </c>
      <c r="G1098" s="237">
        <v>44867</v>
      </c>
      <c r="H1098" s="234">
        <f>SUMIF(VA!B:B,A1098,VA!I:I)</f>
        <v>359.46</v>
      </c>
      <c r="I1098" s="33">
        <f>SUMIF(VR!B:B,A1098,VR!I:I)</f>
        <v>657.5</v>
      </c>
      <c r="J1098" s="4">
        <f t="shared" si="17"/>
        <v>1016.96</v>
      </c>
      <c r="K1098" s="195">
        <f>SUMIF(FALTAS!A:A,A1098,FALTAS!D:D)</f>
        <v>0</v>
      </c>
    </row>
    <row r="1099" spans="1:11" x14ac:dyDescent="0.2">
      <c r="A1099" s="235">
        <v>112785</v>
      </c>
      <c r="B1099" s="236" t="s">
        <v>408</v>
      </c>
      <c r="C1099" s="236" t="s">
        <v>10</v>
      </c>
      <c r="D1099" s="236" t="s">
        <v>2</v>
      </c>
      <c r="E1099" s="237">
        <v>43617</v>
      </c>
      <c r="F1099" s="236" t="s">
        <v>1234</v>
      </c>
      <c r="G1099" s="237">
        <v>44898</v>
      </c>
      <c r="H1099" s="234">
        <f>SUMIF(VA!B:B,A1099,VA!I:I)</f>
        <v>359.46</v>
      </c>
      <c r="I1099" s="33">
        <f>SUMIF(VR!B:B,A1099,VR!I:I)</f>
        <v>657.5</v>
      </c>
      <c r="J1099" s="4">
        <f t="shared" si="17"/>
        <v>1016.96</v>
      </c>
      <c r="K1099" s="195">
        <f>SUMIF(FALTAS!A:A,A1099,FALTAS!D:D)</f>
        <v>0</v>
      </c>
    </row>
    <row r="1100" spans="1:11" x14ac:dyDescent="0.2">
      <c r="A1100" s="235">
        <v>112791</v>
      </c>
      <c r="B1100" s="236" t="s">
        <v>1576</v>
      </c>
      <c r="C1100" s="236" t="s">
        <v>10</v>
      </c>
      <c r="D1100" s="236" t="s">
        <v>2</v>
      </c>
      <c r="E1100" s="237">
        <v>43617</v>
      </c>
      <c r="F1100" s="236" t="s">
        <v>1285</v>
      </c>
      <c r="G1100" s="237">
        <v>44320</v>
      </c>
      <c r="H1100" s="234">
        <f>SUMIF(VA!B:B,A1100,VA!I:I)</f>
        <v>0</v>
      </c>
      <c r="I1100" s="33">
        <f>SUMIF(VR!B:B,A1100,VR!I:I)</f>
        <v>0</v>
      </c>
      <c r="J1100" s="4">
        <f t="shared" si="17"/>
        <v>0</v>
      </c>
      <c r="K1100" s="195">
        <f>SUMIF(FALTAS!A:A,A1100,FALTAS!D:D)</f>
        <v>0</v>
      </c>
    </row>
    <row r="1101" spans="1:11" x14ac:dyDescent="0.2">
      <c r="A1101" s="235">
        <v>112802</v>
      </c>
      <c r="B1101" s="236" t="s">
        <v>421</v>
      </c>
      <c r="C1101" s="236" t="s">
        <v>1589</v>
      </c>
      <c r="D1101" s="236" t="s">
        <v>15</v>
      </c>
      <c r="E1101" s="237">
        <v>43617</v>
      </c>
      <c r="F1101" s="236" t="s">
        <v>1234</v>
      </c>
      <c r="G1101" s="237">
        <v>44960</v>
      </c>
      <c r="H1101" s="234">
        <f>SUMIF(VA!B:B,A1101,VA!I:I)</f>
        <v>359.46</v>
      </c>
      <c r="I1101" s="33">
        <f>SUMIF(VR!B:B,A1101,VR!I:I)</f>
        <v>657.5</v>
      </c>
      <c r="J1101" s="4">
        <f t="shared" si="17"/>
        <v>1016.96</v>
      </c>
      <c r="K1101" s="195">
        <f>SUMIF(FALTAS!A:A,A1101,FALTAS!D:D)</f>
        <v>0</v>
      </c>
    </row>
    <row r="1102" spans="1:11" x14ac:dyDescent="0.2">
      <c r="A1102" s="235">
        <v>112810</v>
      </c>
      <c r="B1102" s="236" t="s">
        <v>427</v>
      </c>
      <c r="C1102" s="236" t="s">
        <v>0</v>
      </c>
      <c r="D1102" s="236" t="s">
        <v>2</v>
      </c>
      <c r="E1102" s="237">
        <v>43617</v>
      </c>
      <c r="F1102" s="236" t="s">
        <v>1234</v>
      </c>
      <c r="G1102" s="237">
        <v>44835</v>
      </c>
      <c r="H1102" s="234">
        <f>SUMIF(VA!B:B,A1102,VA!I:I)</f>
        <v>359.46</v>
      </c>
      <c r="I1102" s="33">
        <f>SUMIF(VR!B:B,A1102,VR!I:I)</f>
        <v>657.5</v>
      </c>
      <c r="J1102" s="4">
        <f t="shared" si="17"/>
        <v>1016.96</v>
      </c>
      <c r="K1102" s="195">
        <f>SUMIF(FALTAS!A:A,A1102,FALTAS!D:D)</f>
        <v>0</v>
      </c>
    </row>
    <row r="1103" spans="1:11" x14ac:dyDescent="0.2">
      <c r="A1103" s="235">
        <v>112816</v>
      </c>
      <c r="B1103" s="236" t="s">
        <v>432</v>
      </c>
      <c r="C1103" s="236" t="s">
        <v>1589</v>
      </c>
      <c r="D1103" s="236" t="s">
        <v>22</v>
      </c>
      <c r="E1103" s="237">
        <v>43617</v>
      </c>
      <c r="F1103" s="236" t="s">
        <v>1234</v>
      </c>
      <c r="G1103" s="237">
        <v>44993</v>
      </c>
      <c r="H1103" s="234">
        <f>SUMIF(VA!B:B,A1103,VA!I:I)</f>
        <v>359.46</v>
      </c>
      <c r="I1103" s="33">
        <f>SUMIF(VR!B:B,A1103,VR!I:I)</f>
        <v>657.5</v>
      </c>
      <c r="J1103" s="4">
        <f t="shared" si="17"/>
        <v>1016.96</v>
      </c>
      <c r="K1103" s="195">
        <f>SUMIF(FALTAS!A:A,A1103,FALTAS!D:D)</f>
        <v>0</v>
      </c>
    </row>
    <row r="1104" spans="1:11" x14ac:dyDescent="0.2">
      <c r="A1104" s="235">
        <v>114711</v>
      </c>
      <c r="B1104" s="236" t="s">
        <v>1081</v>
      </c>
      <c r="C1104" s="236" t="s">
        <v>10</v>
      </c>
      <c r="D1104" s="236" t="s">
        <v>5</v>
      </c>
      <c r="E1104" s="237">
        <v>43874</v>
      </c>
      <c r="F1104" s="236" t="s">
        <v>1235</v>
      </c>
      <c r="G1104" s="237">
        <v>45147</v>
      </c>
      <c r="H1104" s="234">
        <f>SUMIF(VA!B:B,A1104,VA!I:I)</f>
        <v>359.46</v>
      </c>
      <c r="I1104" s="33">
        <f>SUMIF(VR!B:B,A1104,VR!I:I)</f>
        <v>657.5</v>
      </c>
      <c r="J1104" s="4">
        <f t="shared" si="17"/>
        <v>1016.96</v>
      </c>
      <c r="K1104" s="195">
        <f>SUMIF(FALTAS!A:A,A1104,FALTAS!D:D)</f>
        <v>0</v>
      </c>
    </row>
    <row r="1105" spans="1:11" x14ac:dyDescent="0.2">
      <c r="A1105" s="235">
        <v>114761</v>
      </c>
      <c r="B1105" s="236" t="s">
        <v>1099</v>
      </c>
      <c r="C1105" s="236" t="s">
        <v>1589</v>
      </c>
      <c r="D1105" s="236" t="s">
        <v>15</v>
      </c>
      <c r="E1105" s="237">
        <v>43874</v>
      </c>
      <c r="F1105" s="236" t="s">
        <v>1234</v>
      </c>
      <c r="G1105" s="237">
        <v>45023</v>
      </c>
      <c r="H1105" s="234">
        <f>SUMIF(VA!B:B,A1105,VA!I:I)</f>
        <v>359.46</v>
      </c>
      <c r="I1105" s="33">
        <f>SUMIF(VR!B:B,A1105,VR!I:I)</f>
        <v>657.5</v>
      </c>
      <c r="J1105" s="4">
        <f t="shared" si="17"/>
        <v>1016.96</v>
      </c>
      <c r="K1105" s="195">
        <f>SUMIF(FALTAS!A:A,A1105,FALTAS!D:D)</f>
        <v>0</v>
      </c>
    </row>
    <row r="1106" spans="1:11" x14ac:dyDescent="0.2">
      <c r="A1106" s="235">
        <v>112833</v>
      </c>
      <c r="B1106" s="236" t="s">
        <v>444</v>
      </c>
      <c r="C1106" s="236" t="s">
        <v>8</v>
      </c>
      <c r="D1106" s="236" t="s">
        <v>2</v>
      </c>
      <c r="E1106" s="237">
        <v>43617</v>
      </c>
      <c r="F1106" s="236" t="s">
        <v>1234</v>
      </c>
      <c r="G1106" s="237">
        <v>44835</v>
      </c>
      <c r="H1106" s="234">
        <f>SUMIF(VA!B:B,A1106,VA!I:I)</f>
        <v>359.46</v>
      </c>
      <c r="I1106" s="33">
        <f>SUMIF(VR!B:B,A1106,VR!I:I)</f>
        <v>657.5</v>
      </c>
      <c r="J1106" s="4">
        <f t="shared" si="17"/>
        <v>1016.96</v>
      </c>
      <c r="K1106" s="195">
        <f>SUMIF(FALTAS!A:A,A1106,FALTAS!D:D)</f>
        <v>0</v>
      </c>
    </row>
    <row r="1107" spans="1:11" x14ac:dyDescent="0.2">
      <c r="A1107" s="235">
        <v>112845</v>
      </c>
      <c r="B1107" s="236" t="s">
        <v>450</v>
      </c>
      <c r="C1107" s="236" t="s">
        <v>1589</v>
      </c>
      <c r="D1107" s="236" t="s">
        <v>15</v>
      </c>
      <c r="E1107" s="237">
        <v>43617</v>
      </c>
      <c r="F1107" s="236" t="s">
        <v>1234</v>
      </c>
      <c r="G1107" s="237">
        <v>44960</v>
      </c>
      <c r="H1107" s="234">
        <f>SUMIF(VA!B:B,A1107,VA!I:I)</f>
        <v>359.46</v>
      </c>
      <c r="I1107" s="33">
        <f>SUMIF(VR!B:B,A1107,VR!I:I)</f>
        <v>657.5</v>
      </c>
      <c r="J1107" s="4">
        <f t="shared" si="17"/>
        <v>1016.96</v>
      </c>
      <c r="K1107" s="195">
        <f>SUMIF(FALTAS!A:A,A1107,FALTAS!D:D)</f>
        <v>0</v>
      </c>
    </row>
    <row r="1108" spans="1:11" x14ac:dyDescent="0.2">
      <c r="A1108" s="235">
        <v>119107</v>
      </c>
      <c r="B1108" s="236" t="s">
        <v>1447</v>
      </c>
      <c r="C1108" s="236" t="s">
        <v>19</v>
      </c>
      <c r="D1108" s="236" t="s">
        <v>5</v>
      </c>
      <c r="E1108" s="237">
        <v>44630</v>
      </c>
      <c r="F1108" s="236" t="s">
        <v>1234</v>
      </c>
      <c r="G1108" s="237">
        <v>45119</v>
      </c>
      <c r="H1108" s="234">
        <f>SUMIF(VA!B:B,A1108,VA!I:I)</f>
        <v>359.46</v>
      </c>
      <c r="I1108" s="33">
        <f>SUMIF(VR!B:B,A1108,VR!I:I)</f>
        <v>657.5</v>
      </c>
      <c r="J1108" s="4">
        <f t="shared" si="17"/>
        <v>1016.96</v>
      </c>
      <c r="K1108" s="195">
        <f>SUMIF(FALTAS!A:A,A1108,FALTAS!D:D)</f>
        <v>0</v>
      </c>
    </row>
    <row r="1109" spans="1:11" x14ac:dyDescent="0.2">
      <c r="A1109" s="235">
        <v>112871</v>
      </c>
      <c r="B1109" s="236" t="s">
        <v>465</v>
      </c>
      <c r="C1109" s="236" t="s">
        <v>8</v>
      </c>
      <c r="D1109" s="236" t="s">
        <v>2</v>
      </c>
      <c r="E1109" s="237">
        <v>43617</v>
      </c>
      <c r="F1109" s="236" t="s">
        <v>1234</v>
      </c>
      <c r="G1109" s="237">
        <v>44867</v>
      </c>
      <c r="H1109" s="234">
        <f>SUMIF(VA!B:B,A1109,VA!I:I)</f>
        <v>359.46</v>
      </c>
      <c r="I1109" s="33">
        <f>SUMIF(VR!B:B,A1109,VR!I:I)</f>
        <v>657.5</v>
      </c>
      <c r="J1109" s="4">
        <f t="shared" si="17"/>
        <v>1016.96</v>
      </c>
      <c r="K1109" s="195">
        <f>SUMIF(FALTAS!A:A,A1109,FALTAS!D:D)</f>
        <v>0</v>
      </c>
    </row>
    <row r="1110" spans="1:11" x14ac:dyDescent="0.2">
      <c r="A1110" s="235">
        <v>114774</v>
      </c>
      <c r="B1110" s="236" t="s">
        <v>1105</v>
      </c>
      <c r="C1110" s="236" t="s">
        <v>32</v>
      </c>
      <c r="D1110" s="236" t="s">
        <v>5</v>
      </c>
      <c r="E1110" s="237">
        <v>43874</v>
      </c>
      <c r="F1110" s="236" t="s">
        <v>1234</v>
      </c>
      <c r="G1110" s="237">
        <v>45149</v>
      </c>
      <c r="H1110" s="234">
        <f>SUMIF(VA!B:B,A1110,VA!I:I)</f>
        <v>359.46</v>
      </c>
      <c r="I1110" s="33">
        <f>SUMIF(VR!B:B,A1110,VR!I:I)</f>
        <v>657.5</v>
      </c>
      <c r="J1110" s="4">
        <f t="shared" si="17"/>
        <v>1016.96</v>
      </c>
      <c r="K1110" s="195">
        <f>SUMIF(FALTAS!A:A,A1110,FALTAS!D:D)</f>
        <v>0</v>
      </c>
    </row>
    <row r="1111" spans="1:11" x14ac:dyDescent="0.2">
      <c r="A1111" s="235">
        <v>112877</v>
      </c>
      <c r="B1111" s="236" t="s">
        <v>471</v>
      </c>
      <c r="C1111" s="236" t="s">
        <v>19</v>
      </c>
      <c r="D1111" s="236" t="s">
        <v>5</v>
      </c>
      <c r="E1111" s="237">
        <v>43617</v>
      </c>
      <c r="F1111" s="236" t="s">
        <v>1234</v>
      </c>
      <c r="G1111" s="237">
        <v>44898</v>
      </c>
      <c r="H1111" s="234">
        <f>SUMIF(VA!B:B,A1111,VA!I:I)</f>
        <v>359.46</v>
      </c>
      <c r="I1111" s="33">
        <f>SUMIF(VR!B:B,A1111,VR!I:I)</f>
        <v>657.5</v>
      </c>
      <c r="J1111" s="4">
        <f t="shared" si="17"/>
        <v>1016.96</v>
      </c>
      <c r="K1111" s="195">
        <f>SUMIF(FALTAS!A:A,A1111,FALTAS!D:D)</f>
        <v>0</v>
      </c>
    </row>
    <row r="1112" spans="1:11" x14ac:dyDescent="0.2">
      <c r="A1112" s="235">
        <v>112887</v>
      </c>
      <c r="B1112" s="236" t="s">
        <v>477</v>
      </c>
      <c r="C1112" s="236" t="s">
        <v>8</v>
      </c>
      <c r="D1112" s="236" t="s">
        <v>2</v>
      </c>
      <c r="E1112" s="237">
        <v>43617</v>
      </c>
      <c r="F1112" s="236" t="s">
        <v>1234</v>
      </c>
      <c r="G1112" s="237">
        <v>44898</v>
      </c>
      <c r="H1112" s="234">
        <f>SUMIF(VA!B:B,A1112,VA!I:I)</f>
        <v>359.46</v>
      </c>
      <c r="I1112" s="33">
        <f>SUMIF(VR!B:B,A1112,VR!I:I)</f>
        <v>657.5</v>
      </c>
      <c r="J1112" s="4">
        <f t="shared" si="17"/>
        <v>1016.96</v>
      </c>
      <c r="K1112" s="195">
        <f>SUMIF(FALTAS!A:A,A1112,FALTAS!D:D)</f>
        <v>0</v>
      </c>
    </row>
    <row r="1113" spans="1:11" x14ac:dyDescent="0.2">
      <c r="A1113" s="235">
        <v>112894</v>
      </c>
      <c r="B1113" s="236" t="s">
        <v>483</v>
      </c>
      <c r="C1113" s="236" t="s">
        <v>19</v>
      </c>
      <c r="D1113" s="236" t="s">
        <v>2</v>
      </c>
      <c r="E1113" s="237">
        <v>43617</v>
      </c>
      <c r="F1113" s="236" t="s">
        <v>1234</v>
      </c>
      <c r="G1113" s="237">
        <v>44867</v>
      </c>
      <c r="H1113" s="234">
        <f>SUMIF(VA!B:B,A1113,VA!I:I)</f>
        <v>359.46</v>
      </c>
      <c r="I1113" s="33">
        <f>SUMIF(VR!B:B,A1113,VR!I:I)</f>
        <v>657.5</v>
      </c>
      <c r="J1113" s="4">
        <f t="shared" si="17"/>
        <v>1016.96</v>
      </c>
      <c r="K1113" s="195">
        <f>SUMIF(FALTAS!A:A,A1113,FALTAS!D:D)</f>
        <v>0</v>
      </c>
    </row>
    <row r="1114" spans="1:11" x14ac:dyDescent="0.2">
      <c r="A1114" s="235">
        <v>112908</v>
      </c>
      <c r="B1114" s="236" t="s">
        <v>492</v>
      </c>
      <c r="C1114" s="236" t="s">
        <v>10</v>
      </c>
      <c r="D1114" s="236" t="s">
        <v>5</v>
      </c>
      <c r="E1114" s="237">
        <v>43617</v>
      </c>
      <c r="F1114" s="236" t="s">
        <v>1234</v>
      </c>
      <c r="G1114" s="237">
        <v>44898</v>
      </c>
      <c r="H1114" s="234">
        <f>SUMIF(VA!B:B,A1114,VA!I:I)</f>
        <v>359.46</v>
      </c>
      <c r="I1114" s="33">
        <f>SUMIF(VR!B:B,A1114,VR!I:I)</f>
        <v>657.5</v>
      </c>
      <c r="J1114" s="4">
        <f t="shared" si="17"/>
        <v>1016.96</v>
      </c>
      <c r="K1114" s="195">
        <f>SUMIF(FALTAS!A:A,A1114,FALTAS!D:D)</f>
        <v>0</v>
      </c>
    </row>
    <row r="1115" spans="1:11" x14ac:dyDescent="0.2">
      <c r="A1115" s="235">
        <v>113004</v>
      </c>
      <c r="B1115" s="236" t="s">
        <v>543</v>
      </c>
      <c r="C1115" s="236" t="s">
        <v>0</v>
      </c>
      <c r="D1115" s="236" t="s">
        <v>5</v>
      </c>
      <c r="E1115" s="237">
        <v>43617</v>
      </c>
      <c r="F1115" s="236" t="s">
        <v>1234</v>
      </c>
      <c r="G1115" s="237">
        <v>44930</v>
      </c>
      <c r="H1115" s="234">
        <f>SUMIF(VA!B:B,A1115,VA!I:I)</f>
        <v>359.46</v>
      </c>
      <c r="I1115" s="33">
        <f>SUMIF(VR!B:B,A1115,VR!I:I)</f>
        <v>657.5</v>
      </c>
      <c r="J1115" s="4">
        <f t="shared" si="17"/>
        <v>1016.96</v>
      </c>
      <c r="K1115" s="195">
        <f>SUMIF(FALTAS!A:A,A1115,FALTAS!D:D)</f>
        <v>0</v>
      </c>
    </row>
    <row r="1116" spans="1:11" x14ac:dyDescent="0.2">
      <c r="A1116" s="235">
        <v>115229</v>
      </c>
      <c r="B1116" s="236" t="s">
        <v>1151</v>
      </c>
      <c r="C1116" s="236" t="s">
        <v>1589</v>
      </c>
      <c r="D1116" s="236" t="s">
        <v>942</v>
      </c>
      <c r="E1116" s="237">
        <v>44018</v>
      </c>
      <c r="F1116" s="236" t="s">
        <v>1234</v>
      </c>
      <c r="G1116" s="237">
        <v>45056</v>
      </c>
      <c r="H1116" s="234">
        <f>SUMIF(VA!B:B,A1116,VA!I:I)</f>
        <v>359.46</v>
      </c>
      <c r="I1116" s="33">
        <f>SUMIF(VR!B:B,A1116,VR!I:I)</f>
        <v>657.5</v>
      </c>
      <c r="J1116" s="4">
        <f t="shared" si="17"/>
        <v>1016.96</v>
      </c>
      <c r="K1116" s="195">
        <f>SUMIF(FALTAS!A:A,A1116,FALTAS!D:D)</f>
        <v>0</v>
      </c>
    </row>
    <row r="1117" spans="1:11" x14ac:dyDescent="0.2">
      <c r="A1117" s="235">
        <v>113025</v>
      </c>
      <c r="B1117" s="236" t="s">
        <v>549</v>
      </c>
      <c r="C1117" s="236" t="s">
        <v>19</v>
      </c>
      <c r="D1117" s="236" t="s">
        <v>2</v>
      </c>
      <c r="E1117" s="237">
        <v>43617</v>
      </c>
      <c r="F1117" s="236" t="s">
        <v>1234</v>
      </c>
      <c r="G1117" s="237">
        <v>44867</v>
      </c>
      <c r="H1117" s="234">
        <f>SUMIF(VA!B:B,A1117,VA!I:I)</f>
        <v>359.46</v>
      </c>
      <c r="I1117" s="33">
        <f>SUMIF(VR!B:B,A1117,VR!I:I)</f>
        <v>657.5</v>
      </c>
      <c r="J1117" s="4">
        <f t="shared" si="17"/>
        <v>1016.96</v>
      </c>
      <c r="K1117" s="195">
        <f>SUMIF(FALTAS!A:A,A1117,FALTAS!D:D)</f>
        <v>0</v>
      </c>
    </row>
    <row r="1118" spans="1:11" x14ac:dyDescent="0.2">
      <c r="A1118" s="235">
        <v>113032</v>
      </c>
      <c r="B1118" s="236" t="s">
        <v>1288</v>
      </c>
      <c r="C1118" s="236" t="s">
        <v>0</v>
      </c>
      <c r="D1118" s="236" t="s">
        <v>2</v>
      </c>
      <c r="E1118" s="237">
        <v>43617</v>
      </c>
      <c r="F1118" s="236" t="s">
        <v>1234</v>
      </c>
      <c r="G1118" s="237">
        <v>44835</v>
      </c>
      <c r="H1118" s="234">
        <f>SUMIF(VA!B:B,A1118,VA!I:I)</f>
        <v>359.46</v>
      </c>
      <c r="I1118" s="33">
        <f>SUMIF(VR!B:B,A1118,VR!I:I)</f>
        <v>657.5</v>
      </c>
      <c r="J1118" s="4">
        <f t="shared" si="17"/>
        <v>1016.96</v>
      </c>
      <c r="K1118" s="195">
        <f>SUMIF(FALTAS!A:A,A1118,FALTAS!D:D)</f>
        <v>0</v>
      </c>
    </row>
    <row r="1119" spans="1:11" x14ac:dyDescent="0.2">
      <c r="A1119" s="235">
        <v>113044</v>
      </c>
      <c r="B1119" s="236" t="s">
        <v>560</v>
      </c>
      <c r="C1119" s="236" t="s">
        <v>1589</v>
      </c>
      <c r="D1119" s="236" t="s">
        <v>15</v>
      </c>
      <c r="E1119" s="237">
        <v>43617</v>
      </c>
      <c r="F1119" s="236" t="s">
        <v>1234</v>
      </c>
      <c r="G1119" s="237">
        <v>44990</v>
      </c>
      <c r="H1119" s="234">
        <f>SUMIF(VA!B:B,A1119,VA!I:I)</f>
        <v>359.46</v>
      </c>
      <c r="I1119" s="33">
        <f>SUMIF(VR!B:B,A1119,VR!I:I)</f>
        <v>657.5</v>
      </c>
      <c r="J1119" s="4">
        <f t="shared" si="17"/>
        <v>1016.96</v>
      </c>
      <c r="K1119" s="195">
        <f>SUMIF(FALTAS!A:A,A1119,FALTAS!D:D)</f>
        <v>0</v>
      </c>
    </row>
    <row r="1120" spans="1:11" x14ac:dyDescent="0.2">
      <c r="A1120" s="235">
        <v>113083</v>
      </c>
      <c r="B1120" s="236" t="s">
        <v>580</v>
      </c>
      <c r="C1120" s="236" t="s">
        <v>0</v>
      </c>
      <c r="D1120" s="236" t="s">
        <v>146</v>
      </c>
      <c r="E1120" s="237">
        <v>43617</v>
      </c>
      <c r="F1120" s="236" t="s">
        <v>1235</v>
      </c>
      <c r="G1120" s="237">
        <v>45140</v>
      </c>
      <c r="H1120" s="234">
        <f>SUMIF(VA!B:B,A1120,VA!I:I)</f>
        <v>359.46</v>
      </c>
      <c r="I1120" s="33">
        <f>SUMIF(VR!B:B,A1120,VR!I:I)</f>
        <v>657.5</v>
      </c>
      <c r="J1120" s="4">
        <f t="shared" si="17"/>
        <v>1016.96</v>
      </c>
      <c r="K1120" s="195">
        <f>SUMIF(FALTAS!A:A,A1120,FALTAS!D:D)</f>
        <v>0</v>
      </c>
    </row>
    <row r="1121" spans="1:11" x14ac:dyDescent="0.2">
      <c r="A1121" s="235">
        <v>113141</v>
      </c>
      <c r="B1121" s="236" t="s">
        <v>610</v>
      </c>
      <c r="C1121" s="236" t="s">
        <v>10</v>
      </c>
      <c r="D1121" s="236" t="s">
        <v>2</v>
      </c>
      <c r="E1121" s="237">
        <v>43617</v>
      </c>
      <c r="F1121" s="236" t="s">
        <v>1234</v>
      </c>
      <c r="G1121" s="237">
        <v>45056</v>
      </c>
      <c r="H1121" s="234">
        <f>SUMIF(VA!B:B,A1121,VA!I:I)</f>
        <v>359.46</v>
      </c>
      <c r="I1121" s="33">
        <f>SUMIF(VR!B:B,A1121,VR!I:I)</f>
        <v>657.5</v>
      </c>
      <c r="J1121" s="4">
        <f t="shared" si="17"/>
        <v>1016.96</v>
      </c>
      <c r="K1121" s="195">
        <f>SUMIF(FALTAS!A:A,A1121,FALTAS!D:D)</f>
        <v>0</v>
      </c>
    </row>
    <row r="1122" spans="1:11" x14ac:dyDescent="0.2">
      <c r="A1122" s="235">
        <v>113669</v>
      </c>
      <c r="B1122" s="236" t="s">
        <v>909</v>
      </c>
      <c r="C1122" s="236" t="s">
        <v>0</v>
      </c>
      <c r="D1122" s="236" t="s">
        <v>2</v>
      </c>
      <c r="E1122" s="237">
        <v>43617</v>
      </c>
      <c r="F1122" s="236" t="s">
        <v>1235</v>
      </c>
      <c r="G1122" s="237">
        <v>45147</v>
      </c>
      <c r="H1122" s="234">
        <f>SUMIF(VA!B:B,A1122,VA!I:I)</f>
        <v>359.46</v>
      </c>
      <c r="I1122" s="33">
        <f>SUMIF(VR!B:B,A1122,VR!I:I)</f>
        <v>657.5</v>
      </c>
      <c r="J1122" s="4">
        <f t="shared" si="17"/>
        <v>1016.96</v>
      </c>
      <c r="K1122" s="195">
        <f>SUMIF(FALTAS!A:A,A1122,FALTAS!D:D)</f>
        <v>0</v>
      </c>
    </row>
    <row r="1123" spans="1:11" x14ac:dyDescent="0.2">
      <c r="A1123" s="235">
        <v>113671</v>
      </c>
      <c r="B1123" s="236" t="s">
        <v>910</v>
      </c>
      <c r="C1123" s="236" t="s">
        <v>8</v>
      </c>
      <c r="D1123" s="236" t="s">
        <v>5</v>
      </c>
      <c r="E1123" s="237">
        <v>43617</v>
      </c>
      <c r="F1123" s="236" t="s">
        <v>1234</v>
      </c>
      <c r="G1123" s="237">
        <v>45023</v>
      </c>
      <c r="H1123" s="234">
        <f>SUMIF(VA!B:B,A1123,VA!I:I)</f>
        <v>359.46</v>
      </c>
      <c r="I1123" s="33">
        <f>SUMIF(VR!B:B,A1123,VR!I:I)</f>
        <v>657.5</v>
      </c>
      <c r="J1123" s="4">
        <f t="shared" si="17"/>
        <v>1016.96</v>
      </c>
      <c r="K1123" s="195">
        <f>SUMIF(FALTAS!A:A,A1123,FALTAS!D:D)</f>
        <v>0</v>
      </c>
    </row>
    <row r="1124" spans="1:11" x14ac:dyDescent="0.2">
      <c r="A1124" s="235">
        <v>113183</v>
      </c>
      <c r="B1124" s="236" t="s">
        <v>634</v>
      </c>
      <c r="C1124" s="236" t="s">
        <v>1589</v>
      </c>
      <c r="D1124" s="236" t="s">
        <v>22</v>
      </c>
      <c r="E1124" s="237">
        <v>43617</v>
      </c>
      <c r="F1124" s="236" t="s">
        <v>1234</v>
      </c>
      <c r="G1124" s="237">
        <v>45119</v>
      </c>
      <c r="H1124" s="234">
        <f>SUMIF(VA!B:B,A1124,VA!I:I)</f>
        <v>359.46</v>
      </c>
      <c r="I1124" s="33">
        <f>SUMIF(VR!B:B,A1124,VR!I:I)</f>
        <v>657.5</v>
      </c>
      <c r="J1124" s="4">
        <f t="shared" si="17"/>
        <v>1016.96</v>
      </c>
      <c r="K1124" s="195">
        <f>SUMIF(FALTAS!A:A,A1124,FALTAS!D:D)</f>
        <v>0</v>
      </c>
    </row>
    <row r="1125" spans="1:11" x14ac:dyDescent="0.2">
      <c r="A1125" s="235">
        <v>113188</v>
      </c>
      <c r="B1125" s="236" t="s">
        <v>637</v>
      </c>
      <c r="C1125" s="236" t="s">
        <v>8</v>
      </c>
      <c r="D1125" s="236" t="s">
        <v>5</v>
      </c>
      <c r="E1125" s="237">
        <v>43617</v>
      </c>
      <c r="F1125" s="236" t="s">
        <v>1234</v>
      </c>
      <c r="G1125" s="237">
        <v>45056</v>
      </c>
      <c r="H1125" s="234">
        <f>SUMIF(VA!B:B,A1125,VA!I:I)</f>
        <v>359.46</v>
      </c>
      <c r="I1125" s="33">
        <f>SUMIF(VR!B:B,A1125,VR!I:I)</f>
        <v>657.5</v>
      </c>
      <c r="J1125" s="4">
        <f t="shared" si="17"/>
        <v>1016.96</v>
      </c>
      <c r="K1125" s="195">
        <f>SUMIF(FALTAS!A:A,A1125,FALTAS!D:D)</f>
        <v>0</v>
      </c>
    </row>
    <row r="1126" spans="1:11" x14ac:dyDescent="0.2">
      <c r="A1126" s="235">
        <v>113743</v>
      </c>
      <c r="B1126" s="236" t="s">
        <v>966</v>
      </c>
      <c r="C1126" s="236" t="s">
        <v>1591</v>
      </c>
      <c r="D1126" s="236" t="s">
        <v>1526</v>
      </c>
      <c r="E1126" s="237">
        <v>43619</v>
      </c>
      <c r="F1126" s="236" t="s">
        <v>1234</v>
      </c>
      <c r="G1126" s="237">
        <v>45053</v>
      </c>
      <c r="H1126" s="234">
        <f>SUMIF(VA!B:B,A1126,VA!I:I)</f>
        <v>359.46</v>
      </c>
      <c r="I1126" s="33">
        <f>SUMIF(VR!B:B,A1126,VR!I:I)</f>
        <v>657.5</v>
      </c>
      <c r="J1126" s="4">
        <f t="shared" si="17"/>
        <v>1016.96</v>
      </c>
      <c r="K1126" s="195">
        <f>SUMIF(FALTAS!A:A,A1126,FALTAS!D:D)</f>
        <v>0</v>
      </c>
    </row>
    <row r="1127" spans="1:11" x14ac:dyDescent="0.2">
      <c r="A1127" s="235">
        <v>113192</v>
      </c>
      <c r="B1127" s="236" t="s">
        <v>639</v>
      </c>
      <c r="C1127" s="236" t="s">
        <v>19</v>
      </c>
      <c r="D1127" s="236" t="s">
        <v>2</v>
      </c>
      <c r="E1127" s="237">
        <v>43617</v>
      </c>
      <c r="F1127" s="236" t="s">
        <v>1234</v>
      </c>
      <c r="G1127" s="237">
        <v>45056</v>
      </c>
      <c r="H1127" s="234">
        <f>SUMIF(VA!B:B,A1127,VA!I:I)</f>
        <v>359.46</v>
      </c>
      <c r="I1127" s="33">
        <f>SUMIF(VR!B:B,A1127,VR!I:I)</f>
        <v>657.5</v>
      </c>
      <c r="J1127" s="4">
        <f t="shared" si="17"/>
        <v>1016.96</v>
      </c>
      <c r="K1127" s="195">
        <f>SUMIF(FALTAS!A:A,A1127,FALTAS!D:D)</f>
        <v>0</v>
      </c>
    </row>
    <row r="1128" spans="1:11" x14ac:dyDescent="0.2">
      <c r="A1128" s="235">
        <v>122555</v>
      </c>
      <c r="B1128" s="236" t="s">
        <v>1711</v>
      </c>
      <c r="C1128" s="236" t="s">
        <v>8</v>
      </c>
      <c r="D1128" s="236" t="s">
        <v>5</v>
      </c>
      <c r="E1128" s="237">
        <v>45131</v>
      </c>
      <c r="F1128" s="236" t="s">
        <v>1234</v>
      </c>
      <c r="G1128" s="237">
        <v>45131</v>
      </c>
      <c r="H1128" s="234">
        <f>SUMIF(VA!B:B,A1128,VA!I:I)</f>
        <v>359.46</v>
      </c>
      <c r="I1128" s="33">
        <f>SUMIF(VR!B:B,A1128,VR!I:I)</f>
        <v>657.5</v>
      </c>
      <c r="J1128" s="4">
        <f t="shared" si="17"/>
        <v>1016.96</v>
      </c>
      <c r="K1128" s="195">
        <f>SUMIF(FALTAS!A:A,A1128,FALTAS!D:D)</f>
        <v>0</v>
      </c>
    </row>
    <row r="1129" spans="1:11" x14ac:dyDescent="0.2">
      <c r="A1129" s="235">
        <v>118054</v>
      </c>
      <c r="B1129" s="236" t="s">
        <v>1413</v>
      </c>
      <c r="C1129" s="236" t="s">
        <v>10</v>
      </c>
      <c r="D1129" s="236" t="s">
        <v>5</v>
      </c>
      <c r="E1129" s="237">
        <v>44567</v>
      </c>
      <c r="F1129" s="236" t="s">
        <v>1234</v>
      </c>
      <c r="G1129" s="237">
        <v>45149</v>
      </c>
      <c r="H1129" s="234">
        <f>SUMIF(VA!B:B,A1129,VA!I:I)</f>
        <v>359.46</v>
      </c>
      <c r="I1129" s="33">
        <f>SUMIF(VR!B:B,A1129,VR!I:I)</f>
        <v>657.5</v>
      </c>
      <c r="J1129" s="4">
        <f t="shared" si="17"/>
        <v>1016.96</v>
      </c>
      <c r="K1129" s="195">
        <f>SUMIF(FALTAS!A:A,A1129,FALTAS!D:D)</f>
        <v>0</v>
      </c>
    </row>
    <row r="1130" spans="1:11" x14ac:dyDescent="0.2">
      <c r="A1130" s="235">
        <v>113722</v>
      </c>
      <c r="B1130" s="236" t="s">
        <v>939</v>
      </c>
      <c r="C1130" s="236" t="s">
        <v>10</v>
      </c>
      <c r="D1130" s="236" t="s">
        <v>5</v>
      </c>
      <c r="E1130" s="237">
        <v>43619</v>
      </c>
      <c r="F1130" s="236" t="s">
        <v>1234</v>
      </c>
      <c r="G1130" s="237">
        <v>45023</v>
      </c>
      <c r="H1130" s="234">
        <f>SUMIF(VA!B:B,A1130,VA!I:I)</f>
        <v>359.46</v>
      </c>
      <c r="I1130" s="33">
        <f>SUMIF(VR!B:B,A1130,VR!I:I)</f>
        <v>657.5</v>
      </c>
      <c r="J1130" s="4">
        <f t="shared" si="17"/>
        <v>1016.96</v>
      </c>
      <c r="K1130" s="195">
        <f>SUMIF(FALTAS!A:A,A1130,FALTAS!D:D)</f>
        <v>0</v>
      </c>
    </row>
    <row r="1131" spans="1:11" x14ac:dyDescent="0.2">
      <c r="A1131" s="235">
        <v>113201</v>
      </c>
      <c r="B1131" s="236" t="s">
        <v>643</v>
      </c>
      <c r="C1131" s="236" t="s">
        <v>8</v>
      </c>
      <c r="D1131" s="236" t="s">
        <v>2</v>
      </c>
      <c r="E1131" s="237">
        <v>43617</v>
      </c>
      <c r="F1131" s="236" t="s">
        <v>1234</v>
      </c>
      <c r="G1131" s="237">
        <v>45119</v>
      </c>
      <c r="H1131" s="234">
        <f>SUMIF(VA!B:B,A1131,VA!I:I)</f>
        <v>359.46</v>
      </c>
      <c r="I1131" s="33">
        <f>SUMIF(VR!B:B,A1131,VR!I:I)</f>
        <v>657.5</v>
      </c>
      <c r="J1131" s="4">
        <f t="shared" si="17"/>
        <v>1016.96</v>
      </c>
      <c r="K1131" s="195">
        <f>SUMIF(FALTAS!A:A,A1131,FALTAS!D:D)</f>
        <v>0</v>
      </c>
    </row>
    <row r="1132" spans="1:11" x14ac:dyDescent="0.2">
      <c r="A1132" s="235">
        <v>113803</v>
      </c>
      <c r="B1132" s="236" t="s">
        <v>987</v>
      </c>
      <c r="C1132" s="236" t="s">
        <v>1589</v>
      </c>
      <c r="D1132" s="236" t="s">
        <v>15</v>
      </c>
      <c r="E1132" s="237">
        <v>43630</v>
      </c>
      <c r="F1132" s="236" t="s">
        <v>1235</v>
      </c>
      <c r="G1132" s="237">
        <v>45147</v>
      </c>
      <c r="H1132" s="234">
        <f>SUMIF(VA!B:B,A1132,VA!I:I)</f>
        <v>359.46</v>
      </c>
      <c r="I1132" s="33">
        <f>SUMIF(VR!B:B,A1132,VR!I:I)</f>
        <v>657.5</v>
      </c>
      <c r="J1132" s="4">
        <f t="shared" si="17"/>
        <v>1016.96</v>
      </c>
      <c r="K1132" s="195">
        <f>SUMIF(FALTAS!A:A,A1132,FALTAS!D:D)</f>
        <v>0</v>
      </c>
    </row>
    <row r="1133" spans="1:11" x14ac:dyDescent="0.2">
      <c r="A1133" s="235">
        <v>113218</v>
      </c>
      <c r="B1133" s="236" t="s">
        <v>654</v>
      </c>
      <c r="C1133" s="236" t="s">
        <v>1589</v>
      </c>
      <c r="D1133" s="236" t="s">
        <v>15</v>
      </c>
      <c r="E1133" s="237">
        <v>43617</v>
      </c>
      <c r="F1133" s="236" t="s">
        <v>1234</v>
      </c>
      <c r="G1133" s="237">
        <v>45119</v>
      </c>
      <c r="H1133" s="234">
        <f>SUMIF(VA!B:B,A1133,VA!I:I)</f>
        <v>359.46</v>
      </c>
      <c r="I1133" s="33">
        <f>SUMIF(VR!B:B,A1133,VR!I:I)</f>
        <v>657.5</v>
      </c>
      <c r="J1133" s="4">
        <f t="shared" si="17"/>
        <v>1016.96</v>
      </c>
      <c r="K1133" s="195">
        <f>SUMIF(FALTAS!A:A,A1133,FALTAS!D:D)</f>
        <v>0</v>
      </c>
    </row>
    <row r="1134" spans="1:11" x14ac:dyDescent="0.2">
      <c r="A1134" s="235">
        <v>113224</v>
      </c>
      <c r="B1134" s="236" t="s">
        <v>657</v>
      </c>
      <c r="C1134" s="236" t="s">
        <v>0</v>
      </c>
      <c r="D1134" s="236" t="s">
        <v>5</v>
      </c>
      <c r="E1134" s="237">
        <v>43617</v>
      </c>
      <c r="F1134" s="236" t="s">
        <v>1234</v>
      </c>
      <c r="G1134" s="237">
        <v>44993</v>
      </c>
      <c r="H1134" s="234">
        <f>SUMIF(VA!B:B,A1134,VA!I:I)</f>
        <v>359.46</v>
      </c>
      <c r="I1134" s="33">
        <f>SUMIF(VR!B:B,A1134,VR!I:I)</f>
        <v>657.5</v>
      </c>
      <c r="J1134" s="4">
        <f t="shared" si="17"/>
        <v>1016.96</v>
      </c>
      <c r="K1134" s="195">
        <f>SUMIF(FALTAS!A:A,A1134,FALTAS!D:D)</f>
        <v>0</v>
      </c>
    </row>
    <row r="1135" spans="1:11" x14ac:dyDescent="0.2">
      <c r="A1135" s="235">
        <v>114094</v>
      </c>
      <c r="B1135" s="236" t="s">
        <v>1006</v>
      </c>
      <c r="C1135" s="236" t="s">
        <v>8</v>
      </c>
      <c r="D1135" s="236" t="s">
        <v>5</v>
      </c>
      <c r="E1135" s="237">
        <v>43728</v>
      </c>
      <c r="F1135" s="236" t="s">
        <v>1234</v>
      </c>
      <c r="G1135" s="237">
        <v>45149</v>
      </c>
      <c r="H1135" s="234">
        <f>SUMIF(VA!B:B,A1135,VA!I:I)</f>
        <v>359.46</v>
      </c>
      <c r="I1135" s="33">
        <f>SUMIF(VR!B:B,A1135,VR!I:I)</f>
        <v>657.5</v>
      </c>
      <c r="J1135" s="4">
        <f t="shared" si="17"/>
        <v>1016.96</v>
      </c>
      <c r="K1135" s="195">
        <f>SUMIF(FALTAS!A:A,A1135,FALTAS!D:D)</f>
        <v>0</v>
      </c>
    </row>
    <row r="1136" spans="1:11" x14ac:dyDescent="0.2">
      <c r="A1136" s="235">
        <v>113235</v>
      </c>
      <c r="B1136" s="236" t="s">
        <v>664</v>
      </c>
      <c r="C1136" s="236" t="s">
        <v>0</v>
      </c>
      <c r="D1136" s="236" t="s">
        <v>5</v>
      </c>
      <c r="E1136" s="237">
        <v>43617</v>
      </c>
      <c r="F1136" s="236" t="s">
        <v>1234</v>
      </c>
      <c r="G1136" s="237">
        <v>45056</v>
      </c>
      <c r="H1136" s="234">
        <f>SUMIF(VA!B:B,A1136,VA!I:I)</f>
        <v>359.46</v>
      </c>
      <c r="I1136" s="33">
        <f>SUMIF(VR!B:B,A1136,VR!I:I)</f>
        <v>657.5</v>
      </c>
      <c r="J1136" s="4">
        <f t="shared" si="17"/>
        <v>1016.96</v>
      </c>
      <c r="K1136" s="195">
        <f>SUMIF(FALTAS!A:A,A1136,FALTAS!D:D)</f>
        <v>0</v>
      </c>
    </row>
    <row r="1137" spans="1:11" x14ac:dyDescent="0.2">
      <c r="A1137" s="235">
        <v>119125</v>
      </c>
      <c r="B1137" s="236" t="s">
        <v>1448</v>
      </c>
      <c r="C1137" s="236" t="s">
        <v>1589</v>
      </c>
      <c r="D1137" s="236" t="s">
        <v>15</v>
      </c>
      <c r="E1137" s="237">
        <v>44630</v>
      </c>
      <c r="F1137" s="236" t="s">
        <v>1234</v>
      </c>
      <c r="G1137" s="237">
        <v>45086</v>
      </c>
      <c r="H1137" s="234">
        <f>SUMIF(VA!B:B,A1137,VA!I:I)</f>
        <v>359.46</v>
      </c>
      <c r="I1137" s="33">
        <f>SUMIF(VR!B:B,A1137,VR!I:I)</f>
        <v>657.5</v>
      </c>
      <c r="J1137" s="4">
        <f t="shared" si="17"/>
        <v>1016.96</v>
      </c>
      <c r="K1137" s="195">
        <f>SUMIF(FALTAS!A:A,A1137,FALTAS!D:D)</f>
        <v>0</v>
      </c>
    </row>
    <row r="1138" spans="1:11" x14ac:dyDescent="0.2">
      <c r="A1138" s="235">
        <v>116730</v>
      </c>
      <c r="B1138" s="236" t="s">
        <v>1226</v>
      </c>
      <c r="C1138" s="236" t="s">
        <v>1589</v>
      </c>
      <c r="D1138" s="236" t="s">
        <v>15</v>
      </c>
      <c r="E1138" s="237">
        <v>44368</v>
      </c>
      <c r="F1138" s="236" t="s">
        <v>1234</v>
      </c>
      <c r="G1138" s="237">
        <v>44867</v>
      </c>
      <c r="H1138" s="234">
        <f>SUMIF(VA!B:B,A1138,VA!I:I)</f>
        <v>359.46</v>
      </c>
      <c r="I1138" s="33">
        <f>SUMIF(VR!B:B,A1138,VR!I:I)</f>
        <v>657.5</v>
      </c>
      <c r="J1138" s="4">
        <f t="shared" si="17"/>
        <v>1016.96</v>
      </c>
      <c r="K1138" s="195">
        <f>SUMIF(FALTAS!A:A,A1138,FALTAS!D:D)</f>
        <v>0</v>
      </c>
    </row>
    <row r="1139" spans="1:11" x14ac:dyDescent="0.2">
      <c r="A1139" s="235">
        <v>114088</v>
      </c>
      <c r="B1139" s="236" t="s">
        <v>1003</v>
      </c>
      <c r="C1139" s="236" t="s">
        <v>0</v>
      </c>
      <c r="D1139" s="236" t="s">
        <v>5</v>
      </c>
      <c r="E1139" s="237">
        <v>43728</v>
      </c>
      <c r="F1139" s="236" t="s">
        <v>1234</v>
      </c>
      <c r="G1139" s="237">
        <v>45119</v>
      </c>
      <c r="H1139" s="234">
        <f>SUMIF(VA!B:B,A1139,VA!I:I)</f>
        <v>359.46</v>
      </c>
      <c r="I1139" s="33">
        <f>SUMIF(VR!B:B,A1139,VR!I:I)</f>
        <v>657.5</v>
      </c>
      <c r="J1139" s="4">
        <f t="shared" si="17"/>
        <v>1016.96</v>
      </c>
      <c r="K1139" s="195">
        <f>SUMIF(FALTAS!A:A,A1139,FALTAS!D:D)</f>
        <v>0</v>
      </c>
    </row>
    <row r="1140" spans="1:11" x14ac:dyDescent="0.2">
      <c r="A1140" s="235">
        <v>122247</v>
      </c>
      <c r="B1140" s="236" t="s">
        <v>1672</v>
      </c>
      <c r="C1140" s="236" t="s">
        <v>0</v>
      </c>
      <c r="D1140" s="236" t="s">
        <v>5</v>
      </c>
      <c r="E1140" s="237">
        <v>45089</v>
      </c>
      <c r="F1140" s="236" t="s">
        <v>1234</v>
      </c>
      <c r="G1140" s="237">
        <v>45089</v>
      </c>
      <c r="H1140" s="234">
        <f>SUMIF(VA!B:B,A1140,VA!I:I)</f>
        <v>335.49</v>
      </c>
      <c r="I1140" s="33">
        <f>SUMIF(VR!B:B,A1140,VR!I:I)</f>
        <v>604.9</v>
      </c>
      <c r="J1140" s="4">
        <f t="shared" si="17"/>
        <v>940.39</v>
      </c>
      <c r="K1140" s="195">
        <f>SUMIF(FALTAS!A:A,A1140,FALTAS!D:D)</f>
        <v>2</v>
      </c>
    </row>
    <row r="1141" spans="1:11" x14ac:dyDescent="0.2">
      <c r="A1141" s="235">
        <v>114980</v>
      </c>
      <c r="B1141" s="236" t="s">
        <v>1139</v>
      </c>
      <c r="C1141" s="236" t="s">
        <v>0</v>
      </c>
      <c r="D1141" s="236" t="s">
        <v>5</v>
      </c>
      <c r="E1141" s="237">
        <v>43917</v>
      </c>
      <c r="F1141" s="236" t="s">
        <v>1234</v>
      </c>
      <c r="G1141" s="237">
        <v>44954</v>
      </c>
      <c r="H1141" s="234">
        <f>SUMIF(VA!B:B,A1141,VA!I:I)</f>
        <v>359.46</v>
      </c>
      <c r="I1141" s="33">
        <f>SUMIF(VR!B:B,A1141,VR!I:I)</f>
        <v>657.5</v>
      </c>
      <c r="J1141" s="4">
        <f t="shared" si="17"/>
        <v>1016.96</v>
      </c>
      <c r="K1141" s="195">
        <f>SUMIF(FALTAS!A:A,A1141,FALTAS!D:D)</f>
        <v>0</v>
      </c>
    </row>
    <row r="1142" spans="1:11" x14ac:dyDescent="0.2">
      <c r="A1142" s="235">
        <v>113255</v>
      </c>
      <c r="B1142" s="236" t="s">
        <v>673</v>
      </c>
      <c r="C1142" s="236" t="s">
        <v>1589</v>
      </c>
      <c r="D1142" s="236" t="s">
        <v>22</v>
      </c>
      <c r="E1142" s="237">
        <v>43617</v>
      </c>
      <c r="F1142" s="236" t="s">
        <v>1234</v>
      </c>
      <c r="G1142" s="237">
        <v>45023</v>
      </c>
      <c r="H1142" s="234">
        <f>SUMIF(VA!B:B,A1142,VA!I:I)</f>
        <v>359.46</v>
      </c>
      <c r="I1142" s="33">
        <f>SUMIF(VR!B:B,A1142,VR!I:I)</f>
        <v>657.5</v>
      </c>
      <c r="J1142" s="4">
        <f t="shared" si="17"/>
        <v>1016.96</v>
      </c>
      <c r="K1142" s="195">
        <f>SUMIF(FALTAS!A:A,A1142,FALTAS!D:D)</f>
        <v>0</v>
      </c>
    </row>
    <row r="1143" spans="1:11" x14ac:dyDescent="0.2">
      <c r="A1143" s="235">
        <v>116983</v>
      </c>
      <c r="B1143" s="236" t="s">
        <v>1249</v>
      </c>
      <c r="C1143" s="236" t="s">
        <v>0</v>
      </c>
      <c r="D1143" s="236" t="s">
        <v>5</v>
      </c>
      <c r="E1143" s="237">
        <v>44419</v>
      </c>
      <c r="F1143" s="236" t="s">
        <v>1234</v>
      </c>
      <c r="G1143" s="237">
        <v>45086</v>
      </c>
      <c r="H1143" s="234">
        <f>SUMIF(VA!B:B,A1143,VA!I:I)</f>
        <v>359.46</v>
      </c>
      <c r="I1143" s="33">
        <f>SUMIF(VR!B:B,A1143,VR!I:I)</f>
        <v>657.5</v>
      </c>
      <c r="J1143" s="4">
        <f t="shared" si="17"/>
        <v>1016.96</v>
      </c>
      <c r="K1143" s="195">
        <f>SUMIF(FALTAS!A:A,A1143,FALTAS!D:D)</f>
        <v>0</v>
      </c>
    </row>
    <row r="1144" spans="1:11" x14ac:dyDescent="0.2">
      <c r="A1144" s="235">
        <v>113262</v>
      </c>
      <c r="B1144" s="236" t="s">
        <v>676</v>
      </c>
      <c r="C1144" s="236" t="s">
        <v>10</v>
      </c>
      <c r="D1144" s="236" t="s">
        <v>2</v>
      </c>
      <c r="E1144" s="237">
        <v>43617</v>
      </c>
      <c r="F1144" s="236" t="s">
        <v>1234</v>
      </c>
      <c r="G1144" s="237">
        <v>44930</v>
      </c>
      <c r="H1144" s="234">
        <f>SUMIF(VA!B:B,A1144,VA!I:I)</f>
        <v>359.46</v>
      </c>
      <c r="I1144" s="33">
        <f>SUMIF(VR!B:B,A1144,VR!I:I)</f>
        <v>657.5</v>
      </c>
      <c r="J1144" s="4">
        <f t="shared" si="17"/>
        <v>1016.96</v>
      </c>
      <c r="K1144" s="195">
        <f>SUMIF(FALTAS!A:A,A1144,FALTAS!D:D)</f>
        <v>0</v>
      </c>
    </row>
    <row r="1145" spans="1:11" x14ac:dyDescent="0.2">
      <c r="A1145" s="235">
        <v>116720</v>
      </c>
      <c r="B1145" s="236" t="s">
        <v>680</v>
      </c>
      <c r="C1145" s="236" t="s">
        <v>10</v>
      </c>
      <c r="D1145" s="236" t="s">
        <v>2</v>
      </c>
      <c r="E1145" s="237">
        <v>44368</v>
      </c>
      <c r="F1145" s="236" t="s">
        <v>1234</v>
      </c>
      <c r="G1145" s="237">
        <v>45023</v>
      </c>
      <c r="H1145" s="234">
        <f>SUMIF(VA!B:B,A1145,VA!I:I)</f>
        <v>359.46</v>
      </c>
      <c r="I1145" s="33">
        <f>SUMIF(VR!B:B,A1145,VR!I:I)</f>
        <v>657.5</v>
      </c>
      <c r="J1145" s="4">
        <f t="shared" si="17"/>
        <v>1016.96</v>
      </c>
      <c r="K1145" s="195">
        <f>SUMIF(FALTAS!A:A,A1145,FALTAS!D:D)</f>
        <v>0</v>
      </c>
    </row>
    <row r="1146" spans="1:11" x14ac:dyDescent="0.2">
      <c r="A1146" s="235">
        <v>113288</v>
      </c>
      <c r="B1146" s="236" t="s">
        <v>691</v>
      </c>
      <c r="C1146" s="236" t="s">
        <v>0</v>
      </c>
      <c r="D1146" s="236" t="s">
        <v>2</v>
      </c>
      <c r="E1146" s="237">
        <v>43617</v>
      </c>
      <c r="F1146" s="236" t="s">
        <v>1234</v>
      </c>
      <c r="G1146" s="237">
        <v>44898</v>
      </c>
      <c r="H1146" s="234">
        <f>SUMIF(VA!B:B,A1146,VA!I:I)</f>
        <v>359.46</v>
      </c>
      <c r="I1146" s="33">
        <f>SUMIF(VR!B:B,A1146,VR!I:I)</f>
        <v>657.5</v>
      </c>
      <c r="J1146" s="4">
        <f t="shared" si="17"/>
        <v>1016.96</v>
      </c>
      <c r="K1146" s="195">
        <f>SUMIF(FALTAS!A:A,A1146,FALTAS!D:D)</f>
        <v>0</v>
      </c>
    </row>
    <row r="1147" spans="1:11" x14ac:dyDescent="0.2">
      <c r="A1147" s="235">
        <v>120623</v>
      </c>
      <c r="B1147" s="236" t="s">
        <v>1517</v>
      </c>
      <c r="C1147" s="236" t="s">
        <v>1589</v>
      </c>
      <c r="D1147" s="236" t="s">
        <v>205</v>
      </c>
      <c r="E1147" s="237">
        <v>44837</v>
      </c>
      <c r="F1147" s="236" t="s">
        <v>1234</v>
      </c>
      <c r="G1147" s="237">
        <v>44837</v>
      </c>
      <c r="H1147" s="234">
        <f>SUMIF(VA!B:B,A1147,VA!I:I)</f>
        <v>359.46</v>
      </c>
      <c r="I1147" s="33">
        <f>SUMIF(VR!B:B,A1147,VR!I:I)</f>
        <v>657.5</v>
      </c>
      <c r="J1147" s="4">
        <f t="shared" si="17"/>
        <v>1016.96</v>
      </c>
      <c r="K1147" s="195">
        <f>SUMIF(FALTAS!A:A,A1147,FALTAS!D:D)</f>
        <v>0</v>
      </c>
    </row>
    <row r="1148" spans="1:11" x14ac:dyDescent="0.2">
      <c r="A1148" s="235">
        <v>114742</v>
      </c>
      <c r="B1148" s="236" t="s">
        <v>1090</v>
      </c>
      <c r="C1148" s="236" t="s">
        <v>0</v>
      </c>
      <c r="D1148" s="236" t="s">
        <v>5</v>
      </c>
      <c r="E1148" s="237">
        <v>43874</v>
      </c>
      <c r="F1148" s="236" t="s">
        <v>1234</v>
      </c>
      <c r="G1148" s="237">
        <v>45163</v>
      </c>
      <c r="H1148" s="234">
        <f>SUMIF(VA!B:B,A1148,VA!I:I)</f>
        <v>359.46</v>
      </c>
      <c r="I1148" s="33">
        <f>SUMIF(VR!B:B,A1148,VR!I:I)</f>
        <v>526</v>
      </c>
      <c r="J1148" s="4">
        <f t="shared" si="17"/>
        <v>885.46</v>
      </c>
      <c r="K1148" s="195">
        <f>SUMIF(FALTAS!A:A,A1148,FALTAS!D:D)</f>
        <v>5</v>
      </c>
    </row>
    <row r="1149" spans="1:11" x14ac:dyDescent="0.2">
      <c r="A1149" s="235">
        <v>113350</v>
      </c>
      <c r="B1149" s="236" t="s">
        <v>721</v>
      </c>
      <c r="C1149" s="236" t="s">
        <v>0</v>
      </c>
      <c r="D1149" s="236" t="s">
        <v>5</v>
      </c>
      <c r="E1149" s="237">
        <v>43617</v>
      </c>
      <c r="F1149" s="236" t="s">
        <v>1234</v>
      </c>
      <c r="G1149" s="237">
        <v>44960</v>
      </c>
      <c r="H1149" s="234">
        <f>SUMIF(VA!B:B,A1149,VA!I:I)</f>
        <v>359.46</v>
      </c>
      <c r="I1149" s="33">
        <f>SUMIF(VR!B:B,A1149,VR!I:I)</f>
        <v>657.5</v>
      </c>
      <c r="J1149" s="4">
        <f t="shared" si="17"/>
        <v>1016.96</v>
      </c>
      <c r="K1149" s="195">
        <f>SUMIF(FALTAS!A:A,A1149,FALTAS!D:D)</f>
        <v>0</v>
      </c>
    </row>
    <row r="1150" spans="1:11" x14ac:dyDescent="0.2">
      <c r="A1150" s="235">
        <v>113356</v>
      </c>
      <c r="B1150" s="236" t="s">
        <v>648</v>
      </c>
      <c r="C1150" s="236" t="s">
        <v>8</v>
      </c>
      <c r="D1150" s="236" t="s">
        <v>5</v>
      </c>
      <c r="E1150" s="237">
        <v>43617</v>
      </c>
      <c r="F1150" s="236" t="s">
        <v>1234</v>
      </c>
      <c r="G1150" s="237">
        <v>44776</v>
      </c>
      <c r="H1150" s="234">
        <f>SUMIF(VA!B:B,A1150,VA!I:I)</f>
        <v>359.46</v>
      </c>
      <c r="I1150" s="33">
        <f>SUMIF(VR!B:B,A1150,VR!I:I)</f>
        <v>657.5</v>
      </c>
      <c r="J1150" s="4">
        <f t="shared" si="17"/>
        <v>1016.96</v>
      </c>
      <c r="K1150" s="195">
        <f>SUMIF(FALTAS!A:A,A1150,FALTAS!D:D)</f>
        <v>0</v>
      </c>
    </row>
    <row r="1151" spans="1:11" x14ac:dyDescent="0.2">
      <c r="A1151" s="235">
        <v>113365</v>
      </c>
      <c r="B1151" s="236" t="s">
        <v>648</v>
      </c>
      <c r="C1151" s="236" t="s">
        <v>1589</v>
      </c>
      <c r="D1151" s="236" t="s">
        <v>15</v>
      </c>
      <c r="E1151" s="237">
        <v>43617</v>
      </c>
      <c r="F1151" s="236" t="s">
        <v>1234</v>
      </c>
      <c r="G1151" s="237">
        <v>44835</v>
      </c>
      <c r="H1151" s="234">
        <f>SUMIF(VA!B:B,A1151,VA!I:I)</f>
        <v>359.46</v>
      </c>
      <c r="I1151" s="33">
        <f>SUMIF(VR!B:B,A1151,VR!I:I)</f>
        <v>657.5</v>
      </c>
      <c r="J1151" s="4">
        <f t="shared" si="17"/>
        <v>1016.96</v>
      </c>
      <c r="K1151" s="195">
        <f>SUMIF(FALTAS!A:A,A1151,FALTAS!D:D)</f>
        <v>0</v>
      </c>
    </row>
    <row r="1152" spans="1:11" x14ac:dyDescent="0.2">
      <c r="A1152" s="235">
        <v>122424</v>
      </c>
      <c r="B1152" s="236" t="s">
        <v>1712</v>
      </c>
      <c r="C1152" s="236" t="s">
        <v>1589</v>
      </c>
      <c r="D1152" s="236" t="s">
        <v>5</v>
      </c>
      <c r="E1152" s="237">
        <v>45117</v>
      </c>
      <c r="F1152" s="236" t="s">
        <v>1234</v>
      </c>
      <c r="G1152" s="237">
        <v>45117</v>
      </c>
      <c r="H1152" s="234">
        <f>SUMIF(VA!B:B,A1152,VA!I:I)</f>
        <v>323.51</v>
      </c>
      <c r="I1152" s="33">
        <f>SUMIF(VR!B:B,A1152,VR!I:I)</f>
        <v>578.6</v>
      </c>
      <c r="J1152" s="4">
        <f t="shared" si="17"/>
        <v>902.11</v>
      </c>
      <c r="K1152" s="195">
        <f>SUMIF(FALTAS!A:A,A1152,FALTAS!D:D)</f>
        <v>3</v>
      </c>
    </row>
    <row r="1153" spans="1:11" x14ac:dyDescent="0.2">
      <c r="A1153" s="235">
        <v>113378</v>
      </c>
      <c r="B1153" s="236" t="s">
        <v>1577</v>
      </c>
      <c r="C1153" s="236" t="s">
        <v>32</v>
      </c>
      <c r="D1153" s="236" t="s">
        <v>2</v>
      </c>
      <c r="E1153" s="237">
        <v>43617</v>
      </c>
      <c r="F1153" s="236" t="s">
        <v>1285</v>
      </c>
      <c r="G1153" s="237">
        <v>44348</v>
      </c>
      <c r="H1153" s="234">
        <f>SUMIF(VA!B:B,A1153,VA!I:I)</f>
        <v>0</v>
      </c>
      <c r="I1153" s="33">
        <f>SUMIF(VR!B:B,A1153,VR!I:I)</f>
        <v>0</v>
      </c>
      <c r="J1153" s="4">
        <f t="shared" si="17"/>
        <v>0</v>
      </c>
      <c r="K1153" s="195">
        <f>SUMIF(FALTAS!A:A,A1153,FALTAS!D:D)</f>
        <v>0</v>
      </c>
    </row>
    <row r="1154" spans="1:11" x14ac:dyDescent="0.2">
      <c r="A1154" s="235">
        <v>113389</v>
      </c>
      <c r="B1154" s="236" t="s">
        <v>748</v>
      </c>
      <c r="C1154" s="236" t="s">
        <v>1589</v>
      </c>
      <c r="D1154" s="236" t="s">
        <v>22</v>
      </c>
      <c r="E1154" s="237">
        <v>43617</v>
      </c>
      <c r="F1154" s="236" t="s">
        <v>1234</v>
      </c>
      <c r="G1154" s="237">
        <v>45119</v>
      </c>
      <c r="H1154" s="234">
        <f>SUMIF(VA!B:B,A1154,VA!I:I)</f>
        <v>359.46</v>
      </c>
      <c r="I1154" s="33">
        <f>SUMIF(VR!B:B,A1154,VR!I:I)</f>
        <v>657.5</v>
      </c>
      <c r="J1154" s="4">
        <f t="shared" ref="J1154:J1217" si="18">H1154+I1154</f>
        <v>1016.96</v>
      </c>
      <c r="K1154" s="195">
        <f>SUMIF(FALTAS!A:A,A1154,FALTAS!D:D)</f>
        <v>0</v>
      </c>
    </row>
    <row r="1155" spans="1:11" x14ac:dyDescent="0.2">
      <c r="A1155" s="235">
        <v>119646</v>
      </c>
      <c r="B1155" s="236" t="s">
        <v>1478</v>
      </c>
      <c r="C1155" s="236" t="s">
        <v>8</v>
      </c>
      <c r="D1155" s="236" t="s">
        <v>5</v>
      </c>
      <c r="E1155" s="237">
        <v>44725</v>
      </c>
      <c r="F1155" s="236" t="s">
        <v>1234</v>
      </c>
      <c r="G1155" s="237">
        <v>44725</v>
      </c>
      <c r="H1155" s="234">
        <f>SUMIF(VA!B:B,A1155,VA!I:I)</f>
        <v>359.46</v>
      </c>
      <c r="I1155" s="33">
        <f>SUMIF(VR!B:B,A1155,VR!I:I)</f>
        <v>657.5</v>
      </c>
      <c r="J1155" s="4">
        <f t="shared" si="18"/>
        <v>1016.96</v>
      </c>
      <c r="K1155" s="195">
        <f>SUMIF(FALTAS!A:A,A1155,FALTAS!D:D)</f>
        <v>0</v>
      </c>
    </row>
    <row r="1156" spans="1:11" x14ac:dyDescent="0.2">
      <c r="A1156" s="235">
        <v>121028</v>
      </c>
      <c r="B1156" s="236" t="s">
        <v>1527</v>
      </c>
      <c r="C1156" s="236" t="s">
        <v>32</v>
      </c>
      <c r="D1156" s="236" t="s">
        <v>2</v>
      </c>
      <c r="E1156" s="237">
        <v>44900</v>
      </c>
      <c r="F1156" s="236" t="s">
        <v>1234</v>
      </c>
      <c r="G1156" s="237">
        <v>44900</v>
      </c>
      <c r="H1156" s="234">
        <f>SUMIF(VA!B:B,A1156,VA!I:I)</f>
        <v>359.46</v>
      </c>
      <c r="I1156" s="33">
        <f>SUMIF(VR!B:B,A1156,VR!I:I)</f>
        <v>657.5</v>
      </c>
      <c r="J1156" s="4">
        <f t="shared" si="18"/>
        <v>1016.96</v>
      </c>
      <c r="K1156" s="195">
        <f>SUMIF(FALTAS!A:A,A1156,FALTAS!D:D)</f>
        <v>0</v>
      </c>
    </row>
    <row r="1157" spans="1:11" x14ac:dyDescent="0.2">
      <c r="A1157" s="235">
        <v>113399</v>
      </c>
      <c r="B1157" s="236" t="s">
        <v>756</v>
      </c>
      <c r="C1157" s="236" t="s">
        <v>8</v>
      </c>
      <c r="D1157" s="236" t="s">
        <v>5</v>
      </c>
      <c r="E1157" s="237">
        <v>43617</v>
      </c>
      <c r="F1157" s="236" t="s">
        <v>1234</v>
      </c>
      <c r="G1157" s="237">
        <v>45023</v>
      </c>
      <c r="H1157" s="234">
        <f>SUMIF(VA!B:B,A1157,VA!I:I)</f>
        <v>359.46</v>
      </c>
      <c r="I1157" s="33">
        <f>SUMIF(VR!B:B,A1157,VR!I:I)</f>
        <v>657.5</v>
      </c>
      <c r="J1157" s="4">
        <f t="shared" si="18"/>
        <v>1016.96</v>
      </c>
      <c r="K1157" s="195">
        <f>SUMIF(FALTAS!A:A,A1157,FALTAS!D:D)</f>
        <v>0</v>
      </c>
    </row>
    <row r="1158" spans="1:11" x14ac:dyDescent="0.2">
      <c r="A1158" s="235">
        <v>113407</v>
      </c>
      <c r="B1158" s="236" t="s">
        <v>761</v>
      </c>
      <c r="C1158" s="236" t="s">
        <v>1589</v>
      </c>
      <c r="D1158" s="236" t="s">
        <v>15</v>
      </c>
      <c r="E1158" s="237">
        <v>43617</v>
      </c>
      <c r="F1158" s="236" t="s">
        <v>1234</v>
      </c>
      <c r="G1158" s="237">
        <v>45119</v>
      </c>
      <c r="H1158" s="234">
        <f>SUMIF(VA!B:B,A1158,VA!I:I)</f>
        <v>359.46</v>
      </c>
      <c r="I1158" s="33">
        <f>SUMIF(VR!B:B,A1158,VR!I:I)</f>
        <v>657.5</v>
      </c>
      <c r="J1158" s="4">
        <f t="shared" si="18"/>
        <v>1016.96</v>
      </c>
      <c r="K1158" s="195">
        <f>SUMIF(FALTAS!A:A,A1158,FALTAS!D:D)</f>
        <v>0</v>
      </c>
    </row>
    <row r="1159" spans="1:11" x14ac:dyDescent="0.2">
      <c r="A1159" s="235">
        <v>113429</v>
      </c>
      <c r="B1159" s="236" t="s">
        <v>775</v>
      </c>
      <c r="C1159" s="236" t="s">
        <v>0</v>
      </c>
      <c r="D1159" s="236" t="s">
        <v>2</v>
      </c>
      <c r="E1159" s="237">
        <v>43617</v>
      </c>
      <c r="F1159" s="236" t="s">
        <v>1234</v>
      </c>
      <c r="G1159" s="237">
        <v>45119</v>
      </c>
      <c r="H1159" s="234">
        <f>SUMIF(VA!B:B,A1159,VA!I:I)</f>
        <v>359.46</v>
      </c>
      <c r="I1159" s="33">
        <f>SUMIF(VR!B:B,A1159,VR!I:I)</f>
        <v>657.5</v>
      </c>
      <c r="J1159" s="4">
        <f t="shared" si="18"/>
        <v>1016.96</v>
      </c>
      <c r="K1159" s="195">
        <f>SUMIF(FALTAS!A:A,A1159,FALTAS!D:D)</f>
        <v>0</v>
      </c>
    </row>
    <row r="1160" spans="1:11" x14ac:dyDescent="0.2">
      <c r="A1160" s="235">
        <v>113436</v>
      </c>
      <c r="B1160" s="236" t="s">
        <v>780</v>
      </c>
      <c r="C1160" s="236" t="s">
        <v>10</v>
      </c>
      <c r="D1160" s="236" t="s">
        <v>2</v>
      </c>
      <c r="E1160" s="237">
        <v>43617</v>
      </c>
      <c r="F1160" s="236" t="s">
        <v>1234</v>
      </c>
      <c r="G1160" s="237">
        <v>45119</v>
      </c>
      <c r="H1160" s="234">
        <f>SUMIF(VA!B:B,A1160,VA!I:I)</f>
        <v>359.46</v>
      </c>
      <c r="I1160" s="33">
        <f>SUMIF(VR!B:B,A1160,VR!I:I)</f>
        <v>657.5</v>
      </c>
      <c r="J1160" s="4">
        <f t="shared" si="18"/>
        <v>1016.96</v>
      </c>
      <c r="K1160" s="195">
        <f>SUMIF(FALTAS!A:A,A1160,FALTAS!D:D)</f>
        <v>0</v>
      </c>
    </row>
    <row r="1161" spans="1:11" x14ac:dyDescent="0.2">
      <c r="A1161" s="235">
        <v>122086</v>
      </c>
      <c r="B1161" s="236" t="s">
        <v>1645</v>
      </c>
      <c r="C1161" s="236" t="s">
        <v>1589</v>
      </c>
      <c r="D1161" s="236" t="s">
        <v>5</v>
      </c>
      <c r="E1161" s="237">
        <v>45061</v>
      </c>
      <c r="F1161" s="236" t="s">
        <v>1234</v>
      </c>
      <c r="G1161" s="237">
        <v>45061</v>
      </c>
      <c r="H1161" s="234">
        <f>SUMIF(VA!B:B,A1161,VA!I:I)</f>
        <v>359.46</v>
      </c>
      <c r="I1161" s="33">
        <f>SUMIF(VR!B:B,A1161,VR!I:I)</f>
        <v>657.5</v>
      </c>
      <c r="J1161" s="4">
        <f t="shared" si="18"/>
        <v>1016.96</v>
      </c>
      <c r="K1161" s="195">
        <f>SUMIF(FALTAS!A:A,A1161,FALTAS!D:D)</f>
        <v>0</v>
      </c>
    </row>
    <row r="1162" spans="1:11" x14ac:dyDescent="0.2">
      <c r="A1162" s="235">
        <v>113443</v>
      </c>
      <c r="B1162" s="236" t="s">
        <v>374</v>
      </c>
      <c r="C1162" s="236" t="s">
        <v>19</v>
      </c>
      <c r="D1162" s="236" t="s">
        <v>2</v>
      </c>
      <c r="E1162" s="237">
        <v>43617</v>
      </c>
      <c r="F1162" s="236" t="s">
        <v>1234</v>
      </c>
      <c r="G1162" s="237">
        <v>45056</v>
      </c>
      <c r="H1162" s="234">
        <f>SUMIF(VA!B:B,A1162,VA!I:I)</f>
        <v>359.46</v>
      </c>
      <c r="I1162" s="33">
        <f>SUMIF(VR!B:B,A1162,VR!I:I)</f>
        <v>657.5</v>
      </c>
      <c r="J1162" s="4">
        <f t="shared" si="18"/>
        <v>1016.96</v>
      </c>
      <c r="K1162" s="195">
        <f>SUMIF(FALTAS!A:A,A1162,FALTAS!D:D)</f>
        <v>0</v>
      </c>
    </row>
    <row r="1163" spans="1:11" x14ac:dyDescent="0.2">
      <c r="A1163" s="235">
        <v>113449</v>
      </c>
      <c r="B1163" s="236" t="s">
        <v>788</v>
      </c>
      <c r="C1163" s="236" t="s">
        <v>0</v>
      </c>
      <c r="D1163" s="236" t="s">
        <v>5</v>
      </c>
      <c r="E1163" s="237">
        <v>43617</v>
      </c>
      <c r="F1163" s="236" t="s">
        <v>1234</v>
      </c>
      <c r="G1163" s="237">
        <v>45050</v>
      </c>
      <c r="H1163" s="234">
        <f>SUMIF(VA!B:B,A1163,VA!I:I)</f>
        <v>359.46</v>
      </c>
      <c r="I1163" s="33">
        <f>SUMIF(VR!B:B,A1163,VR!I:I)</f>
        <v>657.5</v>
      </c>
      <c r="J1163" s="4">
        <f t="shared" si="18"/>
        <v>1016.96</v>
      </c>
      <c r="K1163" s="195">
        <f>SUMIF(FALTAS!A:A,A1163,FALTAS!D:D)</f>
        <v>0</v>
      </c>
    </row>
    <row r="1164" spans="1:11" x14ac:dyDescent="0.2">
      <c r="A1164" s="235">
        <v>113463</v>
      </c>
      <c r="B1164" s="236" t="s">
        <v>795</v>
      </c>
      <c r="C1164" s="236" t="s">
        <v>32</v>
      </c>
      <c r="D1164" s="236" t="s">
        <v>2</v>
      </c>
      <c r="E1164" s="237">
        <v>43617</v>
      </c>
      <c r="F1164" s="236" t="s">
        <v>1234</v>
      </c>
      <c r="G1164" s="237">
        <v>45149</v>
      </c>
      <c r="H1164" s="234">
        <f>SUMIF(VA!B:B,A1164,VA!I:I)</f>
        <v>359.46</v>
      </c>
      <c r="I1164" s="33">
        <f>SUMIF(VR!B:B,A1164,VR!I:I)</f>
        <v>657.5</v>
      </c>
      <c r="J1164" s="4">
        <f t="shared" si="18"/>
        <v>1016.96</v>
      </c>
      <c r="K1164" s="195">
        <f>SUMIF(FALTAS!A:A,A1164,FALTAS!D:D)</f>
        <v>0</v>
      </c>
    </row>
    <row r="1165" spans="1:11" x14ac:dyDescent="0.2">
      <c r="A1165" s="235">
        <v>113470</v>
      </c>
      <c r="B1165" s="236" t="s">
        <v>799</v>
      </c>
      <c r="C1165" s="236" t="s">
        <v>0</v>
      </c>
      <c r="D1165" s="236" t="s">
        <v>2</v>
      </c>
      <c r="E1165" s="237">
        <v>43617</v>
      </c>
      <c r="F1165" s="236" t="s">
        <v>1235</v>
      </c>
      <c r="G1165" s="237">
        <v>45147</v>
      </c>
      <c r="H1165" s="234">
        <f>SUMIF(VA!B:B,A1165,VA!I:I)</f>
        <v>359.46</v>
      </c>
      <c r="I1165" s="33">
        <f>SUMIF(VR!B:B,A1165,VR!I:I)</f>
        <v>657.5</v>
      </c>
      <c r="J1165" s="4">
        <f t="shared" si="18"/>
        <v>1016.96</v>
      </c>
      <c r="K1165" s="195">
        <f>SUMIF(FALTAS!A:A,A1165,FALTAS!D:D)</f>
        <v>0</v>
      </c>
    </row>
    <row r="1166" spans="1:11" x14ac:dyDescent="0.2">
      <c r="A1166" s="235">
        <v>113708</v>
      </c>
      <c r="B1166" s="236" t="s">
        <v>928</v>
      </c>
      <c r="C1166" s="236" t="s">
        <v>32</v>
      </c>
      <c r="D1166" s="236" t="s">
        <v>5</v>
      </c>
      <c r="E1166" s="237">
        <v>43617</v>
      </c>
      <c r="F1166" s="236" t="s">
        <v>1234</v>
      </c>
      <c r="G1166" s="237">
        <v>44960</v>
      </c>
      <c r="H1166" s="234">
        <f>SUMIF(VA!B:B,A1166,VA!I:I)</f>
        <v>359.46</v>
      </c>
      <c r="I1166" s="33">
        <f>SUMIF(VR!B:B,A1166,VR!I:I)</f>
        <v>657.5</v>
      </c>
      <c r="J1166" s="4">
        <f t="shared" si="18"/>
        <v>1016.96</v>
      </c>
      <c r="K1166" s="195">
        <f>SUMIF(FALTAS!A:A,A1166,FALTAS!D:D)</f>
        <v>0</v>
      </c>
    </row>
    <row r="1167" spans="1:11" x14ac:dyDescent="0.2">
      <c r="A1167" s="235">
        <v>113742</v>
      </c>
      <c r="B1167" s="236" t="s">
        <v>965</v>
      </c>
      <c r="C1167" s="236" t="s">
        <v>1591</v>
      </c>
      <c r="D1167" s="236" t="s">
        <v>1718</v>
      </c>
      <c r="E1167" s="237">
        <v>43619</v>
      </c>
      <c r="F1167" s="236" t="s">
        <v>1234</v>
      </c>
      <c r="G1167" s="237">
        <v>44985</v>
      </c>
      <c r="H1167" s="234">
        <f>SUMIF(VA!B:B,A1167,VA!I:I)</f>
        <v>359.46</v>
      </c>
      <c r="I1167" s="33">
        <f>SUMIF(VR!B:B,A1167,VR!I:I)</f>
        <v>657.5</v>
      </c>
      <c r="J1167" s="4">
        <f t="shared" si="18"/>
        <v>1016.96</v>
      </c>
      <c r="K1167" s="195">
        <f>SUMIF(FALTAS!A:A,A1167,FALTAS!D:D)</f>
        <v>0</v>
      </c>
    </row>
    <row r="1168" spans="1:11" x14ac:dyDescent="0.2">
      <c r="A1168" s="235">
        <v>120178</v>
      </c>
      <c r="B1168" s="236" t="s">
        <v>1505</v>
      </c>
      <c r="C1168" s="236" t="s">
        <v>1589</v>
      </c>
      <c r="D1168" s="236" t="s">
        <v>5</v>
      </c>
      <c r="E1168" s="237">
        <v>44791</v>
      </c>
      <c r="F1168" s="236" t="s">
        <v>1234</v>
      </c>
      <c r="G1168" s="237">
        <v>44791</v>
      </c>
      <c r="H1168" s="234">
        <f>SUMIF(VA!B:B,A1168,VA!I:I)</f>
        <v>359.46</v>
      </c>
      <c r="I1168" s="33">
        <f>SUMIF(VR!B:B,A1168,VR!I:I)</f>
        <v>657.5</v>
      </c>
      <c r="J1168" s="4">
        <f t="shared" si="18"/>
        <v>1016.96</v>
      </c>
      <c r="K1168" s="195">
        <f>SUMIF(FALTAS!A:A,A1168,FALTAS!D:D)</f>
        <v>0</v>
      </c>
    </row>
    <row r="1169" spans="1:11" x14ac:dyDescent="0.2">
      <c r="A1169" s="235">
        <v>122348</v>
      </c>
      <c r="B1169" s="236" t="s">
        <v>1673</v>
      </c>
      <c r="C1169" s="236" t="s">
        <v>8</v>
      </c>
      <c r="D1169" s="236" t="s">
        <v>2</v>
      </c>
      <c r="E1169" s="237">
        <v>45098</v>
      </c>
      <c r="F1169" s="236" t="s">
        <v>1234</v>
      </c>
      <c r="G1169" s="237">
        <v>45098</v>
      </c>
      <c r="H1169" s="234">
        <f>SUMIF(VA!B:B,A1169,VA!I:I)</f>
        <v>359.46</v>
      </c>
      <c r="I1169" s="33">
        <f>SUMIF(VR!B:B,A1169,VR!I:I)</f>
        <v>657.5</v>
      </c>
      <c r="J1169" s="4">
        <f t="shared" si="18"/>
        <v>1016.96</v>
      </c>
      <c r="K1169" s="195">
        <f>SUMIF(FALTAS!A:A,A1169,FALTAS!D:D)</f>
        <v>0</v>
      </c>
    </row>
    <row r="1170" spans="1:11" x14ac:dyDescent="0.2">
      <c r="A1170" s="235">
        <v>113764</v>
      </c>
      <c r="B1170" s="236" t="s">
        <v>970</v>
      </c>
      <c r="C1170" s="236" t="s">
        <v>1589</v>
      </c>
      <c r="D1170" s="236" t="s">
        <v>1668</v>
      </c>
      <c r="E1170" s="237">
        <v>43621</v>
      </c>
      <c r="F1170" s="236" t="s">
        <v>1234</v>
      </c>
      <c r="G1170" s="237">
        <v>45119</v>
      </c>
      <c r="H1170" s="234">
        <f>SUMIF(VA!B:B,A1170,VA!I:I)</f>
        <v>359.46</v>
      </c>
      <c r="I1170" s="33">
        <f>SUMIF(VR!B:B,A1170,VR!I:I)</f>
        <v>657.5</v>
      </c>
      <c r="J1170" s="4">
        <f t="shared" si="18"/>
        <v>1016.96</v>
      </c>
      <c r="K1170" s="195">
        <f>SUMIF(FALTAS!A:A,A1170,FALTAS!D:D)</f>
        <v>0</v>
      </c>
    </row>
    <row r="1171" spans="1:11" x14ac:dyDescent="0.2">
      <c r="A1171" s="235">
        <v>113477</v>
      </c>
      <c r="B1171" s="236" t="s">
        <v>802</v>
      </c>
      <c r="C1171" s="236" t="s">
        <v>10</v>
      </c>
      <c r="D1171" s="236" t="s">
        <v>5</v>
      </c>
      <c r="E1171" s="237">
        <v>43617</v>
      </c>
      <c r="F1171" s="236" t="s">
        <v>1234</v>
      </c>
      <c r="G1171" s="237">
        <v>45056</v>
      </c>
      <c r="H1171" s="234">
        <f>SUMIF(VA!B:B,A1171,VA!I:I)</f>
        <v>359.46</v>
      </c>
      <c r="I1171" s="33">
        <f>SUMIF(VR!B:B,A1171,VR!I:I)</f>
        <v>657.5</v>
      </c>
      <c r="J1171" s="4">
        <f t="shared" si="18"/>
        <v>1016.96</v>
      </c>
      <c r="K1171" s="195">
        <f>SUMIF(FALTAS!A:A,A1171,FALTAS!D:D)</f>
        <v>0</v>
      </c>
    </row>
    <row r="1172" spans="1:11" x14ac:dyDescent="0.2">
      <c r="A1172" s="235">
        <v>113493</v>
      </c>
      <c r="B1172" s="236" t="s">
        <v>811</v>
      </c>
      <c r="C1172" s="236" t="s">
        <v>0</v>
      </c>
      <c r="D1172" s="236" t="s">
        <v>2</v>
      </c>
      <c r="E1172" s="237">
        <v>43617</v>
      </c>
      <c r="F1172" s="236" t="s">
        <v>1234</v>
      </c>
      <c r="G1172" s="237">
        <v>44993</v>
      </c>
      <c r="H1172" s="234">
        <f>SUMIF(VA!B:B,A1172,VA!I:I)</f>
        <v>0</v>
      </c>
      <c r="I1172" s="33">
        <f>SUMIF(VR!B:B,A1172,VR!I:I)</f>
        <v>0</v>
      </c>
      <c r="J1172" s="4">
        <f t="shared" si="18"/>
        <v>0</v>
      </c>
      <c r="K1172" s="195">
        <f>SUMIF(FALTAS!A:A,A1172,FALTAS!D:D)</f>
        <v>22</v>
      </c>
    </row>
    <row r="1173" spans="1:11" x14ac:dyDescent="0.2">
      <c r="A1173" s="235">
        <v>113496</v>
      </c>
      <c r="B1173" s="236" t="s">
        <v>812</v>
      </c>
      <c r="C1173" s="236" t="s">
        <v>10</v>
      </c>
      <c r="D1173" s="236" t="s">
        <v>2</v>
      </c>
      <c r="E1173" s="237">
        <v>43617</v>
      </c>
      <c r="F1173" s="236" t="s">
        <v>1234</v>
      </c>
      <c r="G1173" s="237">
        <v>44993</v>
      </c>
      <c r="H1173" s="234">
        <f>SUMIF(VA!B:B,A1173,VA!I:I)</f>
        <v>359.46</v>
      </c>
      <c r="I1173" s="33">
        <f>SUMIF(VR!B:B,A1173,VR!I:I)</f>
        <v>657.5</v>
      </c>
      <c r="J1173" s="4">
        <f t="shared" si="18"/>
        <v>1016.96</v>
      </c>
      <c r="K1173" s="195">
        <f>SUMIF(FALTAS!A:A,A1173,FALTAS!D:D)</f>
        <v>0</v>
      </c>
    </row>
    <row r="1174" spans="1:11" x14ac:dyDescent="0.2">
      <c r="A1174" s="235">
        <v>114554</v>
      </c>
      <c r="B1174" s="236" t="s">
        <v>1061</v>
      </c>
      <c r="C1174" s="236" t="s">
        <v>8</v>
      </c>
      <c r="D1174" s="236" t="s">
        <v>5</v>
      </c>
      <c r="E1174" s="237">
        <v>43817</v>
      </c>
      <c r="F1174" s="236" t="s">
        <v>1235</v>
      </c>
      <c r="G1174" s="237">
        <v>45147</v>
      </c>
      <c r="H1174" s="234">
        <f>SUMIF(VA!B:B,A1174,VA!I:I)</f>
        <v>347.47</v>
      </c>
      <c r="I1174" s="33">
        <f>SUMIF(VR!B:B,A1174,VR!I:I)</f>
        <v>631.20000000000005</v>
      </c>
      <c r="J1174" s="4">
        <f t="shared" si="18"/>
        <v>978.67000000000007</v>
      </c>
      <c r="K1174" s="195">
        <f>SUMIF(FALTAS!A:A,A1174,FALTAS!D:D)</f>
        <v>1</v>
      </c>
    </row>
    <row r="1175" spans="1:11" x14ac:dyDescent="0.2">
      <c r="A1175" s="235">
        <v>113500</v>
      </c>
      <c r="B1175" s="236" t="s">
        <v>815</v>
      </c>
      <c r="C1175" s="236" t="s">
        <v>19</v>
      </c>
      <c r="D1175" s="236" t="s">
        <v>5</v>
      </c>
      <c r="E1175" s="237">
        <v>43617</v>
      </c>
      <c r="F1175" s="236" t="s">
        <v>1234</v>
      </c>
      <c r="G1175" s="237">
        <v>44776</v>
      </c>
      <c r="H1175" s="234">
        <f>SUMIF(VA!B:B,A1175,VA!I:I)</f>
        <v>359.46</v>
      </c>
      <c r="I1175" s="33">
        <f>SUMIF(VR!B:B,A1175,VR!I:I)</f>
        <v>657.5</v>
      </c>
      <c r="J1175" s="4">
        <f t="shared" si="18"/>
        <v>1016.96</v>
      </c>
      <c r="K1175" s="195">
        <f>SUMIF(FALTAS!A:A,A1175,FALTAS!D:D)</f>
        <v>0</v>
      </c>
    </row>
    <row r="1176" spans="1:11" x14ac:dyDescent="0.2">
      <c r="A1176" s="235">
        <v>113504</v>
      </c>
      <c r="B1176" s="236" t="s">
        <v>816</v>
      </c>
      <c r="C1176" s="236" t="s">
        <v>19</v>
      </c>
      <c r="D1176" s="236" t="s">
        <v>2</v>
      </c>
      <c r="E1176" s="237">
        <v>43617</v>
      </c>
      <c r="F1176" s="236" t="s">
        <v>1234</v>
      </c>
      <c r="G1176" s="237">
        <v>44960</v>
      </c>
      <c r="H1176" s="234">
        <f>SUMIF(VA!B:B,A1176,VA!I:I)</f>
        <v>359.46</v>
      </c>
      <c r="I1176" s="33">
        <f>SUMIF(VR!B:B,A1176,VR!I:I)</f>
        <v>657.5</v>
      </c>
      <c r="J1176" s="4">
        <f t="shared" si="18"/>
        <v>1016.96</v>
      </c>
      <c r="K1176" s="195">
        <f>SUMIF(FALTAS!A:A,A1176,FALTAS!D:D)</f>
        <v>0</v>
      </c>
    </row>
    <row r="1177" spans="1:11" x14ac:dyDescent="0.2">
      <c r="A1177" s="235">
        <v>116985</v>
      </c>
      <c r="B1177" s="236" t="s">
        <v>1250</v>
      </c>
      <c r="C1177" s="236" t="s">
        <v>0</v>
      </c>
      <c r="D1177" s="236" t="s">
        <v>5</v>
      </c>
      <c r="E1177" s="237">
        <v>44419</v>
      </c>
      <c r="F1177" s="236" t="s">
        <v>1234</v>
      </c>
      <c r="G1177" s="237">
        <v>45119</v>
      </c>
      <c r="H1177" s="234">
        <f>SUMIF(VA!B:B,A1177,VA!I:I)</f>
        <v>359.46</v>
      </c>
      <c r="I1177" s="33">
        <f>SUMIF(VR!B:B,A1177,VR!I:I)</f>
        <v>657.5</v>
      </c>
      <c r="J1177" s="4">
        <f t="shared" si="18"/>
        <v>1016.96</v>
      </c>
      <c r="K1177" s="195">
        <f>SUMIF(FALTAS!A:A,A1177,FALTAS!D:D)</f>
        <v>0</v>
      </c>
    </row>
    <row r="1178" spans="1:11" x14ac:dyDescent="0.2">
      <c r="A1178" s="235">
        <v>113520</v>
      </c>
      <c r="B1178" s="236" t="s">
        <v>824</v>
      </c>
      <c r="C1178" s="236" t="s">
        <v>32</v>
      </c>
      <c r="D1178" s="236" t="s">
        <v>146</v>
      </c>
      <c r="E1178" s="237">
        <v>43617</v>
      </c>
      <c r="F1178" s="236" t="s">
        <v>1234</v>
      </c>
      <c r="G1178" s="237">
        <v>45149</v>
      </c>
      <c r="H1178" s="234">
        <f>SUMIF(VA!B:B,A1178,VA!I:I)</f>
        <v>359.46</v>
      </c>
      <c r="I1178" s="33">
        <f>SUMIF(VR!B:B,A1178,VR!I:I)</f>
        <v>657.5</v>
      </c>
      <c r="J1178" s="4">
        <f t="shared" si="18"/>
        <v>1016.96</v>
      </c>
      <c r="K1178" s="195">
        <f>SUMIF(FALTAS!A:A,A1178,FALTAS!D:D)</f>
        <v>0</v>
      </c>
    </row>
    <row r="1179" spans="1:11" x14ac:dyDescent="0.2">
      <c r="A1179" s="235">
        <v>113526</v>
      </c>
      <c r="B1179" s="236" t="s">
        <v>827</v>
      </c>
      <c r="C1179" s="236" t="s">
        <v>19</v>
      </c>
      <c r="D1179" s="236" t="s">
        <v>5</v>
      </c>
      <c r="E1179" s="237">
        <v>43617</v>
      </c>
      <c r="F1179" s="236" t="s">
        <v>1234</v>
      </c>
      <c r="G1179" s="237">
        <v>45056</v>
      </c>
      <c r="H1179" s="234">
        <f>SUMIF(VA!B:B,A1179,VA!I:I)</f>
        <v>359.46</v>
      </c>
      <c r="I1179" s="33">
        <f>SUMIF(VR!B:B,A1179,VR!I:I)</f>
        <v>657.5</v>
      </c>
      <c r="J1179" s="4">
        <f t="shared" si="18"/>
        <v>1016.96</v>
      </c>
      <c r="K1179" s="195">
        <f>SUMIF(FALTAS!A:A,A1179,FALTAS!D:D)</f>
        <v>0</v>
      </c>
    </row>
    <row r="1180" spans="1:11" x14ac:dyDescent="0.2">
      <c r="A1180" s="235">
        <v>121325</v>
      </c>
      <c r="B1180" s="236" t="s">
        <v>1545</v>
      </c>
      <c r="C1180" s="236" t="s">
        <v>32</v>
      </c>
      <c r="D1180" s="236" t="s">
        <v>2</v>
      </c>
      <c r="E1180" s="237">
        <v>44945</v>
      </c>
      <c r="F1180" s="236" t="s">
        <v>1234</v>
      </c>
      <c r="G1180" s="237">
        <v>44945</v>
      </c>
      <c r="H1180" s="234">
        <f>SUMIF(VA!B:B,A1180,VA!I:I)</f>
        <v>347.47</v>
      </c>
      <c r="I1180" s="33">
        <f>SUMIF(VR!B:B,A1180,VR!I:I)</f>
        <v>631.20000000000005</v>
      </c>
      <c r="J1180" s="4">
        <f t="shared" si="18"/>
        <v>978.67000000000007</v>
      </c>
      <c r="K1180" s="195">
        <f>SUMIF(FALTAS!A:A,A1180,FALTAS!D:D)</f>
        <v>1</v>
      </c>
    </row>
    <row r="1181" spans="1:11" x14ac:dyDescent="0.2">
      <c r="A1181" s="235">
        <v>113531</v>
      </c>
      <c r="B1181" s="236" t="s">
        <v>830</v>
      </c>
      <c r="C1181" s="236" t="s">
        <v>10</v>
      </c>
      <c r="D1181" s="236" t="s">
        <v>2</v>
      </c>
      <c r="E1181" s="237">
        <v>43617</v>
      </c>
      <c r="F1181" s="236" t="s">
        <v>1234</v>
      </c>
      <c r="G1181" s="237">
        <v>44930</v>
      </c>
      <c r="H1181" s="234">
        <f>SUMIF(VA!B:B,A1181,VA!I:I)</f>
        <v>359.46</v>
      </c>
      <c r="I1181" s="33">
        <f>SUMIF(VR!B:B,A1181,VR!I:I)</f>
        <v>657.5</v>
      </c>
      <c r="J1181" s="4">
        <f t="shared" si="18"/>
        <v>1016.96</v>
      </c>
      <c r="K1181" s="195">
        <f>SUMIF(FALTAS!A:A,A1181,FALTAS!D:D)</f>
        <v>0</v>
      </c>
    </row>
    <row r="1182" spans="1:11" x14ac:dyDescent="0.2">
      <c r="A1182" s="235">
        <v>113536</v>
      </c>
      <c r="B1182" s="236" t="s">
        <v>834</v>
      </c>
      <c r="C1182" s="236" t="s">
        <v>10</v>
      </c>
      <c r="D1182" s="236" t="s">
        <v>2</v>
      </c>
      <c r="E1182" s="237">
        <v>43617</v>
      </c>
      <c r="F1182" s="236" t="s">
        <v>1234</v>
      </c>
      <c r="G1182" s="237">
        <v>44960</v>
      </c>
      <c r="H1182" s="234">
        <f>SUMIF(VA!B:B,A1182,VA!I:I)</f>
        <v>359.46</v>
      </c>
      <c r="I1182" s="33">
        <f>SUMIF(VR!B:B,A1182,VR!I:I)</f>
        <v>657.5</v>
      </c>
      <c r="J1182" s="4">
        <f t="shared" si="18"/>
        <v>1016.96</v>
      </c>
      <c r="K1182" s="195">
        <f>SUMIF(FALTAS!A:A,A1182,FALTAS!D:D)</f>
        <v>0</v>
      </c>
    </row>
    <row r="1183" spans="1:11" x14ac:dyDescent="0.2">
      <c r="A1183" s="235">
        <v>113538</v>
      </c>
      <c r="B1183" s="236" t="s">
        <v>1578</v>
      </c>
      <c r="C1183" s="236" t="s">
        <v>10</v>
      </c>
      <c r="D1183" s="236" t="s">
        <v>2</v>
      </c>
      <c r="E1183" s="237">
        <v>43617</v>
      </c>
      <c r="F1183" s="236" t="s">
        <v>1285</v>
      </c>
      <c r="G1183" s="237">
        <v>44804</v>
      </c>
      <c r="H1183" s="234">
        <f>SUMIF(VA!B:B,A1183,VA!I:I)</f>
        <v>0</v>
      </c>
      <c r="I1183" s="33">
        <f>SUMIF(VR!B:B,A1183,VR!I:I)</f>
        <v>0</v>
      </c>
      <c r="J1183" s="4">
        <f t="shared" si="18"/>
        <v>0</v>
      </c>
      <c r="K1183" s="195">
        <f>SUMIF(FALTAS!A:A,A1183,FALTAS!D:D)</f>
        <v>0</v>
      </c>
    </row>
    <row r="1184" spans="1:11" x14ac:dyDescent="0.2">
      <c r="A1184" s="235">
        <v>113547</v>
      </c>
      <c r="B1184" s="236" t="s">
        <v>841</v>
      </c>
      <c r="C1184" s="236" t="s">
        <v>8</v>
      </c>
      <c r="D1184" s="236" t="s">
        <v>146</v>
      </c>
      <c r="E1184" s="237">
        <v>43617</v>
      </c>
      <c r="F1184" s="236" t="s">
        <v>1234</v>
      </c>
      <c r="G1184" s="237">
        <v>44744</v>
      </c>
      <c r="H1184" s="234">
        <f>SUMIF(VA!B:B,A1184,VA!I:I)</f>
        <v>359.46</v>
      </c>
      <c r="I1184" s="33">
        <f>SUMIF(VR!B:B,A1184,VR!I:I)</f>
        <v>657.5</v>
      </c>
      <c r="J1184" s="4">
        <f t="shared" si="18"/>
        <v>1016.96</v>
      </c>
      <c r="K1184" s="195">
        <f>SUMIF(FALTAS!A:A,A1184,FALTAS!D:D)</f>
        <v>0</v>
      </c>
    </row>
    <row r="1185" spans="1:11" x14ac:dyDescent="0.2">
      <c r="A1185" s="235">
        <v>113552</v>
      </c>
      <c r="B1185" s="236" t="s">
        <v>846</v>
      </c>
      <c r="C1185" s="236" t="s">
        <v>1589</v>
      </c>
      <c r="D1185" s="236" t="s">
        <v>22</v>
      </c>
      <c r="E1185" s="237">
        <v>43617</v>
      </c>
      <c r="F1185" s="236" t="s">
        <v>1234</v>
      </c>
      <c r="G1185" s="237">
        <v>45119</v>
      </c>
      <c r="H1185" s="234">
        <f>SUMIF(VA!B:B,A1185,VA!I:I)</f>
        <v>359.46</v>
      </c>
      <c r="I1185" s="33">
        <f>SUMIF(VR!B:B,A1185,VR!I:I)</f>
        <v>657.5</v>
      </c>
      <c r="J1185" s="4">
        <f t="shared" si="18"/>
        <v>1016.96</v>
      </c>
      <c r="K1185" s="195">
        <f>SUMIF(FALTAS!A:A,A1185,FALTAS!D:D)</f>
        <v>0</v>
      </c>
    </row>
    <row r="1186" spans="1:11" x14ac:dyDescent="0.2">
      <c r="A1186" s="235">
        <v>113555</v>
      </c>
      <c r="B1186" s="236" t="s">
        <v>728</v>
      </c>
      <c r="C1186" s="236" t="s">
        <v>19</v>
      </c>
      <c r="D1186" s="236" t="s">
        <v>2</v>
      </c>
      <c r="E1186" s="237">
        <v>43617</v>
      </c>
      <c r="F1186" s="236" t="s">
        <v>1234</v>
      </c>
      <c r="G1186" s="237">
        <v>44930</v>
      </c>
      <c r="H1186" s="234">
        <f>SUMIF(VA!B:B,A1186,VA!I:I)</f>
        <v>359.46</v>
      </c>
      <c r="I1186" s="33">
        <f>SUMIF(VR!B:B,A1186,VR!I:I)</f>
        <v>657.5</v>
      </c>
      <c r="J1186" s="4">
        <f t="shared" si="18"/>
        <v>1016.96</v>
      </c>
      <c r="K1186" s="195">
        <f>SUMIF(FALTAS!A:A,A1186,FALTAS!D:D)</f>
        <v>0</v>
      </c>
    </row>
    <row r="1187" spans="1:11" x14ac:dyDescent="0.2">
      <c r="A1187" s="235">
        <v>113557</v>
      </c>
      <c r="B1187" s="236" t="s">
        <v>848</v>
      </c>
      <c r="C1187" s="236" t="s">
        <v>32</v>
      </c>
      <c r="D1187" s="236" t="s">
        <v>2</v>
      </c>
      <c r="E1187" s="237">
        <v>43617</v>
      </c>
      <c r="F1187" s="236" t="s">
        <v>1234</v>
      </c>
      <c r="G1187" s="237">
        <v>45086</v>
      </c>
      <c r="H1187" s="234">
        <f>SUMIF(VA!B:B,A1187,VA!I:I)</f>
        <v>359.46</v>
      </c>
      <c r="I1187" s="33">
        <f>SUMIF(VR!B:B,A1187,VR!I:I)</f>
        <v>657.5</v>
      </c>
      <c r="J1187" s="4">
        <f t="shared" si="18"/>
        <v>1016.96</v>
      </c>
      <c r="K1187" s="195">
        <f>SUMIF(FALTAS!A:A,A1187,FALTAS!D:D)</f>
        <v>0</v>
      </c>
    </row>
    <row r="1188" spans="1:11" x14ac:dyDescent="0.2">
      <c r="A1188" s="235">
        <v>113559</v>
      </c>
      <c r="B1188" s="236" t="s">
        <v>850</v>
      </c>
      <c r="C1188" s="236" t="s">
        <v>0</v>
      </c>
      <c r="D1188" s="236" t="s">
        <v>2</v>
      </c>
      <c r="E1188" s="237">
        <v>43617</v>
      </c>
      <c r="F1188" s="236" t="s">
        <v>1234</v>
      </c>
      <c r="G1188" s="237">
        <v>45023</v>
      </c>
      <c r="H1188" s="234">
        <f>SUMIF(VA!B:B,A1188,VA!I:I)</f>
        <v>359.46</v>
      </c>
      <c r="I1188" s="33">
        <f>SUMIF(VR!B:B,A1188,VR!I:I)</f>
        <v>657.5</v>
      </c>
      <c r="J1188" s="4">
        <f t="shared" si="18"/>
        <v>1016.96</v>
      </c>
      <c r="K1188" s="195">
        <f>SUMIF(FALTAS!A:A,A1188,FALTAS!D:D)</f>
        <v>0</v>
      </c>
    </row>
    <row r="1189" spans="1:11" x14ac:dyDescent="0.2">
      <c r="A1189" s="235">
        <v>113565</v>
      </c>
      <c r="B1189" s="236" t="s">
        <v>853</v>
      </c>
      <c r="C1189" s="236" t="s">
        <v>1589</v>
      </c>
      <c r="D1189" s="236" t="s">
        <v>15</v>
      </c>
      <c r="E1189" s="237">
        <v>43617</v>
      </c>
      <c r="F1189" s="236" t="s">
        <v>1234</v>
      </c>
      <c r="G1189" s="237">
        <v>44960</v>
      </c>
      <c r="H1189" s="234">
        <f>SUMIF(VA!B:B,A1189,VA!I:I)</f>
        <v>359.46</v>
      </c>
      <c r="I1189" s="33">
        <f>SUMIF(VR!B:B,A1189,VR!I:I)</f>
        <v>657.5</v>
      </c>
      <c r="J1189" s="4">
        <f t="shared" si="18"/>
        <v>1016.96</v>
      </c>
      <c r="K1189" s="195">
        <f>SUMIF(FALTAS!A:A,A1189,FALTAS!D:D)</f>
        <v>0</v>
      </c>
    </row>
    <row r="1190" spans="1:11" x14ac:dyDescent="0.2">
      <c r="A1190" s="235">
        <v>121816</v>
      </c>
      <c r="B1190" s="236" t="s">
        <v>1607</v>
      </c>
      <c r="C1190" s="236" t="s">
        <v>1591</v>
      </c>
      <c r="D1190" s="236" t="s">
        <v>1464</v>
      </c>
      <c r="E1190" s="237">
        <v>45019</v>
      </c>
      <c r="F1190" s="236" t="s">
        <v>1234</v>
      </c>
      <c r="G1190" s="237">
        <v>45019</v>
      </c>
      <c r="H1190" s="234">
        <f>SUMIF(VA!B:B,A1190,VA!I:I)</f>
        <v>0</v>
      </c>
      <c r="I1190" s="33">
        <f>SUMIF(VR!B:B,A1190,VR!I:I)</f>
        <v>657.5</v>
      </c>
      <c r="J1190" s="4">
        <f t="shared" si="18"/>
        <v>657.5</v>
      </c>
      <c r="K1190" s="195">
        <f>SUMIF(FALTAS!A:A,A1190,FALTAS!D:D)</f>
        <v>0</v>
      </c>
    </row>
    <row r="1191" spans="1:11" x14ac:dyDescent="0.2">
      <c r="A1191" s="235">
        <v>113573</v>
      </c>
      <c r="B1191" s="236" t="s">
        <v>856</v>
      </c>
      <c r="C1191" s="236" t="s">
        <v>8</v>
      </c>
      <c r="D1191" s="236" t="s">
        <v>2</v>
      </c>
      <c r="E1191" s="237">
        <v>43617</v>
      </c>
      <c r="F1191" s="236" t="s">
        <v>1234</v>
      </c>
      <c r="G1191" s="237">
        <v>44960</v>
      </c>
      <c r="H1191" s="234">
        <f>SUMIF(VA!B:B,A1191,VA!I:I)</f>
        <v>359.46</v>
      </c>
      <c r="I1191" s="33">
        <f>SUMIF(VR!B:B,A1191,VR!I:I)</f>
        <v>657.5</v>
      </c>
      <c r="J1191" s="4">
        <f t="shared" si="18"/>
        <v>1016.96</v>
      </c>
      <c r="K1191" s="195">
        <f>SUMIF(FALTAS!A:A,A1191,FALTAS!D:D)</f>
        <v>0</v>
      </c>
    </row>
    <row r="1192" spans="1:11" x14ac:dyDescent="0.2">
      <c r="A1192" s="235">
        <v>113577</v>
      </c>
      <c r="B1192" s="236" t="s">
        <v>857</v>
      </c>
      <c r="C1192" s="236" t="s">
        <v>1589</v>
      </c>
      <c r="D1192" s="236" t="s">
        <v>22</v>
      </c>
      <c r="E1192" s="237">
        <v>43617</v>
      </c>
      <c r="F1192" s="236" t="s">
        <v>1234</v>
      </c>
      <c r="G1192" s="237">
        <v>44867</v>
      </c>
      <c r="H1192" s="234">
        <f>SUMIF(VA!B:B,A1192,VA!I:I)</f>
        <v>359.46</v>
      </c>
      <c r="I1192" s="33">
        <f>SUMIF(VR!B:B,A1192,VR!I:I)</f>
        <v>657.5</v>
      </c>
      <c r="J1192" s="4">
        <f t="shared" si="18"/>
        <v>1016.96</v>
      </c>
      <c r="K1192" s="195">
        <f>SUMIF(FALTAS!A:A,A1192,FALTAS!D:D)</f>
        <v>0</v>
      </c>
    </row>
    <row r="1193" spans="1:11" x14ac:dyDescent="0.2">
      <c r="A1193" s="235">
        <v>113687</v>
      </c>
      <c r="B1193" s="236" t="s">
        <v>918</v>
      </c>
      <c r="C1193" s="236" t="s">
        <v>0</v>
      </c>
      <c r="D1193" s="236" t="s">
        <v>2</v>
      </c>
      <c r="E1193" s="237">
        <v>43617</v>
      </c>
      <c r="F1193" s="236" t="s">
        <v>1234</v>
      </c>
      <c r="G1193" s="237">
        <v>45023</v>
      </c>
      <c r="H1193" s="234">
        <f>SUMIF(VA!B:B,A1193,VA!I:I)</f>
        <v>359.46</v>
      </c>
      <c r="I1193" s="33">
        <f>SUMIF(VR!B:B,A1193,VR!I:I)</f>
        <v>657.5</v>
      </c>
      <c r="J1193" s="4">
        <f t="shared" si="18"/>
        <v>1016.96</v>
      </c>
      <c r="K1193" s="195">
        <f>SUMIF(FALTAS!A:A,A1193,FALTAS!D:D)</f>
        <v>0</v>
      </c>
    </row>
    <row r="1194" spans="1:11" x14ac:dyDescent="0.2">
      <c r="A1194" s="235">
        <v>113587</v>
      </c>
      <c r="B1194" s="236" t="s">
        <v>863</v>
      </c>
      <c r="C1194" s="236" t="s">
        <v>32</v>
      </c>
      <c r="D1194" s="236" t="s">
        <v>2</v>
      </c>
      <c r="E1194" s="237">
        <v>43617</v>
      </c>
      <c r="F1194" s="236" t="s">
        <v>1234</v>
      </c>
      <c r="G1194" s="237">
        <v>44867</v>
      </c>
      <c r="H1194" s="234">
        <f>SUMIF(VA!B:B,A1194,VA!I:I)</f>
        <v>359.46</v>
      </c>
      <c r="I1194" s="33">
        <f>SUMIF(VR!B:B,A1194,VR!I:I)</f>
        <v>657.5</v>
      </c>
      <c r="J1194" s="4">
        <f t="shared" si="18"/>
        <v>1016.96</v>
      </c>
      <c r="K1194" s="195">
        <f>SUMIF(FALTAS!A:A,A1194,FALTAS!D:D)</f>
        <v>0</v>
      </c>
    </row>
    <row r="1195" spans="1:11" x14ac:dyDescent="0.2">
      <c r="A1195" s="235">
        <v>114259</v>
      </c>
      <c r="B1195" s="236" t="s">
        <v>1026</v>
      </c>
      <c r="C1195" s="236" t="s">
        <v>32</v>
      </c>
      <c r="D1195" s="236" t="s">
        <v>5</v>
      </c>
      <c r="E1195" s="237">
        <v>43804</v>
      </c>
      <c r="F1195" s="236" t="s">
        <v>1234</v>
      </c>
      <c r="G1195" s="237">
        <v>45056</v>
      </c>
      <c r="H1195" s="234">
        <f>SUMIF(VA!B:B,A1195,VA!I:I)</f>
        <v>359.46</v>
      </c>
      <c r="I1195" s="33">
        <f>SUMIF(VR!B:B,A1195,VR!I:I)</f>
        <v>657.5</v>
      </c>
      <c r="J1195" s="4">
        <f t="shared" si="18"/>
        <v>1016.96</v>
      </c>
      <c r="K1195" s="195">
        <f>SUMIF(FALTAS!A:A,A1195,FALTAS!D:D)</f>
        <v>0</v>
      </c>
    </row>
    <row r="1196" spans="1:11" x14ac:dyDescent="0.2">
      <c r="A1196" s="235">
        <v>113608</v>
      </c>
      <c r="B1196" s="236" t="s">
        <v>873</v>
      </c>
      <c r="C1196" s="236" t="s">
        <v>19</v>
      </c>
      <c r="D1196" s="236" t="s">
        <v>2</v>
      </c>
      <c r="E1196" s="237">
        <v>43617</v>
      </c>
      <c r="F1196" s="236" t="s">
        <v>1234</v>
      </c>
      <c r="G1196" s="237">
        <v>44930</v>
      </c>
      <c r="H1196" s="234">
        <f>SUMIF(VA!B:B,A1196,VA!I:I)</f>
        <v>359.46</v>
      </c>
      <c r="I1196" s="33">
        <f>SUMIF(VR!B:B,A1196,VR!I:I)</f>
        <v>657.5</v>
      </c>
      <c r="J1196" s="4">
        <f t="shared" si="18"/>
        <v>1016.96</v>
      </c>
      <c r="K1196" s="195">
        <f>SUMIF(FALTAS!A:A,A1196,FALTAS!D:D)</f>
        <v>0</v>
      </c>
    </row>
    <row r="1197" spans="1:11" x14ac:dyDescent="0.2">
      <c r="A1197" s="235">
        <v>113667</v>
      </c>
      <c r="B1197" s="236" t="s">
        <v>907</v>
      </c>
      <c r="C1197" s="236" t="s">
        <v>19</v>
      </c>
      <c r="D1197" s="236" t="s">
        <v>2</v>
      </c>
      <c r="E1197" s="237">
        <v>43617</v>
      </c>
      <c r="F1197" s="236" t="s">
        <v>1234</v>
      </c>
      <c r="G1197" s="237">
        <v>44930</v>
      </c>
      <c r="H1197" s="234">
        <f>SUMIF(VA!B:B,A1197,VA!I:I)</f>
        <v>359.46</v>
      </c>
      <c r="I1197" s="33">
        <f>SUMIF(VR!B:B,A1197,VR!I:I)</f>
        <v>657.5</v>
      </c>
      <c r="J1197" s="4">
        <f t="shared" si="18"/>
        <v>1016.96</v>
      </c>
      <c r="K1197" s="195">
        <f>SUMIF(FALTAS!A:A,A1197,FALTAS!D:D)</f>
        <v>0</v>
      </c>
    </row>
    <row r="1198" spans="1:11" x14ac:dyDescent="0.2">
      <c r="A1198" s="235">
        <v>113668</v>
      </c>
      <c r="B1198" s="236" t="s">
        <v>908</v>
      </c>
      <c r="C1198" s="236" t="s">
        <v>1589</v>
      </c>
      <c r="D1198" s="236" t="s">
        <v>15</v>
      </c>
      <c r="E1198" s="237">
        <v>43617</v>
      </c>
      <c r="F1198" s="236" t="s">
        <v>1234</v>
      </c>
      <c r="G1198" s="237">
        <v>44990</v>
      </c>
      <c r="H1198" s="234">
        <f>SUMIF(VA!B:B,A1198,VA!I:I)</f>
        <v>359.46</v>
      </c>
      <c r="I1198" s="33">
        <f>SUMIF(VR!B:B,A1198,VR!I:I)</f>
        <v>657.5</v>
      </c>
      <c r="J1198" s="4">
        <f t="shared" si="18"/>
        <v>1016.96</v>
      </c>
      <c r="K1198" s="195">
        <f>SUMIF(FALTAS!A:A,A1198,FALTAS!D:D)</f>
        <v>0</v>
      </c>
    </row>
    <row r="1199" spans="1:11" x14ac:dyDescent="0.2">
      <c r="A1199" s="235">
        <v>114099</v>
      </c>
      <c r="B1199" s="236" t="s">
        <v>1007</v>
      </c>
      <c r="C1199" s="236" t="s">
        <v>1589</v>
      </c>
      <c r="D1199" s="236" t="s">
        <v>5</v>
      </c>
      <c r="E1199" s="237">
        <v>43728</v>
      </c>
      <c r="F1199" s="236" t="s">
        <v>1234</v>
      </c>
      <c r="G1199" s="237">
        <v>44867</v>
      </c>
      <c r="H1199" s="234">
        <f>SUMIF(VA!B:B,A1199,VA!I:I)</f>
        <v>359.46</v>
      </c>
      <c r="I1199" s="33">
        <f>SUMIF(VR!B:B,A1199,VR!I:I)</f>
        <v>657.5</v>
      </c>
      <c r="J1199" s="4">
        <f t="shared" si="18"/>
        <v>1016.96</v>
      </c>
      <c r="K1199" s="195">
        <f>SUMIF(FALTAS!A:A,A1199,FALTAS!D:D)</f>
        <v>0</v>
      </c>
    </row>
    <row r="1200" spans="1:11" x14ac:dyDescent="0.2">
      <c r="A1200" s="235">
        <v>113663</v>
      </c>
      <c r="B1200" s="236" t="s">
        <v>905</v>
      </c>
      <c r="C1200" s="236" t="s">
        <v>1589</v>
      </c>
      <c r="D1200" s="236" t="s">
        <v>15</v>
      </c>
      <c r="E1200" s="237">
        <v>43617</v>
      </c>
      <c r="F1200" s="236" t="s">
        <v>1234</v>
      </c>
      <c r="G1200" s="237">
        <v>44993</v>
      </c>
      <c r="H1200" s="234">
        <f>SUMIF(VA!B:B,A1200,VA!I:I)</f>
        <v>359.46</v>
      </c>
      <c r="I1200" s="33">
        <f>SUMIF(VR!B:B,A1200,VR!I:I)</f>
        <v>657.5</v>
      </c>
      <c r="J1200" s="4">
        <f t="shared" si="18"/>
        <v>1016.96</v>
      </c>
      <c r="K1200" s="195">
        <f>SUMIF(FALTAS!A:A,A1200,FALTAS!D:D)</f>
        <v>0</v>
      </c>
    </row>
    <row r="1201" spans="1:11" x14ac:dyDescent="0.2">
      <c r="A1201" s="235">
        <v>114539</v>
      </c>
      <c r="B1201" s="236" t="s">
        <v>1055</v>
      </c>
      <c r="C1201" s="236" t="s">
        <v>0</v>
      </c>
      <c r="D1201" s="236" t="s">
        <v>2</v>
      </c>
      <c r="E1201" s="237">
        <v>43817</v>
      </c>
      <c r="F1201" s="236" t="s">
        <v>1234</v>
      </c>
      <c r="G1201" s="237">
        <v>44867</v>
      </c>
      <c r="H1201" s="234">
        <f>SUMIF(VA!B:B,A1201,VA!I:I)</f>
        <v>359.46</v>
      </c>
      <c r="I1201" s="33">
        <f>SUMIF(VR!B:B,A1201,VR!I:I)</f>
        <v>657.5</v>
      </c>
      <c r="J1201" s="4">
        <f t="shared" si="18"/>
        <v>1016.96</v>
      </c>
      <c r="K1201" s="195">
        <f>SUMIF(FALTAS!A:A,A1201,FALTAS!D:D)</f>
        <v>0</v>
      </c>
    </row>
    <row r="1202" spans="1:11" x14ac:dyDescent="0.2">
      <c r="A1202" s="235">
        <v>119675</v>
      </c>
      <c r="B1202" s="236" t="s">
        <v>1479</v>
      </c>
      <c r="C1202" s="236" t="s">
        <v>1589</v>
      </c>
      <c r="D1202" s="236" t="s">
        <v>5</v>
      </c>
      <c r="E1202" s="237">
        <v>44725</v>
      </c>
      <c r="F1202" s="236" t="s">
        <v>1234</v>
      </c>
      <c r="G1202" s="237">
        <v>45149</v>
      </c>
      <c r="H1202" s="234">
        <f>SUMIF(VA!B:B,A1202,VA!I:I)</f>
        <v>359.46</v>
      </c>
      <c r="I1202" s="33">
        <f>SUMIF(VR!B:B,A1202,VR!I:I)</f>
        <v>657.5</v>
      </c>
      <c r="J1202" s="4">
        <f t="shared" si="18"/>
        <v>1016.96</v>
      </c>
      <c r="K1202" s="195">
        <f>SUMIF(FALTAS!A:A,A1202,FALTAS!D:D)</f>
        <v>0</v>
      </c>
    </row>
    <row r="1203" spans="1:11" x14ac:dyDescent="0.2">
      <c r="A1203" s="235">
        <v>113658</v>
      </c>
      <c r="B1203" s="236" t="s">
        <v>902</v>
      </c>
      <c r="C1203" s="236" t="s">
        <v>10</v>
      </c>
      <c r="D1203" s="236" t="s">
        <v>146</v>
      </c>
      <c r="E1203" s="237">
        <v>43617</v>
      </c>
      <c r="F1203" s="236" t="s">
        <v>1234</v>
      </c>
      <c r="G1203" s="237">
        <v>44898</v>
      </c>
      <c r="H1203" s="234">
        <f>SUMIF(VA!B:B,A1203,VA!I:I)</f>
        <v>359.46</v>
      </c>
      <c r="I1203" s="33">
        <f>SUMIF(VR!B:B,A1203,VR!I:I)</f>
        <v>657.5</v>
      </c>
      <c r="J1203" s="4">
        <f t="shared" si="18"/>
        <v>1016.96</v>
      </c>
      <c r="K1203" s="195">
        <f>SUMIF(FALTAS!A:A,A1203,FALTAS!D:D)</f>
        <v>0</v>
      </c>
    </row>
    <row r="1204" spans="1:11" x14ac:dyDescent="0.2">
      <c r="A1204" s="235">
        <v>113654</v>
      </c>
      <c r="B1204" s="236" t="s">
        <v>899</v>
      </c>
      <c r="C1204" s="236" t="s">
        <v>1589</v>
      </c>
      <c r="D1204" s="236" t="s">
        <v>22</v>
      </c>
      <c r="E1204" s="237">
        <v>43617</v>
      </c>
      <c r="F1204" s="236" t="s">
        <v>1234</v>
      </c>
      <c r="G1204" s="237">
        <v>45119</v>
      </c>
      <c r="H1204" s="234">
        <f>SUMIF(VA!B:B,A1204,VA!I:I)</f>
        <v>359.46</v>
      </c>
      <c r="I1204" s="33">
        <f>SUMIF(VR!B:B,A1204,VR!I:I)</f>
        <v>657.5</v>
      </c>
      <c r="J1204" s="4">
        <f t="shared" si="18"/>
        <v>1016.96</v>
      </c>
      <c r="K1204" s="195">
        <f>SUMIF(FALTAS!A:A,A1204,FALTAS!D:D)</f>
        <v>0</v>
      </c>
    </row>
    <row r="1205" spans="1:11" x14ac:dyDescent="0.2">
      <c r="A1205" s="235">
        <v>113929</v>
      </c>
      <c r="B1205" s="236" t="s">
        <v>994</v>
      </c>
      <c r="C1205" s="236" t="s">
        <v>0</v>
      </c>
      <c r="D1205" s="236" t="s">
        <v>2</v>
      </c>
      <c r="E1205" s="237">
        <v>43682</v>
      </c>
      <c r="F1205" s="236" t="s">
        <v>1234</v>
      </c>
      <c r="G1205" s="237">
        <v>45086</v>
      </c>
      <c r="H1205" s="234">
        <f>SUMIF(VA!B:B,A1205,VA!I:I)</f>
        <v>359.46</v>
      </c>
      <c r="I1205" s="33">
        <f>SUMIF(VR!B:B,A1205,VR!I:I)</f>
        <v>657.5</v>
      </c>
      <c r="J1205" s="4">
        <f t="shared" si="18"/>
        <v>1016.96</v>
      </c>
      <c r="K1205" s="195">
        <f>SUMIF(FALTAS!A:A,A1205,FALTAS!D:D)</f>
        <v>0</v>
      </c>
    </row>
    <row r="1206" spans="1:11" x14ac:dyDescent="0.2">
      <c r="A1206" s="235">
        <v>118055</v>
      </c>
      <c r="B1206" s="236" t="s">
        <v>1414</v>
      </c>
      <c r="C1206" s="236" t="s">
        <v>8</v>
      </c>
      <c r="D1206" s="236" t="s">
        <v>5</v>
      </c>
      <c r="E1206" s="237">
        <v>44567</v>
      </c>
      <c r="F1206" s="236" t="s">
        <v>1235</v>
      </c>
      <c r="G1206" s="237">
        <v>45147</v>
      </c>
      <c r="H1206" s="234">
        <f>SUMIF(VA!B:B,A1206,VA!I:I)</f>
        <v>347.47</v>
      </c>
      <c r="I1206" s="33">
        <f>SUMIF(VR!B:B,A1206,VR!I:I)</f>
        <v>631.20000000000005</v>
      </c>
      <c r="J1206" s="4">
        <f t="shared" si="18"/>
        <v>978.67000000000007</v>
      </c>
      <c r="K1206" s="195">
        <f>SUMIF(FALTAS!A:A,A1206,FALTAS!D:D)</f>
        <v>1</v>
      </c>
    </row>
    <row r="1207" spans="1:11" x14ac:dyDescent="0.2">
      <c r="A1207" s="235">
        <v>114933</v>
      </c>
      <c r="B1207" s="236" t="s">
        <v>1120</v>
      </c>
      <c r="C1207" s="236" t="s">
        <v>1589</v>
      </c>
      <c r="D1207" s="236" t="s">
        <v>22</v>
      </c>
      <c r="E1207" s="237">
        <v>43916</v>
      </c>
      <c r="F1207" s="236" t="s">
        <v>1234</v>
      </c>
      <c r="G1207" s="237">
        <v>44744</v>
      </c>
      <c r="H1207" s="234">
        <f>SUMIF(VA!B:B,A1207,VA!I:I)</f>
        <v>359.46</v>
      </c>
      <c r="I1207" s="33">
        <f>SUMIF(VR!B:B,A1207,VR!I:I)</f>
        <v>657.5</v>
      </c>
      <c r="J1207" s="4">
        <f t="shared" si="18"/>
        <v>1016.96</v>
      </c>
      <c r="K1207" s="195">
        <f>SUMIF(FALTAS!A:A,A1207,FALTAS!D:D)</f>
        <v>0</v>
      </c>
    </row>
    <row r="1208" spans="1:11" x14ac:dyDescent="0.2">
      <c r="A1208" s="235">
        <v>116232</v>
      </c>
      <c r="B1208" s="236" t="s">
        <v>1198</v>
      </c>
      <c r="C1208" s="236" t="s">
        <v>0</v>
      </c>
      <c r="D1208" s="236" t="s">
        <v>5</v>
      </c>
      <c r="E1208" s="237">
        <v>44273</v>
      </c>
      <c r="F1208" s="236" t="s">
        <v>1234</v>
      </c>
      <c r="G1208" s="237">
        <v>44930</v>
      </c>
      <c r="H1208" s="234">
        <f>SUMIF(VA!B:B,A1208,VA!I:I)</f>
        <v>359.46</v>
      </c>
      <c r="I1208" s="33">
        <f>SUMIF(VR!B:B,A1208,VR!I:I)</f>
        <v>657.5</v>
      </c>
      <c r="J1208" s="4">
        <f t="shared" si="18"/>
        <v>1016.96</v>
      </c>
      <c r="K1208" s="195">
        <f>SUMIF(FALTAS!A:A,A1208,FALTAS!D:D)</f>
        <v>0</v>
      </c>
    </row>
    <row r="1209" spans="1:11" x14ac:dyDescent="0.2">
      <c r="A1209" s="235">
        <v>113884</v>
      </c>
      <c r="B1209" s="236" t="s">
        <v>1255</v>
      </c>
      <c r="C1209" s="236" t="s">
        <v>1252</v>
      </c>
      <c r="D1209" s="236" t="s">
        <v>1256</v>
      </c>
      <c r="E1209" s="237">
        <v>43663</v>
      </c>
      <c r="F1209" s="236" t="s">
        <v>1234</v>
      </c>
      <c r="G1209" s="237">
        <v>43663</v>
      </c>
      <c r="H1209" s="234">
        <f>SUMIF(VA!B:B,A1209,VA!I:I)</f>
        <v>0</v>
      </c>
      <c r="I1209" s="33">
        <f>SUMIF(VR!B:B,A1209,VR!I:I)</f>
        <v>0</v>
      </c>
      <c r="J1209" s="4">
        <f t="shared" si="18"/>
        <v>0</v>
      </c>
      <c r="K1209" s="195">
        <f>SUMIF(FALTAS!A:A,A1209,FALTAS!D:D)</f>
        <v>0</v>
      </c>
    </row>
    <row r="1210" spans="1:11" x14ac:dyDescent="0.2">
      <c r="A1210" s="235">
        <v>113648</v>
      </c>
      <c r="B1210" s="236" t="s">
        <v>896</v>
      </c>
      <c r="C1210" s="236" t="s">
        <v>0</v>
      </c>
      <c r="D1210" s="236" t="s">
        <v>2</v>
      </c>
      <c r="E1210" s="237">
        <v>43617</v>
      </c>
      <c r="F1210" s="236" t="s">
        <v>1234</v>
      </c>
      <c r="G1210" s="237">
        <v>45023</v>
      </c>
      <c r="H1210" s="234">
        <f>SUMIF(VA!B:B,A1210,VA!I:I)</f>
        <v>359.46</v>
      </c>
      <c r="I1210" s="33">
        <f>SUMIF(VR!B:B,A1210,VR!I:I)</f>
        <v>657.5</v>
      </c>
      <c r="J1210" s="4">
        <f t="shared" si="18"/>
        <v>1016.96</v>
      </c>
      <c r="K1210" s="195">
        <f>SUMIF(FALTAS!A:A,A1210,FALTAS!D:D)</f>
        <v>0</v>
      </c>
    </row>
    <row r="1211" spans="1:11" x14ac:dyDescent="0.2">
      <c r="A1211" s="235">
        <v>113643</v>
      </c>
      <c r="B1211" s="236" t="s">
        <v>893</v>
      </c>
      <c r="C1211" s="236" t="s">
        <v>0</v>
      </c>
      <c r="D1211" s="236" t="s">
        <v>5</v>
      </c>
      <c r="E1211" s="237">
        <v>43617</v>
      </c>
      <c r="F1211" s="236" t="s">
        <v>1234</v>
      </c>
      <c r="G1211" s="237">
        <v>45023</v>
      </c>
      <c r="H1211" s="234">
        <f>SUMIF(VA!B:B,A1211,VA!I:I)</f>
        <v>359.46</v>
      </c>
      <c r="I1211" s="33">
        <f>SUMIF(VR!B:B,A1211,VR!I:I)</f>
        <v>657.5</v>
      </c>
      <c r="J1211" s="4">
        <f t="shared" si="18"/>
        <v>1016.96</v>
      </c>
      <c r="K1211" s="195">
        <f>SUMIF(FALTAS!A:A,A1211,FALTAS!D:D)</f>
        <v>0</v>
      </c>
    </row>
    <row r="1212" spans="1:11" s="148" customFormat="1" x14ac:dyDescent="0.2">
      <c r="A1212" s="235">
        <v>113638</v>
      </c>
      <c r="B1212" s="236" t="s">
        <v>892</v>
      </c>
      <c r="C1212" s="236" t="s">
        <v>8</v>
      </c>
      <c r="D1212" s="236" t="s">
        <v>146</v>
      </c>
      <c r="E1212" s="237">
        <v>43617</v>
      </c>
      <c r="F1212" s="236" t="s">
        <v>1234</v>
      </c>
      <c r="G1212" s="237">
        <v>45023</v>
      </c>
      <c r="H1212" s="234">
        <f>SUMIF(VA!B:B,A1212,VA!I:I)</f>
        <v>359.46</v>
      </c>
      <c r="I1212" s="33">
        <f>SUMIF(VR!B:B,A1212,VR!I:I)</f>
        <v>657.5</v>
      </c>
      <c r="J1212" s="4">
        <f t="shared" si="18"/>
        <v>1016.96</v>
      </c>
      <c r="K1212" s="195">
        <f>SUMIF(FALTAS!A:A,A1212,FALTAS!D:D)</f>
        <v>0</v>
      </c>
    </row>
    <row r="1213" spans="1:11" x14ac:dyDescent="0.2">
      <c r="A1213" s="235">
        <v>113634</v>
      </c>
      <c r="B1213" s="236" t="s">
        <v>888</v>
      </c>
      <c r="C1213" s="236" t="s">
        <v>1589</v>
      </c>
      <c r="D1213" s="236" t="s">
        <v>22</v>
      </c>
      <c r="E1213" s="237">
        <v>43617</v>
      </c>
      <c r="F1213" s="236" t="s">
        <v>1234</v>
      </c>
      <c r="G1213" s="237">
        <v>45119</v>
      </c>
      <c r="H1213" s="234">
        <f>SUMIF(VA!B:B,A1213,VA!I:I)</f>
        <v>359.46</v>
      </c>
      <c r="I1213" s="33">
        <f>SUMIF(VR!B:B,A1213,VR!I:I)</f>
        <v>657.5</v>
      </c>
      <c r="J1213" s="4">
        <f t="shared" si="18"/>
        <v>1016.96</v>
      </c>
      <c r="K1213" s="195">
        <f>SUMIF(FALTAS!A:A,A1213,FALTAS!D:D)</f>
        <v>0</v>
      </c>
    </row>
    <row r="1214" spans="1:11" x14ac:dyDescent="0.2">
      <c r="A1214" s="235">
        <v>113630</v>
      </c>
      <c r="B1214" s="236" t="s">
        <v>885</v>
      </c>
      <c r="C1214" s="236" t="s">
        <v>32</v>
      </c>
      <c r="D1214" s="236" t="s">
        <v>2</v>
      </c>
      <c r="E1214" s="237">
        <v>43617</v>
      </c>
      <c r="F1214" s="236" t="s">
        <v>1234</v>
      </c>
      <c r="G1214" s="237">
        <v>44930</v>
      </c>
      <c r="H1214" s="234">
        <f>SUMIF(VA!B:B,A1214,VA!I:I)</f>
        <v>359.46</v>
      </c>
      <c r="I1214" s="33">
        <f>SUMIF(VR!B:B,A1214,VR!I:I)</f>
        <v>657.5</v>
      </c>
      <c r="J1214" s="4">
        <f t="shared" si="18"/>
        <v>1016.96</v>
      </c>
      <c r="K1214" s="195">
        <f>SUMIF(FALTAS!A:A,A1214,FALTAS!D:D)</f>
        <v>0</v>
      </c>
    </row>
    <row r="1215" spans="1:11" x14ac:dyDescent="0.2">
      <c r="A1215" s="235">
        <v>113627</v>
      </c>
      <c r="B1215" s="236" t="s">
        <v>883</v>
      </c>
      <c r="C1215" s="236" t="s">
        <v>10</v>
      </c>
      <c r="D1215" s="236" t="s">
        <v>5</v>
      </c>
      <c r="E1215" s="237">
        <v>43617</v>
      </c>
      <c r="F1215" s="236" t="s">
        <v>1234</v>
      </c>
      <c r="G1215" s="237">
        <v>45119</v>
      </c>
      <c r="H1215" s="234">
        <f>SUMIF(VA!B:B,A1215,VA!I:I)</f>
        <v>359.46</v>
      </c>
      <c r="I1215" s="33">
        <f>SUMIF(VR!B:B,A1215,VR!I:I)</f>
        <v>657.5</v>
      </c>
      <c r="J1215" s="4">
        <f t="shared" si="18"/>
        <v>1016.96</v>
      </c>
      <c r="K1215" s="195">
        <f>SUMIF(FALTAS!A:A,A1215,FALTAS!D:D)</f>
        <v>0</v>
      </c>
    </row>
    <row r="1216" spans="1:11" x14ac:dyDescent="0.2">
      <c r="A1216" s="235">
        <v>114734</v>
      </c>
      <c r="B1216" s="236" t="s">
        <v>1088</v>
      </c>
      <c r="C1216" s="236" t="s">
        <v>0</v>
      </c>
      <c r="D1216" s="236" t="s">
        <v>5</v>
      </c>
      <c r="E1216" s="237">
        <v>43874</v>
      </c>
      <c r="F1216" s="236" t="s">
        <v>1234</v>
      </c>
      <c r="G1216" s="237">
        <v>44744</v>
      </c>
      <c r="H1216" s="234">
        <f>SUMIF(VA!B:B,A1216,VA!I:I)</f>
        <v>359.46</v>
      </c>
      <c r="I1216" s="33">
        <f>SUMIF(VR!B:B,A1216,VR!I:I)</f>
        <v>657.5</v>
      </c>
      <c r="J1216" s="4">
        <f t="shared" si="18"/>
        <v>1016.96</v>
      </c>
      <c r="K1216" s="195">
        <f>SUMIF(FALTAS!A:A,A1216,FALTAS!D:D)</f>
        <v>0</v>
      </c>
    </row>
    <row r="1217" spans="1:11" x14ac:dyDescent="0.2">
      <c r="A1217" s="235">
        <v>113734</v>
      </c>
      <c r="B1217" s="236" t="s">
        <v>951</v>
      </c>
      <c r="C1217" s="236" t="s">
        <v>1589</v>
      </c>
      <c r="D1217" s="236" t="s">
        <v>952</v>
      </c>
      <c r="E1217" s="237">
        <v>43619</v>
      </c>
      <c r="F1217" s="236" t="s">
        <v>1234</v>
      </c>
      <c r="G1217" s="237">
        <v>45056</v>
      </c>
      <c r="H1217" s="234">
        <f>SUMIF(VA!B:B,A1217,VA!I:I)</f>
        <v>359.46</v>
      </c>
      <c r="I1217" s="33">
        <f>SUMIF(VR!B:B,A1217,VR!I:I)</f>
        <v>657.5</v>
      </c>
      <c r="J1217" s="4">
        <f t="shared" si="18"/>
        <v>1016.96</v>
      </c>
      <c r="K1217" s="195">
        <f>SUMIF(FALTAS!A:A,A1217,FALTAS!D:D)</f>
        <v>0</v>
      </c>
    </row>
    <row r="1218" spans="1:11" x14ac:dyDescent="0.2">
      <c r="A1218" s="235">
        <v>122403</v>
      </c>
      <c r="B1218" s="236" t="s">
        <v>1713</v>
      </c>
      <c r="C1218" s="236" t="s">
        <v>1589</v>
      </c>
      <c r="D1218" s="236" t="s">
        <v>5</v>
      </c>
      <c r="E1218" s="237">
        <v>45117</v>
      </c>
      <c r="F1218" s="236" t="s">
        <v>1234</v>
      </c>
      <c r="G1218" s="237">
        <v>45117</v>
      </c>
      <c r="H1218" s="234">
        <f>SUMIF(VA!B:B,A1218,VA!I:I)</f>
        <v>359.46</v>
      </c>
      <c r="I1218" s="33">
        <f>SUMIF(VR!B:B,A1218,VR!I:I)</f>
        <v>657.5</v>
      </c>
      <c r="J1218" s="4">
        <f t="shared" ref="J1218:J1281" si="19">H1218+I1218</f>
        <v>1016.96</v>
      </c>
      <c r="K1218" s="195">
        <f>SUMIF(FALTAS!A:A,A1218,FALTAS!D:D)</f>
        <v>0</v>
      </c>
    </row>
    <row r="1219" spans="1:11" x14ac:dyDescent="0.2">
      <c r="A1219" s="235">
        <v>116329</v>
      </c>
      <c r="B1219" s="236" t="s">
        <v>1211</v>
      </c>
      <c r="C1219" s="236" t="s">
        <v>0</v>
      </c>
      <c r="D1219" s="236" t="s">
        <v>5</v>
      </c>
      <c r="E1219" s="237">
        <v>44308</v>
      </c>
      <c r="F1219" s="236" t="s">
        <v>1234</v>
      </c>
      <c r="G1219" s="237">
        <v>44960</v>
      </c>
      <c r="H1219" s="234">
        <f>SUMIF(VA!B:B,A1219,VA!I:I)</f>
        <v>347.47</v>
      </c>
      <c r="I1219" s="33">
        <f>SUMIF(VR!B:B,A1219,VR!I:I)</f>
        <v>631.20000000000005</v>
      </c>
      <c r="J1219" s="4">
        <f t="shared" si="19"/>
        <v>978.67000000000007</v>
      </c>
      <c r="K1219" s="195">
        <f>SUMIF(FALTAS!A:A,A1219,FALTAS!D:D)</f>
        <v>1</v>
      </c>
    </row>
    <row r="1220" spans="1:11" x14ac:dyDescent="0.2">
      <c r="A1220" s="235">
        <v>118642</v>
      </c>
      <c r="B1220" s="236" t="s">
        <v>1415</v>
      </c>
      <c r="C1220" s="236" t="s">
        <v>1589</v>
      </c>
      <c r="D1220" s="236" t="s">
        <v>941</v>
      </c>
      <c r="E1220" s="237">
        <v>44582</v>
      </c>
      <c r="F1220" s="236" t="s">
        <v>1234</v>
      </c>
      <c r="G1220" s="237">
        <v>45056</v>
      </c>
      <c r="H1220" s="234">
        <f>SUMIF(VA!B:B,A1220,VA!I:I)</f>
        <v>359.46</v>
      </c>
      <c r="I1220" s="33">
        <f>SUMIF(VR!B:B,A1220,VR!I:I)</f>
        <v>657.5</v>
      </c>
      <c r="J1220" s="4">
        <f t="shared" si="19"/>
        <v>1016.96</v>
      </c>
      <c r="K1220" s="195">
        <f>SUMIF(FALTAS!A:A,A1220,FALTAS!D:D)</f>
        <v>0</v>
      </c>
    </row>
    <row r="1221" spans="1:11" x14ac:dyDescent="0.2">
      <c r="A1221" s="235">
        <v>114031</v>
      </c>
      <c r="B1221" s="236" t="s">
        <v>1000</v>
      </c>
      <c r="C1221" s="236" t="s">
        <v>10</v>
      </c>
      <c r="D1221" s="236" t="s">
        <v>146</v>
      </c>
      <c r="E1221" s="237">
        <v>43710</v>
      </c>
      <c r="F1221" s="236" t="s">
        <v>1234</v>
      </c>
      <c r="G1221" s="237">
        <v>44898</v>
      </c>
      <c r="H1221" s="234">
        <f>SUMIF(VA!B:B,A1221,VA!I:I)</f>
        <v>359.46</v>
      </c>
      <c r="I1221" s="33">
        <f>SUMIF(VR!B:B,A1221,VR!I:I)</f>
        <v>657.5</v>
      </c>
      <c r="J1221" s="4">
        <f t="shared" si="19"/>
        <v>1016.96</v>
      </c>
      <c r="K1221" s="195">
        <f>SUMIF(FALTAS!A:A,A1221,FALTAS!D:D)</f>
        <v>0</v>
      </c>
    </row>
    <row r="1222" spans="1:11" x14ac:dyDescent="0.2">
      <c r="A1222" s="235">
        <v>113689</v>
      </c>
      <c r="B1222" s="236" t="s">
        <v>919</v>
      </c>
      <c r="C1222" s="236" t="s">
        <v>8</v>
      </c>
      <c r="D1222" s="236" t="s">
        <v>2</v>
      </c>
      <c r="E1222" s="237">
        <v>43617</v>
      </c>
      <c r="F1222" s="236" t="s">
        <v>1234</v>
      </c>
      <c r="G1222" s="237">
        <v>44898</v>
      </c>
      <c r="H1222" s="234">
        <f>SUMIF(VA!B:B,A1222,VA!I:I)</f>
        <v>359.46</v>
      </c>
      <c r="I1222" s="33">
        <f>SUMIF(VR!B:B,A1222,VR!I:I)</f>
        <v>657.5</v>
      </c>
      <c r="J1222" s="4">
        <f t="shared" si="19"/>
        <v>1016.96</v>
      </c>
      <c r="K1222" s="195">
        <f>SUMIF(FALTAS!A:A,A1222,FALTAS!D:D)</f>
        <v>0</v>
      </c>
    </row>
    <row r="1223" spans="1:11" x14ac:dyDescent="0.2">
      <c r="A1223" s="235">
        <v>117240</v>
      </c>
      <c r="B1223" s="236" t="s">
        <v>1262</v>
      </c>
      <c r="C1223" s="236" t="s">
        <v>0</v>
      </c>
      <c r="D1223" s="236" t="s">
        <v>5</v>
      </c>
      <c r="E1223" s="237">
        <v>44487</v>
      </c>
      <c r="F1223" s="236" t="s">
        <v>1234</v>
      </c>
      <c r="G1223" s="237">
        <v>45056</v>
      </c>
      <c r="H1223" s="234">
        <f>SUMIF(VA!B:B,A1223,VA!I:I)</f>
        <v>359.46</v>
      </c>
      <c r="I1223" s="33">
        <f>SUMIF(VR!B:B,A1223,VR!I:I)</f>
        <v>657.5</v>
      </c>
      <c r="J1223" s="4">
        <f t="shared" si="19"/>
        <v>1016.96</v>
      </c>
      <c r="K1223" s="195">
        <f>SUMIF(FALTAS!A:A,A1223,FALTAS!D:D)</f>
        <v>0</v>
      </c>
    </row>
    <row r="1224" spans="1:11" x14ac:dyDescent="0.2">
      <c r="A1224" s="235">
        <v>120192</v>
      </c>
      <c r="B1224" s="236" t="s">
        <v>1506</v>
      </c>
      <c r="C1224" s="236" t="s">
        <v>8</v>
      </c>
      <c r="D1224" s="236" t="s">
        <v>5</v>
      </c>
      <c r="E1224" s="237">
        <v>44791</v>
      </c>
      <c r="F1224" s="236" t="s">
        <v>1234</v>
      </c>
      <c r="G1224" s="237">
        <v>44791</v>
      </c>
      <c r="H1224" s="234">
        <f>SUMIF(VA!B:B,A1224,VA!I:I)</f>
        <v>359.46</v>
      </c>
      <c r="I1224" s="33">
        <f>SUMIF(VR!B:B,A1224,VR!I:I)</f>
        <v>657.5</v>
      </c>
      <c r="J1224" s="4">
        <f t="shared" si="19"/>
        <v>1016.96</v>
      </c>
      <c r="K1224" s="195">
        <f>SUMIF(FALTAS!A:A,A1224,FALTAS!D:D)</f>
        <v>0</v>
      </c>
    </row>
    <row r="1225" spans="1:11" x14ac:dyDescent="0.2">
      <c r="A1225" s="235">
        <v>116320</v>
      </c>
      <c r="B1225" s="236" t="s">
        <v>1206</v>
      </c>
      <c r="C1225" s="236" t="s">
        <v>10</v>
      </c>
      <c r="D1225" s="236" t="s">
        <v>5</v>
      </c>
      <c r="E1225" s="237">
        <v>44308</v>
      </c>
      <c r="F1225" s="236" t="s">
        <v>1235</v>
      </c>
      <c r="G1225" s="237">
        <v>45147</v>
      </c>
      <c r="H1225" s="234">
        <f>SUMIF(VA!B:B,A1225,VA!I:I)</f>
        <v>359.46</v>
      </c>
      <c r="I1225" s="33">
        <f>SUMIF(VR!B:B,A1225,VR!I:I)</f>
        <v>657.5</v>
      </c>
      <c r="J1225" s="4">
        <f t="shared" si="19"/>
        <v>1016.96</v>
      </c>
      <c r="K1225" s="195">
        <f>SUMIF(FALTAS!A:A,A1225,FALTAS!D:D)</f>
        <v>0</v>
      </c>
    </row>
    <row r="1226" spans="1:11" x14ac:dyDescent="0.2">
      <c r="A1226" s="235">
        <v>119681</v>
      </c>
      <c r="B1226" s="236" t="s">
        <v>1480</v>
      </c>
      <c r="C1226" s="236" t="s">
        <v>10</v>
      </c>
      <c r="D1226" s="236" t="s">
        <v>5</v>
      </c>
      <c r="E1226" s="237">
        <v>44725</v>
      </c>
      <c r="F1226" s="236" t="s">
        <v>1234</v>
      </c>
      <c r="G1226" s="237">
        <v>44725</v>
      </c>
      <c r="H1226" s="234">
        <f>SUMIF(VA!B:B,A1226,VA!I:I)</f>
        <v>359.46</v>
      </c>
      <c r="I1226" s="33">
        <f>SUMIF(VR!B:B,A1226,VR!I:I)</f>
        <v>657.5</v>
      </c>
      <c r="J1226" s="4">
        <f t="shared" si="19"/>
        <v>1016.96</v>
      </c>
      <c r="K1226" s="195">
        <f>SUMIF(FALTAS!A:A,A1226,FALTAS!D:D)</f>
        <v>0</v>
      </c>
    </row>
    <row r="1227" spans="1:11" x14ac:dyDescent="0.2">
      <c r="A1227" s="235">
        <v>114258</v>
      </c>
      <c r="B1227" s="236" t="s">
        <v>1025</v>
      </c>
      <c r="C1227" s="236" t="s">
        <v>0</v>
      </c>
      <c r="D1227" s="236" t="s">
        <v>5</v>
      </c>
      <c r="E1227" s="237">
        <v>43804</v>
      </c>
      <c r="F1227" s="236" t="s">
        <v>1234</v>
      </c>
      <c r="G1227" s="237">
        <v>45119</v>
      </c>
      <c r="H1227" s="234">
        <f>SUMIF(VA!B:B,A1227,VA!I:I)</f>
        <v>359.46</v>
      </c>
      <c r="I1227" s="33">
        <f>SUMIF(VR!B:B,A1227,VR!I:I)</f>
        <v>657.5</v>
      </c>
      <c r="J1227" s="4">
        <f t="shared" si="19"/>
        <v>1016.96</v>
      </c>
      <c r="K1227" s="195">
        <f>SUMIF(FALTAS!A:A,A1227,FALTAS!D:D)</f>
        <v>0</v>
      </c>
    </row>
    <row r="1228" spans="1:11" x14ac:dyDescent="0.2">
      <c r="A1228" s="235">
        <v>113611</v>
      </c>
      <c r="B1228" s="236" t="s">
        <v>875</v>
      </c>
      <c r="C1228" s="236" t="s">
        <v>0</v>
      </c>
      <c r="D1228" s="236" t="s">
        <v>146</v>
      </c>
      <c r="E1228" s="237">
        <v>43617</v>
      </c>
      <c r="F1228" s="236" t="s">
        <v>1234</v>
      </c>
      <c r="G1228" s="237">
        <v>44960</v>
      </c>
      <c r="H1228" s="234">
        <f>SUMIF(VA!B:B,A1228,VA!I:I)</f>
        <v>359.46</v>
      </c>
      <c r="I1228" s="33">
        <f>SUMIF(VR!B:B,A1228,VR!I:I)</f>
        <v>657.5</v>
      </c>
      <c r="J1228" s="4">
        <f t="shared" si="19"/>
        <v>1016.96</v>
      </c>
      <c r="K1228" s="195">
        <f>SUMIF(FALTAS!A:A,A1228,FALTAS!D:D)</f>
        <v>0</v>
      </c>
    </row>
    <row r="1229" spans="1:11" x14ac:dyDescent="0.2">
      <c r="A1229" s="235">
        <v>112862</v>
      </c>
      <c r="B1229" s="236" t="s">
        <v>459</v>
      </c>
      <c r="C1229" s="236" t="s">
        <v>19</v>
      </c>
      <c r="D1229" s="236" t="s">
        <v>2</v>
      </c>
      <c r="E1229" s="237">
        <v>43617</v>
      </c>
      <c r="F1229" s="236" t="s">
        <v>1234</v>
      </c>
      <c r="G1229" s="237">
        <v>44835</v>
      </c>
      <c r="H1229" s="234">
        <f>SUMIF(VA!B:B,A1229,VA!I:I)</f>
        <v>359.46</v>
      </c>
      <c r="I1229" s="33">
        <f>SUMIF(VR!B:B,A1229,VR!I:I)</f>
        <v>657.5</v>
      </c>
      <c r="J1229" s="4">
        <f t="shared" si="19"/>
        <v>1016.96</v>
      </c>
      <c r="K1229" s="195">
        <f>SUMIF(FALTAS!A:A,A1229,FALTAS!D:D)</f>
        <v>0</v>
      </c>
    </row>
    <row r="1230" spans="1:11" x14ac:dyDescent="0.2">
      <c r="A1230" s="235">
        <v>112853</v>
      </c>
      <c r="B1230" s="236" t="s">
        <v>455</v>
      </c>
      <c r="C1230" s="236" t="s">
        <v>0</v>
      </c>
      <c r="D1230" s="236" t="s">
        <v>2</v>
      </c>
      <c r="E1230" s="237">
        <v>43617</v>
      </c>
      <c r="F1230" s="236" t="s">
        <v>1234</v>
      </c>
      <c r="G1230" s="237">
        <v>44835</v>
      </c>
      <c r="H1230" s="234">
        <f>SUMIF(VA!B:B,A1230,VA!I:I)</f>
        <v>359.46</v>
      </c>
      <c r="I1230" s="33">
        <f>SUMIF(VR!B:B,A1230,VR!I:I)</f>
        <v>657.5</v>
      </c>
      <c r="J1230" s="4">
        <f t="shared" si="19"/>
        <v>1016.96</v>
      </c>
      <c r="K1230" s="195">
        <f>SUMIF(FALTAS!A:A,A1230,FALTAS!D:D)</f>
        <v>0</v>
      </c>
    </row>
    <row r="1231" spans="1:11" x14ac:dyDescent="0.2">
      <c r="A1231" s="235">
        <v>114093</v>
      </c>
      <c r="B1231" s="236" t="s">
        <v>1005</v>
      </c>
      <c r="C1231" s="236" t="s">
        <v>8</v>
      </c>
      <c r="D1231" s="236" t="s">
        <v>5</v>
      </c>
      <c r="E1231" s="237">
        <v>43728</v>
      </c>
      <c r="F1231" s="236" t="s">
        <v>1234</v>
      </c>
      <c r="G1231" s="237">
        <v>45149</v>
      </c>
      <c r="H1231" s="234">
        <f>SUMIF(VA!B:B,A1231,VA!I:I)</f>
        <v>359.46</v>
      </c>
      <c r="I1231" s="33">
        <f>SUMIF(VR!B:B,A1231,VR!I:I)</f>
        <v>657.5</v>
      </c>
      <c r="J1231" s="4">
        <f t="shared" si="19"/>
        <v>1016.96</v>
      </c>
      <c r="K1231" s="195">
        <f>SUMIF(FALTAS!A:A,A1231,FALTAS!D:D)</f>
        <v>0</v>
      </c>
    </row>
    <row r="1232" spans="1:11" x14ac:dyDescent="0.2">
      <c r="A1232" s="235">
        <v>112823</v>
      </c>
      <c r="B1232" s="236" t="s">
        <v>436</v>
      </c>
      <c r="C1232" s="236" t="s">
        <v>32</v>
      </c>
      <c r="D1232" s="236" t="s">
        <v>2</v>
      </c>
      <c r="E1232" s="237">
        <v>43617</v>
      </c>
      <c r="F1232" s="236" t="s">
        <v>1234</v>
      </c>
      <c r="G1232" s="237">
        <v>44960</v>
      </c>
      <c r="H1232" s="234">
        <f>SUMIF(VA!B:B,A1232,VA!I:I)</f>
        <v>359.46</v>
      </c>
      <c r="I1232" s="33">
        <f>SUMIF(VR!B:B,A1232,VR!I:I)</f>
        <v>657.5</v>
      </c>
      <c r="J1232" s="4">
        <f t="shared" si="19"/>
        <v>1016.96</v>
      </c>
      <c r="K1232" s="195">
        <f>SUMIF(FALTAS!A:A,A1232,FALTAS!D:D)</f>
        <v>0</v>
      </c>
    </row>
    <row r="1233" spans="1:11" x14ac:dyDescent="0.2">
      <c r="A1233" s="235">
        <v>112811</v>
      </c>
      <c r="B1233" s="236" t="s">
        <v>428</v>
      </c>
      <c r="C1233" s="236" t="s">
        <v>1589</v>
      </c>
      <c r="D1233" s="236" t="s">
        <v>15</v>
      </c>
      <c r="E1233" s="237">
        <v>43617</v>
      </c>
      <c r="F1233" s="236" t="s">
        <v>1234</v>
      </c>
      <c r="G1233" s="237">
        <v>44744</v>
      </c>
      <c r="H1233" s="234">
        <f>SUMIF(VA!B:B,A1233,VA!I:I)</f>
        <v>359.46</v>
      </c>
      <c r="I1233" s="33">
        <f>SUMIF(VR!B:B,A1233,VR!I:I)</f>
        <v>657.5</v>
      </c>
      <c r="J1233" s="4">
        <f t="shared" si="19"/>
        <v>1016.96</v>
      </c>
      <c r="K1233" s="195">
        <f>SUMIF(FALTAS!A:A,A1233,FALTAS!D:D)</f>
        <v>0</v>
      </c>
    </row>
    <row r="1234" spans="1:11" x14ac:dyDescent="0.2">
      <c r="A1234" s="235">
        <v>113733</v>
      </c>
      <c r="B1234" s="236" t="s">
        <v>949</v>
      </c>
      <c r="C1234" s="236" t="s">
        <v>1589</v>
      </c>
      <c r="D1234" s="236" t="s">
        <v>950</v>
      </c>
      <c r="E1234" s="237">
        <v>43619</v>
      </c>
      <c r="F1234" s="236" t="s">
        <v>1234</v>
      </c>
      <c r="G1234" s="237">
        <v>45023</v>
      </c>
      <c r="H1234" s="234">
        <f>SUMIF(VA!B:B,A1234,VA!I:I)</f>
        <v>359.46</v>
      </c>
      <c r="I1234" s="33">
        <f>SUMIF(VR!B:B,A1234,VR!I:I)</f>
        <v>657.5</v>
      </c>
      <c r="J1234" s="4">
        <f t="shared" si="19"/>
        <v>1016.96</v>
      </c>
      <c r="K1234" s="195">
        <f>SUMIF(FALTAS!A:A,A1234,FALTAS!D:D)</f>
        <v>0</v>
      </c>
    </row>
    <row r="1235" spans="1:11" x14ac:dyDescent="0.2">
      <c r="A1235" s="235">
        <v>114732</v>
      </c>
      <c r="B1235" s="236" t="s">
        <v>1086</v>
      </c>
      <c r="C1235" s="236" t="s">
        <v>0</v>
      </c>
      <c r="D1235" s="236" t="s">
        <v>2</v>
      </c>
      <c r="E1235" s="237">
        <v>43874</v>
      </c>
      <c r="F1235" s="236" t="s">
        <v>1234</v>
      </c>
      <c r="G1235" s="237">
        <v>45149</v>
      </c>
      <c r="H1235" s="234">
        <f>SUMIF(VA!B:B,A1235,VA!I:I)</f>
        <v>359.46</v>
      </c>
      <c r="I1235" s="33">
        <f>SUMIF(VR!B:B,A1235,VR!I:I)</f>
        <v>657.5</v>
      </c>
      <c r="J1235" s="4">
        <f t="shared" si="19"/>
        <v>1016.96</v>
      </c>
      <c r="K1235" s="195">
        <f>SUMIF(FALTAS!A:A,A1235,FALTAS!D:D)</f>
        <v>0</v>
      </c>
    </row>
    <row r="1236" spans="1:11" x14ac:dyDescent="0.2">
      <c r="A1236" s="235">
        <v>112788</v>
      </c>
      <c r="B1236" s="236" t="s">
        <v>410</v>
      </c>
      <c r="C1236" s="236" t="s">
        <v>1589</v>
      </c>
      <c r="D1236" s="236" t="s">
        <v>411</v>
      </c>
      <c r="E1236" s="237">
        <v>43617</v>
      </c>
      <c r="F1236" s="236" t="s">
        <v>1234</v>
      </c>
      <c r="G1236" s="237">
        <v>44776</v>
      </c>
      <c r="H1236" s="234">
        <f>SUMIF(VA!B:B,A1236,VA!I:I)</f>
        <v>359.46</v>
      </c>
      <c r="I1236" s="33">
        <f>SUMIF(VR!B:B,A1236,VR!I:I)</f>
        <v>657.5</v>
      </c>
      <c r="J1236" s="4">
        <f t="shared" si="19"/>
        <v>1016.96</v>
      </c>
      <c r="K1236" s="195">
        <f>SUMIF(FALTAS!A:A,A1236,FALTAS!D:D)</f>
        <v>0</v>
      </c>
    </row>
    <row r="1237" spans="1:11" x14ac:dyDescent="0.2">
      <c r="A1237" s="235">
        <v>112778</v>
      </c>
      <c r="B1237" s="236" t="s">
        <v>402</v>
      </c>
      <c r="C1237" s="236" t="s">
        <v>8</v>
      </c>
      <c r="D1237" s="236" t="s">
        <v>2</v>
      </c>
      <c r="E1237" s="237">
        <v>43617</v>
      </c>
      <c r="F1237" s="236" t="s">
        <v>1234</v>
      </c>
      <c r="G1237" s="237">
        <v>45056</v>
      </c>
      <c r="H1237" s="234">
        <f>SUMIF(VA!B:B,A1237,VA!I:I)</f>
        <v>359.46</v>
      </c>
      <c r="I1237" s="33">
        <f>SUMIF(VR!B:B,A1237,VR!I:I)</f>
        <v>657.5</v>
      </c>
      <c r="J1237" s="4">
        <f t="shared" si="19"/>
        <v>1016.96</v>
      </c>
      <c r="K1237" s="195">
        <f>SUMIF(FALTAS!A:A,A1237,FALTAS!D:D)</f>
        <v>0</v>
      </c>
    </row>
    <row r="1238" spans="1:11" x14ac:dyDescent="0.2">
      <c r="A1238" s="235">
        <v>112769</v>
      </c>
      <c r="B1238" s="236" t="s">
        <v>396</v>
      </c>
      <c r="C1238" s="236" t="s">
        <v>1589</v>
      </c>
      <c r="D1238" s="236" t="s">
        <v>15</v>
      </c>
      <c r="E1238" s="237">
        <v>43617</v>
      </c>
      <c r="F1238" s="236" t="s">
        <v>1234</v>
      </c>
      <c r="G1238" s="237">
        <v>45149</v>
      </c>
      <c r="H1238" s="234">
        <f>SUMIF(VA!B:B,A1238,VA!I:I)</f>
        <v>359.46</v>
      </c>
      <c r="I1238" s="33">
        <f>SUMIF(VR!B:B,A1238,VR!I:I)</f>
        <v>657.5</v>
      </c>
      <c r="J1238" s="4">
        <f t="shared" si="19"/>
        <v>1016.96</v>
      </c>
      <c r="K1238" s="195">
        <f>SUMIF(FALTAS!A:A,A1238,FALTAS!D:D)</f>
        <v>0</v>
      </c>
    </row>
    <row r="1239" spans="1:11" x14ac:dyDescent="0.2">
      <c r="A1239" s="235">
        <v>116132</v>
      </c>
      <c r="B1239" s="236" t="s">
        <v>1191</v>
      </c>
      <c r="C1239" s="236" t="s">
        <v>1589</v>
      </c>
      <c r="D1239" s="236" t="s">
        <v>15</v>
      </c>
      <c r="E1239" s="237">
        <v>44249</v>
      </c>
      <c r="F1239" s="236" t="s">
        <v>1234</v>
      </c>
      <c r="G1239" s="237">
        <v>45056</v>
      </c>
      <c r="H1239" s="234">
        <f>SUMIF(VA!B:B,A1239,VA!I:I)</f>
        <v>359.46</v>
      </c>
      <c r="I1239" s="33">
        <f>SUMIF(VR!B:B,A1239,VR!I:I)</f>
        <v>657.5</v>
      </c>
      <c r="J1239" s="4">
        <f t="shared" si="19"/>
        <v>1016.96</v>
      </c>
      <c r="K1239" s="195">
        <f>SUMIF(FALTAS!A:A,A1239,FALTAS!D:D)</f>
        <v>0</v>
      </c>
    </row>
    <row r="1240" spans="1:11" x14ac:dyDescent="0.2">
      <c r="A1240" s="235">
        <v>112754</v>
      </c>
      <c r="B1240" s="236" t="s">
        <v>386</v>
      </c>
      <c r="C1240" s="236" t="s">
        <v>8</v>
      </c>
      <c r="D1240" s="236" t="s">
        <v>2</v>
      </c>
      <c r="E1240" s="237">
        <v>43617</v>
      </c>
      <c r="F1240" s="236" t="s">
        <v>1234</v>
      </c>
      <c r="G1240" s="237">
        <v>45056</v>
      </c>
      <c r="H1240" s="234">
        <f>SUMIF(VA!B:B,A1240,VA!I:I)</f>
        <v>359.46</v>
      </c>
      <c r="I1240" s="33">
        <f>SUMIF(VR!B:B,A1240,VR!I:I)</f>
        <v>657.5</v>
      </c>
      <c r="J1240" s="4">
        <f t="shared" si="19"/>
        <v>1016.96</v>
      </c>
      <c r="K1240" s="195">
        <f>SUMIF(FALTAS!A:A,A1240,FALTAS!D:D)</f>
        <v>0</v>
      </c>
    </row>
    <row r="1241" spans="1:11" x14ac:dyDescent="0.2">
      <c r="A1241" s="235">
        <v>113723</v>
      </c>
      <c r="B1241" s="236" t="s">
        <v>940</v>
      </c>
      <c r="C1241" s="236" t="s">
        <v>1589</v>
      </c>
      <c r="D1241" s="236" t="s">
        <v>941</v>
      </c>
      <c r="E1241" s="237">
        <v>43619</v>
      </c>
      <c r="F1241" s="236" t="s">
        <v>1234</v>
      </c>
      <c r="G1241" s="237">
        <v>45023</v>
      </c>
      <c r="H1241" s="234">
        <f>SUMIF(VA!B:B,A1241,VA!I:I)</f>
        <v>359.46</v>
      </c>
      <c r="I1241" s="33">
        <f>SUMIF(VR!B:B,A1241,VR!I:I)</f>
        <v>657.5</v>
      </c>
      <c r="J1241" s="4">
        <f t="shared" si="19"/>
        <v>1016.96</v>
      </c>
      <c r="K1241" s="195">
        <f>SUMIF(FALTAS!A:A,A1241,FALTAS!D:D)</f>
        <v>0</v>
      </c>
    </row>
    <row r="1242" spans="1:11" x14ac:dyDescent="0.2">
      <c r="A1242" s="235">
        <v>117241</v>
      </c>
      <c r="B1242" s="236" t="s">
        <v>1263</v>
      </c>
      <c r="C1242" s="236" t="s">
        <v>19</v>
      </c>
      <c r="D1242" s="236" t="s">
        <v>5</v>
      </c>
      <c r="E1242" s="237">
        <v>44487</v>
      </c>
      <c r="F1242" s="236" t="s">
        <v>1234</v>
      </c>
      <c r="G1242" s="237">
        <v>45119</v>
      </c>
      <c r="H1242" s="234">
        <f>SUMIF(VA!B:B,A1242,VA!I:I)</f>
        <v>359.46</v>
      </c>
      <c r="I1242" s="33">
        <f>SUMIF(VR!B:B,A1242,VR!I:I)</f>
        <v>657.5</v>
      </c>
      <c r="J1242" s="4">
        <f t="shared" si="19"/>
        <v>1016.96</v>
      </c>
      <c r="K1242" s="195">
        <f>SUMIF(FALTAS!A:A,A1242,FALTAS!D:D)</f>
        <v>0</v>
      </c>
    </row>
    <row r="1243" spans="1:11" x14ac:dyDescent="0.2">
      <c r="A1243" s="235">
        <v>112747</v>
      </c>
      <c r="B1243" s="236" t="s">
        <v>381</v>
      </c>
      <c r="C1243" s="236" t="s">
        <v>1589</v>
      </c>
      <c r="D1243" s="236" t="s">
        <v>22</v>
      </c>
      <c r="E1243" s="237">
        <v>43617</v>
      </c>
      <c r="F1243" s="236" t="s">
        <v>1234</v>
      </c>
      <c r="G1243" s="237">
        <v>44867</v>
      </c>
      <c r="H1243" s="234">
        <f>SUMIF(VA!B:B,A1243,VA!I:I)</f>
        <v>359.46</v>
      </c>
      <c r="I1243" s="33">
        <f>SUMIF(VR!B:B,A1243,VR!I:I)</f>
        <v>657.5</v>
      </c>
      <c r="J1243" s="4">
        <f t="shared" si="19"/>
        <v>1016.96</v>
      </c>
      <c r="K1243" s="195">
        <f>SUMIF(FALTAS!A:A,A1243,FALTAS!D:D)</f>
        <v>0</v>
      </c>
    </row>
    <row r="1244" spans="1:11" x14ac:dyDescent="0.2">
      <c r="A1244" s="235">
        <v>112741</v>
      </c>
      <c r="B1244" s="236" t="s">
        <v>376</v>
      </c>
      <c r="C1244" s="236" t="s">
        <v>8</v>
      </c>
      <c r="D1244" s="236" t="s">
        <v>2</v>
      </c>
      <c r="E1244" s="237">
        <v>43617</v>
      </c>
      <c r="F1244" s="236" t="s">
        <v>1234</v>
      </c>
      <c r="G1244" s="237">
        <v>44993</v>
      </c>
      <c r="H1244" s="234">
        <f>SUMIF(VA!B:B,A1244,VA!I:I)</f>
        <v>359.46</v>
      </c>
      <c r="I1244" s="33">
        <f>SUMIF(VR!B:B,A1244,VR!I:I)</f>
        <v>657.5</v>
      </c>
      <c r="J1244" s="4">
        <f t="shared" si="19"/>
        <v>1016.96</v>
      </c>
      <c r="K1244" s="195">
        <f>SUMIF(FALTAS!A:A,A1244,FALTAS!D:D)</f>
        <v>0</v>
      </c>
    </row>
    <row r="1245" spans="1:11" x14ac:dyDescent="0.2">
      <c r="A1245" s="235">
        <v>120355</v>
      </c>
      <c r="B1245" s="236" t="s">
        <v>1514</v>
      </c>
      <c r="C1245" s="236" t="s">
        <v>0</v>
      </c>
      <c r="D1245" s="236" t="s">
        <v>5</v>
      </c>
      <c r="E1245" s="237">
        <v>44820</v>
      </c>
      <c r="F1245" s="236" t="s">
        <v>1234</v>
      </c>
      <c r="G1245" s="237">
        <v>44820</v>
      </c>
      <c r="H1245" s="234">
        <f>SUMIF(VA!B:B,A1245,VA!I:I)</f>
        <v>359.46</v>
      </c>
      <c r="I1245" s="33">
        <f>SUMIF(VR!B:B,A1245,VR!I:I)</f>
        <v>657.5</v>
      </c>
      <c r="J1245" s="4">
        <f t="shared" si="19"/>
        <v>1016.96</v>
      </c>
      <c r="K1245" s="195">
        <f>SUMIF(FALTAS!A:A,A1245,FALTAS!D:D)</f>
        <v>0</v>
      </c>
    </row>
    <row r="1246" spans="1:11" x14ac:dyDescent="0.2">
      <c r="A1246" s="235">
        <v>119933</v>
      </c>
      <c r="B1246" s="236" t="s">
        <v>1492</v>
      </c>
      <c r="C1246" s="236" t="s">
        <v>32</v>
      </c>
      <c r="D1246" s="236" t="s">
        <v>5</v>
      </c>
      <c r="E1246" s="237">
        <v>44760</v>
      </c>
      <c r="F1246" s="236" t="s">
        <v>1234</v>
      </c>
      <c r="G1246" s="237">
        <v>44760</v>
      </c>
      <c r="H1246" s="234">
        <f>SUMIF(VA!B:B,A1246,VA!I:I)</f>
        <v>359.46</v>
      </c>
      <c r="I1246" s="33">
        <f>SUMIF(VR!B:B,A1246,VR!I:I)</f>
        <v>657.5</v>
      </c>
      <c r="J1246" s="4">
        <f t="shared" si="19"/>
        <v>1016.96</v>
      </c>
      <c r="K1246" s="195">
        <f>SUMIF(FALTAS!A:A,A1246,FALTAS!D:D)</f>
        <v>0</v>
      </c>
    </row>
    <row r="1247" spans="1:11" x14ac:dyDescent="0.2">
      <c r="A1247" s="235">
        <v>112458</v>
      </c>
      <c r="B1247" s="236" t="s">
        <v>194</v>
      </c>
      <c r="C1247" s="236" t="s">
        <v>0</v>
      </c>
      <c r="D1247" s="236" t="s">
        <v>5</v>
      </c>
      <c r="E1247" s="237">
        <v>43617</v>
      </c>
      <c r="F1247" s="236" t="s">
        <v>1234</v>
      </c>
      <c r="G1247" s="237">
        <v>45023</v>
      </c>
      <c r="H1247" s="234">
        <f>SUMIF(VA!B:B,A1247,VA!I:I)</f>
        <v>359.46</v>
      </c>
      <c r="I1247" s="33">
        <f>SUMIF(VR!B:B,A1247,VR!I:I)</f>
        <v>657.5</v>
      </c>
      <c r="J1247" s="4">
        <f t="shared" si="19"/>
        <v>1016.96</v>
      </c>
      <c r="K1247" s="195">
        <f>SUMIF(FALTAS!A:A,A1247,FALTAS!D:D)</f>
        <v>0</v>
      </c>
    </row>
    <row r="1248" spans="1:11" x14ac:dyDescent="0.2">
      <c r="A1248" s="235">
        <v>115379</v>
      </c>
      <c r="B1248" s="236" t="s">
        <v>1272</v>
      </c>
      <c r="C1248" s="236" t="s">
        <v>32</v>
      </c>
      <c r="D1248" s="236" t="s">
        <v>5</v>
      </c>
      <c r="E1248" s="237">
        <v>44046</v>
      </c>
      <c r="F1248" s="236" t="s">
        <v>1234</v>
      </c>
      <c r="G1248" s="237">
        <v>44960</v>
      </c>
      <c r="H1248" s="234">
        <f>SUMIF(VA!B:B,A1248,VA!I:I)</f>
        <v>359.46</v>
      </c>
      <c r="I1248" s="33">
        <f>SUMIF(VR!B:B,A1248,VR!I:I)</f>
        <v>657.5</v>
      </c>
      <c r="J1248" s="4">
        <f t="shared" si="19"/>
        <v>1016.96</v>
      </c>
      <c r="K1248" s="195">
        <f>SUMIF(FALTAS!A:A,A1248,FALTAS!D:D)</f>
        <v>0</v>
      </c>
    </row>
    <row r="1249" spans="1:11" x14ac:dyDescent="0.2">
      <c r="A1249" s="235">
        <v>112448</v>
      </c>
      <c r="B1249" s="236" t="s">
        <v>187</v>
      </c>
      <c r="C1249" s="236" t="s">
        <v>19</v>
      </c>
      <c r="D1249" s="236" t="s">
        <v>2</v>
      </c>
      <c r="E1249" s="237">
        <v>43617</v>
      </c>
      <c r="F1249" s="236" t="s">
        <v>1234</v>
      </c>
      <c r="G1249" s="237">
        <v>44806</v>
      </c>
      <c r="H1249" s="234">
        <f>SUMIF(VA!B:B,A1249,VA!I:I)</f>
        <v>359.46</v>
      </c>
      <c r="I1249" s="33">
        <f>SUMIF(VR!B:B,A1249,VR!I:I)</f>
        <v>657.5</v>
      </c>
      <c r="J1249" s="4">
        <f t="shared" si="19"/>
        <v>1016.96</v>
      </c>
      <c r="K1249" s="195">
        <f>SUMIF(FALTAS!A:A,A1249,FALTAS!D:D)</f>
        <v>0</v>
      </c>
    </row>
    <row r="1250" spans="1:11" x14ac:dyDescent="0.2">
      <c r="A1250" s="235">
        <v>119117</v>
      </c>
      <c r="B1250" s="236" t="s">
        <v>1450</v>
      </c>
      <c r="C1250" s="236" t="s">
        <v>19</v>
      </c>
      <c r="D1250" s="236" t="s">
        <v>5</v>
      </c>
      <c r="E1250" s="237">
        <v>44630</v>
      </c>
      <c r="F1250" s="236" t="s">
        <v>1234</v>
      </c>
      <c r="G1250" s="237">
        <v>45119</v>
      </c>
      <c r="H1250" s="234">
        <f>SUMIF(VA!B:B,A1250,VA!I:I)</f>
        <v>359.46</v>
      </c>
      <c r="I1250" s="33">
        <f>SUMIF(VR!B:B,A1250,VR!I:I)</f>
        <v>657.5</v>
      </c>
      <c r="J1250" s="4">
        <f t="shared" si="19"/>
        <v>1016.96</v>
      </c>
      <c r="K1250" s="195">
        <f>SUMIF(FALTAS!A:A,A1250,FALTAS!D:D)</f>
        <v>0</v>
      </c>
    </row>
    <row r="1251" spans="1:11" x14ac:dyDescent="0.2">
      <c r="A1251" s="235">
        <v>112440</v>
      </c>
      <c r="B1251" s="236" t="s">
        <v>181</v>
      </c>
      <c r="C1251" s="236" t="s">
        <v>32</v>
      </c>
      <c r="D1251" s="236" t="s">
        <v>182</v>
      </c>
      <c r="E1251" s="237">
        <v>43617</v>
      </c>
      <c r="F1251" s="236" t="s">
        <v>1234</v>
      </c>
      <c r="G1251" s="237">
        <v>44821</v>
      </c>
      <c r="H1251" s="234">
        <f>SUMIF(VA!B:B,A1251,VA!I:I)</f>
        <v>359.46</v>
      </c>
      <c r="I1251" s="33">
        <f>SUMIF(VR!B:B,A1251,VR!I:I)</f>
        <v>657.5</v>
      </c>
      <c r="J1251" s="4">
        <f t="shared" si="19"/>
        <v>1016.96</v>
      </c>
      <c r="K1251" s="195">
        <f>SUMIF(FALTAS!A:A,A1251,FALTAS!D:D)</f>
        <v>0</v>
      </c>
    </row>
    <row r="1252" spans="1:11" x14ac:dyDescent="0.2">
      <c r="A1252" s="235">
        <v>116110</v>
      </c>
      <c r="B1252" s="236" t="s">
        <v>1188</v>
      </c>
      <c r="C1252" s="236" t="s">
        <v>1589</v>
      </c>
      <c r="D1252" s="236" t="s">
        <v>15</v>
      </c>
      <c r="E1252" s="237">
        <v>44236</v>
      </c>
      <c r="F1252" s="236" t="s">
        <v>1234</v>
      </c>
      <c r="G1252" s="237">
        <v>45023</v>
      </c>
      <c r="H1252" s="234">
        <f>SUMIF(VA!B:B,A1252,VA!I:I)</f>
        <v>359.46</v>
      </c>
      <c r="I1252" s="33">
        <f>SUMIF(VR!B:B,A1252,VR!I:I)</f>
        <v>657.5</v>
      </c>
      <c r="J1252" s="4">
        <f t="shared" si="19"/>
        <v>1016.96</v>
      </c>
      <c r="K1252" s="195">
        <f>SUMIF(FALTAS!A:A,A1252,FALTAS!D:D)</f>
        <v>0</v>
      </c>
    </row>
    <row r="1253" spans="1:11" x14ac:dyDescent="0.2">
      <c r="A1253" s="235">
        <v>114454</v>
      </c>
      <c r="B1253" s="236" t="s">
        <v>1041</v>
      </c>
      <c r="C1253" s="236" t="s">
        <v>0</v>
      </c>
      <c r="D1253" s="236" t="s">
        <v>5</v>
      </c>
      <c r="E1253" s="237">
        <v>43811</v>
      </c>
      <c r="F1253" s="236" t="s">
        <v>1234</v>
      </c>
      <c r="G1253" s="237">
        <v>44806</v>
      </c>
      <c r="H1253" s="234">
        <f>SUMIF(VA!B:B,A1253,VA!I:I)</f>
        <v>359.46</v>
      </c>
      <c r="I1253" s="33">
        <f>SUMIF(VR!B:B,A1253,VR!I:I)</f>
        <v>657.5</v>
      </c>
      <c r="J1253" s="4">
        <f t="shared" si="19"/>
        <v>1016.96</v>
      </c>
      <c r="K1253" s="195">
        <f>SUMIF(FALTAS!A:A,A1253,FALTAS!D:D)</f>
        <v>0</v>
      </c>
    </row>
    <row r="1254" spans="1:11" x14ac:dyDescent="0.2">
      <c r="A1254" s="235">
        <v>114937</v>
      </c>
      <c r="B1254" s="236" t="s">
        <v>1122</v>
      </c>
      <c r="C1254" s="236" t="s">
        <v>1589</v>
      </c>
      <c r="D1254" s="236" t="s">
        <v>5</v>
      </c>
      <c r="E1254" s="237">
        <v>43916</v>
      </c>
      <c r="F1254" s="236" t="s">
        <v>1234</v>
      </c>
      <c r="G1254" s="237">
        <v>45080</v>
      </c>
      <c r="H1254" s="234">
        <f>SUMIF(VA!B:B,A1254,VA!I:I)</f>
        <v>323.51</v>
      </c>
      <c r="I1254" s="33">
        <f>SUMIF(VR!B:B,A1254,VR!I:I)</f>
        <v>578.6</v>
      </c>
      <c r="J1254" s="4">
        <f t="shared" si="19"/>
        <v>902.11</v>
      </c>
      <c r="K1254" s="195">
        <f>SUMIF(FALTAS!A:A,A1254,FALTAS!D:D)</f>
        <v>3</v>
      </c>
    </row>
    <row r="1255" spans="1:11" x14ac:dyDescent="0.2">
      <c r="A1255" s="235">
        <v>112414</v>
      </c>
      <c r="B1255" s="236" t="s">
        <v>165</v>
      </c>
      <c r="C1255" s="236" t="s">
        <v>1589</v>
      </c>
      <c r="D1255" s="236" t="s">
        <v>15</v>
      </c>
      <c r="E1255" s="237">
        <v>43617</v>
      </c>
      <c r="F1255" s="236" t="s">
        <v>1234</v>
      </c>
      <c r="G1255" s="237">
        <v>44930</v>
      </c>
      <c r="H1255" s="234">
        <f>SUMIF(VA!B:B,A1255,VA!I:I)</f>
        <v>359.46</v>
      </c>
      <c r="I1255" s="33">
        <f>SUMIF(VR!B:B,A1255,VR!I:I)</f>
        <v>657.5</v>
      </c>
      <c r="J1255" s="4">
        <f t="shared" si="19"/>
        <v>1016.96</v>
      </c>
      <c r="K1255" s="195">
        <f>SUMIF(FALTAS!A:A,A1255,FALTAS!D:D)</f>
        <v>0</v>
      </c>
    </row>
    <row r="1256" spans="1:11" x14ac:dyDescent="0.2">
      <c r="A1256" s="235">
        <v>112403</v>
      </c>
      <c r="B1256" s="236" t="s">
        <v>159</v>
      </c>
      <c r="C1256" s="236" t="s">
        <v>0</v>
      </c>
      <c r="D1256" s="236" t="s">
        <v>2</v>
      </c>
      <c r="E1256" s="237">
        <v>43617</v>
      </c>
      <c r="F1256" s="236" t="s">
        <v>1234</v>
      </c>
      <c r="G1256" s="237">
        <v>44776</v>
      </c>
      <c r="H1256" s="234">
        <f>SUMIF(VA!B:B,A1256,VA!I:I)</f>
        <v>359.46</v>
      </c>
      <c r="I1256" s="33">
        <f>SUMIF(VR!B:B,A1256,VR!I:I)</f>
        <v>657.5</v>
      </c>
      <c r="J1256" s="4">
        <f t="shared" si="19"/>
        <v>1016.96</v>
      </c>
      <c r="K1256" s="195">
        <f>SUMIF(FALTAS!A:A,A1256,FALTAS!D:D)</f>
        <v>0</v>
      </c>
    </row>
    <row r="1257" spans="1:11" x14ac:dyDescent="0.2">
      <c r="A1257" s="235">
        <v>112398</v>
      </c>
      <c r="B1257" s="236" t="s">
        <v>154</v>
      </c>
      <c r="C1257" s="236" t="s">
        <v>10</v>
      </c>
      <c r="D1257" s="236" t="s">
        <v>2</v>
      </c>
      <c r="E1257" s="237">
        <v>43617</v>
      </c>
      <c r="F1257" s="236" t="s">
        <v>1234</v>
      </c>
      <c r="G1257" s="237">
        <v>44835</v>
      </c>
      <c r="H1257" s="234">
        <f>SUMIF(VA!B:B,A1257,VA!I:I)</f>
        <v>359.46</v>
      </c>
      <c r="I1257" s="33">
        <f>SUMIF(VR!B:B,A1257,VR!I:I)</f>
        <v>657.5</v>
      </c>
      <c r="J1257" s="4">
        <f t="shared" si="19"/>
        <v>1016.96</v>
      </c>
      <c r="K1257" s="195">
        <f>SUMIF(FALTAS!A:A,A1257,FALTAS!D:D)</f>
        <v>0</v>
      </c>
    </row>
    <row r="1258" spans="1:11" x14ac:dyDescent="0.2">
      <c r="A1258" s="235">
        <v>120188</v>
      </c>
      <c r="B1258" s="236" t="s">
        <v>1507</v>
      </c>
      <c r="C1258" s="236" t="s">
        <v>19</v>
      </c>
      <c r="D1258" s="236" t="s">
        <v>5</v>
      </c>
      <c r="E1258" s="237">
        <v>44791</v>
      </c>
      <c r="F1258" s="236" t="s">
        <v>1234</v>
      </c>
      <c r="G1258" s="237">
        <v>44791</v>
      </c>
      <c r="H1258" s="234">
        <f>SUMIF(VA!B:B,A1258,VA!I:I)</f>
        <v>359.46</v>
      </c>
      <c r="I1258" s="33">
        <f>SUMIF(VR!B:B,A1258,VR!I:I)</f>
        <v>657.5</v>
      </c>
      <c r="J1258" s="4">
        <f t="shared" si="19"/>
        <v>1016.96</v>
      </c>
      <c r="K1258" s="195">
        <f>SUMIF(FALTAS!A:A,A1258,FALTAS!D:D)</f>
        <v>0</v>
      </c>
    </row>
    <row r="1259" spans="1:11" x14ac:dyDescent="0.2">
      <c r="A1259" s="235">
        <v>112301</v>
      </c>
      <c r="B1259" s="236" t="s">
        <v>98</v>
      </c>
      <c r="C1259" s="236" t="s">
        <v>19</v>
      </c>
      <c r="D1259" s="236" t="s">
        <v>5</v>
      </c>
      <c r="E1259" s="237">
        <v>43617</v>
      </c>
      <c r="F1259" s="236" t="s">
        <v>1234</v>
      </c>
      <c r="G1259" s="237">
        <v>44867</v>
      </c>
      <c r="H1259" s="234">
        <f>SUMIF(VA!B:B,A1259,VA!I:I)</f>
        <v>359.46</v>
      </c>
      <c r="I1259" s="33">
        <f>SUMIF(VR!B:B,A1259,VR!I:I)</f>
        <v>657.5</v>
      </c>
      <c r="J1259" s="4">
        <f t="shared" si="19"/>
        <v>1016.96</v>
      </c>
      <c r="K1259" s="195">
        <f>SUMIF(FALTAS!A:A,A1259,FALTAS!D:D)</f>
        <v>0</v>
      </c>
    </row>
    <row r="1260" spans="1:11" x14ac:dyDescent="0.2">
      <c r="A1260" s="235">
        <v>112172</v>
      </c>
      <c r="B1260" s="236" t="s">
        <v>6</v>
      </c>
      <c r="C1260" s="236" t="s">
        <v>10</v>
      </c>
      <c r="D1260" s="236" t="s">
        <v>7</v>
      </c>
      <c r="E1260" s="237">
        <v>43617</v>
      </c>
      <c r="F1260" s="236" t="s">
        <v>1235</v>
      </c>
      <c r="G1260" s="237">
        <v>45147</v>
      </c>
      <c r="H1260" s="234">
        <f>SUMIF(VA!B:B,A1260,VA!I:I)</f>
        <v>359.46</v>
      </c>
      <c r="I1260" s="33">
        <f>SUMIF(VR!B:B,A1260,VR!I:I)</f>
        <v>657.5</v>
      </c>
      <c r="J1260" s="4">
        <f t="shared" si="19"/>
        <v>1016.96</v>
      </c>
      <c r="K1260" s="195">
        <f>SUMIF(FALTAS!A:A,A1260,FALTAS!D:D)</f>
        <v>0</v>
      </c>
    </row>
    <row r="1261" spans="1:11" x14ac:dyDescent="0.2">
      <c r="A1261" s="235">
        <v>112196</v>
      </c>
      <c r="B1261" s="236" t="s">
        <v>27</v>
      </c>
      <c r="C1261" s="236" t="s">
        <v>19</v>
      </c>
      <c r="D1261" s="236" t="s">
        <v>5</v>
      </c>
      <c r="E1261" s="237">
        <v>43617</v>
      </c>
      <c r="F1261" s="236" t="s">
        <v>1234</v>
      </c>
      <c r="G1261" s="237">
        <v>44867</v>
      </c>
      <c r="H1261" s="234">
        <f>SUMIF(VA!B:B,A1261,VA!I:I)</f>
        <v>359.46</v>
      </c>
      <c r="I1261" s="33">
        <f>SUMIF(VR!B:B,A1261,VR!I:I)</f>
        <v>657.5</v>
      </c>
      <c r="J1261" s="4">
        <f t="shared" si="19"/>
        <v>1016.96</v>
      </c>
      <c r="K1261" s="195">
        <f>SUMIF(FALTAS!A:A,A1261,FALTAS!D:D)</f>
        <v>0</v>
      </c>
    </row>
    <row r="1262" spans="1:11" x14ac:dyDescent="0.2">
      <c r="A1262" s="235">
        <v>112199</v>
      </c>
      <c r="B1262" s="236" t="s">
        <v>29</v>
      </c>
      <c r="C1262" s="236" t="s">
        <v>19</v>
      </c>
      <c r="D1262" s="236" t="s">
        <v>5</v>
      </c>
      <c r="E1262" s="237">
        <v>43617</v>
      </c>
      <c r="F1262" s="236" t="s">
        <v>1234</v>
      </c>
      <c r="G1262" s="237">
        <v>44898</v>
      </c>
      <c r="H1262" s="234">
        <f>SUMIF(VA!B:B,A1262,VA!I:I)</f>
        <v>359.46</v>
      </c>
      <c r="I1262" s="33">
        <f>SUMIF(VR!B:B,A1262,VR!I:I)</f>
        <v>657.5</v>
      </c>
      <c r="J1262" s="4">
        <f t="shared" si="19"/>
        <v>1016.96</v>
      </c>
      <c r="K1262" s="195">
        <f>SUMIF(FALTAS!A:A,A1262,FALTAS!D:D)</f>
        <v>0</v>
      </c>
    </row>
    <row r="1263" spans="1:11" x14ac:dyDescent="0.2">
      <c r="A1263" s="235">
        <v>114256</v>
      </c>
      <c r="B1263" s="236" t="s">
        <v>1024</v>
      </c>
      <c r="C1263" s="236" t="s">
        <v>1589</v>
      </c>
      <c r="D1263" s="236" t="s">
        <v>378</v>
      </c>
      <c r="E1263" s="237">
        <v>43804</v>
      </c>
      <c r="F1263" s="236" t="s">
        <v>1235</v>
      </c>
      <c r="G1263" s="237">
        <v>45147</v>
      </c>
      <c r="H1263" s="234">
        <f>SUMIF(VA!B:B,A1263,VA!I:I)</f>
        <v>359.46</v>
      </c>
      <c r="I1263" s="33">
        <f>SUMIF(VR!B:B,A1263,VR!I:I)</f>
        <v>657.5</v>
      </c>
      <c r="J1263" s="4">
        <f t="shared" si="19"/>
        <v>1016.96</v>
      </c>
      <c r="K1263" s="195">
        <f>SUMIF(FALTAS!A:A,A1263,FALTAS!D:D)</f>
        <v>0</v>
      </c>
    </row>
    <row r="1264" spans="1:11" x14ac:dyDescent="0.2">
      <c r="A1264" s="235">
        <v>112202</v>
      </c>
      <c r="B1264" s="236" t="s">
        <v>31</v>
      </c>
      <c r="C1264" s="236" t="s">
        <v>19</v>
      </c>
      <c r="D1264" s="236" t="s">
        <v>5</v>
      </c>
      <c r="E1264" s="237">
        <v>43617</v>
      </c>
      <c r="F1264" s="236" t="s">
        <v>1234</v>
      </c>
      <c r="G1264" s="237">
        <v>44867</v>
      </c>
      <c r="H1264" s="234">
        <f>SUMIF(VA!B:B,A1264,VA!I:I)</f>
        <v>359.46</v>
      </c>
      <c r="I1264" s="33">
        <f>SUMIF(VR!B:B,A1264,VR!I:I)</f>
        <v>657.5</v>
      </c>
      <c r="J1264" s="4">
        <f t="shared" si="19"/>
        <v>1016.96</v>
      </c>
      <c r="K1264" s="195">
        <f>SUMIF(FALTAS!A:A,A1264,FALTAS!D:D)</f>
        <v>0</v>
      </c>
    </row>
    <row r="1265" spans="1:11" x14ac:dyDescent="0.2">
      <c r="A1265" s="235">
        <v>114958</v>
      </c>
      <c r="B1265" s="236" t="s">
        <v>1132</v>
      </c>
      <c r="C1265" s="236" t="s">
        <v>1589</v>
      </c>
      <c r="D1265" s="236" t="s">
        <v>282</v>
      </c>
      <c r="E1265" s="237">
        <v>43916</v>
      </c>
      <c r="F1265" s="236" t="s">
        <v>1234</v>
      </c>
      <c r="G1265" s="237">
        <v>45056</v>
      </c>
      <c r="H1265" s="234">
        <f>SUMIF(VA!B:B,A1265,VA!I:I)</f>
        <v>359.46</v>
      </c>
      <c r="I1265" s="33">
        <f>SUMIF(VR!B:B,A1265,VR!I:I)</f>
        <v>657.5</v>
      </c>
      <c r="J1265" s="4">
        <f t="shared" si="19"/>
        <v>1016.96</v>
      </c>
      <c r="K1265" s="195">
        <f>SUMIF(FALTAS!A:A,A1265,FALTAS!D:D)</f>
        <v>0</v>
      </c>
    </row>
    <row r="1266" spans="1:11" x14ac:dyDescent="0.2">
      <c r="A1266" s="235">
        <v>112639</v>
      </c>
      <c r="B1266" s="236" t="s">
        <v>210</v>
      </c>
      <c r="C1266" s="236" t="s">
        <v>0</v>
      </c>
      <c r="D1266" s="236" t="s">
        <v>2</v>
      </c>
      <c r="E1266" s="237">
        <v>43617</v>
      </c>
      <c r="F1266" s="236" t="s">
        <v>1234</v>
      </c>
      <c r="G1266" s="237">
        <v>45023</v>
      </c>
      <c r="H1266" s="234">
        <f>SUMIF(VA!B:B,A1266,VA!I:I)</f>
        <v>359.46</v>
      </c>
      <c r="I1266" s="33">
        <f>SUMIF(VR!B:B,A1266,VR!I:I)</f>
        <v>657.5</v>
      </c>
      <c r="J1266" s="4">
        <f t="shared" si="19"/>
        <v>1016.96</v>
      </c>
      <c r="K1266" s="195">
        <f>SUMIF(FALTAS!A:A,A1266,FALTAS!D:D)</f>
        <v>0</v>
      </c>
    </row>
    <row r="1267" spans="1:11" x14ac:dyDescent="0.2">
      <c r="A1267" s="235">
        <v>112257</v>
      </c>
      <c r="B1267" s="236" t="s">
        <v>68</v>
      </c>
      <c r="C1267" s="236" t="s">
        <v>19</v>
      </c>
      <c r="D1267" s="236" t="s">
        <v>2</v>
      </c>
      <c r="E1267" s="237">
        <v>43617</v>
      </c>
      <c r="F1267" s="236" t="s">
        <v>1234</v>
      </c>
      <c r="G1267" s="237">
        <v>44806</v>
      </c>
      <c r="H1267" s="234">
        <f>SUMIF(VA!B:B,A1267,VA!I:I)</f>
        <v>359.46</v>
      </c>
      <c r="I1267" s="33">
        <f>SUMIF(VR!B:B,A1267,VR!I:I)</f>
        <v>657.5</v>
      </c>
      <c r="J1267" s="4">
        <f t="shared" si="19"/>
        <v>1016.96</v>
      </c>
      <c r="K1267" s="195">
        <f>SUMIF(FALTAS!A:A,A1267,FALTAS!D:D)</f>
        <v>0</v>
      </c>
    </row>
    <row r="1268" spans="1:11" x14ac:dyDescent="0.2">
      <c r="A1268" s="235">
        <v>112261</v>
      </c>
      <c r="B1268" s="236" t="s">
        <v>71</v>
      </c>
      <c r="C1268" s="236" t="s">
        <v>10</v>
      </c>
      <c r="D1268" s="236" t="s">
        <v>2</v>
      </c>
      <c r="E1268" s="237">
        <v>43617</v>
      </c>
      <c r="F1268" s="236" t="s">
        <v>1234</v>
      </c>
      <c r="G1268" s="237">
        <v>45023</v>
      </c>
      <c r="H1268" s="234">
        <f>SUMIF(VA!B:B,A1268,VA!I:I)</f>
        <v>359.46</v>
      </c>
      <c r="I1268" s="33">
        <f>SUMIF(VR!B:B,A1268,VR!I:I)</f>
        <v>657.5</v>
      </c>
      <c r="J1268" s="4">
        <f t="shared" si="19"/>
        <v>1016.96</v>
      </c>
      <c r="K1268" s="195">
        <f>SUMIF(FALTAS!A:A,A1268,FALTAS!D:D)</f>
        <v>0</v>
      </c>
    </row>
    <row r="1269" spans="1:11" x14ac:dyDescent="0.2">
      <c r="A1269" s="235">
        <v>112263</v>
      </c>
      <c r="B1269" s="236" t="s">
        <v>73</v>
      </c>
      <c r="C1269" s="236" t="s">
        <v>10</v>
      </c>
      <c r="D1269" s="236" t="s">
        <v>2</v>
      </c>
      <c r="E1269" s="237">
        <v>43617</v>
      </c>
      <c r="F1269" s="236" t="s">
        <v>1234</v>
      </c>
      <c r="G1269" s="237">
        <v>44776</v>
      </c>
      <c r="H1269" s="234">
        <f>SUMIF(VA!B:B,A1269,VA!I:I)</f>
        <v>359.46</v>
      </c>
      <c r="I1269" s="33">
        <f>SUMIF(VR!B:B,A1269,VR!I:I)</f>
        <v>657.5</v>
      </c>
      <c r="J1269" s="4">
        <f t="shared" si="19"/>
        <v>1016.96</v>
      </c>
      <c r="K1269" s="195">
        <f>SUMIF(FALTAS!A:A,A1269,FALTAS!D:D)</f>
        <v>0</v>
      </c>
    </row>
    <row r="1270" spans="1:11" x14ac:dyDescent="0.2">
      <c r="A1270" s="235">
        <v>112381</v>
      </c>
      <c r="B1270" s="236" t="s">
        <v>144</v>
      </c>
      <c r="C1270" s="236" t="s">
        <v>1589</v>
      </c>
      <c r="D1270" s="236" t="s">
        <v>22</v>
      </c>
      <c r="E1270" s="237">
        <v>43617</v>
      </c>
      <c r="F1270" s="236" t="s">
        <v>1234</v>
      </c>
      <c r="G1270" s="237">
        <v>45149</v>
      </c>
      <c r="H1270" s="234">
        <f>SUMIF(VA!B:B,A1270,VA!I:I)</f>
        <v>359.46</v>
      </c>
      <c r="I1270" s="33">
        <f>SUMIF(VR!B:B,A1270,VR!I:I)</f>
        <v>657.5</v>
      </c>
      <c r="J1270" s="4">
        <f t="shared" si="19"/>
        <v>1016.96</v>
      </c>
      <c r="K1270" s="195">
        <f>SUMIF(FALTAS!A:A,A1270,FALTAS!D:D)</f>
        <v>0</v>
      </c>
    </row>
    <row r="1271" spans="1:11" x14ac:dyDescent="0.2">
      <c r="A1271" s="235">
        <v>112383</v>
      </c>
      <c r="B1271" s="236" t="s">
        <v>147</v>
      </c>
      <c r="C1271" s="236" t="s">
        <v>8</v>
      </c>
      <c r="D1271" s="236" t="s">
        <v>2</v>
      </c>
      <c r="E1271" s="237">
        <v>43617</v>
      </c>
      <c r="F1271" s="236" t="s">
        <v>1234</v>
      </c>
      <c r="G1271" s="237">
        <v>44806</v>
      </c>
      <c r="H1271" s="234">
        <f>SUMIF(VA!B:B,A1271,VA!I:I)</f>
        <v>359.46</v>
      </c>
      <c r="I1271" s="33">
        <f>SUMIF(VR!B:B,A1271,VR!I:I)</f>
        <v>657.5</v>
      </c>
      <c r="J1271" s="4">
        <f t="shared" si="19"/>
        <v>1016.96</v>
      </c>
      <c r="K1271" s="195">
        <f>SUMIF(FALTAS!A:A,A1271,FALTAS!D:D)</f>
        <v>0</v>
      </c>
    </row>
    <row r="1272" spans="1:11" x14ac:dyDescent="0.2">
      <c r="A1272" s="235">
        <v>117408</v>
      </c>
      <c r="B1272" s="236" t="s">
        <v>1276</v>
      </c>
      <c r="C1272" s="236" t="s">
        <v>8</v>
      </c>
      <c r="D1272" s="236" t="s">
        <v>2</v>
      </c>
      <c r="E1272" s="237">
        <v>44522</v>
      </c>
      <c r="F1272" s="236" t="s">
        <v>1234</v>
      </c>
      <c r="G1272" s="237">
        <v>45086</v>
      </c>
      <c r="H1272" s="234">
        <f>SUMIF(VA!B:B,A1272,VA!I:I)</f>
        <v>359.46</v>
      </c>
      <c r="I1272" s="33">
        <f>SUMIF(VR!B:B,A1272,VR!I:I)</f>
        <v>657.5</v>
      </c>
      <c r="J1272" s="4">
        <f t="shared" si="19"/>
        <v>1016.96</v>
      </c>
      <c r="K1272" s="195">
        <f>SUMIF(FALTAS!A:A,A1272,FALTAS!D:D)</f>
        <v>0</v>
      </c>
    </row>
    <row r="1273" spans="1:11" x14ac:dyDescent="0.2">
      <c r="A1273" s="235">
        <v>119929</v>
      </c>
      <c r="B1273" s="236" t="s">
        <v>1493</v>
      </c>
      <c r="C1273" s="236" t="s">
        <v>0</v>
      </c>
      <c r="D1273" s="236" t="s">
        <v>5</v>
      </c>
      <c r="E1273" s="237">
        <v>44760</v>
      </c>
      <c r="F1273" s="236" t="s">
        <v>1234</v>
      </c>
      <c r="G1273" s="237">
        <v>44760</v>
      </c>
      <c r="H1273" s="234">
        <f>SUMIF(VA!B:B,A1273,VA!I:I)</f>
        <v>347.47</v>
      </c>
      <c r="I1273" s="33">
        <f>SUMIF(VR!B:B,A1273,VR!I:I)</f>
        <v>631.20000000000005</v>
      </c>
      <c r="J1273" s="4">
        <f t="shared" si="19"/>
        <v>978.67000000000007</v>
      </c>
      <c r="K1273" s="195">
        <f>SUMIF(FALTAS!A:A,A1273,FALTAS!D:D)</f>
        <v>1</v>
      </c>
    </row>
    <row r="1274" spans="1:11" x14ac:dyDescent="0.2">
      <c r="A1274" s="235">
        <v>114125</v>
      </c>
      <c r="B1274" s="236" t="s">
        <v>1016</v>
      </c>
      <c r="C1274" s="236" t="s">
        <v>0</v>
      </c>
      <c r="D1274" s="236" t="s">
        <v>2</v>
      </c>
      <c r="E1274" s="237">
        <v>43739</v>
      </c>
      <c r="F1274" s="236" t="s">
        <v>1234</v>
      </c>
      <c r="G1274" s="237">
        <v>45086</v>
      </c>
      <c r="H1274" s="234">
        <f>SUMIF(VA!B:B,A1274,VA!I:I)</f>
        <v>359.46</v>
      </c>
      <c r="I1274" s="33">
        <f>SUMIF(VR!B:B,A1274,VR!I:I)</f>
        <v>657.5</v>
      </c>
      <c r="J1274" s="4">
        <f t="shared" si="19"/>
        <v>1016.96</v>
      </c>
      <c r="K1274" s="195">
        <f>SUMIF(FALTAS!A:A,A1274,FALTAS!D:D)</f>
        <v>0</v>
      </c>
    </row>
    <row r="1275" spans="1:11" x14ac:dyDescent="0.2">
      <c r="A1275" s="235">
        <v>112666</v>
      </c>
      <c r="B1275" s="236" t="s">
        <v>328</v>
      </c>
      <c r="C1275" s="236" t="s">
        <v>1589</v>
      </c>
      <c r="D1275" s="236" t="s">
        <v>282</v>
      </c>
      <c r="E1275" s="237">
        <v>43617</v>
      </c>
      <c r="F1275" s="236" t="s">
        <v>1234</v>
      </c>
      <c r="G1275" s="237">
        <v>44835</v>
      </c>
      <c r="H1275" s="234">
        <f>SUMIF(VA!B:B,A1275,VA!I:I)</f>
        <v>359.46</v>
      </c>
      <c r="I1275" s="33">
        <f>SUMIF(VR!B:B,A1275,VR!I:I)</f>
        <v>657.5</v>
      </c>
      <c r="J1275" s="4">
        <f t="shared" si="19"/>
        <v>1016.96</v>
      </c>
      <c r="K1275" s="195">
        <f>SUMIF(FALTAS!A:A,A1275,FALTAS!D:D)</f>
        <v>0</v>
      </c>
    </row>
    <row r="1276" spans="1:11" x14ac:dyDescent="0.2">
      <c r="A1276" s="235">
        <v>112990</v>
      </c>
      <c r="B1276" s="236" t="s">
        <v>535</v>
      </c>
      <c r="C1276" s="236" t="s">
        <v>1589</v>
      </c>
      <c r="D1276" s="236" t="s">
        <v>15</v>
      </c>
      <c r="E1276" s="237">
        <v>43617</v>
      </c>
      <c r="F1276" s="236" t="s">
        <v>1235</v>
      </c>
      <c r="G1276" s="237">
        <v>45140</v>
      </c>
      <c r="H1276" s="234">
        <f>SUMIF(VA!B:B,A1276,VA!I:I)</f>
        <v>359.46</v>
      </c>
      <c r="I1276" s="33">
        <f>SUMIF(VR!B:B,A1276,VR!I:I)</f>
        <v>657.5</v>
      </c>
      <c r="J1276" s="4">
        <f t="shared" si="19"/>
        <v>1016.96</v>
      </c>
      <c r="K1276" s="195">
        <f>SUMIF(FALTAS!A:A,A1276,FALTAS!D:D)</f>
        <v>0</v>
      </c>
    </row>
    <row r="1277" spans="1:11" x14ac:dyDescent="0.2">
      <c r="A1277" s="235">
        <v>114955</v>
      </c>
      <c r="B1277" s="236" t="s">
        <v>1131</v>
      </c>
      <c r="C1277" s="236" t="s">
        <v>1589</v>
      </c>
      <c r="D1277" s="236" t="s">
        <v>282</v>
      </c>
      <c r="E1277" s="237">
        <v>43916</v>
      </c>
      <c r="F1277" s="236" t="s">
        <v>1234</v>
      </c>
      <c r="G1277" s="237">
        <v>45056</v>
      </c>
      <c r="H1277" s="234">
        <f>SUMIF(VA!B:B,A1277,VA!I:I)</f>
        <v>359.46</v>
      </c>
      <c r="I1277" s="33">
        <f>SUMIF(VR!B:B,A1277,VR!I:I)</f>
        <v>657.5</v>
      </c>
      <c r="J1277" s="4">
        <f t="shared" si="19"/>
        <v>1016.96</v>
      </c>
      <c r="K1277" s="195">
        <f>SUMIF(FALTAS!A:A,A1277,FALTAS!D:D)</f>
        <v>0</v>
      </c>
    </row>
    <row r="1278" spans="1:11" x14ac:dyDescent="0.2">
      <c r="A1278" s="235">
        <v>114746</v>
      </c>
      <c r="B1278" s="236" t="s">
        <v>1092</v>
      </c>
      <c r="C1278" s="236" t="s">
        <v>8</v>
      </c>
      <c r="D1278" s="236" t="s">
        <v>2</v>
      </c>
      <c r="E1278" s="237">
        <v>43874</v>
      </c>
      <c r="F1278" s="236" t="s">
        <v>1234</v>
      </c>
      <c r="G1278" s="237">
        <v>45086</v>
      </c>
      <c r="H1278" s="234">
        <f>SUMIF(VA!B:B,A1278,VA!I:I)</f>
        <v>359.46</v>
      </c>
      <c r="I1278" s="33">
        <f>SUMIF(VR!B:B,A1278,VR!I:I)</f>
        <v>657.5</v>
      </c>
      <c r="J1278" s="4">
        <f t="shared" si="19"/>
        <v>1016.96</v>
      </c>
      <c r="K1278" s="195">
        <f>SUMIF(FALTAS!A:A,A1278,FALTAS!D:D)</f>
        <v>0</v>
      </c>
    </row>
    <row r="1279" spans="1:11" x14ac:dyDescent="0.2">
      <c r="A1279" s="235">
        <v>112674</v>
      </c>
      <c r="B1279" s="236" t="s">
        <v>332</v>
      </c>
      <c r="C1279" s="236" t="s">
        <v>0</v>
      </c>
      <c r="D1279" s="236" t="s">
        <v>2</v>
      </c>
      <c r="E1279" s="237">
        <v>43617</v>
      </c>
      <c r="F1279" s="236" t="s">
        <v>1234</v>
      </c>
      <c r="G1279" s="237">
        <v>44806</v>
      </c>
      <c r="H1279" s="234">
        <f>SUMIF(VA!B:B,A1279,VA!I:I)</f>
        <v>359.46</v>
      </c>
      <c r="I1279" s="33">
        <f>SUMIF(VR!B:B,A1279,VR!I:I)</f>
        <v>657.5</v>
      </c>
      <c r="J1279" s="4">
        <f t="shared" si="19"/>
        <v>1016.96</v>
      </c>
      <c r="K1279" s="195">
        <f>SUMIF(FALTAS!A:A,A1279,FALTAS!D:D)</f>
        <v>0</v>
      </c>
    </row>
    <row r="1280" spans="1:11" x14ac:dyDescent="0.2">
      <c r="A1280" s="235">
        <v>121327</v>
      </c>
      <c r="B1280" s="236" t="s">
        <v>1546</v>
      </c>
      <c r="C1280" s="236" t="s">
        <v>19</v>
      </c>
      <c r="D1280" s="236" t="s">
        <v>5</v>
      </c>
      <c r="E1280" s="237">
        <v>44945</v>
      </c>
      <c r="F1280" s="236" t="s">
        <v>1234</v>
      </c>
      <c r="G1280" s="237">
        <v>44945</v>
      </c>
      <c r="H1280" s="234">
        <f>SUMIF(VA!B:B,A1280,VA!I:I)</f>
        <v>359.46</v>
      </c>
      <c r="I1280" s="33">
        <f>SUMIF(VR!B:B,A1280,VR!I:I)</f>
        <v>657.5</v>
      </c>
      <c r="J1280" s="4">
        <f t="shared" si="19"/>
        <v>1016.96</v>
      </c>
      <c r="K1280" s="195">
        <f>SUMIF(FALTAS!A:A,A1280,FALTAS!D:D)</f>
        <v>0</v>
      </c>
    </row>
    <row r="1281" spans="1:11" x14ac:dyDescent="0.2">
      <c r="A1281" s="235">
        <v>112274</v>
      </c>
      <c r="B1281" s="236" t="s">
        <v>80</v>
      </c>
      <c r="C1281" s="236" t="s">
        <v>1589</v>
      </c>
      <c r="D1281" s="236" t="s">
        <v>22</v>
      </c>
      <c r="E1281" s="237">
        <v>43617</v>
      </c>
      <c r="F1281" s="236" t="s">
        <v>1235</v>
      </c>
      <c r="G1281" s="237">
        <v>45147</v>
      </c>
      <c r="H1281" s="234">
        <f>SUMIF(VA!B:B,A1281,VA!I:I)</f>
        <v>359.46</v>
      </c>
      <c r="I1281" s="33">
        <f>SUMIF(VR!B:B,A1281,VR!I:I)</f>
        <v>657.5</v>
      </c>
      <c r="J1281" s="4">
        <f t="shared" si="19"/>
        <v>1016.96</v>
      </c>
      <c r="K1281" s="195">
        <f>SUMIF(FALTAS!A:A,A1281,FALTAS!D:D)</f>
        <v>0</v>
      </c>
    </row>
    <row r="1282" spans="1:11" x14ac:dyDescent="0.2">
      <c r="A1282" s="235">
        <v>116009</v>
      </c>
      <c r="B1282" s="236" t="s">
        <v>81</v>
      </c>
      <c r="C1282" s="236" t="s">
        <v>8</v>
      </c>
      <c r="D1282" s="236" t="s">
        <v>2</v>
      </c>
      <c r="E1282" s="237">
        <v>44207</v>
      </c>
      <c r="F1282" s="236" t="s">
        <v>1234</v>
      </c>
      <c r="G1282" s="237">
        <v>45086</v>
      </c>
      <c r="H1282" s="234">
        <f>SUMIF(VA!B:B,A1282,VA!I:I)</f>
        <v>359.46</v>
      </c>
      <c r="I1282" s="33">
        <f>SUMIF(VR!B:B,A1282,VR!I:I)</f>
        <v>657.5</v>
      </c>
      <c r="J1282" s="4">
        <f t="shared" ref="J1282:J1345" si="20">H1282+I1282</f>
        <v>1016.96</v>
      </c>
      <c r="K1282" s="195">
        <f>SUMIF(FALTAS!A:A,A1282,FALTAS!D:D)</f>
        <v>0</v>
      </c>
    </row>
    <row r="1283" spans="1:11" x14ac:dyDescent="0.2">
      <c r="A1283" s="235">
        <v>112278</v>
      </c>
      <c r="B1283" s="236" t="s">
        <v>83</v>
      </c>
      <c r="C1283" s="236" t="s">
        <v>10</v>
      </c>
      <c r="D1283" s="236" t="s">
        <v>2</v>
      </c>
      <c r="E1283" s="237">
        <v>43617</v>
      </c>
      <c r="F1283" s="236" t="s">
        <v>1234</v>
      </c>
      <c r="G1283" s="237">
        <v>44776</v>
      </c>
      <c r="H1283" s="234">
        <f>SUMIF(VA!B:B,A1283,VA!I:I)</f>
        <v>359.46</v>
      </c>
      <c r="I1283" s="33">
        <f>SUMIF(VR!B:B,A1283,VR!I:I)</f>
        <v>657.5</v>
      </c>
      <c r="J1283" s="4">
        <f t="shared" si="20"/>
        <v>1016.96</v>
      </c>
      <c r="K1283" s="195">
        <f>SUMIF(FALTAS!A:A,A1283,FALTAS!D:D)</f>
        <v>0</v>
      </c>
    </row>
    <row r="1284" spans="1:11" x14ac:dyDescent="0.2">
      <c r="A1284" s="235">
        <v>112992</v>
      </c>
      <c r="B1284" s="236" t="s">
        <v>537</v>
      </c>
      <c r="C1284" s="236" t="s">
        <v>1589</v>
      </c>
      <c r="D1284" s="236" t="s">
        <v>15</v>
      </c>
      <c r="E1284" s="237">
        <v>43617</v>
      </c>
      <c r="F1284" s="236" t="s">
        <v>1234</v>
      </c>
      <c r="G1284" s="237">
        <v>44993</v>
      </c>
      <c r="H1284" s="234">
        <f>SUMIF(VA!B:B,A1284,VA!I:I)</f>
        <v>359.46</v>
      </c>
      <c r="I1284" s="33">
        <f>SUMIF(VR!B:B,A1284,VR!I:I)</f>
        <v>657.5</v>
      </c>
      <c r="J1284" s="4">
        <f t="shared" si="20"/>
        <v>1016.96</v>
      </c>
      <c r="K1284" s="195">
        <f>SUMIF(FALTAS!A:A,A1284,FALTAS!D:D)</f>
        <v>0</v>
      </c>
    </row>
    <row r="1285" spans="1:11" x14ac:dyDescent="0.2">
      <c r="A1285" s="235">
        <v>112686</v>
      </c>
      <c r="B1285" s="236" t="s">
        <v>342</v>
      </c>
      <c r="C1285" s="236" t="s">
        <v>1589</v>
      </c>
      <c r="D1285" s="236" t="s">
        <v>22</v>
      </c>
      <c r="E1285" s="237">
        <v>43617</v>
      </c>
      <c r="F1285" s="236" t="s">
        <v>1234</v>
      </c>
      <c r="G1285" s="237">
        <v>44993</v>
      </c>
      <c r="H1285" s="234">
        <f>SUMIF(VA!B:B,A1285,VA!I:I)</f>
        <v>359.46</v>
      </c>
      <c r="I1285" s="33">
        <f>SUMIF(VR!B:B,A1285,VR!I:I)</f>
        <v>657.5</v>
      </c>
      <c r="J1285" s="4">
        <f t="shared" si="20"/>
        <v>1016.96</v>
      </c>
      <c r="K1285" s="195">
        <f>SUMIF(FALTAS!A:A,A1285,FALTAS!D:D)</f>
        <v>0</v>
      </c>
    </row>
    <row r="1286" spans="1:11" x14ac:dyDescent="0.2">
      <c r="A1286" s="235">
        <v>114938</v>
      </c>
      <c r="B1286" s="236" t="s">
        <v>1123</v>
      </c>
      <c r="C1286" s="236" t="s">
        <v>8</v>
      </c>
      <c r="D1286" s="236" t="s">
        <v>5</v>
      </c>
      <c r="E1286" s="237">
        <v>43916</v>
      </c>
      <c r="F1286" s="236" t="s">
        <v>1234</v>
      </c>
      <c r="G1286" s="237">
        <v>44776</v>
      </c>
      <c r="H1286" s="234">
        <f>SUMIF(VA!B:B,A1286,VA!I:I)</f>
        <v>359.46</v>
      </c>
      <c r="I1286" s="33">
        <f>SUMIF(VR!B:B,A1286,VR!I:I)</f>
        <v>657.5</v>
      </c>
      <c r="J1286" s="4">
        <f t="shared" si="20"/>
        <v>1016.96</v>
      </c>
      <c r="K1286" s="195">
        <f>SUMIF(FALTAS!A:A,A1286,FALTAS!D:D)</f>
        <v>0</v>
      </c>
    </row>
    <row r="1287" spans="1:11" x14ac:dyDescent="0.2">
      <c r="A1287" s="235">
        <v>112428</v>
      </c>
      <c r="B1287" s="236" t="s">
        <v>172</v>
      </c>
      <c r="C1287" s="236" t="s">
        <v>8</v>
      </c>
      <c r="D1287" s="236" t="s">
        <v>2</v>
      </c>
      <c r="E1287" s="237">
        <v>43617</v>
      </c>
      <c r="F1287" s="236" t="s">
        <v>1234</v>
      </c>
      <c r="G1287" s="237">
        <v>45149</v>
      </c>
      <c r="H1287" s="234">
        <f>SUMIF(VA!B:B,A1287,VA!I:I)</f>
        <v>359.46</v>
      </c>
      <c r="I1287" s="33">
        <f>SUMIF(VR!B:B,A1287,VR!I:I)</f>
        <v>657.5</v>
      </c>
      <c r="J1287" s="4">
        <f t="shared" si="20"/>
        <v>1016.96</v>
      </c>
      <c r="K1287" s="195">
        <f>SUMIF(FALTAS!A:A,A1287,FALTAS!D:D)</f>
        <v>0</v>
      </c>
    </row>
    <row r="1288" spans="1:11" x14ac:dyDescent="0.2">
      <c r="A1288" s="235">
        <v>112432</v>
      </c>
      <c r="B1288" s="236" t="s">
        <v>175</v>
      </c>
      <c r="C1288" s="236" t="s">
        <v>8</v>
      </c>
      <c r="D1288" s="236" t="s">
        <v>5</v>
      </c>
      <c r="E1288" s="237">
        <v>43617</v>
      </c>
      <c r="F1288" s="236" t="s">
        <v>1234</v>
      </c>
      <c r="G1288" s="237">
        <v>45023</v>
      </c>
      <c r="H1288" s="234">
        <f>SUMIF(VA!B:B,A1288,VA!I:I)</f>
        <v>359.46</v>
      </c>
      <c r="I1288" s="33">
        <f>SUMIF(VR!B:B,A1288,VR!I:I)</f>
        <v>657.5</v>
      </c>
      <c r="J1288" s="4">
        <f t="shared" si="20"/>
        <v>1016.96</v>
      </c>
      <c r="K1288" s="195">
        <f>SUMIF(FALTAS!A:A,A1288,FALTAS!D:D)</f>
        <v>0</v>
      </c>
    </row>
    <row r="1289" spans="1:11" x14ac:dyDescent="0.2">
      <c r="A1289" s="235">
        <v>112282</v>
      </c>
      <c r="B1289" s="236" t="s">
        <v>88</v>
      </c>
      <c r="C1289" s="236" t="s">
        <v>10</v>
      </c>
      <c r="D1289" s="236" t="s">
        <v>2</v>
      </c>
      <c r="E1289" s="237">
        <v>43617</v>
      </c>
      <c r="F1289" s="236" t="s">
        <v>1234</v>
      </c>
      <c r="G1289" s="237">
        <v>44806</v>
      </c>
      <c r="H1289" s="234">
        <f>SUMIF(VA!B:B,A1289,VA!I:I)</f>
        <v>359.46</v>
      </c>
      <c r="I1289" s="33">
        <f>SUMIF(VR!B:B,A1289,VR!I:I)</f>
        <v>657.5</v>
      </c>
      <c r="J1289" s="4">
        <f t="shared" si="20"/>
        <v>1016.96</v>
      </c>
      <c r="K1289" s="195">
        <f>SUMIF(FALTAS!A:A,A1289,FALTAS!D:D)</f>
        <v>0</v>
      </c>
    </row>
    <row r="1290" spans="1:11" x14ac:dyDescent="0.2">
      <c r="A1290" s="235">
        <v>116237</v>
      </c>
      <c r="B1290" s="236" t="s">
        <v>1202</v>
      </c>
      <c r="C1290" s="236" t="s">
        <v>8</v>
      </c>
      <c r="D1290" s="236" t="s">
        <v>2</v>
      </c>
      <c r="E1290" s="237">
        <v>44273</v>
      </c>
      <c r="F1290" s="236" t="s">
        <v>1234</v>
      </c>
      <c r="G1290" s="237">
        <v>44744</v>
      </c>
      <c r="H1290" s="234">
        <f>SUMIF(VA!B:B,A1290,VA!I:I)</f>
        <v>359.46</v>
      </c>
      <c r="I1290" s="33">
        <f>SUMIF(VR!B:B,A1290,VR!I:I)</f>
        <v>657.5</v>
      </c>
      <c r="J1290" s="4">
        <f t="shared" si="20"/>
        <v>1016.96</v>
      </c>
      <c r="K1290" s="195">
        <f>SUMIF(FALTAS!A:A,A1290,FALTAS!D:D)</f>
        <v>0</v>
      </c>
    </row>
    <row r="1291" spans="1:11" x14ac:dyDescent="0.2">
      <c r="A1291" s="235">
        <v>121946</v>
      </c>
      <c r="B1291" s="236" t="s">
        <v>1626</v>
      </c>
      <c r="C1291" s="236" t="s">
        <v>1591</v>
      </c>
      <c r="D1291" s="236" t="s">
        <v>1464</v>
      </c>
      <c r="E1291" s="237">
        <v>45040</v>
      </c>
      <c r="F1291" s="236" t="s">
        <v>1234</v>
      </c>
      <c r="G1291" s="237">
        <v>45040</v>
      </c>
      <c r="H1291" s="234">
        <f>SUMIF(VA!B:B,A1291,VA!I:I)</f>
        <v>0</v>
      </c>
      <c r="I1291" s="33">
        <f>SUMIF(VR!B:B,A1291,VR!I:I)</f>
        <v>657.5</v>
      </c>
      <c r="J1291" s="4">
        <f t="shared" si="20"/>
        <v>657.5</v>
      </c>
      <c r="K1291" s="195">
        <f>SUMIF(FALTAS!A:A,A1291,FALTAS!D:D)</f>
        <v>0</v>
      </c>
    </row>
    <row r="1292" spans="1:11" x14ac:dyDescent="0.2">
      <c r="A1292" s="235">
        <v>119241</v>
      </c>
      <c r="B1292" s="236" t="s">
        <v>1458</v>
      </c>
      <c r="C1292" s="236" t="s">
        <v>1591</v>
      </c>
      <c r="D1292" s="236" t="s">
        <v>1457</v>
      </c>
      <c r="E1292" s="237">
        <v>44658</v>
      </c>
      <c r="F1292" s="236" t="s">
        <v>1234</v>
      </c>
      <c r="G1292" s="237">
        <v>44658</v>
      </c>
      <c r="H1292" s="234">
        <f>SUMIF(VA!B:B,A1292,VA!I:I)</f>
        <v>359.46</v>
      </c>
      <c r="I1292" s="33">
        <f>SUMIF(VR!B:B,A1292,VR!I:I)</f>
        <v>657.5</v>
      </c>
      <c r="J1292" s="4">
        <f t="shared" si="20"/>
        <v>1016.96</v>
      </c>
      <c r="K1292" s="195">
        <f>SUMIF(FALTAS!A:A,A1292,FALTAS!D:D)</f>
        <v>0</v>
      </c>
    </row>
    <row r="1293" spans="1:11" x14ac:dyDescent="0.2">
      <c r="A1293" s="235">
        <v>122030</v>
      </c>
      <c r="B1293" s="236" t="s">
        <v>1585</v>
      </c>
      <c r="C1293" s="236" t="s">
        <v>1589</v>
      </c>
      <c r="D1293" s="236" t="s">
        <v>967</v>
      </c>
      <c r="E1293" s="237">
        <v>45054</v>
      </c>
      <c r="F1293" s="236" t="s">
        <v>1234</v>
      </c>
      <c r="G1293" s="237">
        <v>45054</v>
      </c>
      <c r="H1293" s="234">
        <f>SUMIF(VA!B:B,A1293,VA!I:I)</f>
        <v>359.46</v>
      </c>
      <c r="I1293" s="33">
        <f>SUMIF(VR!B:B,A1293,VR!I:I)</f>
        <v>657.5</v>
      </c>
      <c r="J1293" s="4">
        <f t="shared" si="20"/>
        <v>1016.96</v>
      </c>
      <c r="K1293" s="195">
        <f>SUMIF(FALTAS!A:A,A1293,FALTAS!D:D)</f>
        <v>0</v>
      </c>
    </row>
    <row r="1294" spans="1:11" x14ac:dyDescent="0.2">
      <c r="A1294" s="235">
        <v>121815</v>
      </c>
      <c r="B1294" s="236" t="s">
        <v>1608</v>
      </c>
      <c r="C1294" s="236" t="s">
        <v>1591</v>
      </c>
      <c r="D1294" s="236" t="s">
        <v>1464</v>
      </c>
      <c r="E1294" s="237">
        <v>45019</v>
      </c>
      <c r="F1294" s="236" t="s">
        <v>1234</v>
      </c>
      <c r="G1294" s="237">
        <v>45019</v>
      </c>
      <c r="H1294" s="234">
        <f>SUMIF(VA!B:B,A1294,VA!I:I)</f>
        <v>0</v>
      </c>
      <c r="I1294" s="33">
        <f>SUMIF(VR!B:B,A1294,VR!I:I)</f>
        <v>657.5</v>
      </c>
      <c r="J1294" s="4">
        <f t="shared" si="20"/>
        <v>657.5</v>
      </c>
      <c r="K1294" s="195">
        <f>SUMIF(FALTAS!A:A,A1294,FALTAS!D:D)</f>
        <v>0</v>
      </c>
    </row>
    <row r="1295" spans="1:11" x14ac:dyDescent="0.2">
      <c r="A1295" s="235">
        <v>112217</v>
      </c>
      <c r="B1295" s="236" t="s">
        <v>40</v>
      </c>
      <c r="C1295" s="236" t="s">
        <v>19</v>
      </c>
      <c r="D1295" s="236" t="s">
        <v>2</v>
      </c>
      <c r="E1295" s="237">
        <v>43617</v>
      </c>
      <c r="F1295" s="236" t="s">
        <v>1234</v>
      </c>
      <c r="G1295" s="237">
        <v>44776</v>
      </c>
      <c r="H1295" s="234">
        <f>SUMIF(VA!B:B,A1295,VA!I:I)</f>
        <v>359.46</v>
      </c>
      <c r="I1295" s="33">
        <f>SUMIF(VR!B:B,A1295,VR!I:I)</f>
        <v>657.5</v>
      </c>
      <c r="J1295" s="4">
        <f t="shared" si="20"/>
        <v>1016.96</v>
      </c>
      <c r="K1295" s="195">
        <f>SUMIF(FALTAS!A:A,A1295,FALTAS!D:D)</f>
        <v>0</v>
      </c>
    </row>
    <row r="1296" spans="1:11" x14ac:dyDescent="0.2">
      <c r="A1296" s="235">
        <v>112434</v>
      </c>
      <c r="B1296" s="236" t="s">
        <v>177</v>
      </c>
      <c r="C1296" s="236" t="s">
        <v>8</v>
      </c>
      <c r="D1296" s="236" t="s">
        <v>2</v>
      </c>
      <c r="E1296" s="237">
        <v>43617</v>
      </c>
      <c r="F1296" s="236" t="s">
        <v>1234</v>
      </c>
      <c r="G1296" s="237">
        <v>45056</v>
      </c>
      <c r="H1296" s="234">
        <f>SUMIF(VA!B:B,A1296,VA!I:I)</f>
        <v>359.46</v>
      </c>
      <c r="I1296" s="33">
        <f>SUMIF(VR!B:B,A1296,VR!I:I)</f>
        <v>657.5</v>
      </c>
      <c r="J1296" s="4">
        <f t="shared" si="20"/>
        <v>1016.96</v>
      </c>
      <c r="K1296" s="195">
        <f>SUMIF(FALTAS!A:A,A1296,FALTAS!D:D)</f>
        <v>0</v>
      </c>
    </row>
    <row r="1297" spans="1:11" x14ac:dyDescent="0.2">
      <c r="A1297" s="235">
        <v>112698</v>
      </c>
      <c r="B1297" s="236" t="s">
        <v>349</v>
      </c>
      <c r="C1297" s="236" t="s">
        <v>0</v>
      </c>
      <c r="D1297" s="236" t="s">
        <v>2</v>
      </c>
      <c r="E1297" s="237">
        <v>43617</v>
      </c>
      <c r="F1297" s="236" t="s">
        <v>1234</v>
      </c>
      <c r="G1297" s="237">
        <v>44989</v>
      </c>
      <c r="H1297" s="234">
        <f>SUMIF(VA!B:B,A1297,VA!I:I)</f>
        <v>359.46</v>
      </c>
      <c r="I1297" s="33">
        <f>SUMIF(VR!B:B,A1297,VR!I:I)</f>
        <v>657.5</v>
      </c>
      <c r="J1297" s="4">
        <f t="shared" si="20"/>
        <v>1016.96</v>
      </c>
      <c r="K1297" s="195">
        <f>SUMIF(FALTAS!A:A,A1297,FALTAS!D:D)</f>
        <v>0</v>
      </c>
    </row>
    <row r="1298" spans="1:11" x14ac:dyDescent="0.2">
      <c r="A1298" s="235">
        <v>112444</v>
      </c>
      <c r="B1298" s="236" t="s">
        <v>185</v>
      </c>
      <c r="C1298" s="236" t="s">
        <v>8</v>
      </c>
      <c r="D1298" s="236" t="s">
        <v>5</v>
      </c>
      <c r="E1298" s="237">
        <v>43617</v>
      </c>
      <c r="F1298" s="236" t="s">
        <v>1234</v>
      </c>
      <c r="G1298" s="237">
        <v>45056</v>
      </c>
      <c r="H1298" s="234">
        <f>SUMIF(VA!B:B,A1298,VA!I:I)</f>
        <v>359.46</v>
      </c>
      <c r="I1298" s="33">
        <f>SUMIF(VR!B:B,A1298,VR!I:I)</f>
        <v>657.5</v>
      </c>
      <c r="J1298" s="4">
        <f t="shared" si="20"/>
        <v>1016.96</v>
      </c>
      <c r="K1298" s="195">
        <f>SUMIF(FALTAS!A:A,A1298,FALTAS!D:D)</f>
        <v>0</v>
      </c>
    </row>
    <row r="1299" spans="1:11" x14ac:dyDescent="0.2">
      <c r="A1299" s="235">
        <v>112220</v>
      </c>
      <c r="B1299" s="236" t="s">
        <v>41</v>
      </c>
      <c r="C1299" s="236" t="s">
        <v>19</v>
      </c>
      <c r="D1299" s="236" t="s">
        <v>2</v>
      </c>
      <c r="E1299" s="237">
        <v>43617</v>
      </c>
      <c r="F1299" s="236" t="s">
        <v>1234</v>
      </c>
      <c r="G1299" s="237">
        <v>44776</v>
      </c>
      <c r="H1299" s="234">
        <f>SUMIF(VA!B:B,A1299,VA!I:I)</f>
        <v>359.46</v>
      </c>
      <c r="I1299" s="33">
        <f>SUMIF(VR!B:B,A1299,VR!I:I)</f>
        <v>657.5</v>
      </c>
      <c r="J1299" s="4">
        <f t="shared" si="20"/>
        <v>1016.96</v>
      </c>
      <c r="K1299" s="195">
        <f>SUMIF(FALTAS!A:A,A1299,FALTAS!D:D)</f>
        <v>0</v>
      </c>
    </row>
    <row r="1300" spans="1:11" x14ac:dyDescent="0.2">
      <c r="A1300" s="235">
        <v>112704</v>
      </c>
      <c r="B1300" s="236" t="s">
        <v>354</v>
      </c>
      <c r="C1300" s="236" t="s">
        <v>1589</v>
      </c>
      <c r="D1300" s="236" t="s">
        <v>22</v>
      </c>
      <c r="E1300" s="237">
        <v>43617</v>
      </c>
      <c r="F1300" s="236" t="s">
        <v>1234</v>
      </c>
      <c r="G1300" s="237">
        <v>45056</v>
      </c>
      <c r="H1300" s="234">
        <f>SUMIF(VA!B:B,A1300,VA!I:I)</f>
        <v>359.46</v>
      </c>
      <c r="I1300" s="33">
        <f>SUMIF(VR!B:B,A1300,VR!I:I)</f>
        <v>657.5</v>
      </c>
      <c r="J1300" s="4">
        <f t="shared" si="20"/>
        <v>1016.96</v>
      </c>
      <c r="K1300" s="195">
        <f>SUMIF(FALTAS!A:A,A1300,FALTAS!D:D)</f>
        <v>0</v>
      </c>
    </row>
    <row r="1301" spans="1:11" x14ac:dyDescent="0.2">
      <c r="A1301" s="235">
        <v>113732</v>
      </c>
      <c r="B1301" s="236" t="s">
        <v>948</v>
      </c>
      <c r="C1301" s="236" t="s">
        <v>0</v>
      </c>
      <c r="D1301" s="236" t="s">
        <v>182</v>
      </c>
      <c r="E1301" s="237">
        <v>43617</v>
      </c>
      <c r="F1301" s="236" t="s">
        <v>1234</v>
      </c>
      <c r="G1301" s="237">
        <v>45023</v>
      </c>
      <c r="H1301" s="234">
        <f>SUMIF(VA!B:B,A1301,VA!I:I)</f>
        <v>359.46</v>
      </c>
      <c r="I1301" s="33">
        <f>SUMIF(VR!B:B,A1301,VR!I:I)</f>
        <v>657.5</v>
      </c>
      <c r="J1301" s="4">
        <f t="shared" si="20"/>
        <v>1016.96</v>
      </c>
      <c r="K1301" s="195">
        <f>SUMIF(FALTAS!A:A,A1301,FALTAS!D:D)</f>
        <v>0</v>
      </c>
    </row>
    <row r="1302" spans="1:11" x14ac:dyDescent="0.2">
      <c r="A1302" s="235">
        <v>112454</v>
      </c>
      <c r="B1302" s="236" t="s">
        <v>192</v>
      </c>
      <c r="C1302" s="236" t="s">
        <v>10</v>
      </c>
      <c r="D1302" s="236" t="s">
        <v>5</v>
      </c>
      <c r="E1302" s="237">
        <v>43617</v>
      </c>
      <c r="F1302" s="236" t="s">
        <v>1234</v>
      </c>
      <c r="G1302" s="237">
        <v>45023</v>
      </c>
      <c r="H1302" s="234">
        <f>SUMIF(VA!B:B,A1302,VA!I:I)</f>
        <v>0</v>
      </c>
      <c r="I1302" s="33">
        <f>SUMIF(VR!B:B,A1302,VR!I:I)</f>
        <v>0</v>
      </c>
      <c r="J1302" s="4">
        <f t="shared" si="20"/>
        <v>0</v>
      </c>
      <c r="K1302" s="195">
        <f>SUMIF(FALTAS!A:A,A1302,FALTAS!D:D)</f>
        <v>26</v>
      </c>
    </row>
    <row r="1303" spans="1:11" x14ac:dyDescent="0.2">
      <c r="A1303" s="235">
        <v>112457</v>
      </c>
      <c r="B1303" s="236" t="s">
        <v>193</v>
      </c>
      <c r="C1303" s="236" t="s">
        <v>8</v>
      </c>
      <c r="D1303" s="236" t="s">
        <v>2</v>
      </c>
      <c r="E1303" s="237">
        <v>43617</v>
      </c>
      <c r="F1303" s="236" t="s">
        <v>1234</v>
      </c>
      <c r="G1303" s="237">
        <v>44806</v>
      </c>
      <c r="H1303" s="234">
        <f>SUMIF(VA!B:B,A1303,VA!I:I)</f>
        <v>359.46</v>
      </c>
      <c r="I1303" s="33">
        <f>SUMIF(VR!B:B,A1303,VR!I:I)</f>
        <v>657.5</v>
      </c>
      <c r="J1303" s="4">
        <f t="shared" si="20"/>
        <v>1016.96</v>
      </c>
      <c r="K1303" s="195">
        <f>SUMIF(FALTAS!A:A,A1303,FALTAS!D:D)</f>
        <v>0</v>
      </c>
    </row>
    <row r="1304" spans="1:11" x14ac:dyDescent="0.2">
      <c r="A1304" s="235">
        <v>112706</v>
      </c>
      <c r="B1304" s="236" t="s">
        <v>355</v>
      </c>
      <c r="C1304" s="236" t="s">
        <v>0</v>
      </c>
      <c r="D1304" s="236" t="s">
        <v>2</v>
      </c>
      <c r="E1304" s="237">
        <v>43617</v>
      </c>
      <c r="F1304" s="236" t="s">
        <v>1234</v>
      </c>
      <c r="G1304" s="237">
        <v>44993</v>
      </c>
      <c r="H1304" s="234">
        <f>SUMIF(VA!B:B,A1304,VA!I:I)</f>
        <v>359.46</v>
      </c>
      <c r="I1304" s="33">
        <f>SUMIF(VR!B:B,A1304,VR!I:I)</f>
        <v>657.5</v>
      </c>
      <c r="J1304" s="4">
        <f t="shared" si="20"/>
        <v>1016.96</v>
      </c>
      <c r="K1304" s="195">
        <f>SUMIF(FALTAS!A:A,A1304,FALTAS!D:D)</f>
        <v>0</v>
      </c>
    </row>
    <row r="1305" spans="1:11" x14ac:dyDescent="0.2">
      <c r="A1305" s="235">
        <v>113003</v>
      </c>
      <c r="B1305" s="236" t="s">
        <v>542</v>
      </c>
      <c r="C1305" s="236" t="s">
        <v>1589</v>
      </c>
      <c r="D1305" s="236" t="s">
        <v>15</v>
      </c>
      <c r="E1305" s="237">
        <v>43617</v>
      </c>
      <c r="F1305" s="236" t="s">
        <v>1234</v>
      </c>
      <c r="G1305" s="237">
        <v>45119</v>
      </c>
      <c r="H1305" s="234">
        <f>SUMIF(VA!B:B,A1305,VA!I:I)</f>
        <v>359.46</v>
      </c>
      <c r="I1305" s="33">
        <f>SUMIF(VR!B:B,A1305,VR!I:I)</f>
        <v>657.5</v>
      </c>
      <c r="J1305" s="4">
        <f t="shared" si="20"/>
        <v>1016.96</v>
      </c>
      <c r="K1305" s="195">
        <f>SUMIF(FALTAS!A:A,A1305,FALTAS!D:D)</f>
        <v>0</v>
      </c>
    </row>
    <row r="1306" spans="1:11" x14ac:dyDescent="0.2">
      <c r="A1306" s="235">
        <v>112707</v>
      </c>
      <c r="B1306" s="236" t="s">
        <v>357</v>
      </c>
      <c r="C1306" s="236" t="s">
        <v>1589</v>
      </c>
      <c r="D1306" s="236" t="s">
        <v>22</v>
      </c>
      <c r="E1306" s="237">
        <v>43617</v>
      </c>
      <c r="F1306" s="236" t="s">
        <v>1234</v>
      </c>
      <c r="G1306" s="237">
        <v>45056</v>
      </c>
      <c r="H1306" s="234">
        <f>SUMIF(VA!B:B,A1306,VA!I:I)</f>
        <v>359.46</v>
      </c>
      <c r="I1306" s="33">
        <f>SUMIF(VR!B:B,A1306,VR!I:I)</f>
        <v>657.5</v>
      </c>
      <c r="J1306" s="4">
        <f t="shared" si="20"/>
        <v>1016.96</v>
      </c>
      <c r="K1306" s="195">
        <f>SUMIF(FALTAS!A:A,A1306,FALTAS!D:D)</f>
        <v>0</v>
      </c>
    </row>
    <row r="1307" spans="1:11" x14ac:dyDescent="0.2">
      <c r="A1307" s="235">
        <v>112290</v>
      </c>
      <c r="B1307" s="236" t="s">
        <v>91</v>
      </c>
      <c r="C1307" s="236" t="s">
        <v>10</v>
      </c>
      <c r="D1307" s="236" t="s">
        <v>2</v>
      </c>
      <c r="E1307" s="237">
        <v>43617</v>
      </c>
      <c r="F1307" s="236" t="s">
        <v>1234</v>
      </c>
      <c r="G1307" s="237">
        <v>45056</v>
      </c>
      <c r="H1307" s="234">
        <f>SUMIF(VA!B:B,A1307,VA!I:I)</f>
        <v>359.46</v>
      </c>
      <c r="I1307" s="33">
        <f>SUMIF(VR!B:B,A1307,VR!I:I)</f>
        <v>657.5</v>
      </c>
      <c r="J1307" s="4">
        <f t="shared" si="20"/>
        <v>1016.96</v>
      </c>
      <c r="K1307" s="195">
        <f>SUMIF(FALTAS!A:A,A1307,FALTAS!D:D)</f>
        <v>0</v>
      </c>
    </row>
    <row r="1308" spans="1:11" x14ac:dyDescent="0.2">
      <c r="A1308" s="235">
        <v>112461</v>
      </c>
      <c r="B1308" s="236" t="s">
        <v>196</v>
      </c>
      <c r="C1308" s="236" t="s">
        <v>10</v>
      </c>
      <c r="D1308" s="236" t="s">
        <v>39</v>
      </c>
      <c r="E1308" s="237">
        <v>43617</v>
      </c>
      <c r="F1308" s="236" t="s">
        <v>1234</v>
      </c>
      <c r="G1308" s="237">
        <v>44806</v>
      </c>
      <c r="H1308" s="234">
        <f>SUMIF(VA!B:B,A1308,VA!I:I)</f>
        <v>359.46</v>
      </c>
      <c r="I1308" s="33">
        <f>SUMIF(VR!B:B,A1308,VR!I:I)</f>
        <v>657.5</v>
      </c>
      <c r="J1308" s="4">
        <f t="shared" si="20"/>
        <v>1016.96</v>
      </c>
      <c r="K1308" s="195">
        <f>SUMIF(FALTAS!A:A,A1308,FALTAS!D:D)</f>
        <v>0</v>
      </c>
    </row>
    <row r="1309" spans="1:11" x14ac:dyDescent="0.2">
      <c r="A1309" s="235">
        <v>112714</v>
      </c>
      <c r="B1309" s="236" t="s">
        <v>359</v>
      </c>
      <c r="C1309" s="236" t="s">
        <v>0</v>
      </c>
      <c r="D1309" s="236" t="s">
        <v>2</v>
      </c>
      <c r="E1309" s="237">
        <v>43617</v>
      </c>
      <c r="F1309" s="236" t="s">
        <v>1234</v>
      </c>
      <c r="G1309" s="237">
        <v>45023</v>
      </c>
      <c r="H1309" s="234">
        <f>SUMIF(VA!B:B,A1309,VA!I:I)</f>
        <v>359.46</v>
      </c>
      <c r="I1309" s="33">
        <f>SUMIF(VR!B:B,A1309,VR!I:I)</f>
        <v>657.5</v>
      </c>
      <c r="J1309" s="4">
        <f t="shared" si="20"/>
        <v>1016.96</v>
      </c>
      <c r="K1309" s="195">
        <f>SUMIF(FALTAS!A:A,A1309,FALTAS!D:D)</f>
        <v>0</v>
      </c>
    </row>
    <row r="1310" spans="1:11" x14ac:dyDescent="0.2">
      <c r="A1310" s="235">
        <v>112224</v>
      </c>
      <c r="B1310" s="236" t="s">
        <v>46</v>
      </c>
      <c r="C1310" s="236" t="s">
        <v>19</v>
      </c>
      <c r="D1310" s="236" t="s">
        <v>2</v>
      </c>
      <c r="E1310" s="237">
        <v>43617</v>
      </c>
      <c r="F1310" s="236" t="s">
        <v>1234</v>
      </c>
      <c r="G1310" s="237">
        <v>44835</v>
      </c>
      <c r="H1310" s="234">
        <f>SUMIF(VA!B:B,A1310,VA!I:I)</f>
        <v>359.46</v>
      </c>
      <c r="I1310" s="33">
        <f>SUMIF(VR!B:B,A1310,VR!I:I)</f>
        <v>657.5</v>
      </c>
      <c r="J1310" s="4">
        <f t="shared" si="20"/>
        <v>1016.96</v>
      </c>
      <c r="K1310" s="195">
        <f>SUMIF(FALTAS!A:A,A1310,FALTAS!D:D)</f>
        <v>0</v>
      </c>
    </row>
    <row r="1311" spans="1:11" x14ac:dyDescent="0.2">
      <c r="A1311" s="235">
        <v>112294</v>
      </c>
      <c r="B1311" s="236" t="s">
        <v>93</v>
      </c>
      <c r="C1311" s="236" t="s">
        <v>10</v>
      </c>
      <c r="D1311" s="236" t="s">
        <v>2</v>
      </c>
      <c r="E1311" s="237">
        <v>43617</v>
      </c>
      <c r="F1311" s="236" t="s">
        <v>1234</v>
      </c>
      <c r="G1311" s="237">
        <v>44806</v>
      </c>
      <c r="H1311" s="234">
        <f>SUMIF(VA!B:B,A1311,VA!I:I)</f>
        <v>359.46</v>
      </c>
      <c r="I1311" s="33">
        <f>SUMIF(VR!B:B,A1311,VR!I:I)</f>
        <v>657.5</v>
      </c>
      <c r="J1311" s="4">
        <f t="shared" si="20"/>
        <v>1016.96</v>
      </c>
      <c r="K1311" s="195">
        <f>SUMIF(FALTAS!A:A,A1311,FALTAS!D:D)</f>
        <v>0</v>
      </c>
    </row>
    <row r="1312" spans="1:11" x14ac:dyDescent="0.2">
      <c r="A1312" s="235">
        <v>112717</v>
      </c>
      <c r="B1312" s="236" t="s">
        <v>361</v>
      </c>
      <c r="C1312" s="236" t="s">
        <v>1589</v>
      </c>
      <c r="D1312" s="236" t="s">
        <v>22</v>
      </c>
      <c r="E1312" s="237">
        <v>43617</v>
      </c>
      <c r="F1312" s="236" t="s">
        <v>1234</v>
      </c>
      <c r="G1312" s="237">
        <v>45119</v>
      </c>
      <c r="H1312" s="234">
        <f>SUMIF(VA!B:B,A1312,VA!I:I)</f>
        <v>359.46</v>
      </c>
      <c r="I1312" s="33">
        <f>SUMIF(VR!B:B,A1312,VR!I:I)</f>
        <v>657.5</v>
      </c>
      <c r="J1312" s="4">
        <f t="shared" si="20"/>
        <v>1016.96</v>
      </c>
      <c r="K1312" s="195">
        <f>SUMIF(FALTAS!A:A,A1312,FALTAS!D:D)</f>
        <v>0</v>
      </c>
    </row>
    <row r="1313" spans="1:11" x14ac:dyDescent="0.2">
      <c r="A1313" s="235">
        <v>112472</v>
      </c>
      <c r="B1313" s="236" t="s">
        <v>201</v>
      </c>
      <c r="C1313" s="236" t="s">
        <v>8</v>
      </c>
      <c r="D1313" s="236" t="s">
        <v>5</v>
      </c>
      <c r="E1313" s="237">
        <v>43617</v>
      </c>
      <c r="F1313" s="236" t="s">
        <v>1234</v>
      </c>
      <c r="G1313" s="237">
        <v>45023</v>
      </c>
      <c r="H1313" s="234">
        <f>SUMIF(VA!B:B,A1313,VA!I:I)</f>
        <v>359.46</v>
      </c>
      <c r="I1313" s="33">
        <f>SUMIF(VR!B:B,A1313,VR!I:I)</f>
        <v>657.5</v>
      </c>
      <c r="J1313" s="4">
        <f t="shared" si="20"/>
        <v>1016.96</v>
      </c>
      <c r="K1313" s="195">
        <f>SUMIF(FALTAS!A:A,A1313,FALTAS!D:D)</f>
        <v>0</v>
      </c>
    </row>
    <row r="1314" spans="1:11" x14ac:dyDescent="0.2">
      <c r="A1314" s="235">
        <v>112228</v>
      </c>
      <c r="B1314" s="236" t="s">
        <v>50</v>
      </c>
      <c r="C1314" s="236" t="s">
        <v>19</v>
      </c>
      <c r="D1314" s="236" t="s">
        <v>2</v>
      </c>
      <c r="E1314" s="237">
        <v>43617</v>
      </c>
      <c r="F1314" s="236" t="s">
        <v>1234</v>
      </c>
      <c r="G1314" s="237">
        <v>44776</v>
      </c>
      <c r="H1314" s="234">
        <f>SUMIF(VA!B:B,A1314,VA!I:I)</f>
        <v>359.46</v>
      </c>
      <c r="I1314" s="33">
        <f>SUMIF(VR!B:B,A1314,VR!I:I)</f>
        <v>657.5</v>
      </c>
      <c r="J1314" s="4">
        <f t="shared" si="20"/>
        <v>1016.96</v>
      </c>
      <c r="K1314" s="195">
        <f>SUMIF(FALTAS!A:A,A1314,FALTAS!D:D)</f>
        <v>0</v>
      </c>
    </row>
    <row r="1315" spans="1:11" x14ac:dyDescent="0.2">
      <c r="A1315" s="235">
        <v>112229</v>
      </c>
      <c r="B1315" s="236" t="s">
        <v>51</v>
      </c>
      <c r="C1315" s="236" t="s">
        <v>19</v>
      </c>
      <c r="D1315" s="236" t="s">
        <v>2</v>
      </c>
      <c r="E1315" s="237">
        <v>43617</v>
      </c>
      <c r="F1315" s="236" t="s">
        <v>1234</v>
      </c>
      <c r="G1315" s="237">
        <v>44776</v>
      </c>
      <c r="H1315" s="234">
        <f>SUMIF(VA!B:B,A1315,VA!I:I)</f>
        <v>359.46</v>
      </c>
      <c r="I1315" s="33">
        <f>SUMIF(VR!B:B,A1315,VR!I:I)</f>
        <v>657.5</v>
      </c>
      <c r="J1315" s="4">
        <f t="shared" si="20"/>
        <v>1016.96</v>
      </c>
      <c r="K1315" s="195">
        <f>SUMIF(FALTAS!A:A,A1315,FALTAS!D:D)</f>
        <v>0</v>
      </c>
    </row>
    <row r="1316" spans="1:11" x14ac:dyDescent="0.2">
      <c r="A1316" s="235">
        <v>112475</v>
      </c>
      <c r="B1316" s="236" t="s">
        <v>203</v>
      </c>
      <c r="C1316" s="236" t="s">
        <v>8</v>
      </c>
      <c r="D1316" s="236" t="s">
        <v>2</v>
      </c>
      <c r="E1316" s="237">
        <v>43617</v>
      </c>
      <c r="F1316" s="236" t="s">
        <v>1234</v>
      </c>
      <c r="G1316" s="237">
        <v>45023</v>
      </c>
      <c r="H1316" s="234">
        <f>SUMIF(VA!B:B,A1316,VA!I:I)</f>
        <v>359.46</v>
      </c>
      <c r="I1316" s="33">
        <f>SUMIF(VR!B:B,A1316,VR!I:I)</f>
        <v>657.5</v>
      </c>
      <c r="J1316" s="4">
        <f t="shared" si="20"/>
        <v>1016.96</v>
      </c>
      <c r="K1316" s="195">
        <f>SUMIF(FALTAS!A:A,A1316,FALTAS!D:D)</f>
        <v>0</v>
      </c>
    </row>
    <row r="1317" spans="1:11" x14ac:dyDescent="0.2">
      <c r="A1317" s="235">
        <v>118994</v>
      </c>
      <c r="B1317" s="236" t="s">
        <v>1435</v>
      </c>
      <c r="C1317" s="236" t="s">
        <v>1589</v>
      </c>
      <c r="D1317" s="236" t="s">
        <v>15</v>
      </c>
      <c r="E1317" s="237">
        <v>44613</v>
      </c>
      <c r="F1317" s="236" t="s">
        <v>1234</v>
      </c>
      <c r="G1317" s="237">
        <v>45023</v>
      </c>
      <c r="H1317" s="234">
        <f>SUMIF(VA!B:B,A1317,VA!I:I)</f>
        <v>359.46</v>
      </c>
      <c r="I1317" s="33">
        <f>SUMIF(VR!B:B,A1317,VR!I:I)</f>
        <v>657.5</v>
      </c>
      <c r="J1317" s="4">
        <f t="shared" si="20"/>
        <v>1016.96</v>
      </c>
      <c r="K1317" s="195">
        <f>SUMIF(FALTAS!A:A,A1317,FALTAS!D:D)</f>
        <v>0</v>
      </c>
    </row>
    <row r="1318" spans="1:11" x14ac:dyDescent="0.2">
      <c r="A1318" s="235">
        <v>116112</v>
      </c>
      <c r="B1318" s="236" t="s">
        <v>1190</v>
      </c>
      <c r="C1318" s="236" t="s">
        <v>1589</v>
      </c>
      <c r="D1318" s="236" t="s">
        <v>282</v>
      </c>
      <c r="E1318" s="237">
        <v>44236</v>
      </c>
      <c r="F1318" s="236" t="s">
        <v>1234</v>
      </c>
      <c r="G1318" s="237">
        <v>45149</v>
      </c>
      <c r="H1318" s="234">
        <f>SUMIF(VA!B:B,A1318,VA!I:I)</f>
        <v>359.46</v>
      </c>
      <c r="I1318" s="33">
        <f>SUMIF(VR!B:B,A1318,VR!I:I)</f>
        <v>657.5</v>
      </c>
      <c r="J1318" s="4">
        <f t="shared" si="20"/>
        <v>1016.96</v>
      </c>
      <c r="K1318" s="195">
        <f>SUMIF(FALTAS!A:A,A1318,FALTAS!D:D)</f>
        <v>0</v>
      </c>
    </row>
    <row r="1319" spans="1:11" x14ac:dyDescent="0.2">
      <c r="A1319" s="235">
        <v>112722</v>
      </c>
      <c r="B1319" s="236" t="s">
        <v>365</v>
      </c>
      <c r="C1319" s="236" t="s">
        <v>1589</v>
      </c>
      <c r="D1319" s="236" t="s">
        <v>5</v>
      </c>
      <c r="E1319" s="237">
        <v>43617</v>
      </c>
      <c r="F1319" s="236" t="s">
        <v>1234</v>
      </c>
      <c r="G1319" s="237">
        <v>44993</v>
      </c>
      <c r="H1319" s="234">
        <f>SUMIF(VA!B:B,A1319,VA!I:I)</f>
        <v>359.46</v>
      </c>
      <c r="I1319" s="33">
        <f>SUMIF(VR!B:B,A1319,VR!I:I)</f>
        <v>657.5</v>
      </c>
      <c r="J1319" s="4">
        <f t="shared" si="20"/>
        <v>1016.96</v>
      </c>
      <c r="K1319" s="195">
        <f>SUMIF(FALTAS!A:A,A1319,FALTAS!D:D)</f>
        <v>0</v>
      </c>
    </row>
    <row r="1320" spans="1:11" x14ac:dyDescent="0.2">
      <c r="A1320" s="235">
        <v>112298</v>
      </c>
      <c r="B1320" s="236" t="s">
        <v>96</v>
      </c>
      <c r="C1320" s="236" t="s">
        <v>10</v>
      </c>
      <c r="D1320" s="236" t="s">
        <v>2</v>
      </c>
      <c r="E1320" s="237">
        <v>43617</v>
      </c>
      <c r="F1320" s="236" t="s">
        <v>1234</v>
      </c>
      <c r="G1320" s="237">
        <v>44835</v>
      </c>
      <c r="H1320" s="234">
        <f>SUMIF(VA!B:B,A1320,VA!I:I)</f>
        <v>359.46</v>
      </c>
      <c r="I1320" s="33">
        <f>SUMIF(VR!B:B,A1320,VR!I:I)</f>
        <v>657.5</v>
      </c>
      <c r="J1320" s="4">
        <f t="shared" si="20"/>
        <v>1016.96</v>
      </c>
      <c r="K1320" s="195">
        <f>SUMIF(FALTAS!A:A,A1320,FALTAS!D:D)</f>
        <v>0</v>
      </c>
    </row>
    <row r="1321" spans="1:11" x14ac:dyDescent="0.2">
      <c r="A1321" s="235">
        <v>113008</v>
      </c>
      <c r="B1321" s="236" t="s">
        <v>544</v>
      </c>
      <c r="C1321" s="236" t="s">
        <v>1589</v>
      </c>
      <c r="D1321" s="236" t="s">
        <v>15</v>
      </c>
      <c r="E1321" s="237">
        <v>43617</v>
      </c>
      <c r="F1321" s="236" t="s">
        <v>1234</v>
      </c>
      <c r="G1321" s="237">
        <v>45119</v>
      </c>
      <c r="H1321" s="234">
        <f>SUMIF(VA!B:B,A1321,VA!I:I)</f>
        <v>359.46</v>
      </c>
      <c r="I1321" s="33">
        <f>SUMIF(VR!B:B,A1321,VR!I:I)</f>
        <v>657.5</v>
      </c>
      <c r="J1321" s="4">
        <f t="shared" si="20"/>
        <v>1016.96</v>
      </c>
      <c r="K1321" s="195">
        <f>SUMIF(FALTAS!A:A,A1321,FALTAS!D:D)</f>
        <v>0</v>
      </c>
    </row>
    <row r="1322" spans="1:11" x14ac:dyDescent="0.2">
      <c r="A1322" s="235">
        <v>112725</v>
      </c>
      <c r="B1322" s="236" t="s">
        <v>367</v>
      </c>
      <c r="C1322" s="236" t="s">
        <v>0</v>
      </c>
      <c r="D1322" s="236" t="s">
        <v>39</v>
      </c>
      <c r="E1322" s="237">
        <v>43617</v>
      </c>
      <c r="F1322" s="236" t="s">
        <v>1235</v>
      </c>
      <c r="G1322" s="237">
        <v>45147</v>
      </c>
      <c r="H1322" s="234">
        <f>SUMIF(VA!B:B,A1322,VA!I:I)</f>
        <v>359.46</v>
      </c>
      <c r="I1322" s="33">
        <f>SUMIF(VR!B:B,A1322,VR!I:I)</f>
        <v>657.5</v>
      </c>
      <c r="J1322" s="4">
        <f t="shared" si="20"/>
        <v>1016.96</v>
      </c>
      <c r="K1322" s="195">
        <f>SUMIF(FALTAS!A:A,A1322,FALTAS!D:D)</f>
        <v>0</v>
      </c>
    </row>
    <row r="1323" spans="1:11" x14ac:dyDescent="0.2">
      <c r="A1323" s="235">
        <v>112481</v>
      </c>
      <c r="B1323" s="236" t="s">
        <v>207</v>
      </c>
      <c r="C1323" s="236" t="s">
        <v>32</v>
      </c>
      <c r="D1323" s="236" t="s">
        <v>39</v>
      </c>
      <c r="E1323" s="237">
        <v>43617</v>
      </c>
      <c r="F1323" s="236" t="s">
        <v>1234</v>
      </c>
      <c r="G1323" s="237">
        <v>44960</v>
      </c>
      <c r="H1323" s="234">
        <f>SUMIF(VA!B:B,A1323,VA!I:I)</f>
        <v>359.46</v>
      </c>
      <c r="I1323" s="33">
        <f>SUMIF(VR!B:B,A1323,VR!I:I)</f>
        <v>657.5</v>
      </c>
      <c r="J1323" s="4">
        <f t="shared" si="20"/>
        <v>1016.96</v>
      </c>
      <c r="K1323" s="195">
        <f>SUMIF(FALTAS!A:A,A1323,FALTAS!D:D)</f>
        <v>0</v>
      </c>
    </row>
    <row r="1324" spans="1:11" x14ac:dyDescent="0.2">
      <c r="A1324" s="235">
        <v>113013</v>
      </c>
      <c r="B1324" s="236" t="s">
        <v>545</v>
      </c>
      <c r="C1324" s="236" t="s">
        <v>1589</v>
      </c>
      <c r="D1324" s="236" t="s">
        <v>15</v>
      </c>
      <c r="E1324" s="237">
        <v>43620</v>
      </c>
      <c r="F1324" s="236" t="s">
        <v>1234</v>
      </c>
      <c r="G1324" s="237">
        <v>44960</v>
      </c>
      <c r="H1324" s="234">
        <f>SUMIF(VA!B:B,A1324,VA!I:I)</f>
        <v>359.46</v>
      </c>
      <c r="I1324" s="33">
        <f>SUMIF(VR!B:B,A1324,VR!I:I)</f>
        <v>657.5</v>
      </c>
      <c r="J1324" s="4">
        <f t="shared" si="20"/>
        <v>1016.96</v>
      </c>
      <c r="K1324" s="195">
        <f>SUMIF(FALTAS!A:A,A1324,FALTAS!D:D)</f>
        <v>0</v>
      </c>
    </row>
    <row r="1325" spans="1:11" x14ac:dyDescent="0.2">
      <c r="A1325" s="235">
        <v>115400</v>
      </c>
      <c r="B1325" s="236" t="s">
        <v>1157</v>
      </c>
      <c r="C1325" s="236" t="s">
        <v>0</v>
      </c>
      <c r="D1325" s="236" t="s">
        <v>5</v>
      </c>
      <c r="E1325" s="237">
        <v>44048</v>
      </c>
      <c r="F1325" s="236" t="s">
        <v>1234</v>
      </c>
      <c r="G1325" s="237">
        <v>45086</v>
      </c>
      <c r="H1325" s="234">
        <f>SUMIF(VA!B:B,A1325,VA!I:I)</f>
        <v>359.46</v>
      </c>
      <c r="I1325" s="33">
        <f>SUMIF(VR!B:B,A1325,VR!I:I)</f>
        <v>657.5</v>
      </c>
      <c r="J1325" s="4">
        <f t="shared" si="20"/>
        <v>1016.96</v>
      </c>
      <c r="K1325" s="195">
        <f>SUMIF(FALTAS!A:A,A1325,FALTAS!D:D)</f>
        <v>0</v>
      </c>
    </row>
    <row r="1326" spans="1:11" x14ac:dyDescent="0.2">
      <c r="A1326" s="235">
        <v>116021</v>
      </c>
      <c r="B1326" s="236" t="s">
        <v>1178</v>
      </c>
      <c r="C1326" s="236" t="s">
        <v>10</v>
      </c>
      <c r="D1326" s="236" t="s">
        <v>5</v>
      </c>
      <c r="E1326" s="237">
        <v>44207</v>
      </c>
      <c r="F1326" s="236" t="s">
        <v>1234</v>
      </c>
      <c r="G1326" s="237">
        <v>45119</v>
      </c>
      <c r="H1326" s="234">
        <f>SUMIF(VA!B:B,A1326,VA!I:I)</f>
        <v>347.47</v>
      </c>
      <c r="I1326" s="33">
        <f>SUMIF(VR!B:B,A1326,VR!I:I)</f>
        <v>631.20000000000005</v>
      </c>
      <c r="J1326" s="4">
        <f t="shared" si="20"/>
        <v>978.67000000000007</v>
      </c>
      <c r="K1326" s="195">
        <f>SUMIF(FALTAS!A:A,A1326,FALTAS!D:D)</f>
        <v>1</v>
      </c>
    </row>
    <row r="1327" spans="1:11" x14ac:dyDescent="0.2">
      <c r="A1327" s="235">
        <v>112727</v>
      </c>
      <c r="B1327" s="236" t="s">
        <v>369</v>
      </c>
      <c r="C1327" s="236" t="s">
        <v>0</v>
      </c>
      <c r="D1327" s="236" t="s">
        <v>2</v>
      </c>
      <c r="E1327" s="237">
        <v>43617</v>
      </c>
      <c r="F1327" s="236" t="s">
        <v>1234</v>
      </c>
      <c r="G1327" s="237">
        <v>44806</v>
      </c>
      <c r="H1327" s="234">
        <f>SUMIF(VA!B:B,A1327,VA!I:I)</f>
        <v>359.46</v>
      </c>
      <c r="I1327" s="33">
        <f>SUMIF(VR!B:B,A1327,VR!I:I)</f>
        <v>657.5</v>
      </c>
      <c r="J1327" s="4">
        <f t="shared" si="20"/>
        <v>1016.96</v>
      </c>
      <c r="K1327" s="195">
        <f>SUMIF(FALTAS!A:A,A1327,FALTAS!D:D)</f>
        <v>0</v>
      </c>
    </row>
    <row r="1328" spans="1:11" x14ac:dyDescent="0.2">
      <c r="A1328" s="235">
        <v>122087</v>
      </c>
      <c r="B1328" s="236" t="s">
        <v>1649</v>
      </c>
      <c r="C1328" s="236" t="s">
        <v>32</v>
      </c>
      <c r="D1328" s="236" t="s">
        <v>5</v>
      </c>
      <c r="E1328" s="237">
        <v>45061</v>
      </c>
      <c r="F1328" s="236" t="s">
        <v>1234</v>
      </c>
      <c r="G1328" s="237">
        <v>45061</v>
      </c>
      <c r="H1328" s="234">
        <f>SUMIF(VA!B:B,A1328,VA!I:I)</f>
        <v>359.46</v>
      </c>
      <c r="I1328" s="33">
        <f>SUMIF(VR!B:B,A1328,VR!I:I)</f>
        <v>657.5</v>
      </c>
      <c r="J1328" s="4">
        <f t="shared" si="20"/>
        <v>1016.96</v>
      </c>
      <c r="K1328" s="195">
        <f>SUMIF(FALTAS!A:A,A1328,FALTAS!D:D)</f>
        <v>0</v>
      </c>
    </row>
    <row r="1329" spans="1:11" x14ac:dyDescent="0.2">
      <c r="A1329" s="235">
        <v>121458</v>
      </c>
      <c r="B1329" s="236" t="s">
        <v>1579</v>
      </c>
      <c r="C1329" s="236" t="s">
        <v>19</v>
      </c>
      <c r="D1329" s="236" t="s">
        <v>5</v>
      </c>
      <c r="E1329" s="237">
        <v>44967</v>
      </c>
      <c r="F1329" s="236" t="s">
        <v>1234</v>
      </c>
      <c r="G1329" s="237">
        <v>44967</v>
      </c>
      <c r="H1329" s="234">
        <f>SUMIF(VA!B:B,A1329,VA!I:I)</f>
        <v>359.46</v>
      </c>
      <c r="I1329" s="33">
        <f>SUMIF(VR!B:B,A1329,VR!I:I)</f>
        <v>657.5</v>
      </c>
      <c r="J1329" s="4">
        <f t="shared" si="20"/>
        <v>1016.96</v>
      </c>
      <c r="K1329" s="195">
        <f>SUMIF(FALTAS!A:A,A1329,FALTAS!D:D)</f>
        <v>0</v>
      </c>
    </row>
    <row r="1330" spans="1:11" x14ac:dyDescent="0.2">
      <c r="A1330" s="235">
        <v>121318</v>
      </c>
      <c r="B1330" s="236" t="s">
        <v>1547</v>
      </c>
      <c r="C1330" s="236" t="s">
        <v>10</v>
      </c>
      <c r="D1330" s="236" t="s">
        <v>2</v>
      </c>
      <c r="E1330" s="237">
        <v>44945</v>
      </c>
      <c r="F1330" s="236" t="s">
        <v>1234</v>
      </c>
      <c r="G1330" s="237">
        <v>44945</v>
      </c>
      <c r="H1330" s="234">
        <f>SUMIF(VA!B:B,A1330,VA!I:I)</f>
        <v>359.46</v>
      </c>
      <c r="I1330" s="33">
        <f>SUMIF(VR!B:B,A1330,VR!I:I)</f>
        <v>657.5</v>
      </c>
      <c r="J1330" s="4">
        <f t="shared" si="20"/>
        <v>1016.96</v>
      </c>
      <c r="K1330" s="195">
        <f>SUMIF(FALTAS!A:A,A1330,FALTAS!D:D)</f>
        <v>0</v>
      </c>
    </row>
    <row r="1331" spans="1:11" x14ac:dyDescent="0.2">
      <c r="A1331" s="235">
        <v>112678</v>
      </c>
      <c r="B1331" s="236" t="s">
        <v>335</v>
      </c>
      <c r="C1331" s="236" t="s">
        <v>0</v>
      </c>
      <c r="D1331" s="236" t="s">
        <v>5</v>
      </c>
      <c r="E1331" s="237">
        <v>43617</v>
      </c>
      <c r="F1331" s="236" t="s">
        <v>1234</v>
      </c>
      <c r="G1331" s="237">
        <v>45023</v>
      </c>
      <c r="H1331" s="234">
        <f>SUMIF(VA!B:B,A1331,VA!I:I)</f>
        <v>359.46</v>
      </c>
      <c r="I1331" s="33">
        <f>SUMIF(VR!B:B,A1331,VR!I:I)</f>
        <v>657.5</v>
      </c>
      <c r="J1331" s="4">
        <f t="shared" si="20"/>
        <v>1016.96</v>
      </c>
      <c r="K1331" s="195">
        <f>SUMIF(FALTAS!A:A,A1331,FALTAS!D:D)</f>
        <v>0</v>
      </c>
    </row>
    <row r="1332" spans="1:11" x14ac:dyDescent="0.2">
      <c r="A1332" s="235">
        <v>119753</v>
      </c>
      <c r="B1332" s="236" t="s">
        <v>1481</v>
      </c>
      <c r="C1332" s="236" t="s">
        <v>1591</v>
      </c>
      <c r="D1332" s="236" t="s">
        <v>1464</v>
      </c>
      <c r="E1332" s="237">
        <v>44734</v>
      </c>
      <c r="F1332" s="236" t="s">
        <v>1234</v>
      </c>
      <c r="G1332" s="237">
        <v>44734</v>
      </c>
      <c r="H1332" s="234">
        <f>SUMIF(VA!B:B,A1332,VA!I:I)</f>
        <v>0</v>
      </c>
      <c r="I1332" s="33">
        <f>SUMIF(VR!B:B,A1332,VR!I:I)</f>
        <v>657.5</v>
      </c>
      <c r="J1332" s="4">
        <f t="shared" si="20"/>
        <v>657.5</v>
      </c>
      <c r="K1332" s="195">
        <f>SUMIF(FALTAS!A:A,A1332,FALTAS!D:D)</f>
        <v>0</v>
      </c>
    </row>
    <row r="1333" spans="1:11" x14ac:dyDescent="0.2">
      <c r="A1333" s="235">
        <v>122083</v>
      </c>
      <c r="B1333" s="236" t="s">
        <v>1646</v>
      </c>
      <c r="C1333" s="236" t="s">
        <v>19</v>
      </c>
      <c r="D1333" s="236" t="s">
        <v>5</v>
      </c>
      <c r="E1333" s="237">
        <v>45061</v>
      </c>
      <c r="F1333" s="236" t="s">
        <v>1234</v>
      </c>
      <c r="G1333" s="237">
        <v>45061</v>
      </c>
      <c r="H1333" s="234">
        <f>SUMIF(VA!B:B,A1333,VA!I:I)</f>
        <v>359.46</v>
      </c>
      <c r="I1333" s="33">
        <f>SUMIF(VR!B:B,A1333,VR!I:I)</f>
        <v>657.5</v>
      </c>
      <c r="J1333" s="4">
        <f t="shared" si="20"/>
        <v>1016.96</v>
      </c>
      <c r="K1333" s="195">
        <f>SUMIF(FALTAS!A:A,A1333,FALTAS!D:D)</f>
        <v>0</v>
      </c>
    </row>
    <row r="1334" spans="1:11" x14ac:dyDescent="0.2">
      <c r="A1334" s="235">
        <v>121850</v>
      </c>
      <c r="B1334" s="236" t="s">
        <v>1627</v>
      </c>
      <c r="C1334" s="236" t="s">
        <v>8</v>
      </c>
      <c r="D1334" s="236" t="s">
        <v>5</v>
      </c>
      <c r="E1334" s="237">
        <v>45022</v>
      </c>
      <c r="F1334" s="236" t="s">
        <v>1234</v>
      </c>
      <c r="G1334" s="237">
        <v>45022</v>
      </c>
      <c r="H1334" s="234">
        <f>SUMIF(VA!B:B,A1334,VA!I:I)</f>
        <v>359.46</v>
      </c>
      <c r="I1334" s="33">
        <f>SUMIF(VR!B:B,A1334,VR!I:I)</f>
        <v>657.5</v>
      </c>
      <c r="J1334" s="4">
        <f t="shared" si="20"/>
        <v>1016.96</v>
      </c>
      <c r="K1334" s="195">
        <f>SUMIF(FALTAS!A:A,A1334,FALTAS!D:D)</f>
        <v>0</v>
      </c>
    </row>
    <row r="1335" spans="1:11" x14ac:dyDescent="0.2">
      <c r="A1335" s="235">
        <v>117406</v>
      </c>
      <c r="B1335" s="236" t="s">
        <v>1274</v>
      </c>
      <c r="C1335" s="236" t="s">
        <v>10</v>
      </c>
      <c r="D1335" s="236" t="s">
        <v>2</v>
      </c>
      <c r="E1335" s="237">
        <v>44522</v>
      </c>
      <c r="F1335" s="236" t="s">
        <v>1234</v>
      </c>
      <c r="G1335" s="237">
        <v>45086</v>
      </c>
      <c r="H1335" s="234">
        <f>SUMIF(VA!B:B,A1335,VA!I:I)</f>
        <v>359.46</v>
      </c>
      <c r="I1335" s="33">
        <f>SUMIF(VR!B:B,A1335,VR!I:I)</f>
        <v>657.5</v>
      </c>
      <c r="J1335" s="4">
        <f t="shared" si="20"/>
        <v>1016.96</v>
      </c>
      <c r="K1335" s="195">
        <f>SUMIF(FALTAS!A:A,A1335,FALTAS!D:D)</f>
        <v>0</v>
      </c>
    </row>
    <row r="1336" spans="1:11" x14ac:dyDescent="0.2">
      <c r="A1336" s="235">
        <v>113016</v>
      </c>
      <c r="B1336" s="236" t="s">
        <v>546</v>
      </c>
      <c r="C1336" s="236" t="s">
        <v>1589</v>
      </c>
      <c r="D1336" s="236" t="s">
        <v>15</v>
      </c>
      <c r="E1336" s="237">
        <v>43617</v>
      </c>
      <c r="F1336" s="236" t="s">
        <v>1234</v>
      </c>
      <c r="G1336" s="237">
        <v>45056</v>
      </c>
      <c r="H1336" s="234">
        <f>SUMIF(VA!B:B,A1336,VA!I:I)</f>
        <v>359.46</v>
      </c>
      <c r="I1336" s="33">
        <f>SUMIF(VR!B:B,A1336,VR!I:I)</f>
        <v>657.5</v>
      </c>
      <c r="J1336" s="4">
        <f t="shared" si="20"/>
        <v>1016.96</v>
      </c>
      <c r="K1336" s="195">
        <f>SUMIF(FALTAS!A:A,A1336,FALTAS!D:D)</f>
        <v>0</v>
      </c>
    </row>
    <row r="1337" spans="1:11" x14ac:dyDescent="0.2">
      <c r="A1337" s="235">
        <v>113030</v>
      </c>
      <c r="B1337" s="236" t="s">
        <v>552</v>
      </c>
      <c r="C1337" s="236" t="s">
        <v>1589</v>
      </c>
      <c r="D1337" s="236" t="s">
        <v>15</v>
      </c>
      <c r="E1337" s="237">
        <v>43617</v>
      </c>
      <c r="F1337" s="236" t="s">
        <v>1234</v>
      </c>
      <c r="G1337" s="237">
        <v>44806</v>
      </c>
      <c r="H1337" s="234">
        <f>SUMIF(VA!B:B,A1337,VA!I:I)</f>
        <v>359.46</v>
      </c>
      <c r="I1337" s="33">
        <f>SUMIF(VR!B:B,A1337,VR!I:I)</f>
        <v>657.5</v>
      </c>
      <c r="J1337" s="4">
        <f t="shared" si="20"/>
        <v>1016.96</v>
      </c>
      <c r="K1337" s="195">
        <f>SUMIF(FALTAS!A:A,A1337,FALTAS!D:D)</f>
        <v>0</v>
      </c>
    </row>
    <row r="1338" spans="1:11" x14ac:dyDescent="0.2">
      <c r="A1338" s="235">
        <v>116988</v>
      </c>
      <c r="B1338" s="236" t="s">
        <v>1251</v>
      </c>
      <c r="C1338" s="236" t="s">
        <v>8</v>
      </c>
      <c r="D1338" s="236" t="s">
        <v>5</v>
      </c>
      <c r="E1338" s="237">
        <v>44419</v>
      </c>
      <c r="F1338" s="236" t="s">
        <v>1234</v>
      </c>
      <c r="G1338" s="237">
        <v>45119</v>
      </c>
      <c r="H1338" s="234">
        <f>SUMIF(VA!B:B,A1338,VA!I:I)</f>
        <v>323.51</v>
      </c>
      <c r="I1338" s="33">
        <f>SUMIF(VR!B:B,A1338,VR!I:I)</f>
        <v>578.6</v>
      </c>
      <c r="J1338" s="4">
        <f t="shared" si="20"/>
        <v>902.11</v>
      </c>
      <c r="K1338" s="195">
        <f>SUMIF(FALTAS!A:A,A1338,FALTAS!D:D)</f>
        <v>3</v>
      </c>
    </row>
    <row r="1339" spans="1:11" x14ac:dyDescent="0.2">
      <c r="A1339" s="235">
        <v>121951</v>
      </c>
      <c r="B1339" s="236" t="s">
        <v>1628</v>
      </c>
      <c r="C1339" s="236" t="s">
        <v>1591</v>
      </c>
      <c r="D1339" s="236" t="s">
        <v>1464</v>
      </c>
      <c r="E1339" s="237">
        <v>45040</v>
      </c>
      <c r="F1339" s="236" t="s">
        <v>1234</v>
      </c>
      <c r="G1339" s="237">
        <v>45040</v>
      </c>
      <c r="H1339" s="234">
        <f>SUMIF(VA!B:B,A1339,VA!I:I)</f>
        <v>0</v>
      </c>
      <c r="I1339" s="33">
        <f>SUMIF(VR!B:B,A1339,VR!I:I)</f>
        <v>657.5</v>
      </c>
      <c r="J1339" s="4">
        <f t="shared" si="20"/>
        <v>657.5</v>
      </c>
      <c r="K1339" s="195">
        <f>SUMIF(FALTAS!A:A,A1339,FALTAS!D:D)</f>
        <v>0</v>
      </c>
    </row>
    <row r="1340" spans="1:11" x14ac:dyDescent="0.2">
      <c r="A1340" s="235">
        <v>116109</v>
      </c>
      <c r="B1340" s="236" t="s">
        <v>1187</v>
      </c>
      <c r="C1340" s="236" t="s">
        <v>1589</v>
      </c>
      <c r="D1340" s="236" t="s">
        <v>15</v>
      </c>
      <c r="E1340" s="237">
        <v>44236</v>
      </c>
      <c r="F1340" s="236" t="s">
        <v>1234</v>
      </c>
      <c r="G1340" s="237">
        <v>45023</v>
      </c>
      <c r="H1340" s="234">
        <f>SUMIF(VA!B:B,A1340,VA!I:I)</f>
        <v>359.46</v>
      </c>
      <c r="I1340" s="33">
        <f>SUMIF(VR!B:B,A1340,VR!I:I)</f>
        <v>657.5</v>
      </c>
      <c r="J1340" s="4">
        <f t="shared" si="20"/>
        <v>1016.96</v>
      </c>
      <c r="K1340" s="195">
        <f>SUMIF(FALTAS!A:A,A1340,FALTAS!D:D)</f>
        <v>0</v>
      </c>
    </row>
    <row r="1341" spans="1:11" x14ac:dyDescent="0.2">
      <c r="A1341" s="235">
        <v>114262</v>
      </c>
      <c r="B1341" s="236" t="s">
        <v>1028</v>
      </c>
      <c r="C1341" s="236" t="s">
        <v>0</v>
      </c>
      <c r="D1341" s="236" t="s">
        <v>5</v>
      </c>
      <c r="E1341" s="237">
        <v>43804</v>
      </c>
      <c r="F1341" s="236" t="s">
        <v>1234</v>
      </c>
      <c r="G1341" s="237">
        <v>45149</v>
      </c>
      <c r="H1341" s="234">
        <f>SUMIF(VA!B:B,A1341,VA!I:I)</f>
        <v>347.47</v>
      </c>
      <c r="I1341" s="33">
        <f>SUMIF(VR!B:B,A1341,VR!I:I)</f>
        <v>631.20000000000005</v>
      </c>
      <c r="J1341" s="4">
        <f t="shared" si="20"/>
        <v>978.67000000000007</v>
      </c>
      <c r="K1341" s="195">
        <f>SUMIF(FALTAS!A:A,A1341,FALTAS!D:D)</f>
        <v>1</v>
      </c>
    </row>
    <row r="1342" spans="1:11" x14ac:dyDescent="0.2">
      <c r="A1342" s="235">
        <v>122078</v>
      </c>
      <c r="B1342" s="236" t="s">
        <v>1647</v>
      </c>
      <c r="C1342" s="236" t="s">
        <v>8</v>
      </c>
      <c r="D1342" s="236" t="s">
        <v>5</v>
      </c>
      <c r="E1342" s="237">
        <v>45061</v>
      </c>
      <c r="F1342" s="236" t="s">
        <v>1285</v>
      </c>
      <c r="G1342" s="237">
        <v>45163</v>
      </c>
      <c r="H1342" s="234">
        <f>SUMIF(VA!B:B,A1342,VA!I:I)</f>
        <v>0</v>
      </c>
      <c r="I1342" s="33">
        <f>SUMIF(VR!B:B,A1342,VR!I:I)</f>
        <v>0</v>
      </c>
      <c r="J1342" s="4">
        <f t="shared" si="20"/>
        <v>0</v>
      </c>
      <c r="K1342" s="195">
        <f>SUMIF(FALTAS!A:A,A1342,FALTAS!D:D)</f>
        <v>7</v>
      </c>
    </row>
    <row r="1343" spans="1:11" x14ac:dyDescent="0.2">
      <c r="A1343" s="235">
        <v>112730</v>
      </c>
      <c r="B1343" s="236" t="s">
        <v>370</v>
      </c>
      <c r="C1343" s="236" t="s">
        <v>0</v>
      </c>
      <c r="D1343" s="236" t="s">
        <v>5</v>
      </c>
      <c r="E1343" s="237">
        <v>43617</v>
      </c>
      <c r="F1343" s="236" t="s">
        <v>1234</v>
      </c>
      <c r="G1343" s="237">
        <v>44898</v>
      </c>
      <c r="H1343" s="234">
        <f>SUMIF(VA!B:B,A1343,VA!I:I)</f>
        <v>359.46</v>
      </c>
      <c r="I1343" s="33">
        <f>SUMIF(VR!B:B,A1343,VR!I:I)</f>
        <v>657.5</v>
      </c>
      <c r="J1343" s="4">
        <f t="shared" si="20"/>
        <v>1016.96</v>
      </c>
      <c r="K1343" s="195">
        <f>SUMIF(FALTAS!A:A,A1343,FALTAS!D:D)</f>
        <v>0</v>
      </c>
    </row>
    <row r="1344" spans="1:11" x14ac:dyDescent="0.2">
      <c r="A1344" s="235">
        <v>116384</v>
      </c>
      <c r="B1344" s="236" t="s">
        <v>1213</v>
      </c>
      <c r="C1344" s="236" t="s">
        <v>19</v>
      </c>
      <c r="D1344" s="236" t="s">
        <v>5</v>
      </c>
      <c r="E1344" s="237">
        <v>44328</v>
      </c>
      <c r="F1344" s="236" t="s">
        <v>1234</v>
      </c>
      <c r="G1344" s="237">
        <v>45143</v>
      </c>
      <c r="H1344" s="234">
        <f>SUMIF(VA!B:B,A1344,VA!I:I)</f>
        <v>359.46</v>
      </c>
      <c r="I1344" s="33">
        <f>SUMIF(VR!B:B,A1344,VR!I:I)</f>
        <v>657.5</v>
      </c>
      <c r="J1344" s="4">
        <f t="shared" si="20"/>
        <v>1016.96</v>
      </c>
      <c r="K1344" s="195">
        <f>SUMIF(FALTAS!A:A,A1344,FALTAS!D:D)</f>
        <v>0</v>
      </c>
    </row>
    <row r="1345" spans="1:11" x14ac:dyDescent="0.2">
      <c r="A1345" s="235">
        <v>112483</v>
      </c>
      <c r="B1345" s="236" t="s">
        <v>208</v>
      </c>
      <c r="C1345" s="236" t="s">
        <v>8</v>
      </c>
      <c r="D1345" s="236" t="s">
        <v>39</v>
      </c>
      <c r="E1345" s="237">
        <v>43617</v>
      </c>
      <c r="F1345" s="236" t="s">
        <v>1234</v>
      </c>
      <c r="G1345" s="237">
        <v>44993</v>
      </c>
      <c r="H1345" s="234">
        <f>SUMIF(VA!B:B,A1345,VA!I:I)</f>
        <v>359.46</v>
      </c>
      <c r="I1345" s="33">
        <f>SUMIF(VR!B:B,A1345,VR!I:I)</f>
        <v>657.5</v>
      </c>
      <c r="J1345" s="4">
        <f t="shared" si="20"/>
        <v>1016.96</v>
      </c>
      <c r="K1345" s="195">
        <f>SUMIF(FALTAS!A:A,A1345,FALTAS!D:D)</f>
        <v>0</v>
      </c>
    </row>
    <row r="1346" spans="1:11" x14ac:dyDescent="0.2">
      <c r="A1346" s="235">
        <v>112485</v>
      </c>
      <c r="B1346" s="236" t="s">
        <v>209</v>
      </c>
      <c r="C1346" s="236" t="s">
        <v>8</v>
      </c>
      <c r="D1346" s="236" t="s">
        <v>2</v>
      </c>
      <c r="E1346" s="237">
        <v>43617</v>
      </c>
      <c r="F1346" s="236" t="s">
        <v>1234</v>
      </c>
      <c r="G1346" s="237">
        <v>45023</v>
      </c>
      <c r="H1346" s="234">
        <f>SUMIF(VA!B:B,A1346,VA!I:I)</f>
        <v>347.47</v>
      </c>
      <c r="I1346" s="33">
        <f>SUMIF(VR!B:B,A1346,VR!I:I)</f>
        <v>631.20000000000005</v>
      </c>
      <c r="J1346" s="4">
        <f t="shared" ref="J1346:J1409" si="21">H1346+I1346</f>
        <v>978.67000000000007</v>
      </c>
      <c r="K1346" s="195">
        <f>SUMIF(FALTAS!A:A,A1346,FALTAS!D:D)</f>
        <v>1</v>
      </c>
    </row>
    <row r="1347" spans="1:11" x14ac:dyDescent="0.2">
      <c r="A1347" s="235">
        <v>122406</v>
      </c>
      <c r="B1347" s="236" t="s">
        <v>1714</v>
      </c>
      <c r="C1347" s="236" t="s">
        <v>1589</v>
      </c>
      <c r="D1347" s="236" t="s">
        <v>5</v>
      </c>
      <c r="E1347" s="237">
        <v>45117</v>
      </c>
      <c r="F1347" s="236" t="s">
        <v>1234</v>
      </c>
      <c r="G1347" s="237">
        <v>45117</v>
      </c>
      <c r="H1347" s="234">
        <f>SUMIF(VA!B:B,A1347,VA!I:I)</f>
        <v>359.46</v>
      </c>
      <c r="I1347" s="33">
        <f>SUMIF(VR!B:B,A1347,VR!I:I)</f>
        <v>657.5</v>
      </c>
      <c r="J1347" s="4">
        <f t="shared" si="21"/>
        <v>1016.96</v>
      </c>
      <c r="K1347" s="195">
        <f>SUMIF(FALTAS!A:A,A1347,FALTAS!D:D)</f>
        <v>0</v>
      </c>
    </row>
    <row r="1348" spans="1:11" x14ac:dyDescent="0.2">
      <c r="A1348" s="235">
        <v>112733</v>
      </c>
      <c r="B1348" s="236" t="s">
        <v>373</v>
      </c>
      <c r="C1348" s="236" t="s">
        <v>1589</v>
      </c>
      <c r="D1348" s="236" t="s">
        <v>15</v>
      </c>
      <c r="E1348" s="237">
        <v>43617</v>
      </c>
      <c r="F1348" s="236" t="s">
        <v>1235</v>
      </c>
      <c r="G1348" s="237">
        <v>45147</v>
      </c>
      <c r="H1348" s="234">
        <f>SUMIF(VA!B:B,A1348,VA!I:I)</f>
        <v>359.46</v>
      </c>
      <c r="I1348" s="33">
        <f>SUMIF(VR!B:B,A1348,VR!I:I)</f>
        <v>657.5</v>
      </c>
      <c r="J1348" s="4">
        <f t="shared" si="21"/>
        <v>1016.96</v>
      </c>
      <c r="K1348" s="195">
        <f>SUMIF(FALTAS!A:A,A1348,FALTAS!D:D)</f>
        <v>0</v>
      </c>
    </row>
    <row r="1349" spans="1:11" x14ac:dyDescent="0.2">
      <c r="A1349" s="235">
        <v>121847</v>
      </c>
      <c r="B1349" s="236" t="s">
        <v>1629</v>
      </c>
      <c r="C1349" s="236" t="s">
        <v>32</v>
      </c>
      <c r="D1349" s="236" t="s">
        <v>5</v>
      </c>
      <c r="E1349" s="237">
        <v>45022</v>
      </c>
      <c r="F1349" s="236" t="s">
        <v>1234</v>
      </c>
      <c r="G1349" s="237">
        <v>45022</v>
      </c>
      <c r="H1349" s="234">
        <f>SUMIF(VA!B:B,A1349,VA!I:I)</f>
        <v>359.46</v>
      </c>
      <c r="I1349" s="33">
        <f>SUMIF(VR!B:B,A1349,VR!I:I)</f>
        <v>657.5</v>
      </c>
      <c r="J1349" s="4">
        <f t="shared" si="21"/>
        <v>1016.96</v>
      </c>
      <c r="K1349" s="195">
        <f>SUMIF(FALTAS!A:A,A1349,FALTAS!D:D)</f>
        <v>0</v>
      </c>
    </row>
    <row r="1350" spans="1:11" x14ac:dyDescent="0.2">
      <c r="A1350" s="235">
        <v>121460</v>
      </c>
      <c r="B1350" s="236" t="s">
        <v>1580</v>
      </c>
      <c r="C1350" s="236" t="s">
        <v>19</v>
      </c>
      <c r="D1350" s="236" t="s">
        <v>5</v>
      </c>
      <c r="E1350" s="237">
        <v>44967</v>
      </c>
      <c r="F1350" s="236" t="s">
        <v>1234</v>
      </c>
      <c r="G1350" s="237">
        <v>44967</v>
      </c>
      <c r="H1350" s="234">
        <f>SUMIF(VA!B:B,A1350,VA!I:I)</f>
        <v>347.47</v>
      </c>
      <c r="I1350" s="33">
        <f>SUMIF(VR!B:B,A1350,VR!I:I)</f>
        <v>631.20000000000005</v>
      </c>
      <c r="J1350" s="4">
        <f t="shared" si="21"/>
        <v>978.67000000000007</v>
      </c>
      <c r="K1350" s="195">
        <f>SUMIF(FALTAS!A:A,A1350,FALTAS!D:D)</f>
        <v>1</v>
      </c>
    </row>
    <row r="1351" spans="1:11" x14ac:dyDescent="0.2">
      <c r="A1351" s="235">
        <v>112489</v>
      </c>
      <c r="B1351" s="236" t="s">
        <v>211</v>
      </c>
      <c r="C1351" s="236" t="s">
        <v>32</v>
      </c>
      <c r="D1351" s="236" t="s">
        <v>2</v>
      </c>
      <c r="E1351" s="237">
        <v>43617</v>
      </c>
      <c r="F1351" s="236" t="s">
        <v>1234</v>
      </c>
      <c r="G1351" s="237">
        <v>45023</v>
      </c>
      <c r="H1351" s="234">
        <f>SUMIF(VA!B:B,A1351,VA!I:I)</f>
        <v>359.46</v>
      </c>
      <c r="I1351" s="33">
        <f>SUMIF(VR!B:B,A1351,VR!I:I)</f>
        <v>657.5</v>
      </c>
      <c r="J1351" s="4">
        <f t="shared" si="21"/>
        <v>1016.96</v>
      </c>
      <c r="K1351" s="195">
        <f>SUMIF(FALTAS!A:A,A1351,FALTAS!D:D)</f>
        <v>0</v>
      </c>
    </row>
    <row r="1352" spans="1:11" x14ac:dyDescent="0.2">
      <c r="A1352" s="235">
        <v>112235</v>
      </c>
      <c r="B1352" s="236" t="s">
        <v>54</v>
      </c>
      <c r="C1352" s="236" t="s">
        <v>19</v>
      </c>
      <c r="D1352" s="236" t="s">
        <v>5</v>
      </c>
      <c r="E1352" s="237">
        <v>43617</v>
      </c>
      <c r="F1352" s="236" t="s">
        <v>1234</v>
      </c>
      <c r="G1352" s="237">
        <v>44776</v>
      </c>
      <c r="H1352" s="234">
        <f>SUMIF(VA!B:B,A1352,VA!I:I)</f>
        <v>359.46</v>
      </c>
      <c r="I1352" s="33">
        <f>SUMIF(VR!B:B,A1352,VR!I:I)</f>
        <v>657.5</v>
      </c>
      <c r="J1352" s="4">
        <f t="shared" si="21"/>
        <v>1016.96</v>
      </c>
      <c r="K1352" s="195">
        <f>SUMIF(FALTAS!A:A,A1352,FALTAS!D:D)</f>
        <v>0</v>
      </c>
    </row>
    <row r="1353" spans="1:11" x14ac:dyDescent="0.2">
      <c r="A1353" s="235">
        <v>112322</v>
      </c>
      <c r="B1353" s="236" t="s">
        <v>106</v>
      </c>
      <c r="C1353" s="236" t="s">
        <v>0</v>
      </c>
      <c r="D1353" s="236" t="s">
        <v>39</v>
      </c>
      <c r="E1353" s="237">
        <v>43617</v>
      </c>
      <c r="F1353" s="236" t="s">
        <v>1234</v>
      </c>
      <c r="G1353" s="237">
        <v>45056</v>
      </c>
      <c r="H1353" s="234">
        <f>SUMIF(VA!B:B,A1353,VA!I:I)</f>
        <v>359.46</v>
      </c>
      <c r="I1353" s="33">
        <f>SUMIF(VR!B:B,A1353,VR!I:I)</f>
        <v>657.5</v>
      </c>
      <c r="J1353" s="4">
        <f t="shared" si="21"/>
        <v>1016.96</v>
      </c>
      <c r="K1353" s="195">
        <f>SUMIF(FALTAS!A:A,A1353,FALTAS!D:D)</f>
        <v>0</v>
      </c>
    </row>
    <row r="1354" spans="1:11" x14ac:dyDescent="0.2">
      <c r="A1354" s="235">
        <v>112237</v>
      </c>
      <c r="B1354" s="236" t="s">
        <v>56</v>
      </c>
      <c r="C1354" s="236" t="s">
        <v>19</v>
      </c>
      <c r="D1354" s="236" t="s">
        <v>5</v>
      </c>
      <c r="E1354" s="237">
        <v>43617</v>
      </c>
      <c r="F1354" s="236" t="s">
        <v>1234</v>
      </c>
      <c r="G1354" s="237">
        <v>45063</v>
      </c>
      <c r="H1354" s="234">
        <f>SUMIF(VA!B:B,A1354,VA!I:I)</f>
        <v>359.46</v>
      </c>
      <c r="I1354" s="33">
        <f>SUMIF(VR!B:B,A1354,VR!I:I)</f>
        <v>657.5</v>
      </c>
      <c r="J1354" s="4">
        <f t="shared" si="21"/>
        <v>1016.96</v>
      </c>
      <c r="K1354" s="195">
        <f>SUMIF(FALTAS!A:A,A1354,FALTAS!D:D)</f>
        <v>0</v>
      </c>
    </row>
    <row r="1355" spans="1:11" x14ac:dyDescent="0.2">
      <c r="A1355" s="235">
        <v>112759</v>
      </c>
      <c r="B1355" s="236" t="s">
        <v>388</v>
      </c>
      <c r="C1355" s="236" t="s">
        <v>1589</v>
      </c>
      <c r="D1355" s="236" t="s">
        <v>282</v>
      </c>
      <c r="E1355" s="237">
        <v>43617</v>
      </c>
      <c r="F1355" s="236" t="s">
        <v>1234</v>
      </c>
      <c r="G1355" s="237">
        <v>45023</v>
      </c>
      <c r="H1355" s="234">
        <f>SUMIF(VA!B:B,A1355,VA!I:I)</f>
        <v>359.46</v>
      </c>
      <c r="I1355" s="33">
        <f>SUMIF(VR!B:B,A1355,VR!I:I)</f>
        <v>657.5</v>
      </c>
      <c r="J1355" s="4">
        <f t="shared" si="21"/>
        <v>1016.96</v>
      </c>
      <c r="K1355" s="195">
        <f>SUMIF(FALTAS!A:A,A1355,FALTAS!D:D)</f>
        <v>0</v>
      </c>
    </row>
    <row r="1356" spans="1:11" x14ac:dyDescent="0.2">
      <c r="A1356" s="235">
        <v>112329</v>
      </c>
      <c r="B1356" s="236" t="s">
        <v>111</v>
      </c>
      <c r="C1356" s="236" t="s">
        <v>10</v>
      </c>
      <c r="D1356" s="236" t="s">
        <v>5</v>
      </c>
      <c r="E1356" s="237">
        <v>43617</v>
      </c>
      <c r="F1356" s="236" t="s">
        <v>1234</v>
      </c>
      <c r="G1356" s="237">
        <v>44867</v>
      </c>
      <c r="H1356" s="234">
        <f>SUMIF(VA!B:B,A1356,VA!I:I)</f>
        <v>359.46</v>
      </c>
      <c r="I1356" s="33">
        <f>SUMIF(VR!B:B,A1356,VR!I:I)</f>
        <v>657.5</v>
      </c>
      <c r="J1356" s="4">
        <f t="shared" si="21"/>
        <v>1016.96</v>
      </c>
      <c r="K1356" s="195">
        <f>SUMIF(FALTAS!A:A,A1356,FALTAS!D:D)</f>
        <v>0</v>
      </c>
    </row>
    <row r="1357" spans="1:11" x14ac:dyDescent="0.2">
      <c r="A1357" s="235">
        <v>114127</v>
      </c>
      <c r="B1357" s="236" t="s">
        <v>1017</v>
      </c>
      <c r="C1357" s="236" t="s">
        <v>1589</v>
      </c>
      <c r="D1357" s="236" t="s">
        <v>15</v>
      </c>
      <c r="E1357" s="237">
        <v>43739</v>
      </c>
      <c r="F1357" s="236" t="s">
        <v>1234</v>
      </c>
      <c r="G1357" s="237">
        <v>44898</v>
      </c>
      <c r="H1357" s="234">
        <f>SUMIF(VA!B:B,A1357,VA!I:I)</f>
        <v>359.46</v>
      </c>
      <c r="I1357" s="33">
        <f>SUMIF(VR!B:B,A1357,VR!I:I)</f>
        <v>657.5</v>
      </c>
      <c r="J1357" s="4">
        <f t="shared" si="21"/>
        <v>1016.96</v>
      </c>
      <c r="K1357" s="195">
        <f>SUMIF(FALTAS!A:A,A1357,FALTAS!D:D)</f>
        <v>0</v>
      </c>
    </row>
    <row r="1358" spans="1:11" x14ac:dyDescent="0.2">
      <c r="A1358" s="235">
        <v>114939</v>
      </c>
      <c r="B1358" s="236" t="s">
        <v>1124</v>
      </c>
      <c r="C1358" s="236" t="s">
        <v>1589</v>
      </c>
      <c r="D1358" s="236" t="s">
        <v>5</v>
      </c>
      <c r="E1358" s="237">
        <v>43916</v>
      </c>
      <c r="F1358" s="236" t="s">
        <v>1234</v>
      </c>
      <c r="G1358" s="237">
        <v>45119</v>
      </c>
      <c r="H1358" s="234">
        <f>SUMIF(VA!B:B,A1358,VA!I:I)</f>
        <v>359.46</v>
      </c>
      <c r="I1358" s="33">
        <f>SUMIF(VR!B:B,A1358,VR!I:I)</f>
        <v>657.5</v>
      </c>
      <c r="J1358" s="4">
        <f t="shared" si="21"/>
        <v>1016.96</v>
      </c>
      <c r="K1358" s="195">
        <f>SUMIF(FALTAS!A:A,A1358,FALTAS!D:D)</f>
        <v>0</v>
      </c>
    </row>
    <row r="1359" spans="1:11" x14ac:dyDescent="0.2">
      <c r="A1359" s="235">
        <v>113034</v>
      </c>
      <c r="B1359" s="236" t="s">
        <v>554</v>
      </c>
      <c r="C1359" s="236" t="s">
        <v>1589</v>
      </c>
      <c r="D1359" s="236" t="s">
        <v>15</v>
      </c>
      <c r="E1359" s="237">
        <v>43617</v>
      </c>
      <c r="F1359" s="236" t="s">
        <v>1234</v>
      </c>
      <c r="G1359" s="237">
        <v>44867</v>
      </c>
      <c r="H1359" s="234">
        <f>SUMIF(VA!B:B,A1359,VA!I:I)</f>
        <v>359.46</v>
      </c>
      <c r="I1359" s="33">
        <f>SUMIF(VR!B:B,A1359,VR!I:I)</f>
        <v>657.5</v>
      </c>
      <c r="J1359" s="4">
        <f t="shared" si="21"/>
        <v>1016.96</v>
      </c>
      <c r="K1359" s="195">
        <f>SUMIF(FALTAS!A:A,A1359,FALTAS!D:D)</f>
        <v>0</v>
      </c>
    </row>
    <row r="1360" spans="1:11" x14ac:dyDescent="0.2">
      <c r="A1360" s="235">
        <v>112498</v>
      </c>
      <c r="B1360" s="236" t="s">
        <v>217</v>
      </c>
      <c r="C1360" s="236" t="s">
        <v>8</v>
      </c>
      <c r="D1360" s="236" t="s">
        <v>2</v>
      </c>
      <c r="E1360" s="237">
        <v>43617</v>
      </c>
      <c r="F1360" s="236" t="s">
        <v>1234</v>
      </c>
      <c r="G1360" s="237">
        <v>45023</v>
      </c>
      <c r="H1360" s="234">
        <f>SUMIF(VA!B:B,A1360,VA!I:I)</f>
        <v>359.46</v>
      </c>
      <c r="I1360" s="33">
        <f>SUMIF(VR!B:B,A1360,VR!I:I)</f>
        <v>657.5</v>
      </c>
      <c r="J1360" s="4">
        <f t="shared" si="21"/>
        <v>1016.96</v>
      </c>
      <c r="K1360" s="195">
        <f>SUMIF(FALTAS!A:A,A1360,FALTAS!D:D)</f>
        <v>0</v>
      </c>
    </row>
    <row r="1361" spans="1:11" x14ac:dyDescent="0.2">
      <c r="A1361" s="235">
        <v>112776</v>
      </c>
      <c r="B1361" s="236" t="s">
        <v>401</v>
      </c>
      <c r="C1361" s="236" t="s">
        <v>0</v>
      </c>
      <c r="D1361" s="236" t="s">
        <v>2</v>
      </c>
      <c r="E1361" s="237">
        <v>43617</v>
      </c>
      <c r="F1361" s="236" t="s">
        <v>1234</v>
      </c>
      <c r="G1361" s="237">
        <v>44835</v>
      </c>
      <c r="H1361" s="234">
        <f>SUMIF(VA!B:B,A1361,VA!I:I)</f>
        <v>359.46</v>
      </c>
      <c r="I1361" s="33">
        <f>SUMIF(VR!B:B,A1361,VR!I:I)</f>
        <v>657.5</v>
      </c>
      <c r="J1361" s="4">
        <f t="shared" si="21"/>
        <v>1016.96</v>
      </c>
      <c r="K1361" s="195">
        <f>SUMIF(FALTAS!A:A,A1361,FALTAS!D:D)</f>
        <v>0</v>
      </c>
    </row>
    <row r="1362" spans="1:11" x14ac:dyDescent="0.2">
      <c r="A1362" s="235">
        <v>112504</v>
      </c>
      <c r="B1362" s="236" t="s">
        <v>222</v>
      </c>
      <c r="C1362" s="236" t="s">
        <v>8</v>
      </c>
      <c r="D1362" s="236" t="s">
        <v>2</v>
      </c>
      <c r="E1362" s="237">
        <v>43617</v>
      </c>
      <c r="F1362" s="236" t="s">
        <v>1234</v>
      </c>
      <c r="G1362" s="237">
        <v>44835</v>
      </c>
      <c r="H1362" s="234">
        <f>SUMIF(VA!B:B,A1362,VA!I:I)</f>
        <v>359.46</v>
      </c>
      <c r="I1362" s="33">
        <f>SUMIF(VR!B:B,A1362,VR!I:I)</f>
        <v>657.5</v>
      </c>
      <c r="J1362" s="4">
        <f t="shared" si="21"/>
        <v>1016.96</v>
      </c>
      <c r="K1362" s="195">
        <f>SUMIF(FALTAS!A:A,A1362,FALTAS!D:D)</f>
        <v>0</v>
      </c>
    </row>
    <row r="1363" spans="1:11" x14ac:dyDescent="0.2">
      <c r="A1363" s="235">
        <v>112507</v>
      </c>
      <c r="B1363" s="236" t="s">
        <v>225</v>
      </c>
      <c r="C1363" s="236" t="s">
        <v>8</v>
      </c>
      <c r="D1363" s="236" t="s">
        <v>2</v>
      </c>
      <c r="E1363" s="237">
        <v>43617</v>
      </c>
      <c r="F1363" s="236" t="s">
        <v>1234</v>
      </c>
      <c r="G1363" s="237">
        <v>44835</v>
      </c>
      <c r="H1363" s="234">
        <f>SUMIF(VA!B:B,A1363,VA!I:I)</f>
        <v>359.46</v>
      </c>
      <c r="I1363" s="33">
        <f>SUMIF(VR!B:B,A1363,VR!I:I)</f>
        <v>657.5</v>
      </c>
      <c r="J1363" s="4">
        <f t="shared" si="21"/>
        <v>1016.96</v>
      </c>
      <c r="K1363" s="195">
        <f>SUMIF(FALTAS!A:A,A1363,FALTAS!D:D)</f>
        <v>0</v>
      </c>
    </row>
    <row r="1364" spans="1:11" x14ac:dyDescent="0.2">
      <c r="A1364" s="235">
        <v>114751</v>
      </c>
      <c r="B1364" s="236" t="s">
        <v>1096</v>
      </c>
      <c r="C1364" s="236" t="s">
        <v>0</v>
      </c>
      <c r="D1364" s="236" t="s">
        <v>2</v>
      </c>
      <c r="E1364" s="237">
        <v>43874</v>
      </c>
      <c r="F1364" s="236" t="s">
        <v>1234</v>
      </c>
      <c r="G1364" s="237">
        <v>44776</v>
      </c>
      <c r="H1364" s="234">
        <f>SUMIF(VA!B:B,A1364,VA!I:I)</f>
        <v>359.46</v>
      </c>
      <c r="I1364" s="33">
        <f>SUMIF(VR!B:B,A1364,VR!I:I)</f>
        <v>657.5</v>
      </c>
      <c r="J1364" s="4">
        <f t="shared" si="21"/>
        <v>1016.96</v>
      </c>
      <c r="K1364" s="195">
        <f>SUMIF(FALTAS!A:A,A1364,FALTAS!D:D)</f>
        <v>0</v>
      </c>
    </row>
    <row r="1365" spans="1:11" x14ac:dyDescent="0.2">
      <c r="A1365" s="235">
        <v>112331</v>
      </c>
      <c r="B1365" s="236" t="s">
        <v>113</v>
      </c>
      <c r="C1365" s="236" t="s">
        <v>10</v>
      </c>
      <c r="D1365" s="236" t="s">
        <v>2</v>
      </c>
      <c r="E1365" s="237">
        <v>43617</v>
      </c>
      <c r="F1365" s="236" t="s">
        <v>1234</v>
      </c>
      <c r="G1365" s="237">
        <v>44835</v>
      </c>
      <c r="H1365" s="234">
        <f>SUMIF(VA!B:B,A1365,VA!I:I)</f>
        <v>359.46</v>
      </c>
      <c r="I1365" s="33">
        <f>SUMIF(VR!B:B,A1365,VR!I:I)</f>
        <v>657.5</v>
      </c>
      <c r="J1365" s="4">
        <f t="shared" si="21"/>
        <v>1016.96</v>
      </c>
      <c r="K1365" s="195">
        <f>SUMIF(FALTAS!A:A,A1365,FALTAS!D:D)</f>
        <v>0</v>
      </c>
    </row>
    <row r="1366" spans="1:11" x14ac:dyDescent="0.2">
      <c r="A1366" s="235">
        <v>112512</v>
      </c>
      <c r="B1366" s="236" t="s">
        <v>229</v>
      </c>
      <c r="C1366" s="236" t="s">
        <v>8</v>
      </c>
      <c r="D1366" s="236" t="s">
        <v>5</v>
      </c>
      <c r="E1366" s="237">
        <v>43617</v>
      </c>
      <c r="F1366" s="236" t="s">
        <v>1234</v>
      </c>
      <c r="G1366" s="237">
        <v>44806</v>
      </c>
      <c r="H1366" s="234">
        <f>SUMIF(VA!B:B,A1366,VA!I:I)</f>
        <v>359.46</v>
      </c>
      <c r="I1366" s="33">
        <f>SUMIF(VR!B:B,A1366,VR!I:I)</f>
        <v>657.5</v>
      </c>
      <c r="J1366" s="4">
        <f t="shared" si="21"/>
        <v>1016.96</v>
      </c>
      <c r="K1366" s="195">
        <f>SUMIF(FALTAS!A:A,A1366,FALTAS!D:D)</f>
        <v>0</v>
      </c>
    </row>
    <row r="1367" spans="1:11" x14ac:dyDescent="0.2">
      <c r="A1367" s="235">
        <v>112779</v>
      </c>
      <c r="B1367" s="236" t="s">
        <v>403</v>
      </c>
      <c r="C1367" s="236" t="s">
        <v>1589</v>
      </c>
      <c r="D1367" s="236" t="s">
        <v>5</v>
      </c>
      <c r="E1367" s="237">
        <v>43617</v>
      </c>
      <c r="F1367" s="236" t="s">
        <v>1235</v>
      </c>
      <c r="G1367" s="237">
        <v>45147</v>
      </c>
      <c r="H1367" s="234">
        <f>SUMIF(VA!B:B,A1367,VA!I:I)</f>
        <v>359.46</v>
      </c>
      <c r="I1367" s="33">
        <f>SUMIF(VR!B:B,A1367,VR!I:I)</f>
        <v>657.5</v>
      </c>
      <c r="J1367" s="4">
        <f t="shared" si="21"/>
        <v>1016.96</v>
      </c>
      <c r="K1367" s="195">
        <f>SUMIF(FALTAS!A:A,A1367,FALTAS!D:D)</f>
        <v>0</v>
      </c>
    </row>
    <row r="1368" spans="1:11" x14ac:dyDescent="0.2">
      <c r="A1368" s="235">
        <v>112782</v>
      </c>
      <c r="B1368" s="236" t="s">
        <v>406</v>
      </c>
      <c r="C1368" s="236" t="s">
        <v>0</v>
      </c>
      <c r="D1368" s="236" t="s">
        <v>5</v>
      </c>
      <c r="E1368" s="237">
        <v>43617</v>
      </c>
      <c r="F1368" s="236" t="s">
        <v>1234</v>
      </c>
      <c r="G1368" s="237">
        <v>45056</v>
      </c>
      <c r="H1368" s="234">
        <f>SUMIF(VA!B:B,A1368,VA!I:I)</f>
        <v>359.46</v>
      </c>
      <c r="I1368" s="33">
        <f>SUMIF(VR!B:B,A1368,VR!I:I)</f>
        <v>657.5</v>
      </c>
      <c r="J1368" s="4">
        <f t="shared" si="21"/>
        <v>1016.96</v>
      </c>
      <c r="K1368" s="195">
        <f>SUMIF(FALTAS!A:A,A1368,FALTAS!D:D)</f>
        <v>0</v>
      </c>
    </row>
    <row r="1369" spans="1:11" x14ac:dyDescent="0.2">
      <c r="A1369" s="235">
        <v>112786</v>
      </c>
      <c r="B1369" s="236" t="s">
        <v>409</v>
      </c>
      <c r="C1369" s="236" t="s">
        <v>0</v>
      </c>
      <c r="D1369" s="236" t="s">
        <v>5</v>
      </c>
      <c r="E1369" s="237">
        <v>43617</v>
      </c>
      <c r="F1369" s="236" t="s">
        <v>1234</v>
      </c>
      <c r="G1369" s="237">
        <v>45023</v>
      </c>
      <c r="H1369" s="234">
        <f>SUMIF(VA!B:B,A1369,VA!I:I)</f>
        <v>359.46</v>
      </c>
      <c r="I1369" s="33">
        <f>SUMIF(VR!B:B,A1369,VR!I:I)</f>
        <v>657.5</v>
      </c>
      <c r="J1369" s="4">
        <f t="shared" si="21"/>
        <v>1016.96</v>
      </c>
      <c r="K1369" s="195">
        <f>SUMIF(FALTAS!A:A,A1369,FALTAS!D:D)</f>
        <v>0</v>
      </c>
    </row>
    <row r="1370" spans="1:11" x14ac:dyDescent="0.2">
      <c r="A1370" s="235">
        <v>116133</v>
      </c>
      <c r="B1370" s="236" t="s">
        <v>1192</v>
      </c>
      <c r="C1370" s="236" t="s">
        <v>1589</v>
      </c>
      <c r="D1370" s="236" t="s">
        <v>205</v>
      </c>
      <c r="E1370" s="237">
        <v>44249</v>
      </c>
      <c r="F1370" s="236" t="s">
        <v>1234</v>
      </c>
      <c r="G1370" s="237">
        <v>45045</v>
      </c>
      <c r="H1370" s="234">
        <f>SUMIF(VA!B:B,A1370,VA!I:I)</f>
        <v>359.46</v>
      </c>
      <c r="I1370" s="33">
        <f>SUMIF(VR!B:B,A1370,VR!I:I)</f>
        <v>657.5</v>
      </c>
      <c r="J1370" s="4">
        <f t="shared" si="21"/>
        <v>1016.96</v>
      </c>
      <c r="K1370" s="195">
        <f>SUMIF(FALTAS!A:A,A1370,FALTAS!D:D)</f>
        <v>0</v>
      </c>
    </row>
    <row r="1371" spans="1:11" x14ac:dyDescent="0.2">
      <c r="A1371" s="235">
        <v>112332</v>
      </c>
      <c r="B1371" s="236" t="s">
        <v>114</v>
      </c>
      <c r="C1371" s="236" t="s">
        <v>10</v>
      </c>
      <c r="D1371" s="236" t="s">
        <v>2</v>
      </c>
      <c r="E1371" s="237">
        <v>43617</v>
      </c>
      <c r="F1371" s="236" t="s">
        <v>1234</v>
      </c>
      <c r="G1371" s="237">
        <v>44835</v>
      </c>
      <c r="H1371" s="234">
        <f>SUMIF(VA!B:B,A1371,VA!I:I)</f>
        <v>359.46</v>
      </c>
      <c r="I1371" s="33">
        <f>SUMIF(VR!B:B,A1371,VR!I:I)</f>
        <v>657.5</v>
      </c>
      <c r="J1371" s="4">
        <f t="shared" si="21"/>
        <v>1016.96</v>
      </c>
      <c r="K1371" s="195">
        <f>SUMIF(FALTAS!A:A,A1371,FALTAS!D:D)</f>
        <v>0</v>
      </c>
    </row>
    <row r="1372" spans="1:11" x14ac:dyDescent="0.2">
      <c r="A1372" s="235">
        <v>112566</v>
      </c>
      <c r="B1372" s="236" t="s">
        <v>268</v>
      </c>
      <c r="C1372" s="236" t="s">
        <v>8</v>
      </c>
      <c r="D1372" s="236" t="s">
        <v>2</v>
      </c>
      <c r="E1372" s="237">
        <v>43617</v>
      </c>
      <c r="F1372" s="236" t="s">
        <v>1235</v>
      </c>
      <c r="G1372" s="237">
        <v>45147</v>
      </c>
      <c r="H1372" s="234">
        <f>SUMIF(VA!B:B,A1372,VA!I:I)</f>
        <v>359.46</v>
      </c>
      <c r="I1372" s="33">
        <f>SUMIF(VR!B:B,A1372,VR!I:I)</f>
        <v>657.5</v>
      </c>
      <c r="J1372" s="4">
        <f t="shared" si="21"/>
        <v>1016.96</v>
      </c>
      <c r="K1372" s="195">
        <f>SUMIF(FALTAS!A:A,A1372,FALTAS!D:D)</f>
        <v>0</v>
      </c>
    </row>
    <row r="1373" spans="1:11" x14ac:dyDescent="0.2">
      <c r="A1373" s="235">
        <v>112569</v>
      </c>
      <c r="B1373" s="236" t="s">
        <v>271</v>
      </c>
      <c r="C1373" s="236" t="s">
        <v>8</v>
      </c>
      <c r="D1373" s="236" t="s">
        <v>2</v>
      </c>
      <c r="E1373" s="237">
        <v>43617</v>
      </c>
      <c r="F1373" s="236" t="s">
        <v>1234</v>
      </c>
      <c r="G1373" s="237">
        <v>44835</v>
      </c>
      <c r="H1373" s="234">
        <f>SUMIF(VA!B:B,A1373,VA!I:I)</f>
        <v>359.46</v>
      </c>
      <c r="I1373" s="33">
        <f>SUMIF(VR!B:B,A1373,VR!I:I)</f>
        <v>657.5</v>
      </c>
      <c r="J1373" s="4">
        <f t="shared" si="21"/>
        <v>1016.96</v>
      </c>
      <c r="K1373" s="195">
        <f>SUMIF(FALTAS!A:A,A1373,FALTAS!D:D)</f>
        <v>0</v>
      </c>
    </row>
    <row r="1374" spans="1:11" x14ac:dyDescent="0.2">
      <c r="A1374" s="235">
        <v>114124</v>
      </c>
      <c r="B1374" s="236" t="s">
        <v>1015</v>
      </c>
      <c r="C1374" s="236" t="s">
        <v>1589</v>
      </c>
      <c r="D1374" s="236" t="s">
        <v>15</v>
      </c>
      <c r="E1374" s="237">
        <v>43739</v>
      </c>
      <c r="F1374" s="236" t="s">
        <v>1234</v>
      </c>
      <c r="G1374" s="237">
        <v>44960</v>
      </c>
      <c r="H1374" s="234">
        <f>SUMIF(VA!B:B,A1374,VA!I:I)</f>
        <v>359.46</v>
      </c>
      <c r="I1374" s="33">
        <f>SUMIF(VR!B:B,A1374,VR!I:I)</f>
        <v>657.5</v>
      </c>
      <c r="J1374" s="4">
        <f t="shared" si="21"/>
        <v>1016.96</v>
      </c>
      <c r="K1374" s="195">
        <f>SUMIF(FALTAS!A:A,A1374,FALTAS!D:D)</f>
        <v>0</v>
      </c>
    </row>
    <row r="1375" spans="1:11" x14ac:dyDescent="0.2">
      <c r="A1375" s="235">
        <v>112814</v>
      </c>
      <c r="B1375" s="236" t="s">
        <v>430</v>
      </c>
      <c r="C1375" s="236" t="s">
        <v>0</v>
      </c>
      <c r="D1375" s="236" t="s">
        <v>2</v>
      </c>
      <c r="E1375" s="237">
        <v>43617</v>
      </c>
      <c r="F1375" s="236" t="s">
        <v>1234</v>
      </c>
      <c r="G1375" s="237">
        <v>44835</v>
      </c>
      <c r="H1375" s="234">
        <f>SUMIF(VA!B:B,A1375,VA!I:I)</f>
        <v>359.46</v>
      </c>
      <c r="I1375" s="33">
        <f>SUMIF(VR!B:B,A1375,VR!I:I)</f>
        <v>657.5</v>
      </c>
      <c r="J1375" s="4">
        <f t="shared" si="21"/>
        <v>1016.96</v>
      </c>
      <c r="K1375" s="195">
        <f>SUMIF(FALTAS!A:A,A1375,FALTAS!D:D)</f>
        <v>0</v>
      </c>
    </row>
    <row r="1376" spans="1:11" x14ac:dyDescent="0.2">
      <c r="A1376" s="235">
        <v>112573</v>
      </c>
      <c r="B1376" s="236" t="s">
        <v>272</v>
      </c>
      <c r="C1376" s="236" t="s">
        <v>32</v>
      </c>
      <c r="D1376" s="236" t="s">
        <v>5</v>
      </c>
      <c r="E1376" s="237">
        <v>43617</v>
      </c>
      <c r="F1376" s="236" t="s">
        <v>1234</v>
      </c>
      <c r="G1376" s="237">
        <v>45119</v>
      </c>
      <c r="H1376" s="234">
        <f>SUMIF(VA!B:B,A1376,VA!I:I)</f>
        <v>359.46</v>
      </c>
      <c r="I1376" s="33">
        <f>SUMIF(VR!B:B,A1376,VR!I:I)</f>
        <v>657.5</v>
      </c>
      <c r="J1376" s="4">
        <f t="shared" si="21"/>
        <v>1016.96</v>
      </c>
      <c r="K1376" s="195">
        <f>SUMIF(FALTAS!A:A,A1376,FALTAS!D:D)</f>
        <v>0</v>
      </c>
    </row>
    <row r="1377" spans="1:11" x14ac:dyDescent="0.2">
      <c r="A1377" s="235">
        <v>112242</v>
      </c>
      <c r="B1377" s="236" t="s">
        <v>59</v>
      </c>
      <c r="C1377" s="236" t="s">
        <v>10</v>
      </c>
      <c r="D1377" s="236" t="s">
        <v>5</v>
      </c>
      <c r="E1377" s="237">
        <v>43617</v>
      </c>
      <c r="F1377" s="236" t="s">
        <v>1234</v>
      </c>
      <c r="G1377" s="237">
        <v>44867</v>
      </c>
      <c r="H1377" s="234">
        <f>SUMIF(VA!B:B,A1377,VA!I:I)</f>
        <v>359.46</v>
      </c>
      <c r="I1377" s="33">
        <f>SUMIF(VR!B:B,A1377,VR!I:I)</f>
        <v>657.5</v>
      </c>
      <c r="J1377" s="4">
        <f t="shared" si="21"/>
        <v>1016.96</v>
      </c>
      <c r="K1377" s="195">
        <f>SUMIF(FALTAS!A:A,A1377,FALTAS!D:D)</f>
        <v>0</v>
      </c>
    </row>
    <row r="1378" spans="1:11" x14ac:dyDescent="0.2">
      <c r="A1378" s="235">
        <v>112795</v>
      </c>
      <c r="B1378" s="236" t="s">
        <v>415</v>
      </c>
      <c r="C1378" s="236" t="s">
        <v>1589</v>
      </c>
      <c r="D1378" s="236" t="s">
        <v>416</v>
      </c>
      <c r="E1378" s="237">
        <v>43617</v>
      </c>
      <c r="F1378" s="236" t="s">
        <v>1235</v>
      </c>
      <c r="G1378" s="237">
        <v>45159</v>
      </c>
      <c r="H1378" s="234">
        <f>SUMIF(VA!B:B,A1378,VA!I:I)</f>
        <v>359.46</v>
      </c>
      <c r="I1378" s="33">
        <f>SUMIF(VR!B:B,A1378,VR!I:I)</f>
        <v>657.5</v>
      </c>
      <c r="J1378" s="4">
        <f t="shared" si="21"/>
        <v>1016.96</v>
      </c>
      <c r="K1378" s="195">
        <f>SUMIF(FALTAS!A:A,A1378,FALTAS!D:D)</f>
        <v>0</v>
      </c>
    </row>
    <row r="1379" spans="1:11" x14ac:dyDescent="0.2">
      <c r="A1379" s="235">
        <v>112333</v>
      </c>
      <c r="B1379" s="236" t="s">
        <v>115</v>
      </c>
      <c r="C1379" s="236" t="s">
        <v>8</v>
      </c>
      <c r="D1379" s="236" t="s">
        <v>2</v>
      </c>
      <c r="E1379" s="237">
        <v>43617</v>
      </c>
      <c r="F1379" s="236" t="s">
        <v>1234</v>
      </c>
      <c r="G1379" s="237">
        <v>44806</v>
      </c>
      <c r="H1379" s="234">
        <f>SUMIF(VA!B:B,A1379,VA!I:I)</f>
        <v>359.46</v>
      </c>
      <c r="I1379" s="33">
        <f>SUMIF(VR!B:B,A1379,VR!I:I)</f>
        <v>657.5</v>
      </c>
      <c r="J1379" s="4">
        <f t="shared" si="21"/>
        <v>1016.96</v>
      </c>
      <c r="K1379" s="195">
        <f>SUMIF(FALTAS!A:A,A1379,FALTAS!D:D)</f>
        <v>0</v>
      </c>
    </row>
    <row r="1380" spans="1:11" x14ac:dyDescent="0.2">
      <c r="A1380" s="235">
        <v>116111</v>
      </c>
      <c r="B1380" s="236" t="s">
        <v>1189</v>
      </c>
      <c r="C1380" s="236" t="s">
        <v>1589</v>
      </c>
      <c r="D1380" s="236" t="s">
        <v>282</v>
      </c>
      <c r="E1380" s="237">
        <v>44236</v>
      </c>
      <c r="F1380" s="236" t="s">
        <v>1234</v>
      </c>
      <c r="G1380" s="237">
        <v>45056</v>
      </c>
      <c r="H1380" s="234">
        <f>SUMIF(VA!B:B,A1380,VA!I:I)</f>
        <v>359.46</v>
      </c>
      <c r="I1380" s="33">
        <f>SUMIF(VR!B:B,A1380,VR!I:I)</f>
        <v>657.5</v>
      </c>
      <c r="J1380" s="4">
        <f t="shared" si="21"/>
        <v>1016.96</v>
      </c>
      <c r="K1380" s="195">
        <f>SUMIF(FALTAS!A:A,A1380,FALTAS!D:D)</f>
        <v>0</v>
      </c>
    </row>
    <row r="1381" spans="1:11" x14ac:dyDescent="0.2">
      <c r="A1381" s="235">
        <v>113725</v>
      </c>
      <c r="B1381" s="236" t="s">
        <v>943</v>
      </c>
      <c r="C1381" s="236" t="s">
        <v>1589</v>
      </c>
      <c r="D1381" s="236" t="s">
        <v>944</v>
      </c>
      <c r="E1381" s="237">
        <v>43619</v>
      </c>
      <c r="F1381" s="236" t="s">
        <v>1234</v>
      </c>
      <c r="G1381" s="237">
        <v>45071</v>
      </c>
      <c r="H1381" s="234">
        <f>SUMIF(VA!B:B,A1381,VA!I:I)</f>
        <v>359.46</v>
      </c>
      <c r="I1381" s="33">
        <f>SUMIF(VR!B:B,A1381,VR!I:I)</f>
        <v>657.5</v>
      </c>
      <c r="J1381" s="4">
        <f t="shared" si="21"/>
        <v>1016.96</v>
      </c>
      <c r="K1381" s="195">
        <f>SUMIF(FALTAS!A:A,A1381,FALTAS!D:D)</f>
        <v>0</v>
      </c>
    </row>
    <row r="1382" spans="1:11" x14ac:dyDescent="0.2">
      <c r="A1382" s="235">
        <v>112579</v>
      </c>
      <c r="B1382" s="236" t="s">
        <v>276</v>
      </c>
      <c r="C1382" s="236" t="s">
        <v>19</v>
      </c>
      <c r="D1382" s="236" t="s">
        <v>2</v>
      </c>
      <c r="E1382" s="237">
        <v>43617</v>
      </c>
      <c r="F1382" s="236" t="s">
        <v>1234</v>
      </c>
      <c r="G1382" s="237">
        <v>44835</v>
      </c>
      <c r="H1382" s="234">
        <f>SUMIF(VA!B:B,A1382,VA!I:I)</f>
        <v>359.46</v>
      </c>
      <c r="I1382" s="33">
        <f>SUMIF(VR!B:B,A1382,VR!I:I)</f>
        <v>657.5</v>
      </c>
      <c r="J1382" s="4">
        <f t="shared" si="21"/>
        <v>1016.96</v>
      </c>
      <c r="K1382" s="195">
        <f>SUMIF(FALTAS!A:A,A1382,FALTAS!D:D)</f>
        <v>0</v>
      </c>
    </row>
    <row r="1383" spans="1:11" x14ac:dyDescent="0.2">
      <c r="A1383" s="235">
        <v>112820</v>
      </c>
      <c r="B1383" s="236" t="s">
        <v>434</v>
      </c>
      <c r="C1383" s="236" t="s">
        <v>1589</v>
      </c>
      <c r="D1383" s="236" t="s">
        <v>22</v>
      </c>
      <c r="E1383" s="237">
        <v>43617</v>
      </c>
      <c r="F1383" s="236" t="s">
        <v>1234</v>
      </c>
      <c r="G1383" s="237">
        <v>44835</v>
      </c>
      <c r="H1383" s="234">
        <f>SUMIF(VA!B:B,A1383,VA!I:I)</f>
        <v>359.46</v>
      </c>
      <c r="I1383" s="33">
        <f>SUMIF(VR!B:B,A1383,VR!I:I)</f>
        <v>657.5</v>
      </c>
      <c r="J1383" s="4">
        <f t="shared" si="21"/>
        <v>1016.96</v>
      </c>
      <c r="K1383" s="195">
        <f>SUMIF(FALTAS!A:A,A1383,FALTAS!D:D)</f>
        <v>0</v>
      </c>
    </row>
    <row r="1384" spans="1:11" x14ac:dyDescent="0.2">
      <c r="A1384" s="235">
        <v>113041</v>
      </c>
      <c r="B1384" s="236" t="s">
        <v>557</v>
      </c>
      <c r="C1384" s="236" t="s">
        <v>1589</v>
      </c>
      <c r="D1384" s="236" t="s">
        <v>15</v>
      </c>
      <c r="E1384" s="237">
        <v>43617</v>
      </c>
      <c r="F1384" s="236" t="s">
        <v>1234</v>
      </c>
      <c r="G1384" s="237">
        <v>45149</v>
      </c>
      <c r="H1384" s="234">
        <f>SUMIF(VA!B:B,A1384,VA!I:I)</f>
        <v>359.46</v>
      </c>
      <c r="I1384" s="33">
        <f>SUMIF(VR!B:B,A1384,VR!I:I)</f>
        <v>657.5</v>
      </c>
      <c r="J1384" s="4">
        <f t="shared" si="21"/>
        <v>1016.96</v>
      </c>
      <c r="K1384" s="195">
        <f>SUMIF(FALTAS!A:A,A1384,FALTAS!D:D)</f>
        <v>0</v>
      </c>
    </row>
    <row r="1385" spans="1:11" x14ac:dyDescent="0.2">
      <c r="A1385" s="235">
        <v>112801</v>
      </c>
      <c r="B1385" s="236" t="s">
        <v>420</v>
      </c>
      <c r="C1385" s="236" t="s">
        <v>1589</v>
      </c>
      <c r="D1385" s="236" t="s">
        <v>413</v>
      </c>
      <c r="E1385" s="237">
        <v>43617</v>
      </c>
      <c r="F1385" s="236" t="s">
        <v>1234</v>
      </c>
      <c r="G1385" s="237">
        <v>44898</v>
      </c>
      <c r="H1385" s="234">
        <f>SUMIF(VA!B:B,A1385,VA!I:I)</f>
        <v>359.46</v>
      </c>
      <c r="I1385" s="33">
        <f>SUMIF(VR!B:B,A1385,VR!I:I)</f>
        <v>657.5</v>
      </c>
      <c r="J1385" s="4">
        <f t="shared" si="21"/>
        <v>1016.96</v>
      </c>
      <c r="K1385" s="195">
        <f>SUMIF(FALTAS!A:A,A1385,FALTAS!D:D)</f>
        <v>0</v>
      </c>
    </row>
    <row r="1386" spans="1:11" x14ac:dyDescent="0.2">
      <c r="A1386" s="235">
        <v>114941</v>
      </c>
      <c r="B1386" s="236" t="s">
        <v>1715</v>
      </c>
      <c r="C1386" s="236" t="s">
        <v>1589</v>
      </c>
      <c r="D1386" s="236" t="s">
        <v>5</v>
      </c>
      <c r="E1386" s="237">
        <v>43916</v>
      </c>
      <c r="F1386" s="236" t="s">
        <v>1234</v>
      </c>
      <c r="G1386" s="237">
        <v>45086</v>
      </c>
      <c r="H1386" s="234">
        <f>SUMIF(VA!B:B,A1386,VA!I:I)</f>
        <v>359.46</v>
      </c>
      <c r="I1386" s="33">
        <f>SUMIF(VR!B:B,A1386,VR!I:I)</f>
        <v>657.5</v>
      </c>
      <c r="J1386" s="4">
        <f t="shared" si="21"/>
        <v>1016.96</v>
      </c>
      <c r="K1386" s="195">
        <f>SUMIF(FALTAS!A:A,A1386,FALTAS!D:D)</f>
        <v>0</v>
      </c>
    </row>
    <row r="1387" spans="1:11" x14ac:dyDescent="0.2">
      <c r="A1387" s="235">
        <v>119342</v>
      </c>
      <c r="B1387" s="236" t="s">
        <v>1459</v>
      </c>
      <c r="C1387" s="236" t="s">
        <v>1589</v>
      </c>
      <c r="D1387" s="236" t="s">
        <v>989</v>
      </c>
      <c r="E1387" s="237">
        <v>44678</v>
      </c>
      <c r="F1387" s="236" t="s">
        <v>1234</v>
      </c>
      <c r="G1387" s="237">
        <v>45147</v>
      </c>
      <c r="H1387" s="234">
        <f>SUMIF(VA!B:B,A1387,VA!I:I)</f>
        <v>359.46</v>
      </c>
      <c r="I1387" s="33">
        <f>SUMIF(VR!B:B,A1387,VR!I:I)</f>
        <v>657.5</v>
      </c>
      <c r="J1387" s="4">
        <f t="shared" si="21"/>
        <v>1016.96</v>
      </c>
      <c r="K1387" s="195">
        <f>SUMIF(FALTAS!A:A,A1387,FALTAS!D:D)</f>
        <v>0</v>
      </c>
    </row>
    <row r="1388" spans="1:11" x14ac:dyDescent="0.2">
      <c r="A1388" s="235">
        <v>114004</v>
      </c>
      <c r="B1388" s="236" t="s">
        <v>998</v>
      </c>
      <c r="C1388" s="236" t="s">
        <v>1589</v>
      </c>
      <c r="D1388" s="236" t="s">
        <v>936</v>
      </c>
      <c r="E1388" s="237">
        <v>43696</v>
      </c>
      <c r="F1388" s="236" t="s">
        <v>1234</v>
      </c>
      <c r="G1388" s="237">
        <v>44993</v>
      </c>
      <c r="H1388" s="234">
        <f>SUMIF(VA!B:B,A1388,VA!I:I)</f>
        <v>359.46</v>
      </c>
      <c r="I1388" s="33">
        <f>SUMIF(VR!B:B,A1388,VR!I:I)</f>
        <v>657.5</v>
      </c>
      <c r="J1388" s="4">
        <f t="shared" si="21"/>
        <v>1016.96</v>
      </c>
      <c r="K1388" s="195">
        <f>SUMIF(FALTAS!A:A,A1388,FALTAS!D:D)</f>
        <v>0</v>
      </c>
    </row>
    <row r="1389" spans="1:11" x14ac:dyDescent="0.2">
      <c r="A1389" s="235">
        <v>112873</v>
      </c>
      <c r="B1389" s="236" t="s">
        <v>466</v>
      </c>
      <c r="C1389" s="236" t="s">
        <v>0</v>
      </c>
      <c r="D1389" s="236" t="s">
        <v>2</v>
      </c>
      <c r="E1389" s="237">
        <v>43617</v>
      </c>
      <c r="F1389" s="236" t="s">
        <v>1234</v>
      </c>
      <c r="G1389" s="237">
        <v>44835</v>
      </c>
      <c r="H1389" s="234">
        <f>SUMIF(VA!B:B,A1389,VA!I:I)</f>
        <v>359.46</v>
      </c>
      <c r="I1389" s="33">
        <f>SUMIF(VR!B:B,A1389,VR!I:I)</f>
        <v>657.5</v>
      </c>
      <c r="J1389" s="4">
        <f t="shared" si="21"/>
        <v>1016.96</v>
      </c>
      <c r="K1389" s="195">
        <f>SUMIF(FALTAS!A:A,A1389,FALTAS!D:D)</f>
        <v>0</v>
      </c>
    </row>
    <row r="1390" spans="1:11" x14ac:dyDescent="0.2">
      <c r="A1390" s="235">
        <v>116322</v>
      </c>
      <c r="B1390" s="236" t="s">
        <v>1208</v>
      </c>
      <c r="C1390" s="236" t="s">
        <v>8</v>
      </c>
      <c r="D1390" s="236" t="s">
        <v>5</v>
      </c>
      <c r="E1390" s="237">
        <v>44308</v>
      </c>
      <c r="F1390" s="236" t="s">
        <v>1234</v>
      </c>
      <c r="G1390" s="237">
        <v>44990</v>
      </c>
      <c r="H1390" s="234">
        <f>SUMIF(VA!B:B,A1390,VA!I:I)</f>
        <v>359.46</v>
      </c>
      <c r="I1390" s="33">
        <f>SUMIF(VR!B:B,A1390,VR!I:I)</f>
        <v>657.5</v>
      </c>
      <c r="J1390" s="4">
        <f t="shared" si="21"/>
        <v>1016.96</v>
      </c>
      <c r="K1390" s="195">
        <f>SUMIF(FALTAS!A:A,A1390,FALTAS!D:D)</f>
        <v>0</v>
      </c>
    </row>
    <row r="1391" spans="1:11" x14ac:dyDescent="0.2">
      <c r="A1391" s="235">
        <v>119118</v>
      </c>
      <c r="B1391" s="236" t="s">
        <v>1451</v>
      </c>
      <c r="C1391" s="236" t="s">
        <v>32</v>
      </c>
      <c r="D1391" s="236" t="s">
        <v>5</v>
      </c>
      <c r="E1391" s="237">
        <v>44630</v>
      </c>
      <c r="F1391" s="236" t="s">
        <v>1235</v>
      </c>
      <c r="G1391" s="237">
        <v>45147</v>
      </c>
      <c r="H1391" s="234">
        <f>SUMIF(VA!B:B,A1391,VA!I:I)</f>
        <v>359.46</v>
      </c>
      <c r="I1391" s="33">
        <f>SUMIF(VR!B:B,A1391,VR!I:I)</f>
        <v>657.5</v>
      </c>
      <c r="J1391" s="4">
        <f t="shared" si="21"/>
        <v>1016.96</v>
      </c>
      <c r="K1391" s="195">
        <f>SUMIF(FALTAS!A:A,A1391,FALTAS!D:D)</f>
        <v>0</v>
      </c>
    </row>
    <row r="1392" spans="1:11" x14ac:dyDescent="0.2">
      <c r="A1392" s="235">
        <v>116653</v>
      </c>
      <c r="B1392" s="236" t="s">
        <v>957</v>
      </c>
      <c r="C1392" s="236" t="s">
        <v>1252</v>
      </c>
      <c r="D1392" s="236" t="s">
        <v>958</v>
      </c>
      <c r="E1392" s="237">
        <v>44370</v>
      </c>
      <c r="F1392" s="236" t="s">
        <v>1234</v>
      </c>
      <c r="G1392" s="237">
        <v>44370</v>
      </c>
      <c r="H1392" s="234">
        <f>SUMIF(VA!B:B,A1392,VA!I:I)</f>
        <v>359.46</v>
      </c>
      <c r="I1392" s="33">
        <f>SUMIF(VR!B:B,A1392,VR!I:I)</f>
        <v>657.5</v>
      </c>
      <c r="J1392" s="4">
        <f t="shared" si="21"/>
        <v>1016.96</v>
      </c>
      <c r="K1392" s="195">
        <f>SUMIF(FALTAS!A:A,A1392,FALTAS!D:D)</f>
        <v>0</v>
      </c>
    </row>
    <row r="1393" spans="1:11" x14ac:dyDescent="0.2">
      <c r="A1393" s="235">
        <v>121952</v>
      </c>
      <c r="B1393" s="236" t="s">
        <v>1630</v>
      </c>
      <c r="C1393" s="236" t="s">
        <v>1591</v>
      </c>
      <c r="D1393" s="236" t="s">
        <v>1464</v>
      </c>
      <c r="E1393" s="237">
        <v>45040</v>
      </c>
      <c r="F1393" s="236" t="s">
        <v>1234</v>
      </c>
      <c r="G1393" s="237">
        <v>45040</v>
      </c>
      <c r="H1393" s="234">
        <f>SUMIF(VA!B:B,A1393,VA!I:I)</f>
        <v>0</v>
      </c>
      <c r="I1393" s="33">
        <f>SUMIF(VR!B:B,A1393,VR!I:I)</f>
        <v>657.5</v>
      </c>
      <c r="J1393" s="4">
        <f t="shared" si="21"/>
        <v>657.5</v>
      </c>
      <c r="K1393" s="195">
        <f>SUMIF(FALTAS!A:A,A1393,FALTAS!D:D)</f>
        <v>0</v>
      </c>
    </row>
    <row r="1394" spans="1:11" x14ac:dyDescent="0.2">
      <c r="A1394" s="235">
        <v>114039</v>
      </c>
      <c r="B1394" s="236" t="s">
        <v>1002</v>
      </c>
      <c r="C1394" s="236" t="s">
        <v>8</v>
      </c>
      <c r="D1394" s="236" t="s">
        <v>5</v>
      </c>
      <c r="E1394" s="237">
        <v>43712</v>
      </c>
      <c r="F1394" s="236" t="s">
        <v>1234</v>
      </c>
      <c r="G1394" s="237">
        <v>45119</v>
      </c>
      <c r="H1394" s="234">
        <f>SUMIF(VA!B:B,A1394,VA!I:I)</f>
        <v>359.46</v>
      </c>
      <c r="I1394" s="33">
        <f>SUMIF(VR!B:B,A1394,VR!I:I)</f>
        <v>657.5</v>
      </c>
      <c r="J1394" s="4">
        <f t="shared" si="21"/>
        <v>1016.96</v>
      </c>
      <c r="K1394" s="195">
        <f>SUMIF(FALTAS!A:A,A1394,FALTAS!D:D)</f>
        <v>0</v>
      </c>
    </row>
    <row r="1395" spans="1:11" x14ac:dyDescent="0.2">
      <c r="A1395" s="235">
        <v>114404</v>
      </c>
      <c r="B1395" s="236" t="s">
        <v>1039</v>
      </c>
      <c r="C1395" s="236" t="s">
        <v>0</v>
      </c>
      <c r="D1395" s="236" t="s">
        <v>5</v>
      </c>
      <c r="E1395" s="237">
        <v>43811</v>
      </c>
      <c r="F1395" s="236" t="s">
        <v>1234</v>
      </c>
      <c r="G1395" s="237">
        <v>45086</v>
      </c>
      <c r="H1395" s="234">
        <f>SUMIF(VA!B:B,A1395,VA!I:I)</f>
        <v>359.46</v>
      </c>
      <c r="I1395" s="33">
        <f>SUMIF(VR!B:B,A1395,VR!I:I)</f>
        <v>657.5</v>
      </c>
      <c r="J1395" s="4">
        <f t="shared" si="21"/>
        <v>1016.96</v>
      </c>
      <c r="K1395" s="195">
        <f>SUMIF(FALTAS!A:A,A1395,FALTAS!D:D)</f>
        <v>0</v>
      </c>
    </row>
    <row r="1396" spans="1:11" x14ac:dyDescent="0.2">
      <c r="A1396" s="235">
        <v>112876</v>
      </c>
      <c r="B1396" s="236" t="s">
        <v>469</v>
      </c>
      <c r="C1396" s="236" t="s">
        <v>1591</v>
      </c>
      <c r="D1396" s="236" t="s">
        <v>470</v>
      </c>
      <c r="E1396" s="237">
        <v>43617</v>
      </c>
      <c r="F1396" s="236" t="s">
        <v>1234</v>
      </c>
      <c r="G1396" s="237">
        <v>44898</v>
      </c>
      <c r="H1396" s="234">
        <f>SUMIF(VA!B:B,A1396,VA!I:I)</f>
        <v>359.46</v>
      </c>
      <c r="I1396" s="33">
        <f>SUMIF(VR!B:B,A1396,VR!I:I)</f>
        <v>657.5</v>
      </c>
      <c r="J1396" s="4">
        <f t="shared" si="21"/>
        <v>1016.96</v>
      </c>
      <c r="K1396" s="195">
        <f>SUMIF(FALTAS!A:A,A1396,FALTAS!D:D)</f>
        <v>0</v>
      </c>
    </row>
    <row r="1397" spans="1:11" x14ac:dyDescent="0.2">
      <c r="A1397" s="235">
        <v>121853</v>
      </c>
      <c r="B1397" s="236" t="s">
        <v>1631</v>
      </c>
      <c r="C1397" s="236" t="s">
        <v>19</v>
      </c>
      <c r="D1397" s="236" t="s">
        <v>5</v>
      </c>
      <c r="E1397" s="237">
        <v>45022</v>
      </c>
      <c r="F1397" s="236" t="s">
        <v>1234</v>
      </c>
      <c r="G1397" s="237">
        <v>45022</v>
      </c>
      <c r="H1397" s="234">
        <f>SUMIF(VA!B:B,A1397,VA!I:I)</f>
        <v>275.58</v>
      </c>
      <c r="I1397" s="33">
        <f>SUMIF(VR!B:B,A1397,VR!I:I)</f>
        <v>473.40000000000003</v>
      </c>
      <c r="J1397" s="4">
        <f t="shared" si="21"/>
        <v>748.98</v>
      </c>
      <c r="K1397" s="195">
        <f>SUMIF(FALTAS!A:A,A1397,FALTAS!D:D)</f>
        <v>7</v>
      </c>
    </row>
    <row r="1398" spans="1:11" x14ac:dyDescent="0.2">
      <c r="A1398" s="235">
        <v>122240</v>
      </c>
      <c r="B1398" s="236" t="s">
        <v>1674</v>
      </c>
      <c r="C1398" s="236" t="s">
        <v>1589</v>
      </c>
      <c r="D1398" s="236" t="s">
        <v>15</v>
      </c>
      <c r="E1398" s="237">
        <v>45089</v>
      </c>
      <c r="F1398" s="236" t="s">
        <v>1234</v>
      </c>
      <c r="G1398" s="237">
        <v>45089</v>
      </c>
      <c r="H1398" s="234">
        <f>SUMIF(VA!B:B,A1398,VA!I:I)</f>
        <v>359.46</v>
      </c>
      <c r="I1398" s="33">
        <f>SUMIF(VR!B:B,A1398,VR!I:I)</f>
        <v>657.5</v>
      </c>
      <c r="J1398" s="4">
        <f t="shared" si="21"/>
        <v>1016.96</v>
      </c>
      <c r="K1398" s="195">
        <f>SUMIF(FALTAS!A:A,A1398,FALTAS!D:D)</f>
        <v>0</v>
      </c>
    </row>
    <row r="1399" spans="1:11" x14ac:dyDescent="0.2">
      <c r="A1399" s="235">
        <v>122346</v>
      </c>
      <c r="B1399" s="236" t="s">
        <v>1675</v>
      </c>
      <c r="C1399" s="236" t="s">
        <v>8</v>
      </c>
      <c r="D1399" s="236" t="s">
        <v>2</v>
      </c>
      <c r="E1399" s="237">
        <v>45098</v>
      </c>
      <c r="F1399" s="236" t="s">
        <v>1234</v>
      </c>
      <c r="G1399" s="237">
        <v>45098</v>
      </c>
      <c r="H1399" s="234">
        <f>SUMIF(VA!B:B,A1399,VA!I:I)</f>
        <v>359.46</v>
      </c>
      <c r="I1399" s="33">
        <f>SUMIF(VR!B:B,A1399,VR!I:I)</f>
        <v>657.5</v>
      </c>
      <c r="J1399" s="4">
        <f t="shared" si="21"/>
        <v>1016.96</v>
      </c>
      <c r="K1399" s="195">
        <f>SUMIF(FALTAS!A:A,A1399,FALTAS!D:D)</f>
        <v>0</v>
      </c>
    </row>
    <row r="1400" spans="1:11" x14ac:dyDescent="0.2">
      <c r="A1400" s="235">
        <v>114509</v>
      </c>
      <c r="B1400" s="236" t="s">
        <v>1048</v>
      </c>
      <c r="C1400" s="236" t="s">
        <v>0</v>
      </c>
      <c r="D1400" s="236" t="s">
        <v>5</v>
      </c>
      <c r="E1400" s="237">
        <v>43811</v>
      </c>
      <c r="F1400" s="236" t="s">
        <v>1234</v>
      </c>
      <c r="G1400" s="237">
        <v>45119</v>
      </c>
      <c r="H1400" s="234">
        <f>SUMIF(VA!B:B,A1400,VA!I:I)</f>
        <v>359.46</v>
      </c>
      <c r="I1400" s="33">
        <f>SUMIF(VR!B:B,A1400,VR!I:I)</f>
        <v>657.5</v>
      </c>
      <c r="J1400" s="4">
        <f t="shared" si="21"/>
        <v>1016.96</v>
      </c>
      <c r="K1400" s="195">
        <f>SUMIF(FALTAS!A:A,A1400,FALTAS!D:D)</f>
        <v>0</v>
      </c>
    </row>
    <row r="1401" spans="1:11" x14ac:dyDescent="0.2">
      <c r="A1401" s="235">
        <v>113049</v>
      </c>
      <c r="B1401" s="236" t="s">
        <v>561</v>
      </c>
      <c r="C1401" s="236" t="s">
        <v>1589</v>
      </c>
      <c r="D1401" s="236" t="s">
        <v>15</v>
      </c>
      <c r="E1401" s="237">
        <v>43617</v>
      </c>
      <c r="F1401" s="236" t="s">
        <v>1234</v>
      </c>
      <c r="G1401" s="237">
        <v>44835</v>
      </c>
      <c r="H1401" s="234">
        <f>SUMIF(VA!B:B,A1401,VA!I:I)</f>
        <v>359.46</v>
      </c>
      <c r="I1401" s="33">
        <f>SUMIF(VR!B:B,A1401,VR!I:I)</f>
        <v>657.5</v>
      </c>
      <c r="J1401" s="4">
        <f t="shared" si="21"/>
        <v>1016.96</v>
      </c>
      <c r="K1401" s="195">
        <f>SUMIF(FALTAS!A:A,A1401,FALTAS!D:D)</f>
        <v>0</v>
      </c>
    </row>
    <row r="1402" spans="1:11" x14ac:dyDescent="0.2">
      <c r="A1402" s="235">
        <v>113059</v>
      </c>
      <c r="B1402" s="236" t="s">
        <v>566</v>
      </c>
      <c r="C1402" s="236" t="s">
        <v>1589</v>
      </c>
      <c r="D1402" s="236" t="s">
        <v>15</v>
      </c>
      <c r="E1402" s="237">
        <v>43617</v>
      </c>
      <c r="F1402" s="236" t="s">
        <v>1234</v>
      </c>
      <c r="G1402" s="237">
        <v>44867</v>
      </c>
      <c r="H1402" s="234">
        <f>SUMIF(VA!B:B,A1402,VA!I:I)</f>
        <v>359.46</v>
      </c>
      <c r="I1402" s="33">
        <f>SUMIF(VR!B:B,A1402,VR!I:I)</f>
        <v>657.5</v>
      </c>
      <c r="J1402" s="4">
        <f t="shared" si="21"/>
        <v>1016.96</v>
      </c>
      <c r="K1402" s="195">
        <f>SUMIF(FALTAS!A:A,A1402,FALTAS!D:D)</f>
        <v>0</v>
      </c>
    </row>
    <row r="1403" spans="1:11" x14ac:dyDescent="0.2">
      <c r="A1403" s="235">
        <v>118635</v>
      </c>
      <c r="B1403" s="236" t="s">
        <v>1416</v>
      </c>
      <c r="C1403" s="236" t="s">
        <v>0</v>
      </c>
      <c r="D1403" s="236" t="s">
        <v>5</v>
      </c>
      <c r="E1403" s="237">
        <v>44582</v>
      </c>
      <c r="F1403" s="236" t="s">
        <v>1234</v>
      </c>
      <c r="G1403" s="237">
        <v>44582</v>
      </c>
      <c r="H1403" s="234">
        <f>SUMIF(VA!B:B,A1403,VA!I:I)</f>
        <v>359.46</v>
      </c>
      <c r="I1403" s="33">
        <f>SUMIF(VR!B:B,A1403,VR!I:I)</f>
        <v>657.5</v>
      </c>
      <c r="J1403" s="4">
        <f t="shared" si="21"/>
        <v>1016.96</v>
      </c>
      <c r="K1403" s="195">
        <f>SUMIF(FALTAS!A:A,A1403,FALTAS!D:D)</f>
        <v>0</v>
      </c>
    </row>
    <row r="1404" spans="1:11" x14ac:dyDescent="0.2">
      <c r="A1404" s="235">
        <v>113063</v>
      </c>
      <c r="B1404" s="236" t="s">
        <v>567</v>
      </c>
      <c r="C1404" s="236" t="s">
        <v>1589</v>
      </c>
      <c r="D1404" s="236" t="s">
        <v>15</v>
      </c>
      <c r="E1404" s="237">
        <v>43617</v>
      </c>
      <c r="F1404" s="236" t="s">
        <v>1234</v>
      </c>
      <c r="G1404" s="237">
        <v>45119</v>
      </c>
      <c r="H1404" s="234">
        <f>SUMIF(VA!B:B,A1404,VA!I:I)</f>
        <v>359.46</v>
      </c>
      <c r="I1404" s="33">
        <f>SUMIF(VR!B:B,A1404,VR!I:I)</f>
        <v>657.5</v>
      </c>
      <c r="J1404" s="4">
        <f t="shared" si="21"/>
        <v>1016.96</v>
      </c>
      <c r="K1404" s="195">
        <f>SUMIF(FALTAS!A:A,A1404,FALTAS!D:D)</f>
        <v>0</v>
      </c>
    </row>
    <row r="1405" spans="1:11" x14ac:dyDescent="0.2">
      <c r="A1405" s="235">
        <v>114981</v>
      </c>
      <c r="B1405" s="236" t="s">
        <v>1140</v>
      </c>
      <c r="C1405" s="236" t="s">
        <v>1589</v>
      </c>
      <c r="D1405" s="236" t="s">
        <v>282</v>
      </c>
      <c r="E1405" s="237">
        <v>43917</v>
      </c>
      <c r="F1405" s="236" t="s">
        <v>1234</v>
      </c>
      <c r="G1405" s="237">
        <v>45086</v>
      </c>
      <c r="H1405" s="234">
        <f>SUMIF(VA!B:B,A1405,VA!I:I)</f>
        <v>359.46</v>
      </c>
      <c r="I1405" s="33">
        <f>SUMIF(VR!B:B,A1405,VR!I:I)</f>
        <v>657.5</v>
      </c>
      <c r="J1405" s="4">
        <f t="shared" si="21"/>
        <v>1016.96</v>
      </c>
      <c r="K1405" s="195">
        <f>SUMIF(FALTAS!A:A,A1405,FALTAS!D:D)</f>
        <v>0</v>
      </c>
    </row>
    <row r="1406" spans="1:11" x14ac:dyDescent="0.2">
      <c r="A1406" s="235">
        <v>114943</v>
      </c>
      <c r="B1406" s="236" t="s">
        <v>1127</v>
      </c>
      <c r="C1406" s="236" t="s">
        <v>1589</v>
      </c>
      <c r="D1406" s="236" t="s">
        <v>5</v>
      </c>
      <c r="E1406" s="237">
        <v>43916</v>
      </c>
      <c r="F1406" s="236" t="s">
        <v>1234</v>
      </c>
      <c r="G1406" s="237">
        <v>45149</v>
      </c>
      <c r="H1406" s="234">
        <f>SUMIF(VA!B:B,A1406,VA!I:I)</f>
        <v>359.46</v>
      </c>
      <c r="I1406" s="33">
        <f>SUMIF(VR!B:B,A1406,VR!I:I)</f>
        <v>657.5</v>
      </c>
      <c r="J1406" s="4">
        <f t="shared" si="21"/>
        <v>1016.96</v>
      </c>
      <c r="K1406" s="195">
        <f>SUMIF(FALTAS!A:A,A1406,FALTAS!D:D)</f>
        <v>0</v>
      </c>
    </row>
    <row r="1407" spans="1:11" x14ac:dyDescent="0.2">
      <c r="A1407" s="235">
        <v>122234</v>
      </c>
      <c r="B1407" s="236" t="s">
        <v>1676</v>
      </c>
      <c r="C1407" s="236" t="s">
        <v>1589</v>
      </c>
      <c r="D1407" s="236" t="s">
        <v>15</v>
      </c>
      <c r="E1407" s="237">
        <v>45089</v>
      </c>
      <c r="F1407" s="236" t="s">
        <v>1234</v>
      </c>
      <c r="G1407" s="237">
        <v>45089</v>
      </c>
      <c r="H1407" s="234">
        <f>SUMIF(VA!B:B,A1407,VA!I:I)</f>
        <v>359.46</v>
      </c>
      <c r="I1407" s="33">
        <f>SUMIF(VR!B:B,A1407,VR!I:I)</f>
        <v>657.5</v>
      </c>
      <c r="J1407" s="4">
        <f t="shared" si="21"/>
        <v>1016.96</v>
      </c>
      <c r="K1407" s="195">
        <f>SUMIF(FALTAS!A:A,A1407,FALTAS!D:D)</f>
        <v>0</v>
      </c>
    </row>
    <row r="1408" spans="1:11" x14ac:dyDescent="0.2">
      <c r="A1408" s="235">
        <v>112597</v>
      </c>
      <c r="B1408" s="236" t="s">
        <v>286</v>
      </c>
      <c r="C1408" s="236" t="s">
        <v>8</v>
      </c>
      <c r="D1408" s="236" t="s">
        <v>2</v>
      </c>
      <c r="E1408" s="237">
        <v>43617</v>
      </c>
      <c r="F1408" s="236" t="s">
        <v>1234</v>
      </c>
      <c r="G1408" s="237">
        <v>44835</v>
      </c>
      <c r="H1408" s="234">
        <f>SUMIF(VA!B:B,A1408,VA!I:I)</f>
        <v>359.46</v>
      </c>
      <c r="I1408" s="33">
        <f>SUMIF(VR!B:B,A1408,VR!I:I)</f>
        <v>657.5</v>
      </c>
      <c r="J1408" s="4">
        <f t="shared" si="21"/>
        <v>1016.96</v>
      </c>
      <c r="K1408" s="195">
        <f>SUMIF(FALTAS!A:A,A1408,FALTAS!D:D)</f>
        <v>0</v>
      </c>
    </row>
    <row r="1409" spans="1:11" x14ac:dyDescent="0.2">
      <c r="A1409" s="235">
        <v>112882</v>
      </c>
      <c r="B1409" s="236" t="s">
        <v>474</v>
      </c>
      <c r="C1409" s="236" t="s">
        <v>0</v>
      </c>
      <c r="D1409" s="236" t="s">
        <v>5</v>
      </c>
      <c r="E1409" s="237">
        <v>43617</v>
      </c>
      <c r="F1409" s="236" t="s">
        <v>1234</v>
      </c>
      <c r="G1409" s="237">
        <v>45023</v>
      </c>
      <c r="H1409" s="234">
        <f>SUMIF(VA!B:B,A1409,VA!I:I)</f>
        <v>359.46</v>
      </c>
      <c r="I1409" s="33">
        <f>SUMIF(VR!B:B,A1409,VR!I:I)</f>
        <v>657.5</v>
      </c>
      <c r="J1409" s="4">
        <f t="shared" si="21"/>
        <v>1016.96</v>
      </c>
      <c r="K1409" s="195">
        <f>SUMIF(FALTAS!A:A,A1409,FALTAS!D:D)</f>
        <v>0</v>
      </c>
    </row>
    <row r="1410" spans="1:11" x14ac:dyDescent="0.2">
      <c r="A1410" s="235">
        <v>121684</v>
      </c>
      <c r="B1410" s="236" t="s">
        <v>1603</v>
      </c>
      <c r="C1410" s="236" t="s">
        <v>1589</v>
      </c>
      <c r="D1410" s="236" t="s">
        <v>967</v>
      </c>
      <c r="E1410" s="237">
        <v>44994</v>
      </c>
      <c r="F1410" s="236" t="s">
        <v>1234</v>
      </c>
      <c r="G1410" s="237">
        <v>44994</v>
      </c>
      <c r="H1410" s="234">
        <f>SUMIF(VA!B:B,A1410,VA!I:I)</f>
        <v>359.46</v>
      </c>
      <c r="I1410" s="33">
        <f>SUMIF(VR!B:B,A1410,VR!I:I)</f>
        <v>657.5</v>
      </c>
      <c r="J1410" s="4">
        <f t="shared" ref="J1410:J1453" si="22">H1410+I1410</f>
        <v>1016.96</v>
      </c>
      <c r="K1410" s="195">
        <f>SUMIF(FALTAS!A:A,A1410,FALTAS!D:D)</f>
        <v>0</v>
      </c>
    </row>
    <row r="1411" spans="1:11" x14ac:dyDescent="0.2">
      <c r="A1411" s="235">
        <v>112345</v>
      </c>
      <c r="B1411" s="236" t="s">
        <v>122</v>
      </c>
      <c r="C1411" s="236" t="s">
        <v>10</v>
      </c>
      <c r="D1411" s="236" t="s">
        <v>39</v>
      </c>
      <c r="E1411" s="237">
        <v>43617</v>
      </c>
      <c r="F1411" s="236" t="s">
        <v>1234</v>
      </c>
      <c r="G1411" s="237">
        <v>44993</v>
      </c>
      <c r="H1411" s="234">
        <f>SUMIF(VA!B:B,A1411,VA!I:I)</f>
        <v>359.46</v>
      </c>
      <c r="I1411" s="33">
        <f>SUMIF(VR!B:B,A1411,VR!I:I)</f>
        <v>657.5</v>
      </c>
      <c r="J1411" s="4">
        <f t="shared" si="22"/>
        <v>1016.96</v>
      </c>
      <c r="K1411" s="195">
        <f>SUMIF(FALTAS!A:A,A1411,FALTAS!D:D)</f>
        <v>0</v>
      </c>
    </row>
    <row r="1412" spans="1:11" x14ac:dyDescent="0.2">
      <c r="A1412" s="235">
        <v>112599</v>
      </c>
      <c r="B1412" s="236" t="s">
        <v>288</v>
      </c>
      <c r="C1412" s="236" t="s">
        <v>19</v>
      </c>
      <c r="D1412" s="236" t="s">
        <v>5</v>
      </c>
      <c r="E1412" s="237">
        <v>43617</v>
      </c>
      <c r="F1412" s="236" t="s">
        <v>1234</v>
      </c>
      <c r="G1412" s="237">
        <v>44806</v>
      </c>
      <c r="H1412" s="234">
        <f>SUMIF(VA!B:B,A1412,VA!I:I)</f>
        <v>359.46</v>
      </c>
      <c r="I1412" s="33">
        <f>SUMIF(VR!B:B,A1412,VR!I:I)</f>
        <v>657.5</v>
      </c>
      <c r="J1412" s="4">
        <f t="shared" si="22"/>
        <v>1016.96</v>
      </c>
      <c r="K1412" s="195">
        <f>SUMIF(FALTAS!A:A,A1412,FALTAS!D:D)</f>
        <v>0</v>
      </c>
    </row>
    <row r="1413" spans="1:11" x14ac:dyDescent="0.2">
      <c r="A1413" s="235">
        <v>121324</v>
      </c>
      <c r="B1413" s="236" t="s">
        <v>1548</v>
      </c>
      <c r="C1413" s="236" t="s">
        <v>8</v>
      </c>
      <c r="D1413" s="236" t="s">
        <v>2</v>
      </c>
      <c r="E1413" s="237">
        <v>44945</v>
      </c>
      <c r="F1413" s="236" t="s">
        <v>1234</v>
      </c>
      <c r="G1413" s="237">
        <v>44945</v>
      </c>
      <c r="H1413" s="234">
        <f>SUMIF(VA!B:B,A1413,VA!I:I)</f>
        <v>359.46</v>
      </c>
      <c r="I1413" s="33">
        <f>SUMIF(VR!B:B,A1413,VR!I:I)</f>
        <v>657.5</v>
      </c>
      <c r="J1413" s="4">
        <f t="shared" si="22"/>
        <v>1016.96</v>
      </c>
      <c r="K1413" s="195">
        <f>SUMIF(FALTAS!A:A,A1413,FALTAS!D:D)</f>
        <v>0</v>
      </c>
    </row>
    <row r="1414" spans="1:11" x14ac:dyDescent="0.2">
      <c r="A1414" s="235">
        <v>122333</v>
      </c>
      <c r="B1414" s="236" t="s">
        <v>1677</v>
      </c>
      <c r="C1414" s="236" t="s">
        <v>8</v>
      </c>
      <c r="D1414" s="236" t="s">
        <v>2</v>
      </c>
      <c r="E1414" s="237">
        <v>45098</v>
      </c>
      <c r="F1414" s="236" t="s">
        <v>1234</v>
      </c>
      <c r="G1414" s="237">
        <v>45098</v>
      </c>
      <c r="H1414" s="234">
        <f>SUMIF(VA!B:B,A1414,VA!I:I)</f>
        <v>359.46</v>
      </c>
      <c r="I1414" s="33">
        <f>SUMIF(VR!B:B,A1414,VR!I:I)</f>
        <v>657.5</v>
      </c>
      <c r="J1414" s="4">
        <f t="shared" si="22"/>
        <v>1016.96</v>
      </c>
      <c r="K1414" s="195">
        <f>SUMIF(FALTAS!A:A,A1414,FALTAS!D:D)</f>
        <v>0</v>
      </c>
    </row>
    <row r="1415" spans="1:11" x14ac:dyDescent="0.2">
      <c r="A1415" s="235">
        <v>119936</v>
      </c>
      <c r="B1415" s="236" t="s">
        <v>1494</v>
      </c>
      <c r="C1415" s="236" t="s">
        <v>0</v>
      </c>
      <c r="D1415" s="236" t="s">
        <v>5</v>
      </c>
      <c r="E1415" s="237">
        <v>44760</v>
      </c>
      <c r="F1415" s="236" t="s">
        <v>1234</v>
      </c>
      <c r="G1415" s="237">
        <v>44760</v>
      </c>
      <c r="H1415" s="234">
        <f>SUMIF(VA!B:B,A1415,VA!I:I)</f>
        <v>359.46</v>
      </c>
      <c r="I1415" s="33">
        <f>SUMIF(VR!B:B,A1415,VR!I:I)</f>
        <v>657.5</v>
      </c>
      <c r="J1415" s="4">
        <f t="shared" si="22"/>
        <v>1016.96</v>
      </c>
      <c r="K1415" s="195">
        <f>SUMIF(FALTAS!A:A,A1415,FALTAS!D:D)</f>
        <v>0</v>
      </c>
    </row>
    <row r="1416" spans="1:11" x14ac:dyDescent="0.2">
      <c r="A1416" s="235">
        <v>112888</v>
      </c>
      <c r="B1416" s="236" t="s">
        <v>478</v>
      </c>
      <c r="C1416" s="236" t="s">
        <v>1589</v>
      </c>
      <c r="D1416" s="236" t="s">
        <v>22</v>
      </c>
      <c r="E1416" s="237">
        <v>43617</v>
      </c>
      <c r="F1416" s="236" t="s">
        <v>1234</v>
      </c>
      <c r="G1416" s="237">
        <v>44960</v>
      </c>
      <c r="H1416" s="234">
        <f>SUMIF(VA!B:B,A1416,VA!I:I)</f>
        <v>359.46</v>
      </c>
      <c r="I1416" s="33">
        <f>SUMIF(VR!B:B,A1416,VR!I:I)</f>
        <v>657.5</v>
      </c>
      <c r="J1416" s="4">
        <f t="shared" si="22"/>
        <v>1016.96</v>
      </c>
      <c r="K1416" s="195">
        <f>SUMIF(FALTAS!A:A,A1416,FALTAS!D:D)</f>
        <v>0</v>
      </c>
    </row>
    <row r="1417" spans="1:11" x14ac:dyDescent="0.2">
      <c r="A1417" s="235">
        <v>118053</v>
      </c>
      <c r="B1417" s="236" t="s">
        <v>1417</v>
      </c>
      <c r="C1417" s="236" t="s">
        <v>10</v>
      </c>
      <c r="D1417" s="236" t="s">
        <v>5</v>
      </c>
      <c r="E1417" s="237">
        <v>44567</v>
      </c>
      <c r="F1417" s="236" t="s">
        <v>1234</v>
      </c>
      <c r="G1417" s="237">
        <v>45119</v>
      </c>
      <c r="H1417" s="234">
        <f>SUMIF(VA!B:B,A1417,VA!I:I)</f>
        <v>359.46</v>
      </c>
      <c r="I1417" s="33">
        <f>SUMIF(VR!B:B,A1417,VR!I:I)</f>
        <v>657.5</v>
      </c>
      <c r="J1417" s="4">
        <f t="shared" si="22"/>
        <v>1016.96</v>
      </c>
      <c r="K1417" s="195">
        <f>SUMIF(FALTAS!A:A,A1417,FALTAS!D:D)</f>
        <v>0</v>
      </c>
    </row>
    <row r="1418" spans="1:11" x14ac:dyDescent="0.2">
      <c r="A1418" s="235">
        <v>112607</v>
      </c>
      <c r="B1418" s="236" t="s">
        <v>292</v>
      </c>
      <c r="C1418" s="236" t="s">
        <v>8</v>
      </c>
      <c r="D1418" s="236" t="s">
        <v>5</v>
      </c>
      <c r="E1418" s="237">
        <v>43617</v>
      </c>
      <c r="F1418" s="236" t="s">
        <v>1234</v>
      </c>
      <c r="G1418" s="237">
        <v>44835</v>
      </c>
      <c r="H1418" s="234">
        <f>SUMIF(VA!B:B,A1418,VA!I:I)</f>
        <v>359.46</v>
      </c>
      <c r="I1418" s="33">
        <f>SUMIF(VR!B:B,A1418,VR!I:I)</f>
        <v>657.5</v>
      </c>
      <c r="J1418" s="4">
        <f t="shared" si="22"/>
        <v>1016.96</v>
      </c>
      <c r="K1418" s="195">
        <f>SUMIF(FALTAS!A:A,A1418,FALTAS!D:D)</f>
        <v>0</v>
      </c>
    </row>
    <row r="1419" spans="1:11" x14ac:dyDescent="0.2">
      <c r="A1419" s="235">
        <v>112612</v>
      </c>
      <c r="B1419" s="236" t="s">
        <v>297</v>
      </c>
      <c r="C1419" s="236" t="s">
        <v>10</v>
      </c>
      <c r="D1419" s="236" t="s">
        <v>5</v>
      </c>
      <c r="E1419" s="237">
        <v>43617</v>
      </c>
      <c r="F1419" s="236" t="s">
        <v>1234</v>
      </c>
      <c r="G1419" s="237">
        <v>44960</v>
      </c>
      <c r="H1419" s="234">
        <f>SUMIF(VA!B:B,A1419,VA!I:I)</f>
        <v>359.46</v>
      </c>
      <c r="I1419" s="33">
        <f>SUMIF(VR!B:B,A1419,VR!I:I)</f>
        <v>657.5</v>
      </c>
      <c r="J1419" s="4">
        <f t="shared" si="22"/>
        <v>1016.96</v>
      </c>
      <c r="K1419" s="195">
        <f>SUMIF(FALTAS!A:A,A1419,FALTAS!D:D)</f>
        <v>0</v>
      </c>
    </row>
    <row r="1420" spans="1:11" x14ac:dyDescent="0.2">
      <c r="A1420" s="235">
        <v>121480</v>
      </c>
      <c r="B1420" s="236" t="s">
        <v>1581</v>
      </c>
      <c r="C1420" s="236" t="s">
        <v>19</v>
      </c>
      <c r="D1420" s="236" t="s">
        <v>5</v>
      </c>
      <c r="E1420" s="237">
        <v>44967</v>
      </c>
      <c r="F1420" s="236" t="s">
        <v>1234</v>
      </c>
      <c r="G1420" s="237">
        <v>44967</v>
      </c>
      <c r="H1420" s="234">
        <f>SUMIF(VA!B:B,A1420,VA!I:I)</f>
        <v>359.46</v>
      </c>
      <c r="I1420" s="33">
        <f>SUMIF(VR!B:B,A1420,VR!I:I)</f>
        <v>657.5</v>
      </c>
      <c r="J1420" s="4">
        <f t="shared" si="22"/>
        <v>1016.96</v>
      </c>
      <c r="K1420" s="195">
        <f>SUMIF(FALTAS!A:A,A1420,FALTAS!D:D)</f>
        <v>0</v>
      </c>
    </row>
    <row r="1421" spans="1:11" x14ac:dyDescent="0.2">
      <c r="A1421" s="235">
        <v>112614</v>
      </c>
      <c r="B1421" s="236" t="s">
        <v>299</v>
      </c>
      <c r="C1421" s="236" t="s">
        <v>8</v>
      </c>
      <c r="D1421" s="236" t="s">
        <v>5</v>
      </c>
      <c r="E1421" s="237">
        <v>43617</v>
      </c>
      <c r="F1421" s="236" t="s">
        <v>1234</v>
      </c>
      <c r="G1421" s="237">
        <v>45023</v>
      </c>
      <c r="H1421" s="234">
        <f>SUMIF(VA!B:B,A1421,VA!I:I)</f>
        <v>347.47</v>
      </c>
      <c r="I1421" s="33">
        <f>SUMIF(VR!B:B,A1421,VR!I:I)</f>
        <v>631.20000000000005</v>
      </c>
      <c r="J1421" s="4">
        <f t="shared" si="22"/>
        <v>978.67000000000007</v>
      </c>
      <c r="K1421" s="195">
        <f>SUMIF(FALTAS!A:A,A1421,FALTAS!D:D)</f>
        <v>1</v>
      </c>
    </row>
    <row r="1422" spans="1:11" x14ac:dyDescent="0.2">
      <c r="A1422" s="235">
        <v>112354</v>
      </c>
      <c r="B1422" s="236" t="s">
        <v>128</v>
      </c>
      <c r="C1422" s="236" t="s">
        <v>10</v>
      </c>
      <c r="D1422" s="236" t="s">
        <v>5</v>
      </c>
      <c r="E1422" s="237">
        <v>43617</v>
      </c>
      <c r="F1422" s="236" t="s">
        <v>1234</v>
      </c>
      <c r="G1422" s="237">
        <v>44989</v>
      </c>
      <c r="H1422" s="234">
        <f>SUMIF(VA!B:B,A1422,VA!I:I)</f>
        <v>359.46</v>
      </c>
      <c r="I1422" s="33">
        <f>SUMIF(VR!B:B,A1422,VR!I:I)</f>
        <v>657.5</v>
      </c>
      <c r="J1422" s="4">
        <f t="shared" si="22"/>
        <v>1016.96</v>
      </c>
      <c r="K1422" s="195">
        <f>SUMIF(FALTAS!A:A,A1422,FALTAS!D:D)</f>
        <v>0</v>
      </c>
    </row>
    <row r="1423" spans="1:11" x14ac:dyDescent="0.2">
      <c r="A1423" s="235">
        <v>119678</v>
      </c>
      <c r="B1423" s="236" t="s">
        <v>1482</v>
      </c>
      <c r="C1423" s="236" t="s">
        <v>19</v>
      </c>
      <c r="D1423" s="236" t="s">
        <v>5</v>
      </c>
      <c r="E1423" s="237">
        <v>44725</v>
      </c>
      <c r="F1423" s="236" t="s">
        <v>1234</v>
      </c>
      <c r="G1423" s="237">
        <v>44725</v>
      </c>
      <c r="H1423" s="234">
        <f>SUMIF(VA!B:B,A1423,VA!I:I)</f>
        <v>359.46</v>
      </c>
      <c r="I1423" s="33">
        <f>SUMIF(VR!B:B,A1423,VR!I:I)</f>
        <v>657.5</v>
      </c>
      <c r="J1423" s="4">
        <f t="shared" si="22"/>
        <v>1016.96</v>
      </c>
      <c r="K1423" s="195">
        <f>SUMIF(FALTAS!A:A,A1423,FALTAS!D:D)</f>
        <v>0</v>
      </c>
    </row>
    <row r="1424" spans="1:11" x14ac:dyDescent="0.2">
      <c r="A1424" s="235">
        <v>122029</v>
      </c>
      <c r="B1424" s="236" t="s">
        <v>1648</v>
      </c>
      <c r="C1424" s="236" t="s">
        <v>1589</v>
      </c>
      <c r="D1424" s="236" t="s">
        <v>120</v>
      </c>
      <c r="E1424" s="237">
        <v>45054</v>
      </c>
      <c r="F1424" s="236" t="s">
        <v>1234</v>
      </c>
      <c r="G1424" s="237">
        <v>45054</v>
      </c>
      <c r="H1424" s="234">
        <f>SUMIF(VA!B:B,A1424,VA!I:I)</f>
        <v>359.46</v>
      </c>
      <c r="I1424" s="33">
        <f>SUMIF(VR!B:B,A1424,VR!I:I)</f>
        <v>657.5</v>
      </c>
      <c r="J1424" s="4">
        <f t="shared" si="22"/>
        <v>1016.96</v>
      </c>
      <c r="K1424" s="195">
        <f>SUMIF(FALTAS!A:A,A1424,FALTAS!D:D)</f>
        <v>0</v>
      </c>
    </row>
    <row r="1425" spans="1:11" x14ac:dyDescent="0.2">
      <c r="A1425" s="235">
        <v>114360</v>
      </c>
      <c r="B1425" s="236" t="s">
        <v>1037</v>
      </c>
      <c r="C1425" s="236" t="s">
        <v>0</v>
      </c>
      <c r="D1425" s="236" t="s">
        <v>5</v>
      </c>
      <c r="E1425" s="237">
        <v>43811</v>
      </c>
      <c r="F1425" s="236" t="s">
        <v>1234</v>
      </c>
      <c r="G1425" s="237">
        <v>44835</v>
      </c>
      <c r="H1425" s="234">
        <f>SUMIF(VA!B:B,A1425,VA!I:I)</f>
        <v>359.46</v>
      </c>
      <c r="I1425" s="33">
        <f>SUMIF(VR!B:B,A1425,VR!I:I)</f>
        <v>657.5</v>
      </c>
      <c r="J1425" s="4">
        <f t="shared" si="22"/>
        <v>1016.96</v>
      </c>
      <c r="K1425" s="195">
        <f>SUMIF(FALTAS!A:A,A1425,FALTAS!D:D)</f>
        <v>0</v>
      </c>
    </row>
    <row r="1426" spans="1:11" x14ac:dyDescent="0.2">
      <c r="A1426" s="235">
        <v>122554</v>
      </c>
      <c r="B1426" s="236" t="s">
        <v>1716</v>
      </c>
      <c r="C1426" s="236" t="s">
        <v>0</v>
      </c>
      <c r="D1426" s="236" t="s">
        <v>5</v>
      </c>
      <c r="E1426" s="237">
        <v>45131</v>
      </c>
      <c r="F1426" s="236" t="s">
        <v>1234</v>
      </c>
      <c r="G1426" s="237">
        <v>45131</v>
      </c>
      <c r="H1426" s="234">
        <f>SUMIF(VA!B:B,A1426,VA!I:I)</f>
        <v>359.46</v>
      </c>
      <c r="I1426" s="33">
        <f>SUMIF(VR!B:B,A1426,VR!I:I)</f>
        <v>657.5</v>
      </c>
      <c r="J1426" s="4">
        <f t="shared" si="22"/>
        <v>1016.96</v>
      </c>
      <c r="K1426" s="195">
        <f>SUMIF(FALTAS!A:A,A1426,FALTAS!D:D)</f>
        <v>0</v>
      </c>
    </row>
    <row r="1427" spans="1:11" x14ac:dyDescent="0.2">
      <c r="A1427" s="235">
        <v>122553</v>
      </c>
      <c r="B1427" s="236" t="s">
        <v>1717</v>
      </c>
      <c r="C1427" s="236" t="s">
        <v>0</v>
      </c>
      <c r="D1427" s="236" t="s">
        <v>5</v>
      </c>
      <c r="E1427" s="237">
        <v>45131</v>
      </c>
      <c r="F1427" s="236" t="s">
        <v>1234</v>
      </c>
      <c r="G1427" s="237">
        <v>45131</v>
      </c>
      <c r="H1427" s="234">
        <f>SUMIF(VA!B:B,A1427,VA!I:I)</f>
        <v>359.46</v>
      </c>
      <c r="I1427" s="33">
        <f>SUMIF(VR!B:B,A1427,VR!I:I)</f>
        <v>657.5</v>
      </c>
      <c r="J1427" s="4">
        <f t="shared" si="22"/>
        <v>1016.96</v>
      </c>
      <c r="K1427" s="195">
        <f>SUMIF(FALTAS!A:A,A1427,FALTAS!D:D)</f>
        <v>0</v>
      </c>
    </row>
    <row r="1428" spans="1:11" x14ac:dyDescent="0.2">
      <c r="A1428" s="235">
        <v>113074</v>
      </c>
      <c r="B1428" s="236" t="s">
        <v>573</v>
      </c>
      <c r="C1428" s="236" t="s">
        <v>1589</v>
      </c>
      <c r="D1428" s="236" t="s">
        <v>15</v>
      </c>
      <c r="E1428" s="237">
        <v>43617</v>
      </c>
      <c r="F1428" s="236" t="s">
        <v>1234</v>
      </c>
      <c r="G1428" s="237">
        <v>45119</v>
      </c>
      <c r="H1428" s="234">
        <f>SUMIF(VA!B:B,A1428,VA!I:I)</f>
        <v>359.46</v>
      </c>
      <c r="I1428" s="33">
        <f>SUMIF(VR!B:B,A1428,VR!I:I)</f>
        <v>657.5</v>
      </c>
      <c r="J1428" s="4">
        <f t="shared" si="22"/>
        <v>1016.96</v>
      </c>
      <c r="K1428" s="195">
        <f>SUMIF(FALTAS!A:A,A1428,FALTAS!D:D)</f>
        <v>0</v>
      </c>
    </row>
    <row r="1429" spans="1:11" x14ac:dyDescent="0.2">
      <c r="A1429" s="235">
        <v>112363</v>
      </c>
      <c r="B1429" s="236" t="s">
        <v>131</v>
      </c>
      <c r="C1429" s="236" t="s">
        <v>10</v>
      </c>
      <c r="D1429" s="236" t="s">
        <v>5</v>
      </c>
      <c r="E1429" s="237">
        <v>43617</v>
      </c>
      <c r="F1429" s="236" t="s">
        <v>1234</v>
      </c>
      <c r="G1429" s="237">
        <v>44898</v>
      </c>
      <c r="H1429" s="234">
        <f>SUMIF(VA!B:B,A1429,VA!I:I)</f>
        <v>359.46</v>
      </c>
      <c r="I1429" s="33">
        <f>SUMIF(VR!B:B,A1429,VR!I:I)</f>
        <v>657.5</v>
      </c>
      <c r="J1429" s="4">
        <f t="shared" si="22"/>
        <v>1016.96</v>
      </c>
      <c r="K1429" s="195">
        <f>SUMIF(FALTAS!A:A,A1429,FALTAS!D:D)</f>
        <v>0</v>
      </c>
    </row>
    <row r="1430" spans="1:11" x14ac:dyDescent="0.2">
      <c r="A1430" s="235">
        <v>114092</v>
      </c>
      <c r="B1430" s="236" t="s">
        <v>1004</v>
      </c>
      <c r="C1430" s="236" t="s">
        <v>19</v>
      </c>
      <c r="D1430" s="236" t="s">
        <v>5</v>
      </c>
      <c r="E1430" s="237">
        <v>43728</v>
      </c>
      <c r="F1430" s="236" t="s">
        <v>1234</v>
      </c>
      <c r="G1430" s="237">
        <v>45086</v>
      </c>
      <c r="H1430" s="234">
        <f>SUMIF(VA!B:B,A1430,VA!I:I)</f>
        <v>359.46</v>
      </c>
      <c r="I1430" s="33">
        <f>SUMIF(VR!B:B,A1430,VR!I:I)</f>
        <v>657.5</v>
      </c>
      <c r="J1430" s="4">
        <f t="shared" si="22"/>
        <v>1016.96</v>
      </c>
      <c r="K1430" s="195">
        <f>SUMIF(FALTAS!A:A,A1430,FALTAS!D:D)</f>
        <v>0</v>
      </c>
    </row>
    <row r="1431" spans="1:11" x14ac:dyDescent="0.2">
      <c r="A1431" s="235">
        <v>112250</v>
      </c>
      <c r="B1431" s="236" t="s">
        <v>62</v>
      </c>
      <c r="C1431" s="236" t="s">
        <v>19</v>
      </c>
      <c r="D1431" s="236" t="s">
        <v>5</v>
      </c>
      <c r="E1431" s="237">
        <v>43617</v>
      </c>
      <c r="F1431" s="236" t="s">
        <v>1234</v>
      </c>
      <c r="G1431" s="237">
        <v>44776</v>
      </c>
      <c r="H1431" s="234">
        <f>SUMIF(VA!B:B,A1431,VA!I:I)</f>
        <v>359.46</v>
      </c>
      <c r="I1431" s="33">
        <f>SUMIF(VR!B:B,A1431,VR!I:I)</f>
        <v>657.5</v>
      </c>
      <c r="J1431" s="4">
        <f t="shared" si="22"/>
        <v>1016.96</v>
      </c>
      <c r="K1431" s="195">
        <f>SUMIF(FALTAS!A:A,A1431,FALTAS!D:D)</f>
        <v>0</v>
      </c>
    </row>
    <row r="1432" spans="1:11" x14ac:dyDescent="0.2">
      <c r="A1432" s="235">
        <v>112893</v>
      </c>
      <c r="B1432" s="236" t="s">
        <v>482</v>
      </c>
      <c r="C1432" s="236" t="s">
        <v>0</v>
      </c>
      <c r="D1432" s="236" t="s">
        <v>146</v>
      </c>
      <c r="E1432" s="237">
        <v>43617</v>
      </c>
      <c r="F1432" s="236" t="s">
        <v>1234</v>
      </c>
      <c r="G1432" s="237">
        <v>44930</v>
      </c>
      <c r="H1432" s="234">
        <f>SUMIF(VA!B:B,A1432,VA!I:I)</f>
        <v>359.46</v>
      </c>
      <c r="I1432" s="33">
        <f>SUMIF(VR!B:B,A1432,VR!I:I)</f>
        <v>657.5</v>
      </c>
      <c r="J1432" s="4">
        <f t="shared" si="22"/>
        <v>1016.96</v>
      </c>
      <c r="K1432" s="195">
        <f>SUMIF(FALTAS!A:A,A1432,FALTAS!D:D)</f>
        <v>0</v>
      </c>
    </row>
    <row r="1433" spans="1:11" x14ac:dyDescent="0.2">
      <c r="A1433" s="235">
        <v>112896</v>
      </c>
      <c r="B1433" s="236" t="s">
        <v>484</v>
      </c>
      <c r="C1433" s="236" t="s">
        <v>1589</v>
      </c>
      <c r="D1433" s="236" t="s">
        <v>22</v>
      </c>
      <c r="E1433" s="237">
        <v>43617</v>
      </c>
      <c r="F1433" s="236" t="s">
        <v>1234</v>
      </c>
      <c r="G1433" s="237">
        <v>44960</v>
      </c>
      <c r="H1433" s="234">
        <f>SUMIF(VA!B:B,A1433,VA!I:I)</f>
        <v>359.46</v>
      </c>
      <c r="I1433" s="33">
        <f>SUMIF(VR!B:B,A1433,VR!I:I)</f>
        <v>657.5</v>
      </c>
      <c r="J1433" s="4">
        <f t="shared" si="22"/>
        <v>1016.96</v>
      </c>
      <c r="K1433" s="195">
        <f>SUMIF(FALTAS!A:A,A1433,FALTAS!D:D)</f>
        <v>0</v>
      </c>
    </row>
    <row r="1434" spans="1:11" x14ac:dyDescent="0.2">
      <c r="A1434" s="235">
        <v>112368</v>
      </c>
      <c r="B1434" s="236" t="s">
        <v>134</v>
      </c>
      <c r="C1434" s="236" t="s">
        <v>10</v>
      </c>
      <c r="D1434" s="236" t="s">
        <v>5</v>
      </c>
      <c r="E1434" s="237">
        <v>43617</v>
      </c>
      <c r="F1434" s="236" t="s">
        <v>1234</v>
      </c>
      <c r="G1434" s="237">
        <v>44911</v>
      </c>
      <c r="H1434" s="234">
        <f>SUMIF(VA!B:B,A1434,VA!I:I)</f>
        <v>359.46</v>
      </c>
      <c r="I1434" s="33">
        <f>SUMIF(VR!B:B,A1434,VR!I:I)</f>
        <v>657.5</v>
      </c>
      <c r="J1434" s="4">
        <f t="shared" si="22"/>
        <v>1016.96</v>
      </c>
      <c r="K1434" s="195">
        <f>SUMIF(FALTAS!A:A,A1434,FALTAS!D:D)</f>
        <v>0</v>
      </c>
    </row>
    <row r="1435" spans="1:11" x14ac:dyDescent="0.2">
      <c r="A1435" s="235">
        <v>112626</v>
      </c>
      <c r="B1435" s="236" t="s">
        <v>307</v>
      </c>
      <c r="C1435" s="236" t="s">
        <v>8</v>
      </c>
      <c r="D1435" s="236" t="s">
        <v>5</v>
      </c>
      <c r="E1435" s="237">
        <v>43617</v>
      </c>
      <c r="F1435" s="236" t="s">
        <v>1234</v>
      </c>
      <c r="G1435" s="237">
        <v>44806</v>
      </c>
      <c r="H1435" s="234">
        <f>SUMIF(VA!B:B,A1435,VA!I:I)</f>
        <v>359.46</v>
      </c>
      <c r="I1435" s="33">
        <f>SUMIF(VR!B:B,A1435,VR!I:I)</f>
        <v>657.5</v>
      </c>
      <c r="J1435" s="4">
        <f t="shared" si="22"/>
        <v>1016.96</v>
      </c>
      <c r="K1435" s="195">
        <f>SUMIF(FALTAS!A:A,A1435,FALTAS!D:D)</f>
        <v>0</v>
      </c>
    </row>
    <row r="1436" spans="1:11" x14ac:dyDescent="0.2">
      <c r="A1436" s="235">
        <v>113846</v>
      </c>
      <c r="B1436" s="236" t="s">
        <v>988</v>
      </c>
      <c r="C1436" s="236" t="s">
        <v>1591</v>
      </c>
      <c r="D1436" s="236" t="s">
        <v>1452</v>
      </c>
      <c r="E1436" s="237">
        <v>43648</v>
      </c>
      <c r="F1436" s="236" t="s">
        <v>1234</v>
      </c>
      <c r="G1436" s="237">
        <v>45160</v>
      </c>
      <c r="H1436" s="234">
        <f>SUMIF(VA!B:B,A1436,VA!I:I)</f>
        <v>359.46</v>
      </c>
      <c r="I1436" s="33">
        <f>SUMIF(VR!B:B,A1436,VR!I:I)</f>
        <v>657.5</v>
      </c>
      <c r="J1436" s="4">
        <f t="shared" si="22"/>
        <v>1016.96</v>
      </c>
      <c r="K1436" s="195">
        <f>SUMIF(FALTAS!A:A,A1436,FALTAS!D:D)</f>
        <v>0</v>
      </c>
    </row>
    <row r="1437" spans="1:11" x14ac:dyDescent="0.2">
      <c r="A1437" s="235">
        <v>112898</v>
      </c>
      <c r="B1437" s="236" t="s">
        <v>486</v>
      </c>
      <c r="C1437" s="236" t="s">
        <v>1589</v>
      </c>
      <c r="D1437" s="236" t="s">
        <v>22</v>
      </c>
      <c r="E1437" s="237">
        <v>43617</v>
      </c>
      <c r="F1437" s="236" t="s">
        <v>1234</v>
      </c>
      <c r="G1437" s="237">
        <v>45119</v>
      </c>
      <c r="H1437" s="234">
        <f>SUMIF(VA!B:B,A1437,VA!I:I)</f>
        <v>359.46</v>
      </c>
      <c r="I1437" s="33">
        <f>SUMIF(VR!B:B,A1437,VR!I:I)</f>
        <v>657.5</v>
      </c>
      <c r="J1437" s="4">
        <f t="shared" si="22"/>
        <v>1016.96</v>
      </c>
      <c r="K1437" s="195">
        <f>SUMIF(FALTAS!A:A,A1437,FALTAS!D:D)</f>
        <v>0</v>
      </c>
    </row>
    <row r="1438" spans="1:11" x14ac:dyDescent="0.2">
      <c r="A1438" s="235">
        <v>112618</v>
      </c>
      <c r="B1438" s="236" t="s">
        <v>302</v>
      </c>
      <c r="C1438" s="236" t="s">
        <v>8</v>
      </c>
      <c r="D1438" s="236" t="s">
        <v>146</v>
      </c>
      <c r="E1438" s="237">
        <v>43617</v>
      </c>
      <c r="F1438" s="236" t="s">
        <v>1235</v>
      </c>
      <c r="G1438" s="237">
        <v>45147</v>
      </c>
      <c r="H1438" s="234">
        <f>SUMIF(VA!B:B,A1438,VA!I:I)</f>
        <v>359.46</v>
      </c>
      <c r="I1438" s="33">
        <f>SUMIF(VR!B:B,A1438,VR!I:I)</f>
        <v>657.5</v>
      </c>
      <c r="J1438" s="4">
        <f t="shared" si="22"/>
        <v>1016.96</v>
      </c>
      <c r="K1438" s="195">
        <f>SUMIF(FALTAS!A:A,A1438,FALTAS!D:D)</f>
        <v>0</v>
      </c>
    </row>
    <row r="1439" spans="1:11" x14ac:dyDescent="0.2">
      <c r="A1439" s="235">
        <v>112628</v>
      </c>
      <c r="B1439" s="236" t="s">
        <v>308</v>
      </c>
      <c r="C1439" s="236" t="s">
        <v>8</v>
      </c>
      <c r="D1439" s="236" t="s">
        <v>5</v>
      </c>
      <c r="E1439" s="237">
        <v>43617</v>
      </c>
      <c r="F1439" s="236" t="s">
        <v>1234</v>
      </c>
      <c r="G1439" s="237">
        <v>45056</v>
      </c>
      <c r="H1439" s="234">
        <f>SUMIF(VA!B:B,A1439,VA!I:I)</f>
        <v>359.46</v>
      </c>
      <c r="I1439" s="33">
        <f>SUMIF(VR!B:B,A1439,VR!I:I)</f>
        <v>657.5</v>
      </c>
      <c r="J1439" s="4">
        <f t="shared" si="22"/>
        <v>1016.96</v>
      </c>
      <c r="K1439" s="195">
        <f>SUMIF(FALTAS!A:A,A1439,FALTAS!D:D)</f>
        <v>0</v>
      </c>
    </row>
    <row r="1440" spans="1:11" x14ac:dyDescent="0.2">
      <c r="A1440" s="235">
        <v>113932</v>
      </c>
      <c r="B1440" s="236" t="s">
        <v>997</v>
      </c>
      <c r="C1440" s="236" t="s">
        <v>1589</v>
      </c>
      <c r="D1440" s="236" t="s">
        <v>228</v>
      </c>
      <c r="E1440" s="237">
        <v>43683</v>
      </c>
      <c r="F1440" s="236" t="s">
        <v>1234</v>
      </c>
      <c r="G1440" s="237">
        <v>45023</v>
      </c>
      <c r="H1440" s="234">
        <f>SUMIF(VA!B:B,A1440,VA!I:I)</f>
        <v>359.46</v>
      </c>
      <c r="I1440" s="33">
        <f>SUMIF(VR!B:B,A1440,VR!I:I)</f>
        <v>657.5</v>
      </c>
      <c r="J1440" s="4">
        <f t="shared" si="22"/>
        <v>1016.96</v>
      </c>
      <c r="K1440" s="195">
        <f>SUMIF(FALTAS!A:A,A1440,FALTAS!D:D)</f>
        <v>0</v>
      </c>
    </row>
    <row r="1441" spans="1:11" x14ac:dyDescent="0.2">
      <c r="A1441" s="235">
        <v>119110</v>
      </c>
      <c r="B1441" s="236" t="s">
        <v>1453</v>
      </c>
      <c r="C1441" s="236" t="s">
        <v>8</v>
      </c>
      <c r="D1441" s="236" t="s">
        <v>5</v>
      </c>
      <c r="E1441" s="237">
        <v>44630</v>
      </c>
      <c r="F1441" s="236" t="s">
        <v>1235</v>
      </c>
      <c r="G1441" s="237">
        <v>45147</v>
      </c>
      <c r="H1441" s="234">
        <f>SUMIF(VA!B:B,A1441,VA!I:I)</f>
        <v>359.46</v>
      </c>
      <c r="I1441" s="33">
        <f>SUMIF(VR!B:B,A1441,VR!I:I)</f>
        <v>657.5</v>
      </c>
      <c r="J1441" s="4">
        <f t="shared" si="22"/>
        <v>1016.96</v>
      </c>
      <c r="K1441" s="195">
        <f>SUMIF(FALTAS!A:A,A1441,FALTAS!D:D)</f>
        <v>0</v>
      </c>
    </row>
    <row r="1442" spans="1:11" x14ac:dyDescent="0.2">
      <c r="A1442" s="235">
        <v>114265</v>
      </c>
      <c r="B1442" s="236" t="s">
        <v>1030</v>
      </c>
      <c r="C1442" s="236" t="s">
        <v>0</v>
      </c>
      <c r="D1442" s="236" t="s">
        <v>5</v>
      </c>
      <c r="E1442" s="237">
        <v>43804</v>
      </c>
      <c r="F1442" s="236" t="s">
        <v>1234</v>
      </c>
      <c r="G1442" s="237">
        <v>45149</v>
      </c>
      <c r="H1442" s="234">
        <f>SUMIF(VA!B:B,A1442,VA!I:I)</f>
        <v>359.46</v>
      </c>
      <c r="I1442" s="33">
        <f>SUMIF(VR!B:B,A1442,VR!I:I)</f>
        <v>657.5</v>
      </c>
      <c r="J1442" s="4">
        <f t="shared" si="22"/>
        <v>1016.96</v>
      </c>
      <c r="K1442" s="195">
        <f>SUMIF(FALTAS!A:A,A1442,FALTAS!D:D)</f>
        <v>0</v>
      </c>
    </row>
    <row r="1443" spans="1:11" x14ac:dyDescent="0.2">
      <c r="A1443" s="235">
        <v>112905</v>
      </c>
      <c r="B1443" s="236" t="s">
        <v>490</v>
      </c>
      <c r="C1443" s="236" t="s">
        <v>0</v>
      </c>
      <c r="D1443" s="236" t="s">
        <v>5</v>
      </c>
      <c r="E1443" s="237">
        <v>43617</v>
      </c>
      <c r="F1443" s="236" t="s">
        <v>1234</v>
      </c>
      <c r="G1443" s="237">
        <v>44867</v>
      </c>
      <c r="H1443" s="234">
        <f>SUMIF(VA!B:B,A1443,VA!I:I)</f>
        <v>359.46</v>
      </c>
      <c r="I1443" s="33">
        <f>SUMIF(VR!B:B,A1443,VR!I:I)</f>
        <v>657.5</v>
      </c>
      <c r="J1443" s="4">
        <f t="shared" si="22"/>
        <v>1016.96</v>
      </c>
      <c r="K1443" s="195">
        <f>SUMIF(FALTAS!A:A,A1443,FALTAS!D:D)</f>
        <v>0</v>
      </c>
    </row>
    <row r="1444" spans="1:11" x14ac:dyDescent="0.2">
      <c r="A1444" s="235">
        <v>112907</v>
      </c>
      <c r="B1444" s="236" t="s">
        <v>491</v>
      </c>
      <c r="C1444" s="236" t="s">
        <v>1589</v>
      </c>
      <c r="D1444" s="236" t="s">
        <v>22</v>
      </c>
      <c r="E1444" s="237">
        <v>43617</v>
      </c>
      <c r="F1444" s="236" t="s">
        <v>1235</v>
      </c>
      <c r="G1444" s="237">
        <v>45147</v>
      </c>
      <c r="H1444" s="234">
        <f>SUMIF(VA!B:B,A1444,VA!I:I)</f>
        <v>359.46</v>
      </c>
      <c r="I1444" s="33">
        <f>SUMIF(VR!B:B,A1444,VR!I:I)</f>
        <v>657.5</v>
      </c>
      <c r="J1444" s="4">
        <f t="shared" si="22"/>
        <v>1016.96</v>
      </c>
      <c r="K1444" s="195">
        <f>SUMIF(FALTAS!A:A,A1444,FALTAS!D:D)</f>
        <v>0</v>
      </c>
    </row>
    <row r="1445" spans="1:11" x14ac:dyDescent="0.2">
      <c r="A1445" s="235">
        <v>114748</v>
      </c>
      <c r="B1445" s="236" t="s">
        <v>1093</v>
      </c>
      <c r="C1445" s="236" t="s">
        <v>0</v>
      </c>
      <c r="D1445" s="236" t="s">
        <v>5</v>
      </c>
      <c r="E1445" s="237">
        <v>43874</v>
      </c>
      <c r="F1445" s="236" t="s">
        <v>1234</v>
      </c>
      <c r="G1445" s="237">
        <v>44744</v>
      </c>
      <c r="H1445" s="234">
        <f>SUMIF(VA!B:B,A1445,VA!I:I)</f>
        <v>359.46</v>
      </c>
      <c r="I1445" s="33">
        <f>SUMIF(VR!B:B,A1445,VR!I:I)</f>
        <v>657.5</v>
      </c>
      <c r="J1445" s="4">
        <f t="shared" si="22"/>
        <v>1016.96</v>
      </c>
      <c r="K1445" s="195">
        <f>SUMIF(FALTAS!A:A,A1445,FALTAS!D:D)</f>
        <v>0</v>
      </c>
    </row>
    <row r="1446" spans="1:11" x14ac:dyDescent="0.2">
      <c r="A1446" s="235">
        <v>114949</v>
      </c>
      <c r="B1446" s="236" t="s">
        <v>1103</v>
      </c>
      <c r="C1446" s="236" t="s">
        <v>1589</v>
      </c>
      <c r="D1446" s="236" t="s">
        <v>15</v>
      </c>
      <c r="E1446" s="237">
        <v>43916</v>
      </c>
      <c r="F1446" s="236" t="s">
        <v>1234</v>
      </c>
      <c r="G1446" s="237">
        <v>45056</v>
      </c>
      <c r="H1446" s="234">
        <f>SUMIF(VA!B:B,A1446,VA!I:I)</f>
        <v>359.46</v>
      </c>
      <c r="I1446" s="33">
        <f>SUMIF(VR!B:B,A1446,VR!I:I)</f>
        <v>657.5</v>
      </c>
      <c r="J1446" s="4">
        <f t="shared" si="22"/>
        <v>1016.96</v>
      </c>
      <c r="K1446" s="195">
        <f>SUMIF(FALTAS!A:A,A1446,FALTAS!D:D)</f>
        <v>0</v>
      </c>
    </row>
    <row r="1447" spans="1:11" x14ac:dyDescent="0.2">
      <c r="A1447" s="235">
        <v>113883</v>
      </c>
      <c r="B1447" s="236" t="s">
        <v>1253</v>
      </c>
      <c r="C1447" s="236" t="s">
        <v>1252</v>
      </c>
      <c r="D1447" s="236" t="s">
        <v>1254</v>
      </c>
      <c r="E1447" s="237">
        <v>43578</v>
      </c>
      <c r="F1447" s="236" t="s">
        <v>1234</v>
      </c>
      <c r="G1447" s="237">
        <v>43578</v>
      </c>
      <c r="H1447" s="234">
        <f>SUMIF(VA!B:B,A1447,VA!I:I)</f>
        <v>0</v>
      </c>
      <c r="I1447" s="33">
        <f>SUMIF(VR!B:B,A1447,VR!I:I)</f>
        <v>1200</v>
      </c>
      <c r="J1447" s="4">
        <f t="shared" si="22"/>
        <v>1200</v>
      </c>
      <c r="K1447" s="195">
        <f>SUMIF(FALTAS!A:A,A1447,FALTAS!D:D)</f>
        <v>0</v>
      </c>
    </row>
    <row r="1448" spans="1:11" x14ac:dyDescent="0.2">
      <c r="A1448" s="235">
        <v>112376</v>
      </c>
      <c r="B1448" s="236" t="s">
        <v>138</v>
      </c>
      <c r="C1448" s="236" t="s">
        <v>1589</v>
      </c>
      <c r="D1448" s="236" t="s">
        <v>139</v>
      </c>
      <c r="E1448" s="237">
        <v>43617</v>
      </c>
      <c r="F1448" s="236" t="s">
        <v>1234</v>
      </c>
      <c r="G1448" s="237">
        <v>45023</v>
      </c>
      <c r="H1448" s="234">
        <f>SUMIF(VA!B:B,A1448,VA!I:I)</f>
        <v>359.46</v>
      </c>
      <c r="I1448" s="33">
        <f>SUMIF(VR!B:B,A1448,VR!I:I)</f>
        <v>657.5</v>
      </c>
      <c r="J1448" s="4">
        <f t="shared" si="22"/>
        <v>1016.96</v>
      </c>
      <c r="K1448" s="195">
        <f>SUMIF(FALTAS!A:A,A1448,FALTAS!D:D)</f>
        <v>0</v>
      </c>
    </row>
    <row r="1449" spans="1:11" x14ac:dyDescent="0.2">
      <c r="A1449" s="235">
        <v>112911</v>
      </c>
      <c r="B1449" s="236" t="s">
        <v>494</v>
      </c>
      <c r="C1449" s="236" t="s">
        <v>1589</v>
      </c>
      <c r="D1449" s="236" t="s">
        <v>22</v>
      </c>
      <c r="E1449" s="237">
        <v>43617</v>
      </c>
      <c r="F1449" s="236" t="s">
        <v>1235</v>
      </c>
      <c r="G1449" s="237">
        <v>45147</v>
      </c>
      <c r="H1449" s="234">
        <f>SUMIF(VA!B:B,A1449,VA!I:I)</f>
        <v>359.46</v>
      </c>
      <c r="I1449" s="33">
        <f>SUMIF(VR!B:B,A1449,VR!I:I)</f>
        <v>657.5</v>
      </c>
      <c r="J1449" s="4">
        <f t="shared" si="22"/>
        <v>1016.96</v>
      </c>
      <c r="K1449" s="195">
        <f>SUMIF(FALTAS!A:A,A1449,FALTAS!D:D)</f>
        <v>0</v>
      </c>
    </row>
    <row r="1450" spans="1:11" x14ac:dyDescent="0.2">
      <c r="A1450" s="235">
        <v>112683</v>
      </c>
      <c r="B1450" s="236" t="s">
        <v>339</v>
      </c>
      <c r="C1450" s="236" t="s">
        <v>0</v>
      </c>
      <c r="D1450" s="236" t="s">
        <v>5</v>
      </c>
      <c r="E1450" s="237">
        <v>43617</v>
      </c>
      <c r="F1450" s="236" t="s">
        <v>1234</v>
      </c>
      <c r="G1450" s="237">
        <v>44867</v>
      </c>
      <c r="H1450" s="234">
        <f>SUMIF(VA!B:B,A1450,VA!I:I)</f>
        <v>359.46</v>
      </c>
      <c r="I1450" s="33">
        <f>SUMIF(VR!B:B,A1450,VR!I:I)</f>
        <v>657.5</v>
      </c>
      <c r="J1450" s="4">
        <f t="shared" si="22"/>
        <v>1016.96</v>
      </c>
      <c r="K1450" s="195">
        <f>SUMIF(FALTAS!A:A,A1450,FALTAS!D:D)</f>
        <v>0</v>
      </c>
    </row>
    <row r="1451" spans="1:11" x14ac:dyDescent="0.2">
      <c r="A1451" s="235">
        <v>112805</v>
      </c>
      <c r="B1451" s="236" t="s">
        <v>424</v>
      </c>
      <c r="C1451" s="236" t="s">
        <v>1589</v>
      </c>
      <c r="D1451" s="236" t="s">
        <v>425</v>
      </c>
      <c r="E1451" s="237">
        <v>43617</v>
      </c>
      <c r="F1451" s="236" t="s">
        <v>1234</v>
      </c>
      <c r="G1451" s="237">
        <v>45149</v>
      </c>
      <c r="H1451" s="234">
        <f>SUMIF(VA!B:B,A1451,VA!I:I)</f>
        <v>359.46</v>
      </c>
      <c r="I1451" s="33">
        <f>SUMIF(VR!B:B,A1451,VR!I:I)</f>
        <v>657.5</v>
      </c>
      <c r="J1451" s="4">
        <f t="shared" si="22"/>
        <v>1016.96</v>
      </c>
      <c r="K1451" s="195">
        <f>SUMIF(FALTAS!A:A,A1451,FALTAS!D:D)</f>
        <v>0</v>
      </c>
    </row>
    <row r="1452" spans="1:11" x14ac:dyDescent="0.2">
      <c r="A1452" s="235">
        <v>112685</v>
      </c>
      <c r="B1452" s="236" t="s">
        <v>341</v>
      </c>
      <c r="C1452" s="236" t="s">
        <v>10</v>
      </c>
      <c r="D1452" s="236" t="s">
        <v>5</v>
      </c>
      <c r="E1452" s="237">
        <v>43617</v>
      </c>
      <c r="F1452" s="236" t="s">
        <v>1234</v>
      </c>
      <c r="G1452" s="237">
        <v>44835</v>
      </c>
      <c r="H1452" s="234">
        <f>SUMIF(VA!B:B,A1452,VA!I:I)</f>
        <v>359.46</v>
      </c>
      <c r="I1452" s="33">
        <f>SUMIF(VR!B:B,A1452,VR!I:I)</f>
        <v>657.5</v>
      </c>
      <c r="J1452" s="4">
        <f t="shared" si="22"/>
        <v>1016.96</v>
      </c>
      <c r="K1452" s="195">
        <f>SUMIF(FALTAS!A:A,A1452,FALTAS!D:D)</f>
        <v>0</v>
      </c>
    </row>
    <row r="1453" spans="1:11" ht="12" thickBot="1" x14ac:dyDescent="0.25">
      <c r="A1453" s="235">
        <v>112918</v>
      </c>
      <c r="B1453" s="236" t="s">
        <v>497</v>
      </c>
      <c r="C1453" s="236" t="s">
        <v>1589</v>
      </c>
      <c r="D1453" s="236" t="s">
        <v>22</v>
      </c>
      <c r="E1453" s="237">
        <v>43617</v>
      </c>
      <c r="F1453" s="236" t="s">
        <v>1234</v>
      </c>
      <c r="G1453" s="237">
        <v>44930</v>
      </c>
      <c r="H1453" s="234">
        <f>SUMIF(VA!B:B,A1453,VA!I:I)</f>
        <v>359.46</v>
      </c>
      <c r="I1453" s="33">
        <f>SUMIF(VR!B:B,A1453,VR!I:I)</f>
        <v>657.5</v>
      </c>
      <c r="J1453" s="4">
        <f t="shared" si="22"/>
        <v>1016.96</v>
      </c>
      <c r="K1453" s="195">
        <f>SUMIF(FALTAS!A:A,A1453,FALTAS!D:D)</f>
        <v>0</v>
      </c>
    </row>
    <row r="1454" spans="1:11" s="1" customFormat="1" ht="20.25" thickBot="1" x14ac:dyDescent="0.25">
      <c r="A1454" s="66"/>
      <c r="B1454" s="9"/>
      <c r="C1454" s="9"/>
      <c r="E1454" s="28"/>
      <c r="F1454" s="144"/>
      <c r="G1454" s="28"/>
      <c r="H1454" s="208">
        <f>SUBTOTAL(9,H2:H1453)</f>
        <v>503602.99000001117</v>
      </c>
      <c r="I1454" s="208">
        <f>SUBTOTAL(9,I2:I1453)</f>
        <v>930799.79999999935</v>
      </c>
      <c r="J1454" s="208">
        <f>SUBTOTAL(9,J2:J1453)</f>
        <v>1434402.789999973</v>
      </c>
      <c r="K1454" s="209">
        <f>SUM(K2:K1453)</f>
        <v>241</v>
      </c>
    </row>
    <row r="1455" spans="1:11" x14ac:dyDescent="0.2">
      <c r="H1455" s="41"/>
      <c r="I1455" s="40"/>
      <c r="J1455" s="40"/>
      <c r="K1455" s="40"/>
    </row>
    <row r="1457" spans="1:11" ht="14.25" x14ac:dyDescent="0.2">
      <c r="A1457" s="35" t="s">
        <v>1230</v>
      </c>
      <c r="B1457" s="36" t="s">
        <v>1232</v>
      </c>
      <c r="C1457" s="36" t="s">
        <v>1233</v>
      </c>
      <c r="D1457" s="36" t="s">
        <v>1231</v>
      </c>
      <c r="E1457" s="37" t="s">
        <v>1454</v>
      </c>
      <c r="F1457" s="145" t="s">
        <v>1309</v>
      </c>
      <c r="G1457" s="37" t="s">
        <v>1454</v>
      </c>
      <c r="H1457" s="55" t="s">
        <v>1302</v>
      </c>
      <c r="I1457" s="55" t="s">
        <v>1302</v>
      </c>
      <c r="J1457" s="56" t="s">
        <v>1455</v>
      </c>
      <c r="K1457" s="40"/>
    </row>
    <row r="1458" spans="1:11" s="80" customFormat="1" ht="13.5" customHeight="1" x14ac:dyDescent="0.2">
      <c r="A1458" s="131">
        <v>113884</v>
      </c>
      <c r="B1458" s="132" t="s">
        <v>1255</v>
      </c>
      <c r="C1458" s="132" t="s">
        <v>1256</v>
      </c>
      <c r="D1458" s="132" t="s">
        <v>1252</v>
      </c>
      <c r="E1458" s="133">
        <v>43663</v>
      </c>
      <c r="F1458" s="146" t="s">
        <v>1679</v>
      </c>
      <c r="G1458" s="133">
        <v>43663</v>
      </c>
      <c r="H1458" s="134">
        <v>1200</v>
      </c>
      <c r="I1458" s="134">
        <v>0</v>
      </c>
      <c r="J1458" s="135">
        <f t="shared" ref="J1458" si="23">H1458+I1458</f>
        <v>1200</v>
      </c>
      <c r="K1458" s="40">
        <f>ROUND(H1458,2)</f>
        <v>1200</v>
      </c>
    </row>
    <row r="1459" spans="1:11" s="80" customFormat="1" ht="13.5" customHeight="1" x14ac:dyDescent="0.2">
      <c r="A1459" s="85">
        <v>115814</v>
      </c>
      <c r="B1459" s="86" t="s">
        <v>1168</v>
      </c>
      <c r="C1459" s="86" t="s">
        <v>120</v>
      </c>
      <c r="D1459" s="86" t="s">
        <v>1589</v>
      </c>
      <c r="E1459" s="87">
        <v>44154</v>
      </c>
      <c r="F1459" s="147" t="s">
        <v>1729</v>
      </c>
      <c r="G1459" s="87">
        <v>45170</v>
      </c>
      <c r="H1459" s="88">
        <v>1016.95</v>
      </c>
      <c r="I1459" s="134">
        <v>0</v>
      </c>
      <c r="J1459" s="135">
        <f t="shared" ref="J1459:J1473" si="24">H1459+I1459</f>
        <v>1016.95</v>
      </c>
      <c r="K1459" s="40">
        <f t="shared" ref="K1459:K1464" si="25">ROUND(H1459,2)</f>
        <v>1016.95</v>
      </c>
    </row>
    <row r="1460" spans="1:11" s="80" customFormat="1" ht="13.5" customHeight="1" x14ac:dyDescent="0.2">
      <c r="A1460" s="85">
        <v>122632</v>
      </c>
      <c r="B1460" s="86" t="s">
        <v>1726</v>
      </c>
      <c r="C1460" s="86" t="s">
        <v>15</v>
      </c>
      <c r="D1460" s="86" t="s">
        <v>1589</v>
      </c>
      <c r="E1460" s="87">
        <v>45145</v>
      </c>
      <c r="F1460" s="147" t="s">
        <v>1635</v>
      </c>
      <c r="G1460" s="87">
        <v>45156</v>
      </c>
      <c r="H1460" s="88">
        <v>828.63</v>
      </c>
      <c r="I1460" s="134">
        <v>0</v>
      </c>
      <c r="J1460" s="135">
        <f t="shared" si="24"/>
        <v>828.63</v>
      </c>
      <c r="K1460" s="40">
        <f t="shared" si="25"/>
        <v>828.63</v>
      </c>
    </row>
    <row r="1461" spans="1:11" s="80" customFormat="1" ht="13.5" customHeight="1" x14ac:dyDescent="0.2">
      <c r="A1461" s="85">
        <v>113626</v>
      </c>
      <c r="B1461" s="86" t="s">
        <v>882</v>
      </c>
      <c r="C1461" s="86" t="s">
        <v>411</v>
      </c>
      <c r="D1461" s="86" t="s">
        <v>1589</v>
      </c>
      <c r="E1461" s="87">
        <v>43617</v>
      </c>
      <c r="F1461" s="147" t="s">
        <v>1730</v>
      </c>
      <c r="G1461" s="87">
        <v>45156</v>
      </c>
      <c r="H1461" s="88">
        <v>292.22000000000003</v>
      </c>
      <c r="I1461" s="134">
        <v>0</v>
      </c>
      <c r="J1461" s="135">
        <f t="shared" si="24"/>
        <v>292.22000000000003</v>
      </c>
      <c r="K1461" s="40">
        <f t="shared" si="25"/>
        <v>292.22000000000003</v>
      </c>
    </row>
    <row r="1462" spans="1:11" s="80" customFormat="1" ht="13.5" customHeight="1" x14ac:dyDescent="0.2">
      <c r="A1462" s="85">
        <v>114742</v>
      </c>
      <c r="B1462" s="86" t="s">
        <v>1090</v>
      </c>
      <c r="C1462" s="86" t="s">
        <v>5</v>
      </c>
      <c r="D1462" s="86" t="s">
        <v>0</v>
      </c>
      <c r="E1462" s="87">
        <v>43874</v>
      </c>
      <c r="F1462" s="147" t="s">
        <v>1730</v>
      </c>
      <c r="G1462" s="87">
        <v>45162</v>
      </c>
      <c r="H1462" s="88">
        <v>170.46</v>
      </c>
      <c r="I1462" s="134">
        <v>0</v>
      </c>
      <c r="J1462" s="135">
        <f t="shared" si="24"/>
        <v>170.46</v>
      </c>
      <c r="K1462" s="40">
        <f t="shared" si="25"/>
        <v>170.46</v>
      </c>
    </row>
    <row r="1463" spans="1:11" s="80" customFormat="1" ht="13.5" customHeight="1" x14ac:dyDescent="0.2">
      <c r="A1463" s="85">
        <v>116026</v>
      </c>
      <c r="B1463" s="86" t="s">
        <v>1180</v>
      </c>
      <c r="C1463" s="86" t="s">
        <v>5</v>
      </c>
      <c r="D1463" s="86" t="s">
        <v>0</v>
      </c>
      <c r="E1463" s="87">
        <v>44207</v>
      </c>
      <c r="F1463" s="147" t="s">
        <v>1731</v>
      </c>
      <c r="G1463" s="87">
        <v>45094</v>
      </c>
      <c r="H1463" s="88">
        <v>249.55</v>
      </c>
      <c r="I1463" s="134">
        <v>0</v>
      </c>
      <c r="J1463" s="135">
        <f t="shared" si="24"/>
        <v>249.55</v>
      </c>
      <c r="K1463" s="40">
        <f t="shared" si="25"/>
        <v>249.55</v>
      </c>
    </row>
    <row r="1464" spans="1:11" s="80" customFormat="1" ht="13.5" customHeight="1" x14ac:dyDescent="0.2">
      <c r="A1464" s="85">
        <v>112930</v>
      </c>
      <c r="B1464" s="86" t="s">
        <v>505</v>
      </c>
      <c r="C1464" s="86" t="s">
        <v>5</v>
      </c>
      <c r="D1464" s="86" t="s">
        <v>10</v>
      </c>
      <c r="E1464" s="87">
        <v>43617</v>
      </c>
      <c r="F1464" s="147" t="s">
        <v>1731</v>
      </c>
      <c r="G1464" s="87">
        <v>45132</v>
      </c>
      <c r="H1464" s="88">
        <v>359.46</v>
      </c>
      <c r="I1464" s="134">
        <v>0</v>
      </c>
      <c r="J1464" s="135">
        <f t="shared" si="24"/>
        <v>359.46</v>
      </c>
      <c r="K1464" s="40">
        <f t="shared" si="25"/>
        <v>359.46</v>
      </c>
    </row>
    <row r="1465" spans="1:11" s="80" customFormat="1" ht="13.5" customHeight="1" x14ac:dyDescent="0.2">
      <c r="A1465" s="85">
        <v>116225</v>
      </c>
      <c r="B1465" s="86" t="s">
        <v>1194</v>
      </c>
      <c r="C1465" s="86" t="s">
        <v>5</v>
      </c>
      <c r="D1465" s="86" t="s">
        <v>0</v>
      </c>
      <c r="E1465" s="87">
        <v>44273</v>
      </c>
      <c r="F1465" s="147" t="s">
        <v>1731</v>
      </c>
      <c r="G1465" s="87">
        <v>45129</v>
      </c>
      <c r="H1465" s="88">
        <v>359.46</v>
      </c>
      <c r="I1465" s="134">
        <v>0</v>
      </c>
      <c r="J1465" s="135">
        <f t="shared" si="24"/>
        <v>359.46</v>
      </c>
      <c r="K1465" s="40"/>
    </row>
    <row r="1466" spans="1:11" s="80" customFormat="1" ht="13.5" customHeight="1" x14ac:dyDescent="0.2">
      <c r="A1466" s="85">
        <v>113082</v>
      </c>
      <c r="B1466" s="86" t="s">
        <v>579</v>
      </c>
      <c r="C1466" s="86" t="s">
        <v>2</v>
      </c>
      <c r="D1466" s="86" t="s">
        <v>0</v>
      </c>
      <c r="E1466" s="87">
        <v>43617</v>
      </c>
      <c r="F1466" s="147" t="s">
        <v>1731</v>
      </c>
      <c r="G1466" s="87">
        <v>45128</v>
      </c>
      <c r="H1466" s="88">
        <v>359.46</v>
      </c>
      <c r="I1466" s="134">
        <v>0</v>
      </c>
      <c r="J1466" s="135">
        <f t="shared" si="24"/>
        <v>359.46</v>
      </c>
      <c r="K1466" s="40"/>
    </row>
    <row r="1467" spans="1:11" s="80" customFormat="1" ht="13.5" customHeight="1" x14ac:dyDescent="0.2">
      <c r="A1467" s="85">
        <v>112225</v>
      </c>
      <c r="B1467" s="86" t="s">
        <v>47</v>
      </c>
      <c r="C1467" s="86" t="s">
        <v>5</v>
      </c>
      <c r="D1467" s="86" t="s">
        <v>1589</v>
      </c>
      <c r="E1467" s="87">
        <v>43617</v>
      </c>
      <c r="F1467" s="147" t="s">
        <v>1731</v>
      </c>
      <c r="G1467" s="87">
        <v>45164</v>
      </c>
      <c r="H1467" s="88">
        <v>359.46</v>
      </c>
      <c r="I1467" s="134">
        <v>0</v>
      </c>
      <c r="J1467" s="135">
        <f t="shared" si="24"/>
        <v>359.46</v>
      </c>
      <c r="K1467" s="40"/>
    </row>
    <row r="1468" spans="1:11" s="80" customFormat="1" ht="13.5" customHeight="1" x14ac:dyDescent="0.2">
      <c r="A1468" s="85">
        <v>114101</v>
      </c>
      <c r="B1468" s="86" t="s">
        <v>1008</v>
      </c>
      <c r="C1468" s="86" t="s">
        <v>5</v>
      </c>
      <c r="D1468" s="86" t="s">
        <v>19</v>
      </c>
      <c r="E1468" s="87">
        <v>43728</v>
      </c>
      <c r="F1468" s="147" t="s">
        <v>1731</v>
      </c>
      <c r="G1468" s="87">
        <v>45140</v>
      </c>
      <c r="H1468" s="88">
        <v>359.46</v>
      </c>
      <c r="I1468" s="134">
        <v>0</v>
      </c>
      <c r="J1468" s="135">
        <f t="shared" si="24"/>
        <v>359.46</v>
      </c>
      <c r="K1468" s="40"/>
    </row>
    <row r="1469" spans="1:11" s="80" customFormat="1" ht="13.5" customHeight="1" x14ac:dyDescent="0.2">
      <c r="A1469" s="85">
        <v>114616</v>
      </c>
      <c r="B1469" s="86" t="s">
        <v>1064</v>
      </c>
      <c r="C1469" s="86" t="s">
        <v>15</v>
      </c>
      <c r="D1469" s="86" t="s">
        <v>1589</v>
      </c>
      <c r="E1469" s="87">
        <v>43840</v>
      </c>
      <c r="F1469" s="147" t="s">
        <v>1731</v>
      </c>
      <c r="G1469" s="87">
        <v>45171</v>
      </c>
      <c r="H1469" s="88">
        <v>359.46</v>
      </c>
      <c r="I1469" s="134">
        <v>0</v>
      </c>
      <c r="J1469" s="135">
        <f t="shared" si="24"/>
        <v>359.46</v>
      </c>
      <c r="K1469" s="40"/>
    </row>
    <row r="1470" spans="1:11" s="80" customFormat="1" ht="13.5" customHeight="1" x14ac:dyDescent="0.2">
      <c r="A1470" s="85">
        <v>121673</v>
      </c>
      <c r="B1470" s="86" t="s">
        <v>1594</v>
      </c>
      <c r="C1470" s="86" t="s">
        <v>5</v>
      </c>
      <c r="D1470" s="86" t="s">
        <v>0</v>
      </c>
      <c r="E1470" s="87">
        <v>44994</v>
      </c>
      <c r="F1470" s="147" t="s">
        <v>1731</v>
      </c>
      <c r="G1470" s="87">
        <v>45139</v>
      </c>
      <c r="H1470" s="88">
        <v>359.46</v>
      </c>
      <c r="I1470" s="134">
        <v>0</v>
      </c>
      <c r="J1470" s="135">
        <f t="shared" si="24"/>
        <v>359.46</v>
      </c>
      <c r="K1470" s="40"/>
    </row>
    <row r="1471" spans="1:11" s="80" customFormat="1" ht="13.5" customHeight="1" x14ac:dyDescent="0.2">
      <c r="A1471" s="85">
        <v>113403</v>
      </c>
      <c r="B1471" s="86" t="s">
        <v>758</v>
      </c>
      <c r="C1471" s="86" t="s">
        <v>2</v>
      </c>
      <c r="D1471" s="86" t="s">
        <v>0</v>
      </c>
      <c r="E1471" s="87">
        <v>43617</v>
      </c>
      <c r="F1471" s="147" t="s">
        <v>1731</v>
      </c>
      <c r="G1471" s="87">
        <v>45141</v>
      </c>
      <c r="H1471" s="88">
        <v>359.46</v>
      </c>
      <c r="I1471" s="134">
        <v>0</v>
      </c>
      <c r="J1471" s="135">
        <f t="shared" si="24"/>
        <v>359.46</v>
      </c>
      <c r="K1471" s="40"/>
    </row>
    <row r="1472" spans="1:11" s="80" customFormat="1" ht="13.5" customHeight="1" x14ac:dyDescent="0.2">
      <c r="A1472" s="85">
        <v>112370</v>
      </c>
      <c r="B1472" s="86" t="s">
        <v>135</v>
      </c>
      <c r="C1472" s="86" t="s">
        <v>5</v>
      </c>
      <c r="D1472" s="86" t="s">
        <v>8</v>
      </c>
      <c r="E1472" s="87">
        <v>43617</v>
      </c>
      <c r="F1472" s="147" t="s">
        <v>1731</v>
      </c>
      <c r="G1472" s="87">
        <v>45160</v>
      </c>
      <c r="H1472" s="88">
        <v>359.46</v>
      </c>
      <c r="I1472" s="134">
        <v>0</v>
      </c>
      <c r="J1472" s="135">
        <f t="shared" si="24"/>
        <v>359.46</v>
      </c>
      <c r="K1472" s="40"/>
    </row>
    <row r="1473" spans="1:11" s="80" customFormat="1" ht="13.5" customHeight="1" thickBot="1" x14ac:dyDescent="0.25">
      <c r="A1473" s="85">
        <v>122078</v>
      </c>
      <c r="B1473" s="86" t="s">
        <v>1647</v>
      </c>
      <c r="C1473" s="86" t="s">
        <v>5</v>
      </c>
      <c r="D1473" s="86" t="s">
        <v>8</v>
      </c>
      <c r="E1473" s="87">
        <v>45061</v>
      </c>
      <c r="F1473" s="147" t="s">
        <v>1731</v>
      </c>
      <c r="G1473" s="87">
        <v>45163</v>
      </c>
      <c r="H1473" s="88">
        <v>359.46</v>
      </c>
      <c r="I1473" s="134">
        <v>0</v>
      </c>
      <c r="J1473" s="135">
        <f t="shared" si="24"/>
        <v>359.46</v>
      </c>
      <c r="K1473" s="40"/>
    </row>
    <row r="1474" spans="1:11" ht="21" thickTop="1" thickBot="1" x14ac:dyDescent="0.25">
      <c r="H1474" s="62">
        <f>SUM(H1458:H1473)</f>
        <v>7352.4100000000008</v>
      </c>
      <c r="I1474" s="62">
        <f>SUBTOTAL(9,I1458:I1473)</f>
        <v>0</v>
      </c>
      <c r="J1474" s="62">
        <f>SUM(J1458:J1473)</f>
        <v>7352.4100000000008</v>
      </c>
      <c r="K1474" s="40"/>
    </row>
    <row r="1475" spans="1:11" ht="12.75" thickTop="1" thickBot="1" x14ac:dyDescent="0.25">
      <c r="H1475" s="41"/>
      <c r="I1475" s="41"/>
      <c r="J1475" s="42"/>
      <c r="K1475" s="40"/>
    </row>
    <row r="1476" spans="1:11" ht="21" thickTop="1" thickBot="1" x14ac:dyDescent="0.25">
      <c r="H1476" s="61">
        <f>H1474+H1454</f>
        <v>510955.40000001114</v>
      </c>
      <c r="I1476" s="61">
        <f>I1474+I1454</f>
        <v>930799.79999999935</v>
      </c>
      <c r="J1476" s="61">
        <f>J1474+J1454</f>
        <v>1441755.1999999729</v>
      </c>
      <c r="K1476" s="40"/>
    </row>
    <row r="1477" spans="1:11" ht="12" thickTop="1" x14ac:dyDescent="0.2">
      <c r="H1477" s="41"/>
      <c r="I1477" s="41"/>
      <c r="J1477" s="42"/>
      <c r="K1477" s="40"/>
    </row>
  </sheetData>
  <autoFilter ref="A1:K1453" xr:uid="{98B53E00-903C-47EF-8DC1-FC83ECB8350F}"/>
  <pageMargins left="0.511811024" right="0.511811024" top="0.78740157499999996" bottom="0.78740157499999996" header="0.31496062000000002" footer="0.31496062000000002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74266-BDC8-400B-B854-5AB35CA0155D}">
  <sheetPr codeName="Planilha2"/>
  <dimension ref="A1:I1454"/>
  <sheetViews>
    <sheetView workbookViewId="0">
      <pane ySplit="1" topLeftCell="A2" activePane="bottomLeft" state="frozen"/>
      <selection pane="bottomLeft" activeCell="H4" sqref="H4"/>
    </sheetView>
  </sheetViews>
  <sheetFormatPr defaultColWidth="9.140625" defaultRowHeight="11.25" x14ac:dyDescent="0.2"/>
  <cols>
    <col min="1" max="1" width="15" style="111" bestFit="1" customWidth="1"/>
    <col min="2" max="2" width="42.140625" style="110" bestFit="1" customWidth="1"/>
    <col min="3" max="3" width="32.28515625" style="110" bestFit="1" customWidth="1"/>
    <col min="4" max="4" width="9.85546875" style="111" bestFit="1" customWidth="1"/>
    <col min="5" max="5" width="24.7109375" style="110" bestFit="1" customWidth="1"/>
    <col min="6" max="6" width="11.140625" style="110" customWidth="1"/>
    <col min="7" max="7" width="26" style="110" bestFit="1" customWidth="1"/>
    <col min="8" max="8" width="12.85546875" style="111" bestFit="1" customWidth="1"/>
    <col min="9" max="9" width="15.140625" style="110" bestFit="1" customWidth="1"/>
    <col min="10" max="16384" width="9.140625" style="110"/>
  </cols>
  <sheetData>
    <row r="1" spans="1:9" ht="13.5" thickBot="1" x14ac:dyDescent="0.25">
      <c r="A1" s="127" t="s">
        <v>1419</v>
      </c>
      <c r="B1" s="128" t="s">
        <v>1421</v>
      </c>
      <c r="C1" s="128" t="s">
        <v>1438</v>
      </c>
      <c r="D1" s="127" t="s">
        <v>1284</v>
      </c>
      <c r="E1" s="129" t="s">
        <v>1237</v>
      </c>
      <c r="G1" s="200" t="s">
        <v>1294</v>
      </c>
      <c r="H1" s="201" t="s">
        <v>1678</v>
      </c>
      <c r="I1"/>
    </row>
    <row r="2" spans="1:9" ht="12.75" x14ac:dyDescent="0.2">
      <c r="A2" s="235">
        <v>112169</v>
      </c>
      <c r="B2" s="236" t="s">
        <v>1</v>
      </c>
      <c r="C2" s="236" t="s">
        <v>2</v>
      </c>
      <c r="D2" s="126">
        <v>0</v>
      </c>
      <c r="E2" s="236" t="s">
        <v>1234</v>
      </c>
      <c r="G2" s="202" t="s">
        <v>1234</v>
      </c>
      <c r="H2" s="238">
        <v>220</v>
      </c>
      <c r="I2"/>
    </row>
    <row r="3" spans="1:9" ht="12.75" x14ac:dyDescent="0.2">
      <c r="A3" s="235">
        <v>112170</v>
      </c>
      <c r="B3" s="236" t="s">
        <v>3</v>
      </c>
      <c r="C3" s="236" t="s">
        <v>2</v>
      </c>
      <c r="D3" s="126">
        <v>0</v>
      </c>
      <c r="E3" s="236" t="s">
        <v>1234</v>
      </c>
      <c r="G3" s="203" t="s">
        <v>1235</v>
      </c>
      <c r="H3" s="239">
        <v>14</v>
      </c>
      <c r="I3"/>
    </row>
    <row r="4" spans="1:9" ht="12.75" x14ac:dyDescent="0.2">
      <c r="A4" s="235">
        <v>112171</v>
      </c>
      <c r="B4" s="236" t="s">
        <v>4</v>
      </c>
      <c r="C4" s="236" t="s">
        <v>5</v>
      </c>
      <c r="D4" s="126">
        <v>1</v>
      </c>
      <c r="E4" s="236" t="s">
        <v>1234</v>
      </c>
      <c r="G4" s="203" t="s">
        <v>1582</v>
      </c>
      <c r="H4" s="239">
        <v>0</v>
      </c>
      <c r="I4"/>
    </row>
    <row r="5" spans="1:9" ht="12.75" x14ac:dyDescent="0.2">
      <c r="A5" s="235">
        <v>112172</v>
      </c>
      <c r="B5" s="236" t="s">
        <v>6</v>
      </c>
      <c r="C5" s="236" t="s">
        <v>7</v>
      </c>
      <c r="D5" s="126">
        <v>0</v>
      </c>
      <c r="E5" s="236" t="s">
        <v>1235</v>
      </c>
      <c r="G5" s="203" t="s">
        <v>1285</v>
      </c>
      <c r="H5" s="239">
        <v>7</v>
      </c>
      <c r="I5"/>
    </row>
    <row r="6" spans="1:9" ht="12.75" x14ac:dyDescent="0.2">
      <c r="A6" s="235">
        <v>112173</v>
      </c>
      <c r="B6" s="236" t="s">
        <v>9</v>
      </c>
      <c r="C6" s="236" t="s">
        <v>5</v>
      </c>
      <c r="D6" s="126">
        <v>0</v>
      </c>
      <c r="E6" s="236" t="s">
        <v>1234</v>
      </c>
      <c r="G6" s="203" t="s">
        <v>1516</v>
      </c>
      <c r="H6" s="239">
        <v>0</v>
      </c>
      <c r="I6"/>
    </row>
    <row r="7" spans="1:9" ht="12.75" thickBot="1" x14ac:dyDescent="0.25">
      <c r="A7" s="235">
        <v>112174</v>
      </c>
      <c r="B7" s="236" t="s">
        <v>11</v>
      </c>
      <c r="C7" s="236" t="s">
        <v>5</v>
      </c>
      <c r="D7" s="126">
        <v>0</v>
      </c>
      <c r="E7" s="236" t="s">
        <v>1234</v>
      </c>
      <c r="G7" s="204" t="s">
        <v>1707</v>
      </c>
      <c r="H7" s="239">
        <v>0</v>
      </c>
    </row>
    <row r="8" spans="1:9" ht="12.75" thickBot="1" x14ac:dyDescent="0.25">
      <c r="A8" s="235">
        <v>112175</v>
      </c>
      <c r="B8" s="236" t="s">
        <v>12</v>
      </c>
      <c r="C8" s="236" t="s">
        <v>5</v>
      </c>
      <c r="D8" s="126">
        <v>0</v>
      </c>
      <c r="E8" s="236" t="s">
        <v>1234</v>
      </c>
      <c r="G8" s="205" t="s">
        <v>1292</v>
      </c>
      <c r="H8" s="201">
        <v>241</v>
      </c>
    </row>
    <row r="9" spans="1:9" x14ac:dyDescent="0.2">
      <c r="A9" s="235">
        <v>112177</v>
      </c>
      <c r="B9" s="236" t="s">
        <v>14</v>
      </c>
      <c r="C9" s="236" t="s">
        <v>15</v>
      </c>
      <c r="D9" s="126">
        <v>0</v>
      </c>
      <c r="E9" s="236" t="s">
        <v>1234</v>
      </c>
    </row>
    <row r="10" spans="1:9" x14ac:dyDescent="0.2">
      <c r="A10" s="235">
        <v>112178</v>
      </c>
      <c r="B10" s="236" t="s">
        <v>16</v>
      </c>
      <c r="C10" s="236" t="s">
        <v>5</v>
      </c>
      <c r="D10" s="126">
        <v>0</v>
      </c>
      <c r="E10" s="236" t="s">
        <v>1234</v>
      </c>
    </row>
    <row r="11" spans="1:9" x14ac:dyDescent="0.2">
      <c r="A11" s="235">
        <v>112179</v>
      </c>
      <c r="B11" s="236" t="s">
        <v>17</v>
      </c>
      <c r="C11" s="236" t="s">
        <v>5</v>
      </c>
      <c r="D11" s="126">
        <v>0</v>
      </c>
      <c r="E11" s="236" t="s">
        <v>1234</v>
      </c>
    </row>
    <row r="12" spans="1:9" x14ac:dyDescent="0.2">
      <c r="A12" s="235">
        <v>112180</v>
      </c>
      <c r="B12" s="236" t="s">
        <v>1571</v>
      </c>
      <c r="C12" s="236" t="s">
        <v>5</v>
      </c>
      <c r="D12" s="126">
        <v>0</v>
      </c>
      <c r="E12" s="236" t="s">
        <v>1582</v>
      </c>
    </row>
    <row r="13" spans="1:9" x14ac:dyDescent="0.2">
      <c r="A13" s="235">
        <v>112181</v>
      </c>
      <c r="B13" s="236" t="s">
        <v>1559</v>
      </c>
      <c r="C13" s="236" t="s">
        <v>5</v>
      </c>
      <c r="D13" s="126">
        <v>0</v>
      </c>
      <c r="E13" s="236" t="s">
        <v>1285</v>
      </c>
    </row>
    <row r="14" spans="1:9" x14ac:dyDescent="0.2">
      <c r="A14" s="235">
        <v>112183</v>
      </c>
      <c r="B14" s="236" t="s">
        <v>18</v>
      </c>
      <c r="C14" s="236" t="s">
        <v>5</v>
      </c>
      <c r="D14" s="126">
        <v>0</v>
      </c>
      <c r="E14" s="236" t="s">
        <v>1234</v>
      </c>
    </row>
    <row r="15" spans="1:9" x14ac:dyDescent="0.2">
      <c r="A15" s="235">
        <v>112184</v>
      </c>
      <c r="B15" s="236" t="s">
        <v>20</v>
      </c>
      <c r="C15" s="236" t="s">
        <v>2</v>
      </c>
      <c r="D15" s="126">
        <v>0</v>
      </c>
      <c r="E15" s="236" t="s">
        <v>1234</v>
      </c>
    </row>
    <row r="16" spans="1:9" x14ac:dyDescent="0.2">
      <c r="A16" s="235">
        <v>112186</v>
      </c>
      <c r="B16" s="236" t="s">
        <v>1561</v>
      </c>
      <c r="C16" s="236" t="s">
        <v>5</v>
      </c>
      <c r="D16" s="126">
        <v>0</v>
      </c>
      <c r="E16" s="236" t="s">
        <v>1234</v>
      </c>
    </row>
    <row r="17" spans="1:5" x14ac:dyDescent="0.2">
      <c r="A17" s="235">
        <v>112187</v>
      </c>
      <c r="B17" s="236" t="s">
        <v>21</v>
      </c>
      <c r="C17" s="236" t="s">
        <v>22</v>
      </c>
      <c r="D17" s="126">
        <v>0</v>
      </c>
      <c r="E17" s="236" t="s">
        <v>1234</v>
      </c>
    </row>
    <row r="18" spans="1:5" x14ac:dyDescent="0.2">
      <c r="A18" s="235">
        <v>112188</v>
      </c>
      <c r="B18" s="236" t="s">
        <v>23</v>
      </c>
      <c r="C18" s="236" t="s">
        <v>39</v>
      </c>
      <c r="D18" s="126">
        <v>0</v>
      </c>
      <c r="E18" s="236" t="s">
        <v>1234</v>
      </c>
    </row>
    <row r="19" spans="1:5" x14ac:dyDescent="0.2">
      <c r="A19" s="235">
        <v>112189</v>
      </c>
      <c r="B19" s="236" t="s">
        <v>24</v>
      </c>
      <c r="C19" s="236" t="s">
        <v>2</v>
      </c>
      <c r="D19" s="126">
        <v>0</v>
      </c>
      <c r="E19" s="236" t="s">
        <v>1234</v>
      </c>
    </row>
    <row r="20" spans="1:5" x14ac:dyDescent="0.2">
      <c r="A20" s="235">
        <v>112193</v>
      </c>
      <c r="B20" s="236" t="s">
        <v>25</v>
      </c>
      <c r="C20" s="236" t="s">
        <v>5</v>
      </c>
      <c r="D20" s="126">
        <v>0</v>
      </c>
      <c r="E20" s="236" t="s">
        <v>1235</v>
      </c>
    </row>
    <row r="21" spans="1:5" x14ac:dyDescent="0.2">
      <c r="A21" s="235">
        <v>112194</v>
      </c>
      <c r="B21" s="236" t="s">
        <v>26</v>
      </c>
      <c r="C21" s="236" t="s">
        <v>2</v>
      </c>
      <c r="D21" s="126">
        <v>0</v>
      </c>
      <c r="E21" s="236" t="s">
        <v>1234</v>
      </c>
    </row>
    <row r="22" spans="1:5" x14ac:dyDescent="0.2">
      <c r="A22" s="235">
        <v>112196</v>
      </c>
      <c r="B22" s="236" t="s">
        <v>27</v>
      </c>
      <c r="C22" s="236" t="s">
        <v>5</v>
      </c>
      <c r="D22" s="126">
        <v>0</v>
      </c>
      <c r="E22" s="236" t="s">
        <v>1234</v>
      </c>
    </row>
    <row r="23" spans="1:5" x14ac:dyDescent="0.2">
      <c r="A23" s="235">
        <v>112198</v>
      </c>
      <c r="B23" s="236" t="s">
        <v>28</v>
      </c>
      <c r="C23" s="236" t="s">
        <v>2</v>
      </c>
      <c r="D23" s="126">
        <v>0</v>
      </c>
      <c r="E23" s="236" t="s">
        <v>1234</v>
      </c>
    </row>
    <row r="24" spans="1:5" x14ac:dyDescent="0.2">
      <c r="A24" s="235">
        <v>112199</v>
      </c>
      <c r="B24" s="236" t="s">
        <v>29</v>
      </c>
      <c r="C24" s="236" t="s">
        <v>5</v>
      </c>
      <c r="D24" s="126">
        <v>0</v>
      </c>
      <c r="E24" s="236" t="s">
        <v>1234</v>
      </c>
    </row>
    <row r="25" spans="1:5" x14ac:dyDescent="0.2">
      <c r="A25" s="235">
        <v>112201</v>
      </c>
      <c r="B25" s="236" t="s">
        <v>30</v>
      </c>
      <c r="C25" s="236" t="s">
        <v>5</v>
      </c>
      <c r="D25" s="126">
        <v>0</v>
      </c>
      <c r="E25" s="236" t="s">
        <v>1234</v>
      </c>
    </row>
    <row r="26" spans="1:5" x14ac:dyDescent="0.2">
      <c r="A26" s="235">
        <v>112202</v>
      </c>
      <c r="B26" s="236" t="s">
        <v>31</v>
      </c>
      <c r="C26" s="236" t="s">
        <v>5</v>
      </c>
      <c r="D26" s="126">
        <v>0</v>
      </c>
      <c r="E26" s="236" t="s">
        <v>1234</v>
      </c>
    </row>
    <row r="27" spans="1:5" x14ac:dyDescent="0.2">
      <c r="A27" s="235">
        <v>112204</v>
      </c>
      <c r="B27" s="236" t="s">
        <v>33</v>
      </c>
      <c r="C27" s="236" t="s">
        <v>5</v>
      </c>
      <c r="D27" s="126">
        <v>0</v>
      </c>
      <c r="E27" s="236" t="s">
        <v>1234</v>
      </c>
    </row>
    <row r="28" spans="1:5" x14ac:dyDescent="0.2">
      <c r="A28" s="235">
        <v>112205</v>
      </c>
      <c r="B28" s="236" t="s">
        <v>34</v>
      </c>
      <c r="C28" s="236" t="s">
        <v>2</v>
      </c>
      <c r="D28" s="126">
        <v>0</v>
      </c>
      <c r="E28" s="236" t="s">
        <v>1234</v>
      </c>
    </row>
    <row r="29" spans="1:5" x14ac:dyDescent="0.2">
      <c r="A29" s="235">
        <v>112208</v>
      </c>
      <c r="B29" s="236" t="s">
        <v>35</v>
      </c>
      <c r="C29" s="236" t="s">
        <v>5</v>
      </c>
      <c r="D29" s="126">
        <v>0</v>
      </c>
      <c r="E29" s="236" t="s">
        <v>1234</v>
      </c>
    </row>
    <row r="30" spans="1:5" x14ac:dyDescent="0.2">
      <c r="A30" s="235">
        <v>112209</v>
      </c>
      <c r="B30" s="236" t="s">
        <v>36</v>
      </c>
      <c r="C30" s="236" t="s">
        <v>2</v>
      </c>
      <c r="D30" s="126">
        <v>0</v>
      </c>
      <c r="E30" s="236" t="s">
        <v>1234</v>
      </c>
    </row>
    <row r="31" spans="1:5" x14ac:dyDescent="0.2">
      <c r="A31" s="235">
        <v>112212</v>
      </c>
      <c r="B31" s="236" t="s">
        <v>37</v>
      </c>
      <c r="C31" s="236" t="s">
        <v>5</v>
      </c>
      <c r="D31" s="126">
        <v>0</v>
      </c>
      <c r="E31" s="236" t="s">
        <v>1234</v>
      </c>
    </row>
    <row r="32" spans="1:5" x14ac:dyDescent="0.2">
      <c r="A32" s="235">
        <v>112213</v>
      </c>
      <c r="B32" s="236" t="s">
        <v>38</v>
      </c>
      <c r="C32" s="236" t="s">
        <v>2</v>
      </c>
      <c r="D32" s="126">
        <v>0</v>
      </c>
      <c r="E32" s="236" t="s">
        <v>1234</v>
      </c>
    </row>
    <row r="33" spans="1:5" x14ac:dyDescent="0.2">
      <c r="A33" s="235">
        <v>112217</v>
      </c>
      <c r="B33" s="236" t="s">
        <v>40</v>
      </c>
      <c r="C33" s="236" t="s">
        <v>2</v>
      </c>
      <c r="D33" s="126">
        <v>0</v>
      </c>
      <c r="E33" s="236" t="s">
        <v>1234</v>
      </c>
    </row>
    <row r="34" spans="1:5" x14ac:dyDescent="0.2">
      <c r="A34" s="235">
        <v>112218</v>
      </c>
      <c r="B34" s="236" t="s">
        <v>1540</v>
      </c>
      <c r="C34" s="236" t="s">
        <v>5</v>
      </c>
      <c r="D34" s="126">
        <v>0</v>
      </c>
      <c r="E34" s="236" t="s">
        <v>1234</v>
      </c>
    </row>
    <row r="35" spans="1:5" x14ac:dyDescent="0.2">
      <c r="A35" s="235">
        <v>112220</v>
      </c>
      <c r="B35" s="236" t="s">
        <v>41</v>
      </c>
      <c r="C35" s="236" t="s">
        <v>2</v>
      </c>
      <c r="D35" s="126">
        <v>0</v>
      </c>
      <c r="E35" s="236" t="s">
        <v>1234</v>
      </c>
    </row>
    <row r="36" spans="1:5" x14ac:dyDescent="0.2">
      <c r="A36" s="235">
        <v>112221</v>
      </c>
      <c r="B36" s="236" t="s">
        <v>42</v>
      </c>
      <c r="C36" s="236" t="s">
        <v>5</v>
      </c>
      <c r="D36" s="126">
        <v>0</v>
      </c>
      <c r="E36" s="236" t="s">
        <v>1234</v>
      </c>
    </row>
    <row r="37" spans="1:5" x14ac:dyDescent="0.2">
      <c r="A37" s="235">
        <v>112222</v>
      </c>
      <c r="B37" s="236" t="s">
        <v>43</v>
      </c>
      <c r="C37" s="236" t="s">
        <v>2</v>
      </c>
      <c r="D37" s="126">
        <v>0</v>
      </c>
      <c r="E37" s="236" t="s">
        <v>1234</v>
      </c>
    </row>
    <row r="38" spans="1:5" x14ac:dyDescent="0.2">
      <c r="A38" s="235">
        <v>112223</v>
      </c>
      <c r="B38" s="236" t="s">
        <v>45</v>
      </c>
      <c r="C38" s="236" t="s">
        <v>2</v>
      </c>
      <c r="D38" s="126">
        <v>0</v>
      </c>
      <c r="E38" s="236" t="s">
        <v>1234</v>
      </c>
    </row>
    <row r="39" spans="1:5" x14ac:dyDescent="0.2">
      <c r="A39" s="235">
        <v>112224</v>
      </c>
      <c r="B39" s="236" t="s">
        <v>46</v>
      </c>
      <c r="C39" s="236" t="s">
        <v>2</v>
      </c>
      <c r="D39" s="126">
        <v>0</v>
      </c>
      <c r="E39" s="236" t="s">
        <v>1234</v>
      </c>
    </row>
    <row r="40" spans="1:5" x14ac:dyDescent="0.2">
      <c r="A40" s="235">
        <v>112225</v>
      </c>
      <c r="B40" s="236" t="s">
        <v>47</v>
      </c>
      <c r="C40" s="236" t="s">
        <v>5</v>
      </c>
      <c r="D40" s="126">
        <v>0</v>
      </c>
      <c r="E40" s="236" t="s">
        <v>1285</v>
      </c>
    </row>
    <row r="41" spans="1:5" x14ac:dyDescent="0.2">
      <c r="A41" s="235">
        <v>112226</v>
      </c>
      <c r="B41" s="236" t="s">
        <v>48</v>
      </c>
      <c r="C41" s="236" t="s">
        <v>2</v>
      </c>
      <c r="D41" s="126">
        <v>0</v>
      </c>
      <c r="E41" s="236" t="s">
        <v>1234</v>
      </c>
    </row>
    <row r="42" spans="1:5" x14ac:dyDescent="0.2">
      <c r="A42" s="235">
        <v>112227</v>
      </c>
      <c r="B42" s="236" t="s">
        <v>49</v>
      </c>
      <c r="C42" s="236" t="s">
        <v>5</v>
      </c>
      <c r="D42" s="126">
        <v>0</v>
      </c>
      <c r="E42" s="236" t="s">
        <v>1234</v>
      </c>
    </row>
    <row r="43" spans="1:5" x14ac:dyDescent="0.2">
      <c r="A43" s="235">
        <v>112228</v>
      </c>
      <c r="B43" s="236" t="s">
        <v>50</v>
      </c>
      <c r="C43" s="236" t="s">
        <v>2</v>
      </c>
      <c r="D43" s="126">
        <v>0</v>
      </c>
      <c r="E43" s="236" t="s">
        <v>1234</v>
      </c>
    </row>
    <row r="44" spans="1:5" x14ac:dyDescent="0.2">
      <c r="A44" s="235">
        <v>112229</v>
      </c>
      <c r="B44" s="236" t="s">
        <v>51</v>
      </c>
      <c r="C44" s="236" t="s">
        <v>2</v>
      </c>
      <c r="D44" s="126">
        <v>0</v>
      </c>
      <c r="E44" s="236" t="s">
        <v>1234</v>
      </c>
    </row>
    <row r="45" spans="1:5" x14ac:dyDescent="0.2">
      <c r="A45" s="235">
        <v>112230</v>
      </c>
      <c r="B45" s="236" t="s">
        <v>52</v>
      </c>
      <c r="C45" s="236" t="s">
        <v>2</v>
      </c>
      <c r="D45" s="126">
        <v>0</v>
      </c>
      <c r="E45" s="236" t="s">
        <v>1235</v>
      </c>
    </row>
    <row r="46" spans="1:5" x14ac:dyDescent="0.2">
      <c r="A46" s="235">
        <v>112232</v>
      </c>
      <c r="B46" s="236" t="s">
        <v>53</v>
      </c>
      <c r="C46" s="236" t="s">
        <v>2</v>
      </c>
      <c r="D46" s="126">
        <v>0</v>
      </c>
      <c r="E46" s="236" t="s">
        <v>1234</v>
      </c>
    </row>
    <row r="47" spans="1:5" x14ac:dyDescent="0.2">
      <c r="A47" s="235">
        <v>112235</v>
      </c>
      <c r="B47" s="236" t="s">
        <v>54</v>
      </c>
      <c r="C47" s="236" t="s">
        <v>5</v>
      </c>
      <c r="D47" s="126">
        <v>0</v>
      </c>
      <c r="E47" s="236" t="s">
        <v>1234</v>
      </c>
    </row>
    <row r="48" spans="1:5" x14ac:dyDescent="0.2">
      <c r="A48" s="235">
        <v>112236</v>
      </c>
      <c r="B48" s="236" t="s">
        <v>55</v>
      </c>
      <c r="C48" s="236" t="s">
        <v>2</v>
      </c>
      <c r="D48" s="126">
        <v>0</v>
      </c>
      <c r="E48" s="236" t="s">
        <v>1234</v>
      </c>
    </row>
    <row r="49" spans="1:5" x14ac:dyDescent="0.2">
      <c r="A49" s="235">
        <v>112237</v>
      </c>
      <c r="B49" s="236" t="s">
        <v>56</v>
      </c>
      <c r="C49" s="236" t="s">
        <v>5</v>
      </c>
      <c r="D49" s="126">
        <v>0</v>
      </c>
      <c r="E49" s="236" t="s">
        <v>1234</v>
      </c>
    </row>
    <row r="50" spans="1:5" x14ac:dyDescent="0.2">
      <c r="A50" s="235">
        <v>112238</v>
      </c>
      <c r="B50" s="236" t="s">
        <v>44</v>
      </c>
      <c r="C50" s="236" t="s">
        <v>2</v>
      </c>
      <c r="D50" s="126">
        <v>0</v>
      </c>
      <c r="E50" s="236" t="s">
        <v>1234</v>
      </c>
    </row>
    <row r="51" spans="1:5" x14ac:dyDescent="0.2">
      <c r="A51" s="235">
        <v>112239</v>
      </c>
      <c r="B51" s="236" t="s">
        <v>57</v>
      </c>
      <c r="C51" s="236" t="s">
        <v>2</v>
      </c>
      <c r="D51" s="126">
        <v>0</v>
      </c>
      <c r="E51" s="236" t="s">
        <v>1234</v>
      </c>
    </row>
    <row r="52" spans="1:5" x14ac:dyDescent="0.2">
      <c r="A52" s="235">
        <v>112240</v>
      </c>
      <c r="B52" s="236" t="s">
        <v>58</v>
      </c>
      <c r="C52" s="236" t="s">
        <v>2</v>
      </c>
      <c r="D52" s="126">
        <v>0</v>
      </c>
      <c r="E52" s="236" t="s">
        <v>1234</v>
      </c>
    </row>
    <row r="53" spans="1:5" x14ac:dyDescent="0.2">
      <c r="A53" s="235">
        <v>112242</v>
      </c>
      <c r="B53" s="236" t="s">
        <v>59</v>
      </c>
      <c r="C53" s="236" t="s">
        <v>5</v>
      </c>
      <c r="D53" s="126">
        <v>0</v>
      </c>
      <c r="E53" s="236" t="s">
        <v>1234</v>
      </c>
    </row>
    <row r="54" spans="1:5" x14ac:dyDescent="0.2">
      <c r="A54" s="235">
        <v>112245</v>
      </c>
      <c r="B54" s="236" t="s">
        <v>60</v>
      </c>
      <c r="C54" s="236" t="s">
        <v>2</v>
      </c>
      <c r="D54" s="126">
        <v>0</v>
      </c>
      <c r="E54" s="236" t="s">
        <v>1234</v>
      </c>
    </row>
    <row r="55" spans="1:5" x14ac:dyDescent="0.2">
      <c r="A55" s="235">
        <v>112248</v>
      </c>
      <c r="B55" s="236" t="s">
        <v>61</v>
      </c>
      <c r="C55" s="236" t="s">
        <v>2</v>
      </c>
      <c r="D55" s="126">
        <v>0</v>
      </c>
      <c r="E55" s="236" t="s">
        <v>1234</v>
      </c>
    </row>
    <row r="56" spans="1:5" x14ac:dyDescent="0.2">
      <c r="A56" s="235">
        <v>112250</v>
      </c>
      <c r="B56" s="236" t="s">
        <v>62</v>
      </c>
      <c r="C56" s="236" t="s">
        <v>5</v>
      </c>
      <c r="D56" s="126">
        <v>0</v>
      </c>
      <c r="E56" s="236" t="s">
        <v>1234</v>
      </c>
    </row>
    <row r="57" spans="1:5" x14ac:dyDescent="0.2">
      <c r="A57" s="235">
        <v>112252</v>
      </c>
      <c r="B57" s="236" t="s">
        <v>63</v>
      </c>
      <c r="C57" s="236" t="s">
        <v>2</v>
      </c>
      <c r="D57" s="126">
        <v>0</v>
      </c>
      <c r="E57" s="236" t="s">
        <v>1234</v>
      </c>
    </row>
    <row r="58" spans="1:5" x14ac:dyDescent="0.2">
      <c r="A58" s="235">
        <v>112253</v>
      </c>
      <c r="B58" s="236" t="s">
        <v>64</v>
      </c>
      <c r="C58" s="236" t="s">
        <v>15</v>
      </c>
      <c r="D58" s="126">
        <v>0</v>
      </c>
      <c r="E58" s="236" t="s">
        <v>1234</v>
      </c>
    </row>
    <row r="59" spans="1:5" x14ac:dyDescent="0.2">
      <c r="A59" s="235">
        <v>112254</v>
      </c>
      <c r="B59" s="236" t="s">
        <v>65</v>
      </c>
      <c r="C59" s="236" t="s">
        <v>22</v>
      </c>
      <c r="D59" s="126">
        <v>0</v>
      </c>
      <c r="E59" s="236" t="s">
        <v>1234</v>
      </c>
    </row>
    <row r="60" spans="1:5" x14ac:dyDescent="0.2">
      <c r="A60" s="235">
        <v>112255</v>
      </c>
      <c r="B60" s="236" t="s">
        <v>66</v>
      </c>
      <c r="C60" s="236" t="s">
        <v>2</v>
      </c>
      <c r="D60" s="126">
        <v>0</v>
      </c>
      <c r="E60" s="236" t="s">
        <v>1234</v>
      </c>
    </row>
    <row r="61" spans="1:5" x14ac:dyDescent="0.2">
      <c r="A61" s="235">
        <v>112256</v>
      </c>
      <c r="B61" s="236" t="s">
        <v>67</v>
      </c>
      <c r="C61" s="236" t="s">
        <v>5</v>
      </c>
      <c r="D61" s="126">
        <v>0</v>
      </c>
      <c r="E61" s="236" t="s">
        <v>1235</v>
      </c>
    </row>
    <row r="62" spans="1:5" x14ac:dyDescent="0.2">
      <c r="A62" s="235">
        <v>112257</v>
      </c>
      <c r="B62" s="236" t="s">
        <v>68</v>
      </c>
      <c r="C62" s="236" t="s">
        <v>2</v>
      </c>
      <c r="D62" s="126">
        <v>0</v>
      </c>
      <c r="E62" s="236" t="s">
        <v>1234</v>
      </c>
    </row>
    <row r="63" spans="1:5" x14ac:dyDescent="0.2">
      <c r="A63" s="235">
        <v>112258</v>
      </c>
      <c r="B63" s="236" t="s">
        <v>69</v>
      </c>
      <c r="C63" s="236" t="s">
        <v>2</v>
      </c>
      <c r="D63" s="126">
        <v>0</v>
      </c>
      <c r="E63" s="236" t="s">
        <v>1234</v>
      </c>
    </row>
    <row r="64" spans="1:5" x14ac:dyDescent="0.2">
      <c r="A64" s="235">
        <v>112259</v>
      </c>
      <c r="B64" s="236" t="s">
        <v>70</v>
      </c>
      <c r="C64" s="236" t="s">
        <v>2</v>
      </c>
      <c r="D64" s="126">
        <v>0</v>
      </c>
      <c r="E64" s="236" t="s">
        <v>1234</v>
      </c>
    </row>
    <row r="65" spans="1:5" x14ac:dyDescent="0.2">
      <c r="A65" s="235">
        <v>112261</v>
      </c>
      <c r="B65" s="236" t="s">
        <v>71</v>
      </c>
      <c r="C65" s="236" t="s">
        <v>2</v>
      </c>
      <c r="D65" s="126">
        <v>0</v>
      </c>
      <c r="E65" s="236" t="s">
        <v>1234</v>
      </c>
    </row>
    <row r="66" spans="1:5" x14ac:dyDescent="0.2">
      <c r="A66" s="235">
        <v>112262</v>
      </c>
      <c r="B66" s="236" t="s">
        <v>72</v>
      </c>
      <c r="C66" s="236" t="s">
        <v>5</v>
      </c>
      <c r="D66" s="126">
        <v>0</v>
      </c>
      <c r="E66" s="236" t="s">
        <v>1234</v>
      </c>
    </row>
    <row r="67" spans="1:5" x14ac:dyDescent="0.2">
      <c r="A67" s="235">
        <v>112263</v>
      </c>
      <c r="B67" s="236" t="s">
        <v>73</v>
      </c>
      <c r="C67" s="236" t="s">
        <v>2</v>
      </c>
      <c r="D67" s="126">
        <v>0</v>
      </c>
      <c r="E67" s="236" t="s">
        <v>1234</v>
      </c>
    </row>
    <row r="68" spans="1:5" x14ac:dyDescent="0.2">
      <c r="A68" s="235">
        <v>112264</v>
      </c>
      <c r="B68" s="236" t="s">
        <v>74</v>
      </c>
      <c r="C68" s="236" t="s">
        <v>2</v>
      </c>
      <c r="D68" s="126">
        <v>0</v>
      </c>
      <c r="E68" s="236" t="s">
        <v>1234</v>
      </c>
    </row>
    <row r="69" spans="1:5" x14ac:dyDescent="0.2">
      <c r="A69" s="235">
        <v>112265</v>
      </c>
      <c r="B69" s="236" t="s">
        <v>75</v>
      </c>
      <c r="C69" s="236" t="s">
        <v>5</v>
      </c>
      <c r="D69" s="126">
        <v>0</v>
      </c>
      <c r="E69" s="236" t="s">
        <v>1234</v>
      </c>
    </row>
    <row r="70" spans="1:5" x14ac:dyDescent="0.2">
      <c r="A70" s="235">
        <v>112268</v>
      </c>
      <c r="B70" s="236" t="s">
        <v>76</v>
      </c>
      <c r="C70" s="236" t="s">
        <v>2</v>
      </c>
      <c r="D70" s="126">
        <v>0</v>
      </c>
      <c r="E70" s="236" t="s">
        <v>1234</v>
      </c>
    </row>
    <row r="71" spans="1:5" x14ac:dyDescent="0.2">
      <c r="A71" s="235">
        <v>112269</v>
      </c>
      <c r="B71" s="236" t="s">
        <v>77</v>
      </c>
      <c r="C71" s="236" t="s">
        <v>2</v>
      </c>
      <c r="D71" s="126">
        <v>0</v>
      </c>
      <c r="E71" s="236" t="s">
        <v>1234</v>
      </c>
    </row>
    <row r="72" spans="1:5" x14ac:dyDescent="0.2">
      <c r="A72" s="235">
        <v>112271</v>
      </c>
      <c r="B72" s="236" t="s">
        <v>78</v>
      </c>
      <c r="C72" s="236" t="s">
        <v>5</v>
      </c>
      <c r="D72" s="126">
        <v>0</v>
      </c>
      <c r="E72" s="236" t="s">
        <v>1234</v>
      </c>
    </row>
    <row r="73" spans="1:5" x14ac:dyDescent="0.2">
      <c r="A73" s="235">
        <v>112273</v>
      </c>
      <c r="B73" s="236" t="s">
        <v>79</v>
      </c>
      <c r="C73" s="236" t="s">
        <v>5</v>
      </c>
      <c r="D73" s="126">
        <v>0</v>
      </c>
      <c r="E73" s="236" t="s">
        <v>1235</v>
      </c>
    </row>
    <row r="74" spans="1:5" x14ac:dyDescent="0.2">
      <c r="A74" s="235">
        <v>112274</v>
      </c>
      <c r="B74" s="236" t="s">
        <v>80</v>
      </c>
      <c r="C74" s="236" t="s">
        <v>22</v>
      </c>
      <c r="D74" s="126">
        <v>0</v>
      </c>
      <c r="E74" s="236" t="s">
        <v>1235</v>
      </c>
    </row>
    <row r="75" spans="1:5" x14ac:dyDescent="0.2">
      <c r="A75" s="235">
        <v>112277</v>
      </c>
      <c r="B75" s="236" t="s">
        <v>82</v>
      </c>
      <c r="C75" s="236" t="s">
        <v>5</v>
      </c>
      <c r="D75" s="126">
        <v>0</v>
      </c>
      <c r="E75" s="236" t="s">
        <v>1234</v>
      </c>
    </row>
    <row r="76" spans="1:5" x14ac:dyDescent="0.2">
      <c r="A76" s="235">
        <v>112278</v>
      </c>
      <c r="B76" s="236" t="s">
        <v>83</v>
      </c>
      <c r="C76" s="236" t="s">
        <v>2</v>
      </c>
      <c r="D76" s="126">
        <v>0</v>
      </c>
      <c r="E76" s="236" t="s">
        <v>1234</v>
      </c>
    </row>
    <row r="77" spans="1:5" x14ac:dyDescent="0.2">
      <c r="A77" s="235">
        <v>112279</v>
      </c>
      <c r="B77" s="236" t="s">
        <v>84</v>
      </c>
      <c r="C77" s="236" t="s">
        <v>2</v>
      </c>
      <c r="D77" s="126">
        <v>0</v>
      </c>
      <c r="E77" s="236" t="s">
        <v>1234</v>
      </c>
    </row>
    <row r="78" spans="1:5" x14ac:dyDescent="0.2">
      <c r="A78" s="235">
        <v>112280</v>
      </c>
      <c r="B78" s="236" t="s">
        <v>86</v>
      </c>
      <c r="C78" s="236" t="s">
        <v>2</v>
      </c>
      <c r="D78" s="126">
        <v>0</v>
      </c>
      <c r="E78" s="236" t="s">
        <v>1234</v>
      </c>
    </row>
    <row r="79" spans="1:5" x14ac:dyDescent="0.2">
      <c r="A79" s="235">
        <v>112281</v>
      </c>
      <c r="B79" s="236" t="s">
        <v>87</v>
      </c>
      <c r="C79" s="236" t="s">
        <v>22</v>
      </c>
      <c r="D79" s="126">
        <v>0</v>
      </c>
      <c r="E79" s="236" t="s">
        <v>1234</v>
      </c>
    </row>
    <row r="80" spans="1:5" x14ac:dyDescent="0.2">
      <c r="A80" s="235">
        <v>112282</v>
      </c>
      <c r="B80" s="236" t="s">
        <v>88</v>
      </c>
      <c r="C80" s="236" t="s">
        <v>2</v>
      </c>
      <c r="D80" s="126">
        <v>0</v>
      </c>
      <c r="E80" s="236" t="s">
        <v>1234</v>
      </c>
    </row>
    <row r="81" spans="1:5" x14ac:dyDescent="0.2">
      <c r="A81" s="235">
        <v>112283</v>
      </c>
      <c r="B81" s="236" t="s">
        <v>89</v>
      </c>
      <c r="C81" s="236" t="s">
        <v>2</v>
      </c>
      <c r="D81" s="126">
        <v>0</v>
      </c>
      <c r="E81" s="236" t="s">
        <v>1234</v>
      </c>
    </row>
    <row r="82" spans="1:5" x14ac:dyDescent="0.2">
      <c r="A82" s="235">
        <v>112288</v>
      </c>
      <c r="B82" s="236" t="s">
        <v>90</v>
      </c>
      <c r="C82" s="236" t="s">
        <v>2</v>
      </c>
      <c r="D82" s="126">
        <v>0</v>
      </c>
      <c r="E82" s="236" t="s">
        <v>1234</v>
      </c>
    </row>
    <row r="83" spans="1:5" x14ac:dyDescent="0.2">
      <c r="A83" s="235">
        <v>112290</v>
      </c>
      <c r="B83" s="236" t="s">
        <v>91</v>
      </c>
      <c r="C83" s="236" t="s">
        <v>2</v>
      </c>
      <c r="D83" s="126">
        <v>0</v>
      </c>
      <c r="E83" s="236" t="s">
        <v>1234</v>
      </c>
    </row>
    <row r="84" spans="1:5" x14ac:dyDescent="0.2">
      <c r="A84" s="235">
        <v>112292</v>
      </c>
      <c r="B84" s="236" t="s">
        <v>92</v>
      </c>
      <c r="C84" s="236" t="s">
        <v>15</v>
      </c>
      <c r="D84" s="126">
        <v>0</v>
      </c>
      <c r="E84" s="236" t="s">
        <v>1234</v>
      </c>
    </row>
    <row r="85" spans="1:5" x14ac:dyDescent="0.2">
      <c r="A85" s="235">
        <v>112294</v>
      </c>
      <c r="B85" s="236" t="s">
        <v>93</v>
      </c>
      <c r="C85" s="236" t="s">
        <v>2</v>
      </c>
      <c r="D85" s="126">
        <v>0</v>
      </c>
      <c r="E85" s="236" t="s">
        <v>1234</v>
      </c>
    </row>
    <row r="86" spans="1:5" x14ac:dyDescent="0.2">
      <c r="A86" s="235">
        <v>112296</v>
      </c>
      <c r="B86" s="236" t="s">
        <v>94</v>
      </c>
      <c r="C86" s="236" t="s">
        <v>5</v>
      </c>
      <c r="D86" s="126">
        <v>0</v>
      </c>
      <c r="E86" s="236" t="s">
        <v>1234</v>
      </c>
    </row>
    <row r="87" spans="1:5" x14ac:dyDescent="0.2">
      <c r="A87" s="235">
        <v>112297</v>
      </c>
      <c r="B87" s="236" t="s">
        <v>95</v>
      </c>
      <c r="C87" s="236" t="s">
        <v>15</v>
      </c>
      <c r="D87" s="126">
        <v>0</v>
      </c>
      <c r="E87" s="236" t="s">
        <v>1234</v>
      </c>
    </row>
    <row r="88" spans="1:5" x14ac:dyDescent="0.2">
      <c r="A88" s="235">
        <v>112298</v>
      </c>
      <c r="B88" s="236" t="s">
        <v>96</v>
      </c>
      <c r="C88" s="236" t="s">
        <v>2</v>
      </c>
      <c r="D88" s="126">
        <v>0</v>
      </c>
      <c r="E88" s="236" t="s">
        <v>1234</v>
      </c>
    </row>
    <row r="89" spans="1:5" x14ac:dyDescent="0.2">
      <c r="A89" s="235">
        <v>112299</v>
      </c>
      <c r="B89" s="236" t="s">
        <v>97</v>
      </c>
      <c r="C89" s="236" t="s">
        <v>2</v>
      </c>
      <c r="D89" s="126">
        <v>0</v>
      </c>
      <c r="E89" s="236" t="s">
        <v>1234</v>
      </c>
    </row>
    <row r="90" spans="1:5" x14ac:dyDescent="0.2">
      <c r="A90" s="235">
        <v>112301</v>
      </c>
      <c r="B90" s="236" t="s">
        <v>98</v>
      </c>
      <c r="C90" s="236" t="s">
        <v>5</v>
      </c>
      <c r="D90" s="126">
        <v>0</v>
      </c>
      <c r="E90" s="236" t="s">
        <v>1234</v>
      </c>
    </row>
    <row r="91" spans="1:5" x14ac:dyDescent="0.2">
      <c r="A91" s="235">
        <v>112303</v>
      </c>
      <c r="B91" s="236" t="s">
        <v>99</v>
      </c>
      <c r="C91" s="236" t="s">
        <v>2</v>
      </c>
      <c r="D91" s="126">
        <v>1</v>
      </c>
      <c r="E91" s="236" t="s">
        <v>1234</v>
      </c>
    </row>
    <row r="92" spans="1:5" x14ac:dyDescent="0.2">
      <c r="A92" s="235">
        <v>112306</v>
      </c>
      <c r="B92" s="236" t="s">
        <v>100</v>
      </c>
      <c r="C92" s="236" t="s">
        <v>2</v>
      </c>
      <c r="D92" s="126">
        <v>0</v>
      </c>
      <c r="E92" s="236" t="s">
        <v>1234</v>
      </c>
    </row>
    <row r="93" spans="1:5" x14ac:dyDescent="0.2">
      <c r="A93" s="235">
        <v>112307</v>
      </c>
      <c r="B93" s="236" t="s">
        <v>101</v>
      </c>
      <c r="C93" s="236" t="s">
        <v>2</v>
      </c>
      <c r="D93" s="126">
        <v>0</v>
      </c>
      <c r="E93" s="236" t="s">
        <v>1234</v>
      </c>
    </row>
    <row r="94" spans="1:5" x14ac:dyDescent="0.2">
      <c r="A94" s="235">
        <v>112309</v>
      </c>
      <c r="B94" s="236" t="s">
        <v>102</v>
      </c>
      <c r="C94" s="236" t="s">
        <v>5</v>
      </c>
      <c r="D94" s="126">
        <v>0</v>
      </c>
      <c r="E94" s="236" t="s">
        <v>1234</v>
      </c>
    </row>
    <row r="95" spans="1:5" x14ac:dyDescent="0.2">
      <c r="A95" s="235">
        <v>112315</v>
      </c>
      <c r="B95" s="236" t="s">
        <v>103</v>
      </c>
      <c r="C95" s="236" t="s">
        <v>2</v>
      </c>
      <c r="D95" s="126">
        <v>0</v>
      </c>
      <c r="E95" s="236" t="s">
        <v>1234</v>
      </c>
    </row>
    <row r="96" spans="1:5" x14ac:dyDescent="0.2">
      <c r="A96" s="235">
        <v>112318</v>
      </c>
      <c r="B96" s="236" t="s">
        <v>104</v>
      </c>
      <c r="C96" s="236" t="s">
        <v>2</v>
      </c>
      <c r="D96" s="126">
        <v>0</v>
      </c>
      <c r="E96" s="236" t="s">
        <v>1235</v>
      </c>
    </row>
    <row r="97" spans="1:5" x14ac:dyDescent="0.2">
      <c r="A97" s="235">
        <v>112319</v>
      </c>
      <c r="B97" s="236" t="s">
        <v>1286</v>
      </c>
      <c r="C97" s="236" t="s">
        <v>5</v>
      </c>
      <c r="D97" s="126">
        <v>0</v>
      </c>
      <c r="E97" s="236" t="s">
        <v>1234</v>
      </c>
    </row>
    <row r="98" spans="1:5" x14ac:dyDescent="0.2">
      <c r="A98" s="235">
        <v>112320</v>
      </c>
      <c r="B98" s="236" t="s">
        <v>105</v>
      </c>
      <c r="C98" s="236" t="s">
        <v>2</v>
      </c>
      <c r="D98" s="126">
        <v>0</v>
      </c>
      <c r="E98" s="236" t="s">
        <v>1234</v>
      </c>
    </row>
    <row r="99" spans="1:5" x14ac:dyDescent="0.2">
      <c r="A99" s="235">
        <v>112322</v>
      </c>
      <c r="B99" s="236" t="s">
        <v>106</v>
      </c>
      <c r="C99" s="236" t="s">
        <v>39</v>
      </c>
      <c r="D99" s="126">
        <v>0</v>
      </c>
      <c r="E99" s="236" t="s">
        <v>1234</v>
      </c>
    </row>
    <row r="100" spans="1:5" x14ac:dyDescent="0.2">
      <c r="A100" s="235">
        <v>112324</v>
      </c>
      <c r="B100" s="236" t="s">
        <v>107</v>
      </c>
      <c r="C100" s="236" t="s">
        <v>2</v>
      </c>
      <c r="D100" s="126">
        <v>0</v>
      </c>
      <c r="E100" s="236" t="s">
        <v>1235</v>
      </c>
    </row>
    <row r="101" spans="1:5" x14ac:dyDescent="0.2">
      <c r="A101" s="235">
        <v>112327</v>
      </c>
      <c r="B101" s="236" t="s">
        <v>109</v>
      </c>
      <c r="C101" s="236" t="s">
        <v>5</v>
      </c>
      <c r="D101" s="126">
        <v>0</v>
      </c>
      <c r="E101" s="236" t="s">
        <v>1234</v>
      </c>
    </row>
    <row r="102" spans="1:5" x14ac:dyDescent="0.2">
      <c r="A102" s="235">
        <v>112328</v>
      </c>
      <c r="B102" s="236" t="s">
        <v>110</v>
      </c>
      <c r="C102" s="236" t="s">
        <v>2</v>
      </c>
      <c r="D102" s="126">
        <v>0</v>
      </c>
      <c r="E102" s="236" t="s">
        <v>1234</v>
      </c>
    </row>
    <row r="103" spans="1:5" x14ac:dyDescent="0.2">
      <c r="A103" s="235">
        <v>112329</v>
      </c>
      <c r="B103" s="236" t="s">
        <v>111</v>
      </c>
      <c r="C103" s="236" t="s">
        <v>5</v>
      </c>
      <c r="D103" s="126">
        <v>0</v>
      </c>
      <c r="E103" s="236" t="s">
        <v>1234</v>
      </c>
    </row>
    <row r="104" spans="1:5" x14ac:dyDescent="0.2">
      <c r="A104" s="235">
        <v>112330</v>
      </c>
      <c r="B104" s="236" t="s">
        <v>112</v>
      </c>
      <c r="C104" s="236" t="s">
        <v>2</v>
      </c>
      <c r="D104" s="126">
        <v>0</v>
      </c>
      <c r="E104" s="236" t="s">
        <v>1234</v>
      </c>
    </row>
    <row r="105" spans="1:5" x14ac:dyDescent="0.2">
      <c r="A105" s="235">
        <v>112331</v>
      </c>
      <c r="B105" s="236" t="s">
        <v>113</v>
      </c>
      <c r="C105" s="236" t="s">
        <v>2</v>
      </c>
      <c r="D105" s="126">
        <v>0</v>
      </c>
      <c r="E105" s="236" t="s">
        <v>1234</v>
      </c>
    </row>
    <row r="106" spans="1:5" x14ac:dyDescent="0.2">
      <c r="A106" s="235">
        <v>112332</v>
      </c>
      <c r="B106" s="236" t="s">
        <v>114</v>
      </c>
      <c r="C106" s="236" t="s">
        <v>2</v>
      </c>
      <c r="D106" s="126">
        <v>0</v>
      </c>
      <c r="E106" s="236" t="s">
        <v>1234</v>
      </c>
    </row>
    <row r="107" spans="1:5" x14ac:dyDescent="0.2">
      <c r="A107" s="235">
        <v>112333</v>
      </c>
      <c r="B107" s="236" t="s">
        <v>115</v>
      </c>
      <c r="C107" s="236" t="s">
        <v>2</v>
      </c>
      <c r="D107" s="126">
        <v>0</v>
      </c>
      <c r="E107" s="236" t="s">
        <v>1234</v>
      </c>
    </row>
    <row r="108" spans="1:5" x14ac:dyDescent="0.2">
      <c r="A108" s="235">
        <v>112334</v>
      </c>
      <c r="B108" s="236" t="s">
        <v>116</v>
      </c>
      <c r="C108" s="236" t="s">
        <v>2</v>
      </c>
      <c r="D108" s="126">
        <v>0</v>
      </c>
      <c r="E108" s="236" t="s">
        <v>1235</v>
      </c>
    </row>
    <row r="109" spans="1:5" x14ac:dyDescent="0.2">
      <c r="A109" s="235">
        <v>112337</v>
      </c>
      <c r="B109" s="236" t="s">
        <v>117</v>
      </c>
      <c r="C109" s="236" t="s">
        <v>2</v>
      </c>
      <c r="D109" s="126">
        <v>0</v>
      </c>
      <c r="E109" s="236" t="s">
        <v>1234</v>
      </c>
    </row>
    <row r="110" spans="1:5" x14ac:dyDescent="0.2">
      <c r="A110" s="235">
        <v>112338</v>
      </c>
      <c r="B110" s="236" t="s">
        <v>118</v>
      </c>
      <c r="C110" s="236" t="s">
        <v>5</v>
      </c>
      <c r="D110" s="126">
        <v>0</v>
      </c>
      <c r="E110" s="236" t="s">
        <v>1234</v>
      </c>
    </row>
    <row r="111" spans="1:5" x14ac:dyDescent="0.2">
      <c r="A111" s="235">
        <v>112340</v>
      </c>
      <c r="B111" s="236" t="s">
        <v>119</v>
      </c>
      <c r="C111" s="236" t="s">
        <v>146</v>
      </c>
      <c r="D111" s="126">
        <v>0</v>
      </c>
      <c r="E111" s="236" t="s">
        <v>1234</v>
      </c>
    </row>
    <row r="112" spans="1:5" x14ac:dyDescent="0.2">
      <c r="A112" s="235">
        <v>112341</v>
      </c>
      <c r="B112" s="236" t="s">
        <v>121</v>
      </c>
      <c r="C112" s="236" t="s">
        <v>5</v>
      </c>
      <c r="D112" s="126">
        <v>0</v>
      </c>
      <c r="E112" s="236" t="s">
        <v>1234</v>
      </c>
    </row>
    <row r="113" spans="1:5" x14ac:dyDescent="0.2">
      <c r="A113" s="235">
        <v>112345</v>
      </c>
      <c r="B113" s="236" t="s">
        <v>122</v>
      </c>
      <c r="C113" s="236" t="s">
        <v>39</v>
      </c>
      <c r="D113" s="126">
        <v>0</v>
      </c>
      <c r="E113" s="236" t="s">
        <v>1234</v>
      </c>
    </row>
    <row r="114" spans="1:5" x14ac:dyDescent="0.2">
      <c r="A114" s="235">
        <v>112346</v>
      </c>
      <c r="B114" s="236" t="s">
        <v>123</v>
      </c>
      <c r="C114" s="236" t="s">
        <v>5</v>
      </c>
      <c r="D114" s="126">
        <v>0</v>
      </c>
      <c r="E114" s="236" t="s">
        <v>1234</v>
      </c>
    </row>
    <row r="115" spans="1:5" x14ac:dyDescent="0.2">
      <c r="A115" s="235">
        <v>112348</v>
      </c>
      <c r="B115" s="236" t="s">
        <v>124</v>
      </c>
      <c r="C115" s="236" t="s">
        <v>2</v>
      </c>
      <c r="D115" s="126">
        <v>0</v>
      </c>
      <c r="E115" s="236" t="s">
        <v>1235</v>
      </c>
    </row>
    <row r="116" spans="1:5" x14ac:dyDescent="0.2">
      <c r="A116" s="235">
        <v>112349</v>
      </c>
      <c r="B116" s="236" t="s">
        <v>125</v>
      </c>
      <c r="C116" s="236" t="s">
        <v>5</v>
      </c>
      <c r="D116" s="126">
        <v>0</v>
      </c>
      <c r="E116" s="236" t="s">
        <v>1234</v>
      </c>
    </row>
    <row r="117" spans="1:5" x14ac:dyDescent="0.2">
      <c r="A117" s="235">
        <v>112352</v>
      </c>
      <c r="B117" s="236" t="s">
        <v>126</v>
      </c>
      <c r="C117" s="236" t="s">
        <v>5</v>
      </c>
      <c r="D117" s="126">
        <v>0</v>
      </c>
      <c r="E117" s="236" t="s">
        <v>1234</v>
      </c>
    </row>
    <row r="118" spans="1:5" x14ac:dyDescent="0.2">
      <c r="A118" s="235">
        <v>112353</v>
      </c>
      <c r="B118" s="236" t="s">
        <v>127</v>
      </c>
      <c r="C118" s="236" t="s">
        <v>2</v>
      </c>
      <c r="D118" s="126">
        <v>0</v>
      </c>
      <c r="E118" s="236" t="s">
        <v>1235</v>
      </c>
    </row>
    <row r="119" spans="1:5" x14ac:dyDescent="0.2">
      <c r="A119" s="235">
        <v>112354</v>
      </c>
      <c r="B119" s="236" t="s">
        <v>128</v>
      </c>
      <c r="C119" s="236" t="s">
        <v>5</v>
      </c>
      <c r="D119" s="126">
        <v>0</v>
      </c>
      <c r="E119" s="236" t="s">
        <v>1234</v>
      </c>
    </row>
    <row r="120" spans="1:5" x14ac:dyDescent="0.2">
      <c r="A120" s="235">
        <v>112355</v>
      </c>
      <c r="B120" s="236" t="s">
        <v>1289</v>
      </c>
      <c r="C120" s="236" t="s">
        <v>2</v>
      </c>
      <c r="D120" s="126">
        <v>0</v>
      </c>
      <c r="E120" s="236" t="s">
        <v>1235</v>
      </c>
    </row>
    <row r="121" spans="1:5" x14ac:dyDescent="0.2">
      <c r="A121" s="235">
        <v>112358</v>
      </c>
      <c r="B121" s="236" t="s">
        <v>129</v>
      </c>
      <c r="C121" s="236" t="s">
        <v>5</v>
      </c>
      <c r="D121" s="126">
        <v>0</v>
      </c>
      <c r="E121" s="236" t="s">
        <v>1235</v>
      </c>
    </row>
    <row r="122" spans="1:5" x14ac:dyDescent="0.2">
      <c r="A122" s="235">
        <v>112359</v>
      </c>
      <c r="B122" s="236" t="s">
        <v>130</v>
      </c>
      <c r="C122" s="236" t="s">
        <v>2</v>
      </c>
      <c r="D122" s="126">
        <v>0</v>
      </c>
      <c r="E122" s="236" t="s">
        <v>1234</v>
      </c>
    </row>
    <row r="123" spans="1:5" x14ac:dyDescent="0.2">
      <c r="A123" s="235">
        <v>112363</v>
      </c>
      <c r="B123" s="236" t="s">
        <v>131</v>
      </c>
      <c r="C123" s="236" t="s">
        <v>5</v>
      </c>
      <c r="D123" s="126">
        <v>0</v>
      </c>
      <c r="E123" s="236" t="s">
        <v>1234</v>
      </c>
    </row>
    <row r="124" spans="1:5" x14ac:dyDescent="0.2">
      <c r="A124" s="235">
        <v>112364</v>
      </c>
      <c r="B124" s="236" t="s">
        <v>132</v>
      </c>
      <c r="C124" s="236" t="s">
        <v>5</v>
      </c>
      <c r="D124" s="126">
        <v>1</v>
      </c>
      <c r="E124" s="236" t="s">
        <v>1234</v>
      </c>
    </row>
    <row r="125" spans="1:5" x14ac:dyDescent="0.2">
      <c r="A125" s="235">
        <v>112366</v>
      </c>
      <c r="B125" s="236" t="s">
        <v>133</v>
      </c>
      <c r="C125" s="236" t="s">
        <v>15</v>
      </c>
      <c r="D125" s="126">
        <v>0</v>
      </c>
      <c r="E125" s="236" t="s">
        <v>1234</v>
      </c>
    </row>
    <row r="126" spans="1:5" x14ac:dyDescent="0.2">
      <c r="A126" s="235">
        <v>112368</v>
      </c>
      <c r="B126" s="236" t="s">
        <v>134</v>
      </c>
      <c r="C126" s="236" t="s">
        <v>5</v>
      </c>
      <c r="D126" s="126">
        <v>0</v>
      </c>
      <c r="E126" s="236" t="s">
        <v>1234</v>
      </c>
    </row>
    <row r="127" spans="1:5" x14ac:dyDescent="0.2">
      <c r="A127" s="235">
        <v>112370</v>
      </c>
      <c r="B127" s="236" t="s">
        <v>135</v>
      </c>
      <c r="C127" s="236" t="s">
        <v>5</v>
      </c>
      <c r="D127" s="126">
        <v>0</v>
      </c>
      <c r="E127" s="236" t="s">
        <v>1285</v>
      </c>
    </row>
    <row r="128" spans="1:5" x14ac:dyDescent="0.2">
      <c r="A128" s="235">
        <v>112372</v>
      </c>
      <c r="B128" s="236" t="s">
        <v>136</v>
      </c>
      <c r="C128" s="236" t="s">
        <v>2</v>
      </c>
      <c r="D128" s="126">
        <v>0</v>
      </c>
      <c r="E128" s="236" t="s">
        <v>1234</v>
      </c>
    </row>
    <row r="129" spans="1:5" x14ac:dyDescent="0.2">
      <c r="A129" s="235">
        <v>112373</v>
      </c>
      <c r="B129" s="236" t="s">
        <v>137</v>
      </c>
      <c r="C129" s="236" t="s">
        <v>5</v>
      </c>
      <c r="D129" s="126">
        <v>0</v>
      </c>
      <c r="E129" s="236" t="s">
        <v>1234</v>
      </c>
    </row>
    <row r="130" spans="1:5" x14ac:dyDescent="0.2">
      <c r="A130" s="235">
        <v>112376</v>
      </c>
      <c r="B130" s="236" t="s">
        <v>138</v>
      </c>
      <c r="C130" s="236" t="s">
        <v>139</v>
      </c>
      <c r="D130" s="126">
        <v>0</v>
      </c>
      <c r="E130" s="236" t="s">
        <v>1234</v>
      </c>
    </row>
    <row r="131" spans="1:5" x14ac:dyDescent="0.2">
      <c r="A131" s="235">
        <v>112377</v>
      </c>
      <c r="B131" s="236" t="s">
        <v>140</v>
      </c>
      <c r="C131" s="236" t="s">
        <v>39</v>
      </c>
      <c r="D131" s="126">
        <v>0</v>
      </c>
      <c r="E131" s="236" t="s">
        <v>1234</v>
      </c>
    </row>
    <row r="132" spans="1:5" x14ac:dyDescent="0.2">
      <c r="A132" s="235">
        <v>112378</v>
      </c>
      <c r="B132" s="236" t="s">
        <v>141</v>
      </c>
      <c r="C132" s="236" t="s">
        <v>2</v>
      </c>
      <c r="D132" s="126">
        <v>0</v>
      </c>
      <c r="E132" s="236" t="s">
        <v>1234</v>
      </c>
    </row>
    <row r="133" spans="1:5" x14ac:dyDescent="0.2">
      <c r="A133" s="235">
        <v>112379</v>
      </c>
      <c r="B133" s="236" t="s">
        <v>142</v>
      </c>
      <c r="C133" s="236" t="s">
        <v>15</v>
      </c>
      <c r="D133" s="126">
        <v>0</v>
      </c>
      <c r="E133" s="236" t="s">
        <v>1234</v>
      </c>
    </row>
    <row r="134" spans="1:5" x14ac:dyDescent="0.2">
      <c r="A134" s="235">
        <v>112380</v>
      </c>
      <c r="B134" s="236" t="s">
        <v>143</v>
      </c>
      <c r="C134" s="236" t="s">
        <v>2</v>
      </c>
      <c r="D134" s="126">
        <v>0</v>
      </c>
      <c r="E134" s="236" t="s">
        <v>1234</v>
      </c>
    </row>
    <row r="135" spans="1:5" x14ac:dyDescent="0.2">
      <c r="A135" s="235">
        <v>112381</v>
      </c>
      <c r="B135" s="236" t="s">
        <v>144</v>
      </c>
      <c r="C135" s="236" t="s">
        <v>22</v>
      </c>
      <c r="D135" s="126">
        <v>0</v>
      </c>
      <c r="E135" s="236" t="s">
        <v>1234</v>
      </c>
    </row>
    <row r="136" spans="1:5" x14ac:dyDescent="0.2">
      <c r="A136" s="235">
        <v>112382</v>
      </c>
      <c r="B136" s="236" t="s">
        <v>145</v>
      </c>
      <c r="C136" s="236" t="s">
        <v>146</v>
      </c>
      <c r="D136" s="126">
        <v>0</v>
      </c>
      <c r="E136" s="236" t="s">
        <v>1234</v>
      </c>
    </row>
    <row r="137" spans="1:5" x14ac:dyDescent="0.2">
      <c r="A137" s="235">
        <v>112383</v>
      </c>
      <c r="B137" s="236" t="s">
        <v>147</v>
      </c>
      <c r="C137" s="236" t="s">
        <v>2</v>
      </c>
      <c r="D137" s="126">
        <v>0</v>
      </c>
      <c r="E137" s="236" t="s">
        <v>1234</v>
      </c>
    </row>
    <row r="138" spans="1:5" x14ac:dyDescent="0.2">
      <c r="A138" s="235">
        <v>112384</v>
      </c>
      <c r="B138" s="236" t="s">
        <v>148</v>
      </c>
      <c r="C138" s="236" t="s">
        <v>15</v>
      </c>
      <c r="D138" s="126">
        <v>0</v>
      </c>
      <c r="E138" s="236" t="s">
        <v>1234</v>
      </c>
    </row>
    <row r="139" spans="1:5" x14ac:dyDescent="0.2">
      <c r="A139" s="235">
        <v>112389</v>
      </c>
      <c r="B139" s="236" t="s">
        <v>149</v>
      </c>
      <c r="C139" s="236" t="s">
        <v>2</v>
      </c>
      <c r="D139" s="126">
        <v>0</v>
      </c>
      <c r="E139" s="236" t="s">
        <v>1234</v>
      </c>
    </row>
    <row r="140" spans="1:5" x14ac:dyDescent="0.2">
      <c r="A140" s="235">
        <v>112392</v>
      </c>
      <c r="B140" s="236" t="s">
        <v>150</v>
      </c>
      <c r="C140" s="236" t="s">
        <v>2</v>
      </c>
      <c r="D140" s="126">
        <v>0</v>
      </c>
      <c r="E140" s="236" t="s">
        <v>1234</v>
      </c>
    </row>
    <row r="141" spans="1:5" x14ac:dyDescent="0.2">
      <c r="A141" s="235">
        <v>112393</v>
      </c>
      <c r="B141" s="236" t="s">
        <v>151</v>
      </c>
      <c r="C141" s="236" t="s">
        <v>5</v>
      </c>
      <c r="D141" s="126">
        <v>0</v>
      </c>
      <c r="E141" s="236" t="s">
        <v>1235</v>
      </c>
    </row>
    <row r="142" spans="1:5" x14ac:dyDescent="0.2">
      <c r="A142" s="235">
        <v>112394</v>
      </c>
      <c r="B142" s="236" t="s">
        <v>152</v>
      </c>
      <c r="C142" s="236" t="s">
        <v>2</v>
      </c>
      <c r="D142" s="126">
        <v>0</v>
      </c>
      <c r="E142" s="236" t="s">
        <v>1234</v>
      </c>
    </row>
    <row r="143" spans="1:5" x14ac:dyDescent="0.2">
      <c r="A143" s="235">
        <v>112396</v>
      </c>
      <c r="B143" s="236" t="s">
        <v>1555</v>
      </c>
      <c r="C143" s="236" t="s">
        <v>2</v>
      </c>
      <c r="D143" s="126">
        <v>0</v>
      </c>
      <c r="E143" s="236" t="s">
        <v>1285</v>
      </c>
    </row>
    <row r="144" spans="1:5" x14ac:dyDescent="0.2">
      <c r="A144" s="235">
        <v>112397</v>
      </c>
      <c r="B144" s="236" t="s">
        <v>153</v>
      </c>
      <c r="C144" s="236" t="s">
        <v>2</v>
      </c>
      <c r="D144" s="126">
        <v>0</v>
      </c>
      <c r="E144" s="236" t="s">
        <v>1234</v>
      </c>
    </row>
    <row r="145" spans="1:5" x14ac:dyDescent="0.2">
      <c r="A145" s="235">
        <v>112398</v>
      </c>
      <c r="B145" s="236" t="s">
        <v>154</v>
      </c>
      <c r="C145" s="236" t="s">
        <v>2</v>
      </c>
      <c r="D145" s="126">
        <v>0</v>
      </c>
      <c r="E145" s="236" t="s">
        <v>1234</v>
      </c>
    </row>
    <row r="146" spans="1:5" x14ac:dyDescent="0.2">
      <c r="A146" s="235">
        <v>112399</v>
      </c>
      <c r="B146" s="236" t="s">
        <v>155</v>
      </c>
      <c r="C146" s="236" t="s">
        <v>2</v>
      </c>
      <c r="D146" s="126">
        <v>0</v>
      </c>
      <c r="E146" s="236" t="s">
        <v>1234</v>
      </c>
    </row>
    <row r="147" spans="1:5" x14ac:dyDescent="0.2">
      <c r="A147" s="235">
        <v>112400</v>
      </c>
      <c r="B147" s="236" t="s">
        <v>156</v>
      </c>
      <c r="C147" s="236" t="s">
        <v>967</v>
      </c>
      <c r="D147" s="126">
        <v>0</v>
      </c>
      <c r="E147" s="236" t="s">
        <v>1234</v>
      </c>
    </row>
    <row r="148" spans="1:5" x14ac:dyDescent="0.2">
      <c r="A148" s="235">
        <v>112401</v>
      </c>
      <c r="B148" s="236" t="s">
        <v>157</v>
      </c>
      <c r="C148" s="236" t="s">
        <v>15</v>
      </c>
      <c r="D148" s="126">
        <v>0</v>
      </c>
      <c r="E148" s="236" t="s">
        <v>1234</v>
      </c>
    </row>
    <row r="149" spans="1:5" x14ac:dyDescent="0.2">
      <c r="A149" s="235">
        <v>112402</v>
      </c>
      <c r="B149" s="236" t="s">
        <v>158</v>
      </c>
      <c r="C149" s="236" t="s">
        <v>5</v>
      </c>
      <c r="D149" s="126">
        <v>0</v>
      </c>
      <c r="E149" s="236" t="s">
        <v>1234</v>
      </c>
    </row>
    <row r="150" spans="1:5" x14ac:dyDescent="0.2">
      <c r="A150" s="235">
        <v>112403</v>
      </c>
      <c r="B150" s="236" t="s">
        <v>159</v>
      </c>
      <c r="C150" s="236" t="s">
        <v>2</v>
      </c>
      <c r="D150" s="126">
        <v>0</v>
      </c>
      <c r="E150" s="236" t="s">
        <v>1234</v>
      </c>
    </row>
    <row r="151" spans="1:5" x14ac:dyDescent="0.2">
      <c r="A151" s="235">
        <v>112405</v>
      </c>
      <c r="B151" s="236" t="s">
        <v>160</v>
      </c>
      <c r="C151" s="236" t="s">
        <v>2</v>
      </c>
      <c r="D151" s="126">
        <v>0</v>
      </c>
      <c r="E151" s="236" t="s">
        <v>1234</v>
      </c>
    </row>
    <row r="152" spans="1:5" x14ac:dyDescent="0.2">
      <c r="A152" s="235">
        <v>112408</v>
      </c>
      <c r="B152" s="236" t="s">
        <v>161</v>
      </c>
      <c r="C152" s="236" t="s">
        <v>5</v>
      </c>
      <c r="D152" s="126">
        <v>0</v>
      </c>
      <c r="E152" s="236" t="s">
        <v>1234</v>
      </c>
    </row>
    <row r="153" spans="1:5" x14ac:dyDescent="0.2">
      <c r="A153" s="235">
        <v>112409</v>
      </c>
      <c r="B153" s="236" t="s">
        <v>162</v>
      </c>
      <c r="C153" s="236" t="s">
        <v>2</v>
      </c>
      <c r="D153" s="126">
        <v>0</v>
      </c>
      <c r="E153" s="236" t="s">
        <v>1234</v>
      </c>
    </row>
    <row r="154" spans="1:5" x14ac:dyDescent="0.2">
      <c r="A154" s="235">
        <v>112410</v>
      </c>
      <c r="B154" s="236" t="s">
        <v>163</v>
      </c>
      <c r="C154" s="236" t="s">
        <v>15</v>
      </c>
      <c r="D154" s="126">
        <v>0</v>
      </c>
      <c r="E154" s="236" t="s">
        <v>1234</v>
      </c>
    </row>
    <row r="155" spans="1:5" x14ac:dyDescent="0.2">
      <c r="A155" s="235">
        <v>112413</v>
      </c>
      <c r="B155" s="236" t="s">
        <v>164</v>
      </c>
      <c r="C155" s="236" t="s">
        <v>15</v>
      </c>
      <c r="D155" s="126">
        <v>0</v>
      </c>
      <c r="E155" s="236" t="s">
        <v>1234</v>
      </c>
    </row>
    <row r="156" spans="1:5" x14ac:dyDescent="0.2">
      <c r="A156" s="235">
        <v>112414</v>
      </c>
      <c r="B156" s="236" t="s">
        <v>165</v>
      </c>
      <c r="C156" s="236" t="s">
        <v>15</v>
      </c>
      <c r="D156" s="126">
        <v>0</v>
      </c>
      <c r="E156" s="236" t="s">
        <v>1234</v>
      </c>
    </row>
    <row r="157" spans="1:5" x14ac:dyDescent="0.2">
      <c r="A157" s="235">
        <v>112415</v>
      </c>
      <c r="B157" s="236" t="s">
        <v>166</v>
      </c>
      <c r="C157" s="236" t="s">
        <v>22</v>
      </c>
      <c r="D157" s="126">
        <v>0</v>
      </c>
      <c r="E157" s="236" t="s">
        <v>1234</v>
      </c>
    </row>
    <row r="158" spans="1:5" x14ac:dyDescent="0.2">
      <c r="A158" s="235">
        <v>112417</v>
      </c>
      <c r="B158" s="236" t="s">
        <v>167</v>
      </c>
      <c r="C158" s="236" t="s">
        <v>2</v>
      </c>
      <c r="D158" s="126">
        <v>0</v>
      </c>
      <c r="E158" s="236" t="s">
        <v>1234</v>
      </c>
    </row>
    <row r="159" spans="1:5" x14ac:dyDescent="0.2">
      <c r="A159" s="235">
        <v>112418</v>
      </c>
      <c r="B159" s="236" t="s">
        <v>168</v>
      </c>
      <c r="C159" s="236" t="s">
        <v>2</v>
      </c>
      <c r="D159" s="126">
        <v>0</v>
      </c>
      <c r="E159" s="236" t="s">
        <v>1234</v>
      </c>
    </row>
    <row r="160" spans="1:5" x14ac:dyDescent="0.2">
      <c r="A160" s="235">
        <v>112419</v>
      </c>
      <c r="B160" s="236" t="s">
        <v>169</v>
      </c>
      <c r="C160" s="236" t="s">
        <v>2</v>
      </c>
      <c r="D160" s="126">
        <v>0</v>
      </c>
      <c r="E160" s="236" t="s">
        <v>1234</v>
      </c>
    </row>
    <row r="161" spans="1:5" x14ac:dyDescent="0.2">
      <c r="A161" s="235">
        <v>112421</v>
      </c>
      <c r="B161" s="236" t="s">
        <v>170</v>
      </c>
      <c r="C161" s="236" t="s">
        <v>5</v>
      </c>
      <c r="D161" s="126">
        <v>0</v>
      </c>
      <c r="E161" s="236" t="s">
        <v>1234</v>
      </c>
    </row>
    <row r="162" spans="1:5" x14ac:dyDescent="0.2">
      <c r="A162" s="235">
        <v>112422</v>
      </c>
      <c r="B162" s="236" t="s">
        <v>171</v>
      </c>
      <c r="C162" s="236" t="s">
        <v>2</v>
      </c>
      <c r="D162" s="126">
        <v>0</v>
      </c>
      <c r="E162" s="236" t="s">
        <v>1234</v>
      </c>
    </row>
    <row r="163" spans="1:5" x14ac:dyDescent="0.2">
      <c r="A163" s="235">
        <v>112424</v>
      </c>
      <c r="B163" s="236" t="s">
        <v>1572</v>
      </c>
      <c r="C163" s="236" t="s">
        <v>2</v>
      </c>
      <c r="D163" s="126">
        <v>0</v>
      </c>
      <c r="E163" s="236" t="s">
        <v>1582</v>
      </c>
    </row>
    <row r="164" spans="1:5" x14ac:dyDescent="0.2">
      <c r="A164" s="235">
        <v>112428</v>
      </c>
      <c r="B164" s="236" t="s">
        <v>172</v>
      </c>
      <c r="C164" s="236" t="s">
        <v>2</v>
      </c>
      <c r="D164" s="126">
        <v>0</v>
      </c>
      <c r="E164" s="236" t="s">
        <v>1234</v>
      </c>
    </row>
    <row r="165" spans="1:5" x14ac:dyDescent="0.2">
      <c r="A165" s="235">
        <v>112430</v>
      </c>
      <c r="B165" s="236" t="s">
        <v>173</v>
      </c>
      <c r="C165" s="236" t="s">
        <v>5</v>
      </c>
      <c r="D165" s="126">
        <v>0</v>
      </c>
      <c r="E165" s="236" t="s">
        <v>1234</v>
      </c>
    </row>
    <row r="166" spans="1:5" x14ac:dyDescent="0.2">
      <c r="A166" s="235">
        <v>112431</v>
      </c>
      <c r="B166" s="236" t="s">
        <v>174</v>
      </c>
      <c r="C166" s="236" t="s">
        <v>5</v>
      </c>
      <c r="D166" s="126">
        <v>0</v>
      </c>
      <c r="E166" s="236" t="s">
        <v>1234</v>
      </c>
    </row>
    <row r="167" spans="1:5" x14ac:dyDescent="0.2">
      <c r="A167" s="235">
        <v>112432</v>
      </c>
      <c r="B167" s="236" t="s">
        <v>175</v>
      </c>
      <c r="C167" s="236" t="s">
        <v>5</v>
      </c>
      <c r="D167" s="126">
        <v>0</v>
      </c>
      <c r="E167" s="236" t="s">
        <v>1234</v>
      </c>
    </row>
    <row r="168" spans="1:5" x14ac:dyDescent="0.2">
      <c r="A168" s="235">
        <v>112433</v>
      </c>
      <c r="B168" s="236" t="s">
        <v>176</v>
      </c>
      <c r="C168" s="236" t="s">
        <v>22</v>
      </c>
      <c r="D168" s="126">
        <v>0</v>
      </c>
      <c r="E168" s="236" t="s">
        <v>1234</v>
      </c>
    </row>
    <row r="169" spans="1:5" x14ac:dyDescent="0.2">
      <c r="A169" s="235">
        <v>112434</v>
      </c>
      <c r="B169" s="236" t="s">
        <v>177</v>
      </c>
      <c r="C169" s="236" t="s">
        <v>2</v>
      </c>
      <c r="D169" s="126">
        <v>0</v>
      </c>
      <c r="E169" s="236" t="s">
        <v>1234</v>
      </c>
    </row>
    <row r="170" spans="1:5" x14ac:dyDescent="0.2">
      <c r="A170" s="235">
        <v>112436</v>
      </c>
      <c r="B170" s="236" t="s">
        <v>178</v>
      </c>
      <c r="C170" s="236" t="s">
        <v>39</v>
      </c>
      <c r="D170" s="126">
        <v>0</v>
      </c>
      <c r="E170" s="236" t="s">
        <v>1234</v>
      </c>
    </row>
    <row r="171" spans="1:5" x14ac:dyDescent="0.2">
      <c r="A171" s="235">
        <v>112437</v>
      </c>
      <c r="B171" s="236" t="s">
        <v>179</v>
      </c>
      <c r="C171" s="236" t="s">
        <v>282</v>
      </c>
      <c r="D171" s="126">
        <v>0</v>
      </c>
      <c r="E171" s="236" t="s">
        <v>1234</v>
      </c>
    </row>
    <row r="172" spans="1:5" x14ac:dyDescent="0.2">
      <c r="A172" s="235">
        <v>112439</v>
      </c>
      <c r="B172" s="236" t="s">
        <v>180</v>
      </c>
      <c r="C172" s="236" t="s">
        <v>22</v>
      </c>
      <c r="D172" s="126">
        <v>0</v>
      </c>
      <c r="E172" s="236" t="s">
        <v>1234</v>
      </c>
    </row>
    <row r="173" spans="1:5" x14ac:dyDescent="0.2">
      <c r="A173" s="235">
        <v>112440</v>
      </c>
      <c r="B173" s="236" t="s">
        <v>181</v>
      </c>
      <c r="C173" s="236" t="s">
        <v>182</v>
      </c>
      <c r="D173" s="126">
        <v>0</v>
      </c>
      <c r="E173" s="236" t="s">
        <v>1234</v>
      </c>
    </row>
    <row r="174" spans="1:5" x14ac:dyDescent="0.2">
      <c r="A174" s="235">
        <v>112442</v>
      </c>
      <c r="B174" s="236" t="s">
        <v>183</v>
      </c>
      <c r="C174" s="236" t="s">
        <v>5</v>
      </c>
      <c r="D174" s="126">
        <v>0</v>
      </c>
      <c r="E174" s="236" t="s">
        <v>1234</v>
      </c>
    </row>
    <row r="175" spans="1:5" x14ac:dyDescent="0.2">
      <c r="A175" s="235">
        <v>112443</v>
      </c>
      <c r="B175" s="236" t="s">
        <v>184</v>
      </c>
      <c r="C175" s="236" t="s">
        <v>5</v>
      </c>
      <c r="D175" s="126">
        <v>0</v>
      </c>
      <c r="E175" s="236" t="s">
        <v>1235</v>
      </c>
    </row>
    <row r="176" spans="1:5" x14ac:dyDescent="0.2">
      <c r="A176" s="235">
        <v>112444</v>
      </c>
      <c r="B176" s="236" t="s">
        <v>185</v>
      </c>
      <c r="C176" s="236" t="s">
        <v>5</v>
      </c>
      <c r="D176" s="126">
        <v>0</v>
      </c>
      <c r="E176" s="236" t="s">
        <v>1234</v>
      </c>
    </row>
    <row r="177" spans="1:5" x14ac:dyDescent="0.2">
      <c r="A177" s="235">
        <v>112445</v>
      </c>
      <c r="B177" s="236" t="s">
        <v>186</v>
      </c>
      <c r="C177" s="236" t="s">
        <v>2</v>
      </c>
      <c r="D177" s="126">
        <v>0</v>
      </c>
      <c r="E177" s="236" t="s">
        <v>1234</v>
      </c>
    </row>
    <row r="178" spans="1:5" x14ac:dyDescent="0.2">
      <c r="A178" s="235">
        <v>112448</v>
      </c>
      <c r="B178" s="236" t="s">
        <v>187</v>
      </c>
      <c r="C178" s="236" t="s">
        <v>2</v>
      </c>
      <c r="D178" s="126">
        <v>0</v>
      </c>
      <c r="E178" s="236" t="s">
        <v>1234</v>
      </c>
    </row>
    <row r="179" spans="1:5" x14ac:dyDescent="0.2">
      <c r="A179" s="235">
        <v>112449</v>
      </c>
      <c r="B179" s="236" t="s">
        <v>188</v>
      </c>
      <c r="C179" s="236" t="s">
        <v>2</v>
      </c>
      <c r="D179" s="126">
        <v>0</v>
      </c>
      <c r="E179" s="236" t="s">
        <v>1234</v>
      </c>
    </row>
    <row r="180" spans="1:5" x14ac:dyDescent="0.2">
      <c r="A180" s="235">
        <v>112451</v>
      </c>
      <c r="B180" s="236" t="s">
        <v>189</v>
      </c>
      <c r="C180" s="236" t="s">
        <v>5</v>
      </c>
      <c r="D180" s="126">
        <v>1</v>
      </c>
      <c r="E180" s="236" t="s">
        <v>1234</v>
      </c>
    </row>
    <row r="181" spans="1:5" x14ac:dyDescent="0.2">
      <c r="A181" s="235">
        <v>112453</v>
      </c>
      <c r="B181" s="236" t="s">
        <v>191</v>
      </c>
      <c r="C181" s="236" t="s">
        <v>2</v>
      </c>
      <c r="D181" s="126">
        <v>0</v>
      </c>
      <c r="E181" s="236" t="s">
        <v>1234</v>
      </c>
    </row>
    <row r="182" spans="1:5" x14ac:dyDescent="0.2">
      <c r="A182" s="235">
        <v>112454</v>
      </c>
      <c r="B182" s="236" t="s">
        <v>192</v>
      </c>
      <c r="C182" s="236" t="s">
        <v>5</v>
      </c>
      <c r="D182" s="126">
        <v>26</v>
      </c>
      <c r="E182" s="236" t="s">
        <v>1234</v>
      </c>
    </row>
    <row r="183" spans="1:5" x14ac:dyDescent="0.2">
      <c r="A183" s="235">
        <v>112457</v>
      </c>
      <c r="B183" s="236" t="s">
        <v>193</v>
      </c>
      <c r="C183" s="236" t="s">
        <v>2</v>
      </c>
      <c r="D183" s="126">
        <v>0</v>
      </c>
      <c r="E183" s="236" t="s">
        <v>1234</v>
      </c>
    </row>
    <row r="184" spans="1:5" x14ac:dyDescent="0.2">
      <c r="A184" s="235">
        <v>112458</v>
      </c>
      <c r="B184" s="236" t="s">
        <v>194</v>
      </c>
      <c r="C184" s="236" t="s">
        <v>5</v>
      </c>
      <c r="D184" s="126">
        <v>0</v>
      </c>
      <c r="E184" s="236" t="s">
        <v>1234</v>
      </c>
    </row>
    <row r="185" spans="1:5" x14ac:dyDescent="0.2">
      <c r="A185" s="235">
        <v>112459</v>
      </c>
      <c r="B185" s="236" t="s">
        <v>195</v>
      </c>
      <c r="C185" s="236" t="s">
        <v>771</v>
      </c>
      <c r="D185" s="126">
        <v>0</v>
      </c>
      <c r="E185" s="236" t="s">
        <v>1234</v>
      </c>
    </row>
    <row r="186" spans="1:5" x14ac:dyDescent="0.2">
      <c r="A186" s="235">
        <v>112461</v>
      </c>
      <c r="B186" s="236" t="s">
        <v>196</v>
      </c>
      <c r="C186" s="236" t="s">
        <v>39</v>
      </c>
      <c r="D186" s="126">
        <v>0</v>
      </c>
      <c r="E186" s="236" t="s">
        <v>1234</v>
      </c>
    </row>
    <row r="187" spans="1:5" x14ac:dyDescent="0.2">
      <c r="A187" s="235">
        <v>112462</v>
      </c>
      <c r="B187" s="236" t="s">
        <v>190</v>
      </c>
      <c r="C187" s="236" t="s">
        <v>15</v>
      </c>
      <c r="D187" s="126">
        <v>0</v>
      </c>
      <c r="E187" s="236" t="s">
        <v>1234</v>
      </c>
    </row>
    <row r="188" spans="1:5" x14ac:dyDescent="0.2">
      <c r="A188" s="235">
        <v>112465</v>
      </c>
      <c r="B188" s="236" t="s">
        <v>197</v>
      </c>
      <c r="C188" s="236" t="s">
        <v>2</v>
      </c>
      <c r="D188" s="126">
        <v>0</v>
      </c>
      <c r="E188" s="236" t="s">
        <v>1234</v>
      </c>
    </row>
    <row r="189" spans="1:5" x14ac:dyDescent="0.2">
      <c r="A189" s="235">
        <v>112469</v>
      </c>
      <c r="B189" s="236" t="s">
        <v>198</v>
      </c>
      <c r="C189" s="236" t="s">
        <v>2</v>
      </c>
      <c r="D189" s="126">
        <v>0</v>
      </c>
      <c r="E189" s="236" t="s">
        <v>1234</v>
      </c>
    </row>
    <row r="190" spans="1:5" x14ac:dyDescent="0.2">
      <c r="A190" s="235">
        <v>112470</v>
      </c>
      <c r="B190" s="236" t="s">
        <v>199</v>
      </c>
      <c r="C190" s="236" t="s">
        <v>5</v>
      </c>
      <c r="D190" s="126">
        <v>0</v>
      </c>
      <c r="E190" s="236" t="s">
        <v>1234</v>
      </c>
    </row>
    <row r="191" spans="1:5" x14ac:dyDescent="0.2">
      <c r="A191" s="235">
        <v>112471</v>
      </c>
      <c r="B191" s="236" t="s">
        <v>200</v>
      </c>
      <c r="C191" s="236" t="s">
        <v>5</v>
      </c>
      <c r="D191" s="126">
        <v>0</v>
      </c>
      <c r="E191" s="236" t="s">
        <v>1234</v>
      </c>
    </row>
    <row r="192" spans="1:5" x14ac:dyDescent="0.2">
      <c r="A192" s="235">
        <v>112472</v>
      </c>
      <c r="B192" s="236" t="s">
        <v>201</v>
      </c>
      <c r="C192" s="236" t="s">
        <v>5</v>
      </c>
      <c r="D192" s="126">
        <v>0</v>
      </c>
      <c r="E192" s="236" t="s">
        <v>1234</v>
      </c>
    </row>
    <row r="193" spans="1:5" x14ac:dyDescent="0.2">
      <c r="A193" s="235">
        <v>112473</v>
      </c>
      <c r="B193" s="236" t="s">
        <v>202</v>
      </c>
      <c r="C193" s="236" t="s">
        <v>2</v>
      </c>
      <c r="D193" s="126">
        <v>0</v>
      </c>
      <c r="E193" s="236" t="s">
        <v>1234</v>
      </c>
    </row>
    <row r="194" spans="1:5" x14ac:dyDescent="0.2">
      <c r="A194" s="235">
        <v>112475</v>
      </c>
      <c r="B194" s="236" t="s">
        <v>203</v>
      </c>
      <c r="C194" s="236" t="s">
        <v>2</v>
      </c>
      <c r="D194" s="126">
        <v>0</v>
      </c>
      <c r="E194" s="236" t="s">
        <v>1234</v>
      </c>
    </row>
    <row r="195" spans="1:5" x14ac:dyDescent="0.2">
      <c r="A195" s="235">
        <v>112476</v>
      </c>
      <c r="B195" s="236" t="s">
        <v>204</v>
      </c>
      <c r="C195" s="236" t="s">
        <v>904</v>
      </c>
      <c r="D195" s="126">
        <v>0</v>
      </c>
      <c r="E195" s="236" t="s">
        <v>1234</v>
      </c>
    </row>
    <row r="196" spans="1:5" x14ac:dyDescent="0.2">
      <c r="A196" s="235">
        <v>112478</v>
      </c>
      <c r="B196" s="236" t="s">
        <v>206</v>
      </c>
      <c r="C196" s="236" t="s">
        <v>22</v>
      </c>
      <c r="D196" s="126">
        <v>0</v>
      </c>
      <c r="E196" s="236" t="s">
        <v>1234</v>
      </c>
    </row>
    <row r="197" spans="1:5" x14ac:dyDescent="0.2">
      <c r="A197" s="235">
        <v>112481</v>
      </c>
      <c r="B197" s="236" t="s">
        <v>207</v>
      </c>
      <c r="C197" s="236" t="s">
        <v>39</v>
      </c>
      <c r="D197" s="126">
        <v>0</v>
      </c>
      <c r="E197" s="236" t="s">
        <v>1234</v>
      </c>
    </row>
    <row r="198" spans="1:5" x14ac:dyDescent="0.2">
      <c r="A198" s="235">
        <v>112483</v>
      </c>
      <c r="B198" s="236" t="s">
        <v>208</v>
      </c>
      <c r="C198" s="236" t="s">
        <v>39</v>
      </c>
      <c r="D198" s="126">
        <v>0</v>
      </c>
      <c r="E198" s="236" t="s">
        <v>1234</v>
      </c>
    </row>
    <row r="199" spans="1:5" x14ac:dyDescent="0.2">
      <c r="A199" s="235">
        <v>112485</v>
      </c>
      <c r="B199" s="236" t="s">
        <v>209</v>
      </c>
      <c r="C199" s="236" t="s">
        <v>2</v>
      </c>
      <c r="D199" s="126">
        <v>1</v>
      </c>
      <c r="E199" s="236" t="s">
        <v>1234</v>
      </c>
    </row>
    <row r="200" spans="1:5" x14ac:dyDescent="0.2">
      <c r="A200" s="235">
        <v>112489</v>
      </c>
      <c r="B200" s="236" t="s">
        <v>211</v>
      </c>
      <c r="C200" s="236" t="s">
        <v>2</v>
      </c>
      <c r="D200" s="126">
        <v>0</v>
      </c>
      <c r="E200" s="236" t="s">
        <v>1234</v>
      </c>
    </row>
    <row r="201" spans="1:5" x14ac:dyDescent="0.2">
      <c r="A201" s="235">
        <v>112490</v>
      </c>
      <c r="B201" s="236" t="s">
        <v>212</v>
      </c>
      <c r="C201" s="236" t="s">
        <v>22</v>
      </c>
      <c r="D201" s="126">
        <v>0</v>
      </c>
      <c r="E201" s="236" t="s">
        <v>1234</v>
      </c>
    </row>
    <row r="202" spans="1:5" x14ac:dyDescent="0.2">
      <c r="A202" s="235">
        <v>112492</v>
      </c>
      <c r="B202" s="236" t="s">
        <v>213</v>
      </c>
      <c r="C202" s="236" t="s">
        <v>2</v>
      </c>
      <c r="D202" s="126">
        <v>0</v>
      </c>
      <c r="E202" s="236" t="s">
        <v>1234</v>
      </c>
    </row>
    <row r="203" spans="1:5" x14ac:dyDescent="0.2">
      <c r="A203" s="235">
        <v>112494</v>
      </c>
      <c r="B203" s="236" t="s">
        <v>214</v>
      </c>
      <c r="C203" s="236" t="s">
        <v>39</v>
      </c>
      <c r="D203" s="126">
        <v>0</v>
      </c>
      <c r="E203" s="236" t="s">
        <v>1234</v>
      </c>
    </row>
    <row r="204" spans="1:5" x14ac:dyDescent="0.2">
      <c r="A204" s="235">
        <v>112495</v>
      </c>
      <c r="B204" s="236" t="s">
        <v>215</v>
      </c>
      <c r="C204" s="236" t="s">
        <v>5</v>
      </c>
      <c r="D204" s="126">
        <v>0</v>
      </c>
      <c r="E204" s="236" t="s">
        <v>1234</v>
      </c>
    </row>
    <row r="205" spans="1:5" x14ac:dyDescent="0.2">
      <c r="A205" s="235">
        <v>112497</v>
      </c>
      <c r="B205" s="236" t="s">
        <v>216</v>
      </c>
      <c r="C205" s="236" t="s">
        <v>5</v>
      </c>
      <c r="D205" s="126">
        <v>0</v>
      </c>
      <c r="E205" s="236" t="s">
        <v>1234</v>
      </c>
    </row>
    <row r="206" spans="1:5" x14ac:dyDescent="0.2">
      <c r="A206" s="235">
        <v>112498</v>
      </c>
      <c r="B206" s="236" t="s">
        <v>217</v>
      </c>
      <c r="C206" s="236" t="s">
        <v>2</v>
      </c>
      <c r="D206" s="126">
        <v>0</v>
      </c>
      <c r="E206" s="236" t="s">
        <v>1234</v>
      </c>
    </row>
    <row r="207" spans="1:5" x14ac:dyDescent="0.2">
      <c r="A207" s="235">
        <v>112499</v>
      </c>
      <c r="B207" s="236" t="s">
        <v>218</v>
      </c>
      <c r="C207" s="236" t="s">
        <v>39</v>
      </c>
      <c r="D207" s="126">
        <v>0</v>
      </c>
      <c r="E207" s="236" t="s">
        <v>1234</v>
      </c>
    </row>
    <row r="208" spans="1:5" x14ac:dyDescent="0.2">
      <c r="A208" s="235">
        <v>112500</v>
      </c>
      <c r="B208" s="236" t="s">
        <v>219</v>
      </c>
      <c r="C208" s="236" t="s">
        <v>5</v>
      </c>
      <c r="D208" s="126">
        <v>0</v>
      </c>
      <c r="E208" s="236" t="s">
        <v>1234</v>
      </c>
    </row>
    <row r="209" spans="1:5" x14ac:dyDescent="0.2">
      <c r="A209" s="235">
        <v>112502</v>
      </c>
      <c r="B209" s="236" t="s">
        <v>220</v>
      </c>
      <c r="C209" s="236" t="s">
        <v>15</v>
      </c>
      <c r="D209" s="126">
        <v>0</v>
      </c>
      <c r="E209" s="236" t="s">
        <v>1235</v>
      </c>
    </row>
    <row r="210" spans="1:5" x14ac:dyDescent="0.2">
      <c r="A210" s="235">
        <v>112503</v>
      </c>
      <c r="B210" s="236" t="s">
        <v>221</v>
      </c>
      <c r="C210" s="236" t="s">
        <v>5</v>
      </c>
      <c r="D210" s="126">
        <v>0</v>
      </c>
      <c r="E210" s="236" t="s">
        <v>1234</v>
      </c>
    </row>
    <row r="211" spans="1:5" x14ac:dyDescent="0.2">
      <c r="A211" s="235">
        <v>112504</v>
      </c>
      <c r="B211" s="236" t="s">
        <v>222</v>
      </c>
      <c r="C211" s="236" t="s">
        <v>2</v>
      </c>
      <c r="D211" s="126">
        <v>0</v>
      </c>
      <c r="E211" s="236" t="s">
        <v>1234</v>
      </c>
    </row>
    <row r="212" spans="1:5" x14ac:dyDescent="0.2">
      <c r="A212" s="235">
        <v>112505</v>
      </c>
      <c r="B212" s="236" t="s">
        <v>223</v>
      </c>
      <c r="C212" s="236" t="s">
        <v>39</v>
      </c>
      <c r="D212" s="126">
        <v>0</v>
      </c>
      <c r="E212" s="236" t="s">
        <v>1234</v>
      </c>
    </row>
    <row r="213" spans="1:5" x14ac:dyDescent="0.2">
      <c r="A213" s="235">
        <v>112506</v>
      </c>
      <c r="B213" s="236" t="s">
        <v>224</v>
      </c>
      <c r="C213" s="236" t="s">
        <v>15</v>
      </c>
      <c r="D213" s="126">
        <v>0</v>
      </c>
      <c r="E213" s="236" t="s">
        <v>1234</v>
      </c>
    </row>
    <row r="214" spans="1:5" x14ac:dyDescent="0.2">
      <c r="A214" s="235">
        <v>112507</v>
      </c>
      <c r="B214" s="236" t="s">
        <v>225</v>
      </c>
      <c r="C214" s="236" t="s">
        <v>2</v>
      </c>
      <c r="D214" s="126">
        <v>0</v>
      </c>
      <c r="E214" s="236" t="s">
        <v>1234</v>
      </c>
    </row>
    <row r="215" spans="1:5" x14ac:dyDescent="0.2">
      <c r="A215" s="235">
        <v>112508</v>
      </c>
      <c r="B215" s="236" t="s">
        <v>226</v>
      </c>
      <c r="C215" s="236" t="s">
        <v>39</v>
      </c>
      <c r="D215" s="126">
        <v>0</v>
      </c>
      <c r="E215" s="236" t="s">
        <v>1234</v>
      </c>
    </row>
    <row r="216" spans="1:5" x14ac:dyDescent="0.2">
      <c r="A216" s="235">
        <v>112510</v>
      </c>
      <c r="B216" s="236" t="s">
        <v>227</v>
      </c>
      <c r="C216" s="236" t="s">
        <v>5</v>
      </c>
      <c r="D216" s="126">
        <v>0</v>
      </c>
      <c r="E216" s="236" t="s">
        <v>1234</v>
      </c>
    </row>
    <row r="217" spans="1:5" x14ac:dyDescent="0.2">
      <c r="A217" s="235">
        <v>112512</v>
      </c>
      <c r="B217" s="236" t="s">
        <v>229</v>
      </c>
      <c r="C217" s="236" t="s">
        <v>5</v>
      </c>
      <c r="D217" s="126">
        <v>0</v>
      </c>
      <c r="E217" s="236" t="s">
        <v>1234</v>
      </c>
    </row>
    <row r="218" spans="1:5" x14ac:dyDescent="0.2">
      <c r="A218" s="235">
        <v>112513</v>
      </c>
      <c r="B218" s="236" t="s">
        <v>230</v>
      </c>
      <c r="C218" s="236" t="s">
        <v>146</v>
      </c>
      <c r="D218" s="126">
        <v>0</v>
      </c>
      <c r="E218" s="236" t="s">
        <v>1234</v>
      </c>
    </row>
    <row r="219" spans="1:5" x14ac:dyDescent="0.2">
      <c r="A219" s="235">
        <v>112514</v>
      </c>
      <c r="B219" s="236" t="s">
        <v>231</v>
      </c>
      <c r="C219" s="236" t="s">
        <v>39</v>
      </c>
      <c r="D219" s="126">
        <v>0</v>
      </c>
      <c r="E219" s="236" t="s">
        <v>1235</v>
      </c>
    </row>
    <row r="220" spans="1:5" x14ac:dyDescent="0.2">
      <c r="A220" s="235">
        <v>112515</v>
      </c>
      <c r="B220" s="236" t="s">
        <v>232</v>
      </c>
      <c r="C220" s="236" t="s">
        <v>146</v>
      </c>
      <c r="D220" s="126">
        <v>0</v>
      </c>
      <c r="E220" s="236" t="s">
        <v>1234</v>
      </c>
    </row>
    <row r="221" spans="1:5" x14ac:dyDescent="0.2">
      <c r="A221" s="235">
        <v>112517</v>
      </c>
      <c r="B221" s="236" t="s">
        <v>233</v>
      </c>
      <c r="C221" s="236" t="s">
        <v>2</v>
      </c>
      <c r="D221" s="126">
        <v>0</v>
      </c>
      <c r="E221" s="236" t="s">
        <v>1234</v>
      </c>
    </row>
    <row r="222" spans="1:5" x14ac:dyDescent="0.2">
      <c r="A222" s="235">
        <v>112518</v>
      </c>
      <c r="B222" s="236" t="s">
        <v>234</v>
      </c>
      <c r="C222" s="236" t="s">
        <v>15</v>
      </c>
      <c r="D222" s="126">
        <v>0</v>
      </c>
      <c r="E222" s="236" t="s">
        <v>1234</v>
      </c>
    </row>
    <row r="223" spans="1:5" x14ac:dyDescent="0.2">
      <c r="A223" s="235">
        <v>112520</v>
      </c>
      <c r="B223" s="236" t="s">
        <v>235</v>
      </c>
      <c r="C223" s="236" t="s">
        <v>2</v>
      </c>
      <c r="D223" s="126">
        <v>0</v>
      </c>
      <c r="E223" s="236" t="s">
        <v>1234</v>
      </c>
    </row>
    <row r="224" spans="1:5" x14ac:dyDescent="0.2">
      <c r="A224" s="235">
        <v>112521</v>
      </c>
      <c r="B224" s="236" t="s">
        <v>236</v>
      </c>
      <c r="C224" s="236" t="s">
        <v>2</v>
      </c>
      <c r="D224" s="126">
        <v>0</v>
      </c>
      <c r="E224" s="236" t="s">
        <v>1234</v>
      </c>
    </row>
    <row r="225" spans="1:5" x14ac:dyDescent="0.2">
      <c r="A225" s="235">
        <v>112522</v>
      </c>
      <c r="B225" s="236" t="s">
        <v>237</v>
      </c>
      <c r="C225" s="236" t="s">
        <v>2</v>
      </c>
      <c r="D225" s="126">
        <v>0</v>
      </c>
      <c r="E225" s="236" t="s">
        <v>1234</v>
      </c>
    </row>
    <row r="226" spans="1:5" x14ac:dyDescent="0.2">
      <c r="A226" s="235">
        <v>112525</v>
      </c>
      <c r="B226" s="236" t="s">
        <v>238</v>
      </c>
      <c r="C226" s="236" t="s">
        <v>15</v>
      </c>
      <c r="D226" s="126">
        <v>0</v>
      </c>
      <c r="E226" s="236" t="s">
        <v>1234</v>
      </c>
    </row>
    <row r="227" spans="1:5" x14ac:dyDescent="0.2">
      <c r="A227" s="235">
        <v>112526</v>
      </c>
      <c r="B227" s="236" t="s">
        <v>239</v>
      </c>
      <c r="C227" s="236" t="s">
        <v>2</v>
      </c>
      <c r="D227" s="126">
        <v>0</v>
      </c>
      <c r="E227" s="236" t="s">
        <v>1234</v>
      </c>
    </row>
    <row r="228" spans="1:5" x14ac:dyDescent="0.2">
      <c r="A228" s="235">
        <v>112527</v>
      </c>
      <c r="B228" s="236" t="s">
        <v>240</v>
      </c>
      <c r="C228" s="236" t="s">
        <v>15</v>
      </c>
      <c r="D228" s="126">
        <v>0</v>
      </c>
      <c r="E228" s="236" t="s">
        <v>1234</v>
      </c>
    </row>
    <row r="229" spans="1:5" x14ac:dyDescent="0.2">
      <c r="A229" s="235">
        <v>112529</v>
      </c>
      <c r="B229" s="236" t="s">
        <v>241</v>
      </c>
      <c r="C229" s="236" t="s">
        <v>2</v>
      </c>
      <c r="D229" s="126">
        <v>0</v>
      </c>
      <c r="E229" s="236" t="s">
        <v>1234</v>
      </c>
    </row>
    <row r="230" spans="1:5" x14ac:dyDescent="0.2">
      <c r="A230" s="235">
        <v>112530</v>
      </c>
      <c r="B230" s="236" t="s">
        <v>242</v>
      </c>
      <c r="C230" s="236" t="s">
        <v>15</v>
      </c>
      <c r="D230" s="126">
        <v>0</v>
      </c>
      <c r="E230" s="236" t="s">
        <v>1234</v>
      </c>
    </row>
    <row r="231" spans="1:5" x14ac:dyDescent="0.2">
      <c r="A231" s="235">
        <v>112531</v>
      </c>
      <c r="B231" s="236" t="s">
        <v>243</v>
      </c>
      <c r="C231" s="236" t="s">
        <v>2</v>
      </c>
      <c r="D231" s="126">
        <v>0</v>
      </c>
      <c r="E231" s="236" t="s">
        <v>1234</v>
      </c>
    </row>
    <row r="232" spans="1:5" x14ac:dyDescent="0.2">
      <c r="A232" s="235">
        <v>112532</v>
      </c>
      <c r="B232" s="236" t="s">
        <v>244</v>
      </c>
      <c r="C232" s="236" t="s">
        <v>2</v>
      </c>
      <c r="D232" s="126">
        <v>0</v>
      </c>
      <c r="E232" s="236" t="s">
        <v>1234</v>
      </c>
    </row>
    <row r="233" spans="1:5" x14ac:dyDescent="0.2">
      <c r="A233" s="235">
        <v>112533</v>
      </c>
      <c r="B233" s="236" t="s">
        <v>245</v>
      </c>
      <c r="C233" s="236" t="s">
        <v>2</v>
      </c>
      <c r="D233" s="126">
        <v>0</v>
      </c>
      <c r="E233" s="236" t="s">
        <v>1234</v>
      </c>
    </row>
    <row r="234" spans="1:5" x14ac:dyDescent="0.2">
      <c r="A234" s="235">
        <v>112534</v>
      </c>
      <c r="B234" s="236" t="s">
        <v>246</v>
      </c>
      <c r="C234" s="236" t="s">
        <v>5</v>
      </c>
      <c r="D234" s="126">
        <v>0</v>
      </c>
      <c r="E234" s="236" t="s">
        <v>1234</v>
      </c>
    </row>
    <row r="235" spans="1:5" x14ac:dyDescent="0.2">
      <c r="A235" s="235">
        <v>112535</v>
      </c>
      <c r="B235" s="236" t="s">
        <v>247</v>
      </c>
      <c r="C235" s="236" t="s">
        <v>2</v>
      </c>
      <c r="D235" s="126">
        <v>0</v>
      </c>
      <c r="E235" s="236" t="s">
        <v>1235</v>
      </c>
    </row>
    <row r="236" spans="1:5" x14ac:dyDescent="0.2">
      <c r="A236" s="235">
        <v>112537</v>
      </c>
      <c r="B236" s="236" t="s">
        <v>248</v>
      </c>
      <c r="C236" s="236" t="s">
        <v>5</v>
      </c>
      <c r="D236" s="126">
        <v>0</v>
      </c>
      <c r="E236" s="236" t="s">
        <v>1234</v>
      </c>
    </row>
    <row r="237" spans="1:5" x14ac:dyDescent="0.2">
      <c r="A237" s="235">
        <v>112538</v>
      </c>
      <c r="B237" s="236" t="s">
        <v>249</v>
      </c>
      <c r="C237" s="236" t="s">
        <v>2</v>
      </c>
      <c r="D237" s="126">
        <v>0</v>
      </c>
      <c r="E237" s="236" t="s">
        <v>1234</v>
      </c>
    </row>
    <row r="238" spans="1:5" x14ac:dyDescent="0.2">
      <c r="A238" s="235">
        <v>112539</v>
      </c>
      <c r="B238" s="236" t="s">
        <v>250</v>
      </c>
      <c r="C238" s="236" t="s">
        <v>2</v>
      </c>
      <c r="D238" s="126">
        <v>0</v>
      </c>
      <c r="E238" s="236" t="s">
        <v>1234</v>
      </c>
    </row>
    <row r="239" spans="1:5" x14ac:dyDescent="0.2">
      <c r="A239" s="235">
        <v>112540</v>
      </c>
      <c r="B239" s="236" t="s">
        <v>251</v>
      </c>
      <c r="C239" s="236" t="s">
        <v>5</v>
      </c>
      <c r="D239" s="126">
        <v>0</v>
      </c>
      <c r="E239" s="236" t="s">
        <v>1234</v>
      </c>
    </row>
    <row r="240" spans="1:5" x14ac:dyDescent="0.2">
      <c r="A240" s="235">
        <v>112542</v>
      </c>
      <c r="B240" s="236" t="s">
        <v>252</v>
      </c>
      <c r="C240" s="236" t="s">
        <v>5</v>
      </c>
      <c r="D240" s="126">
        <v>1</v>
      </c>
      <c r="E240" s="236" t="s">
        <v>1234</v>
      </c>
    </row>
    <row r="241" spans="1:5" x14ac:dyDescent="0.2">
      <c r="A241" s="235">
        <v>112544</v>
      </c>
      <c r="B241" s="236" t="s">
        <v>1562</v>
      </c>
      <c r="C241" s="236" t="s">
        <v>2</v>
      </c>
      <c r="D241" s="126">
        <v>0</v>
      </c>
      <c r="E241" s="236" t="s">
        <v>1285</v>
      </c>
    </row>
    <row r="242" spans="1:5" x14ac:dyDescent="0.2">
      <c r="A242" s="235">
        <v>112545</v>
      </c>
      <c r="B242" s="236" t="s">
        <v>253</v>
      </c>
      <c r="C242" s="236" t="s">
        <v>2</v>
      </c>
      <c r="D242" s="126">
        <v>0</v>
      </c>
      <c r="E242" s="236" t="s">
        <v>1234</v>
      </c>
    </row>
    <row r="243" spans="1:5" x14ac:dyDescent="0.2">
      <c r="A243" s="235">
        <v>112546</v>
      </c>
      <c r="B243" s="236" t="s">
        <v>254</v>
      </c>
      <c r="C243" s="236" t="s">
        <v>255</v>
      </c>
      <c r="D243" s="126">
        <v>0</v>
      </c>
      <c r="E243" s="236" t="s">
        <v>1234</v>
      </c>
    </row>
    <row r="244" spans="1:5" x14ac:dyDescent="0.2">
      <c r="A244" s="235">
        <v>112547</v>
      </c>
      <c r="B244" s="236" t="s">
        <v>257</v>
      </c>
      <c r="C244" s="236" t="s">
        <v>2</v>
      </c>
      <c r="D244" s="126">
        <v>0</v>
      </c>
      <c r="E244" s="236" t="s">
        <v>1234</v>
      </c>
    </row>
    <row r="245" spans="1:5" x14ac:dyDescent="0.2">
      <c r="A245" s="235">
        <v>112548</v>
      </c>
      <c r="B245" s="236" t="s">
        <v>258</v>
      </c>
      <c r="C245" s="236" t="s">
        <v>39</v>
      </c>
      <c r="D245" s="126">
        <v>0</v>
      </c>
      <c r="E245" s="236" t="s">
        <v>1234</v>
      </c>
    </row>
    <row r="246" spans="1:5" x14ac:dyDescent="0.2">
      <c r="A246" s="235">
        <v>112549</v>
      </c>
      <c r="B246" s="236" t="s">
        <v>259</v>
      </c>
      <c r="C246" s="236" t="s">
        <v>2</v>
      </c>
      <c r="D246" s="126">
        <v>0</v>
      </c>
      <c r="E246" s="236" t="s">
        <v>1235</v>
      </c>
    </row>
    <row r="247" spans="1:5" x14ac:dyDescent="0.2">
      <c r="A247" s="235">
        <v>112551</v>
      </c>
      <c r="B247" s="236" t="s">
        <v>260</v>
      </c>
      <c r="C247" s="236" t="s">
        <v>39</v>
      </c>
      <c r="D247" s="126">
        <v>0</v>
      </c>
      <c r="E247" s="236" t="s">
        <v>1234</v>
      </c>
    </row>
    <row r="248" spans="1:5" x14ac:dyDescent="0.2">
      <c r="A248" s="235">
        <v>112553</v>
      </c>
      <c r="B248" s="236" t="s">
        <v>261</v>
      </c>
      <c r="C248" s="236" t="s">
        <v>2</v>
      </c>
      <c r="D248" s="126">
        <v>0</v>
      </c>
      <c r="E248" s="236" t="s">
        <v>1235</v>
      </c>
    </row>
    <row r="249" spans="1:5" x14ac:dyDescent="0.2">
      <c r="A249" s="235">
        <v>112555</v>
      </c>
      <c r="B249" s="236" t="s">
        <v>262</v>
      </c>
      <c r="C249" s="236" t="s">
        <v>2</v>
      </c>
      <c r="D249" s="126">
        <v>0</v>
      </c>
      <c r="E249" s="236" t="s">
        <v>1235</v>
      </c>
    </row>
    <row r="250" spans="1:5" x14ac:dyDescent="0.2">
      <c r="A250" s="235">
        <v>112557</v>
      </c>
      <c r="B250" s="236" t="s">
        <v>263</v>
      </c>
      <c r="C250" s="236" t="s">
        <v>22</v>
      </c>
      <c r="D250" s="126">
        <v>0</v>
      </c>
      <c r="E250" s="236" t="s">
        <v>1234</v>
      </c>
    </row>
    <row r="251" spans="1:5" x14ac:dyDescent="0.2">
      <c r="A251" s="235">
        <v>112558</v>
      </c>
      <c r="B251" s="236" t="s">
        <v>264</v>
      </c>
      <c r="C251" s="236" t="s">
        <v>146</v>
      </c>
      <c r="D251" s="126">
        <v>0</v>
      </c>
      <c r="E251" s="236" t="s">
        <v>1234</v>
      </c>
    </row>
    <row r="252" spans="1:5" x14ac:dyDescent="0.2">
      <c r="A252" s="235">
        <v>112559</v>
      </c>
      <c r="B252" s="236" t="s">
        <v>265</v>
      </c>
      <c r="C252" s="236" t="s">
        <v>2</v>
      </c>
      <c r="D252" s="126">
        <v>0</v>
      </c>
      <c r="E252" s="236" t="s">
        <v>1234</v>
      </c>
    </row>
    <row r="253" spans="1:5" x14ac:dyDescent="0.2">
      <c r="A253" s="235">
        <v>112561</v>
      </c>
      <c r="B253" s="236" t="s">
        <v>266</v>
      </c>
      <c r="C253" s="236" t="s">
        <v>2</v>
      </c>
      <c r="D253" s="126">
        <v>0</v>
      </c>
      <c r="E253" s="236" t="s">
        <v>1234</v>
      </c>
    </row>
    <row r="254" spans="1:5" x14ac:dyDescent="0.2">
      <c r="A254" s="235">
        <v>112563</v>
      </c>
      <c r="B254" s="236" t="s">
        <v>267</v>
      </c>
      <c r="C254" s="236" t="s">
        <v>2</v>
      </c>
      <c r="D254" s="126">
        <v>0</v>
      </c>
      <c r="E254" s="236" t="s">
        <v>1234</v>
      </c>
    </row>
    <row r="255" spans="1:5" x14ac:dyDescent="0.2">
      <c r="A255" s="235">
        <v>112566</v>
      </c>
      <c r="B255" s="236" t="s">
        <v>268</v>
      </c>
      <c r="C255" s="236" t="s">
        <v>2</v>
      </c>
      <c r="D255" s="126">
        <v>0</v>
      </c>
      <c r="E255" s="236" t="s">
        <v>1235</v>
      </c>
    </row>
    <row r="256" spans="1:5" x14ac:dyDescent="0.2">
      <c r="A256" s="235">
        <v>112567</v>
      </c>
      <c r="B256" s="236" t="s">
        <v>269</v>
      </c>
      <c r="C256" s="236" t="s">
        <v>5</v>
      </c>
      <c r="D256" s="126">
        <v>0</v>
      </c>
      <c r="E256" s="236" t="s">
        <v>1234</v>
      </c>
    </row>
    <row r="257" spans="1:5" x14ac:dyDescent="0.2">
      <c r="A257" s="235">
        <v>112568</v>
      </c>
      <c r="B257" s="236" t="s">
        <v>270</v>
      </c>
      <c r="C257" s="236" t="s">
        <v>15</v>
      </c>
      <c r="D257" s="126">
        <v>0</v>
      </c>
      <c r="E257" s="236" t="s">
        <v>1234</v>
      </c>
    </row>
    <row r="258" spans="1:5" x14ac:dyDescent="0.2">
      <c r="A258" s="235">
        <v>112569</v>
      </c>
      <c r="B258" s="236" t="s">
        <v>271</v>
      </c>
      <c r="C258" s="236" t="s">
        <v>2</v>
      </c>
      <c r="D258" s="126">
        <v>0</v>
      </c>
      <c r="E258" s="236" t="s">
        <v>1234</v>
      </c>
    </row>
    <row r="259" spans="1:5" x14ac:dyDescent="0.2">
      <c r="A259" s="235">
        <v>112573</v>
      </c>
      <c r="B259" s="236" t="s">
        <v>272</v>
      </c>
      <c r="C259" s="236" t="s">
        <v>5</v>
      </c>
      <c r="D259" s="126">
        <v>0</v>
      </c>
      <c r="E259" s="236" t="s">
        <v>1234</v>
      </c>
    </row>
    <row r="260" spans="1:5" x14ac:dyDescent="0.2">
      <c r="A260" s="235">
        <v>112576</v>
      </c>
      <c r="B260" s="236" t="s">
        <v>273</v>
      </c>
      <c r="C260" s="236" t="s">
        <v>2</v>
      </c>
      <c r="D260" s="126">
        <v>0</v>
      </c>
      <c r="E260" s="236" t="s">
        <v>1235</v>
      </c>
    </row>
    <row r="261" spans="1:5" x14ac:dyDescent="0.2">
      <c r="A261" s="235">
        <v>112577</v>
      </c>
      <c r="B261" s="236" t="s">
        <v>274</v>
      </c>
      <c r="C261" s="236" t="s">
        <v>2</v>
      </c>
      <c r="D261" s="126">
        <v>0</v>
      </c>
      <c r="E261" s="236" t="s">
        <v>1235</v>
      </c>
    </row>
    <row r="262" spans="1:5" x14ac:dyDescent="0.2">
      <c r="A262" s="235">
        <v>112578</v>
      </c>
      <c r="B262" s="236" t="s">
        <v>275</v>
      </c>
      <c r="C262" s="236" t="s">
        <v>5</v>
      </c>
      <c r="D262" s="126">
        <v>0</v>
      </c>
      <c r="E262" s="236" t="s">
        <v>1234</v>
      </c>
    </row>
    <row r="263" spans="1:5" x14ac:dyDescent="0.2">
      <c r="A263" s="235">
        <v>112579</v>
      </c>
      <c r="B263" s="236" t="s">
        <v>276</v>
      </c>
      <c r="C263" s="236" t="s">
        <v>2</v>
      </c>
      <c r="D263" s="126">
        <v>0</v>
      </c>
      <c r="E263" s="236" t="s">
        <v>1234</v>
      </c>
    </row>
    <row r="264" spans="1:5" x14ac:dyDescent="0.2">
      <c r="A264" s="235">
        <v>112581</v>
      </c>
      <c r="B264" s="236" t="s">
        <v>277</v>
      </c>
      <c r="C264" s="236" t="s">
        <v>5</v>
      </c>
      <c r="D264" s="126">
        <v>0</v>
      </c>
      <c r="E264" s="236" t="s">
        <v>1234</v>
      </c>
    </row>
    <row r="265" spans="1:5" x14ac:dyDescent="0.2">
      <c r="A265" s="235">
        <v>112583</v>
      </c>
      <c r="B265" s="236" t="s">
        <v>278</v>
      </c>
      <c r="C265" s="236" t="s">
        <v>15</v>
      </c>
      <c r="D265" s="126">
        <v>0</v>
      </c>
      <c r="E265" s="236" t="s">
        <v>1234</v>
      </c>
    </row>
    <row r="266" spans="1:5" x14ac:dyDescent="0.2">
      <c r="A266" s="235">
        <v>112586</v>
      </c>
      <c r="B266" s="236" t="s">
        <v>279</v>
      </c>
      <c r="C266" s="236" t="s">
        <v>2</v>
      </c>
      <c r="D266" s="126">
        <v>0</v>
      </c>
      <c r="E266" s="236" t="s">
        <v>1234</v>
      </c>
    </row>
    <row r="267" spans="1:5" x14ac:dyDescent="0.2">
      <c r="A267" s="235">
        <v>112587</v>
      </c>
      <c r="B267" s="236" t="s">
        <v>280</v>
      </c>
      <c r="C267" s="236" t="s">
        <v>2</v>
      </c>
      <c r="D267" s="126">
        <v>0</v>
      </c>
      <c r="E267" s="236" t="s">
        <v>1234</v>
      </c>
    </row>
    <row r="268" spans="1:5" x14ac:dyDescent="0.2">
      <c r="A268" s="235">
        <v>112589</v>
      </c>
      <c r="B268" s="236" t="s">
        <v>281</v>
      </c>
      <c r="C268" s="236" t="s">
        <v>282</v>
      </c>
      <c r="D268" s="126">
        <v>0</v>
      </c>
      <c r="E268" s="236" t="s">
        <v>1235</v>
      </c>
    </row>
    <row r="269" spans="1:5" x14ac:dyDescent="0.2">
      <c r="A269" s="235">
        <v>112590</v>
      </c>
      <c r="B269" s="236" t="s">
        <v>283</v>
      </c>
      <c r="C269" s="236" t="s">
        <v>22</v>
      </c>
      <c r="D269" s="126">
        <v>0</v>
      </c>
      <c r="E269" s="236" t="s">
        <v>1234</v>
      </c>
    </row>
    <row r="270" spans="1:5" x14ac:dyDescent="0.2">
      <c r="A270" s="235">
        <v>112594</v>
      </c>
      <c r="B270" s="236" t="s">
        <v>284</v>
      </c>
      <c r="C270" s="236" t="s">
        <v>2</v>
      </c>
      <c r="D270" s="126">
        <v>0</v>
      </c>
      <c r="E270" s="236" t="s">
        <v>1234</v>
      </c>
    </row>
    <row r="271" spans="1:5" x14ac:dyDescent="0.2">
      <c r="A271" s="235">
        <v>112596</v>
      </c>
      <c r="B271" s="236" t="s">
        <v>285</v>
      </c>
      <c r="C271" s="236" t="s">
        <v>2</v>
      </c>
      <c r="D271" s="126">
        <v>0</v>
      </c>
      <c r="E271" s="236" t="s">
        <v>1234</v>
      </c>
    </row>
    <row r="272" spans="1:5" x14ac:dyDescent="0.2">
      <c r="A272" s="235">
        <v>112597</v>
      </c>
      <c r="B272" s="236" t="s">
        <v>286</v>
      </c>
      <c r="C272" s="236" t="s">
        <v>2</v>
      </c>
      <c r="D272" s="126">
        <v>0</v>
      </c>
      <c r="E272" s="236" t="s">
        <v>1234</v>
      </c>
    </row>
    <row r="273" spans="1:5" x14ac:dyDescent="0.2">
      <c r="A273" s="235">
        <v>112598</v>
      </c>
      <c r="B273" s="236" t="s">
        <v>287</v>
      </c>
      <c r="C273" s="236" t="s">
        <v>15</v>
      </c>
      <c r="D273" s="126">
        <v>0</v>
      </c>
      <c r="E273" s="236" t="s">
        <v>1234</v>
      </c>
    </row>
    <row r="274" spans="1:5" x14ac:dyDescent="0.2">
      <c r="A274" s="235">
        <v>112599</v>
      </c>
      <c r="B274" s="236" t="s">
        <v>288</v>
      </c>
      <c r="C274" s="236" t="s">
        <v>5</v>
      </c>
      <c r="D274" s="126">
        <v>0</v>
      </c>
      <c r="E274" s="236" t="s">
        <v>1234</v>
      </c>
    </row>
    <row r="275" spans="1:5" x14ac:dyDescent="0.2">
      <c r="A275" s="235">
        <v>112602</v>
      </c>
      <c r="B275" s="236" t="s">
        <v>289</v>
      </c>
      <c r="C275" s="236" t="s">
        <v>146</v>
      </c>
      <c r="D275" s="126">
        <v>0</v>
      </c>
      <c r="E275" s="236" t="s">
        <v>1234</v>
      </c>
    </row>
    <row r="276" spans="1:5" x14ac:dyDescent="0.2">
      <c r="A276" s="235">
        <v>112604</v>
      </c>
      <c r="B276" s="236" t="s">
        <v>290</v>
      </c>
      <c r="C276" s="236" t="s">
        <v>15</v>
      </c>
      <c r="D276" s="126">
        <v>0</v>
      </c>
      <c r="E276" s="236" t="s">
        <v>1235</v>
      </c>
    </row>
    <row r="277" spans="1:5" x14ac:dyDescent="0.2">
      <c r="A277" s="235">
        <v>112606</v>
      </c>
      <c r="B277" s="236" t="s">
        <v>291</v>
      </c>
      <c r="C277" s="236" t="s">
        <v>22</v>
      </c>
      <c r="D277" s="126">
        <v>0</v>
      </c>
      <c r="E277" s="236" t="s">
        <v>1234</v>
      </c>
    </row>
    <row r="278" spans="1:5" x14ac:dyDescent="0.2">
      <c r="A278" s="235">
        <v>112607</v>
      </c>
      <c r="B278" s="236" t="s">
        <v>292</v>
      </c>
      <c r="C278" s="236" t="s">
        <v>5</v>
      </c>
      <c r="D278" s="126">
        <v>0</v>
      </c>
      <c r="E278" s="236" t="s">
        <v>1234</v>
      </c>
    </row>
    <row r="279" spans="1:5" x14ac:dyDescent="0.2">
      <c r="A279" s="235">
        <v>112608</v>
      </c>
      <c r="B279" s="236" t="s">
        <v>293</v>
      </c>
      <c r="C279" s="236" t="s">
        <v>15</v>
      </c>
      <c r="D279" s="126">
        <v>0</v>
      </c>
      <c r="E279" s="236" t="s">
        <v>1234</v>
      </c>
    </row>
    <row r="280" spans="1:5" x14ac:dyDescent="0.2">
      <c r="A280" s="235">
        <v>112609</v>
      </c>
      <c r="B280" s="236" t="s">
        <v>294</v>
      </c>
      <c r="C280" s="236" t="s">
        <v>2</v>
      </c>
      <c r="D280" s="126">
        <v>0</v>
      </c>
      <c r="E280" s="236" t="s">
        <v>1234</v>
      </c>
    </row>
    <row r="281" spans="1:5" x14ac:dyDescent="0.2">
      <c r="A281" s="235">
        <v>112610</v>
      </c>
      <c r="B281" s="236" t="s">
        <v>295</v>
      </c>
      <c r="C281" s="236" t="s">
        <v>5</v>
      </c>
      <c r="D281" s="126">
        <v>0</v>
      </c>
      <c r="E281" s="236" t="s">
        <v>1234</v>
      </c>
    </row>
    <row r="282" spans="1:5" x14ac:dyDescent="0.2">
      <c r="A282" s="235">
        <v>112611</v>
      </c>
      <c r="B282" s="236" t="s">
        <v>296</v>
      </c>
      <c r="C282" s="236" t="s">
        <v>5</v>
      </c>
      <c r="D282" s="126">
        <v>0</v>
      </c>
      <c r="E282" s="236" t="s">
        <v>1234</v>
      </c>
    </row>
    <row r="283" spans="1:5" x14ac:dyDescent="0.2">
      <c r="A283" s="235">
        <v>112612</v>
      </c>
      <c r="B283" s="236" t="s">
        <v>297</v>
      </c>
      <c r="C283" s="236" t="s">
        <v>5</v>
      </c>
      <c r="D283" s="126">
        <v>0</v>
      </c>
      <c r="E283" s="236" t="s">
        <v>1234</v>
      </c>
    </row>
    <row r="284" spans="1:5" x14ac:dyDescent="0.2">
      <c r="A284" s="235">
        <v>112613</v>
      </c>
      <c r="B284" s="236" t="s">
        <v>298</v>
      </c>
      <c r="C284" s="236" t="s">
        <v>5</v>
      </c>
      <c r="D284" s="126">
        <v>0</v>
      </c>
      <c r="E284" s="236" t="s">
        <v>1234</v>
      </c>
    </row>
    <row r="285" spans="1:5" x14ac:dyDescent="0.2">
      <c r="A285" s="235">
        <v>112614</v>
      </c>
      <c r="B285" s="236" t="s">
        <v>299</v>
      </c>
      <c r="C285" s="236" t="s">
        <v>5</v>
      </c>
      <c r="D285" s="126">
        <v>1</v>
      </c>
      <c r="E285" s="236" t="s">
        <v>1234</v>
      </c>
    </row>
    <row r="286" spans="1:5" x14ac:dyDescent="0.2">
      <c r="A286" s="235">
        <v>112615</v>
      </c>
      <c r="B286" s="236" t="s">
        <v>300</v>
      </c>
      <c r="C286" s="236" t="s">
        <v>2</v>
      </c>
      <c r="D286" s="126">
        <v>0</v>
      </c>
      <c r="E286" s="236" t="s">
        <v>1234</v>
      </c>
    </row>
    <row r="287" spans="1:5" x14ac:dyDescent="0.2">
      <c r="A287" s="235">
        <v>112617</v>
      </c>
      <c r="B287" s="236" t="s">
        <v>301</v>
      </c>
      <c r="C287" s="236" t="s">
        <v>2</v>
      </c>
      <c r="D287" s="126">
        <v>0</v>
      </c>
      <c r="E287" s="236" t="s">
        <v>1234</v>
      </c>
    </row>
    <row r="288" spans="1:5" x14ac:dyDescent="0.2">
      <c r="A288" s="235">
        <v>112618</v>
      </c>
      <c r="B288" s="236" t="s">
        <v>302</v>
      </c>
      <c r="C288" s="236" t="s">
        <v>146</v>
      </c>
      <c r="D288" s="126">
        <v>0</v>
      </c>
      <c r="E288" s="236" t="s">
        <v>1235</v>
      </c>
    </row>
    <row r="289" spans="1:5" x14ac:dyDescent="0.2">
      <c r="A289" s="235">
        <v>112619</v>
      </c>
      <c r="B289" s="236" t="s">
        <v>303</v>
      </c>
      <c r="C289" s="236" t="s">
        <v>5</v>
      </c>
      <c r="D289" s="126">
        <v>0</v>
      </c>
      <c r="E289" s="236" t="s">
        <v>1234</v>
      </c>
    </row>
    <row r="290" spans="1:5" x14ac:dyDescent="0.2">
      <c r="A290" s="235">
        <v>112620</v>
      </c>
      <c r="B290" s="236" t="s">
        <v>304</v>
      </c>
      <c r="C290" s="236" t="s">
        <v>5</v>
      </c>
      <c r="D290" s="126">
        <v>0</v>
      </c>
      <c r="E290" s="236" t="s">
        <v>1234</v>
      </c>
    </row>
    <row r="291" spans="1:5" x14ac:dyDescent="0.2">
      <c r="A291" s="235">
        <v>112621</v>
      </c>
      <c r="B291" s="236" t="s">
        <v>305</v>
      </c>
      <c r="C291" s="236" t="s">
        <v>5</v>
      </c>
      <c r="D291" s="126">
        <v>0</v>
      </c>
      <c r="E291" s="236" t="s">
        <v>1234</v>
      </c>
    </row>
    <row r="292" spans="1:5" x14ac:dyDescent="0.2">
      <c r="A292" s="235">
        <v>112625</v>
      </c>
      <c r="B292" s="236" t="s">
        <v>306</v>
      </c>
      <c r="C292" s="236" t="s">
        <v>15</v>
      </c>
      <c r="D292" s="126">
        <v>0</v>
      </c>
      <c r="E292" s="236" t="s">
        <v>1234</v>
      </c>
    </row>
    <row r="293" spans="1:5" x14ac:dyDescent="0.2">
      <c r="A293" s="235">
        <v>112626</v>
      </c>
      <c r="B293" s="236" t="s">
        <v>307</v>
      </c>
      <c r="C293" s="236" t="s">
        <v>5</v>
      </c>
      <c r="D293" s="126">
        <v>0</v>
      </c>
      <c r="E293" s="236" t="s">
        <v>1234</v>
      </c>
    </row>
    <row r="294" spans="1:5" x14ac:dyDescent="0.2">
      <c r="A294" s="235">
        <v>112628</v>
      </c>
      <c r="B294" s="236" t="s">
        <v>308</v>
      </c>
      <c r="C294" s="236" t="s">
        <v>5</v>
      </c>
      <c r="D294" s="126">
        <v>0</v>
      </c>
      <c r="E294" s="236" t="s">
        <v>1234</v>
      </c>
    </row>
    <row r="295" spans="1:5" x14ac:dyDescent="0.2">
      <c r="A295" s="235">
        <v>112629</v>
      </c>
      <c r="B295" s="236" t="s">
        <v>309</v>
      </c>
      <c r="C295" s="236" t="s">
        <v>2</v>
      </c>
      <c r="D295" s="126">
        <v>0</v>
      </c>
      <c r="E295" s="236" t="s">
        <v>1234</v>
      </c>
    </row>
    <row r="296" spans="1:5" x14ac:dyDescent="0.2">
      <c r="A296" s="235">
        <v>112630</v>
      </c>
      <c r="B296" s="236" t="s">
        <v>310</v>
      </c>
      <c r="C296" s="236" t="s">
        <v>5</v>
      </c>
      <c r="D296" s="126">
        <v>0</v>
      </c>
      <c r="E296" s="236" t="s">
        <v>1234</v>
      </c>
    </row>
    <row r="297" spans="1:5" x14ac:dyDescent="0.2">
      <c r="A297" s="235">
        <v>112632</v>
      </c>
      <c r="B297" s="236" t="s">
        <v>311</v>
      </c>
      <c r="C297" s="236" t="s">
        <v>2</v>
      </c>
      <c r="D297" s="126">
        <v>0</v>
      </c>
      <c r="E297" s="236" t="s">
        <v>1235</v>
      </c>
    </row>
    <row r="298" spans="1:5" x14ac:dyDescent="0.2">
      <c r="A298" s="235">
        <v>112634</v>
      </c>
      <c r="B298" s="236" t="s">
        <v>312</v>
      </c>
      <c r="C298" s="236" t="s">
        <v>2</v>
      </c>
      <c r="D298" s="126">
        <v>0</v>
      </c>
      <c r="E298" s="236" t="s">
        <v>1234</v>
      </c>
    </row>
    <row r="299" spans="1:5" x14ac:dyDescent="0.2">
      <c r="A299" s="235">
        <v>112635</v>
      </c>
      <c r="B299" s="236" t="s">
        <v>313</v>
      </c>
      <c r="C299" s="236" t="s">
        <v>2</v>
      </c>
      <c r="D299" s="126">
        <v>0</v>
      </c>
      <c r="E299" s="236" t="s">
        <v>1234</v>
      </c>
    </row>
    <row r="300" spans="1:5" x14ac:dyDescent="0.2">
      <c r="A300" s="235">
        <v>112638</v>
      </c>
      <c r="B300" s="236" t="s">
        <v>314</v>
      </c>
      <c r="C300" s="236" t="s">
        <v>5</v>
      </c>
      <c r="D300" s="126">
        <v>0</v>
      </c>
      <c r="E300" s="236" t="s">
        <v>1234</v>
      </c>
    </row>
    <row r="301" spans="1:5" x14ac:dyDescent="0.2">
      <c r="A301" s="235">
        <v>112639</v>
      </c>
      <c r="B301" s="236" t="s">
        <v>210</v>
      </c>
      <c r="C301" s="236" t="s">
        <v>2</v>
      </c>
      <c r="D301" s="126">
        <v>0</v>
      </c>
      <c r="E301" s="236" t="s">
        <v>1234</v>
      </c>
    </row>
    <row r="302" spans="1:5" x14ac:dyDescent="0.2">
      <c r="A302" s="235">
        <v>112640</v>
      </c>
      <c r="B302" s="236" t="s">
        <v>315</v>
      </c>
      <c r="C302" s="236" t="s">
        <v>1449</v>
      </c>
      <c r="D302" s="126">
        <v>0</v>
      </c>
      <c r="E302" s="236" t="s">
        <v>1234</v>
      </c>
    </row>
    <row r="303" spans="1:5" x14ac:dyDescent="0.2">
      <c r="A303" s="235">
        <v>112641</v>
      </c>
      <c r="B303" s="236" t="s">
        <v>316</v>
      </c>
      <c r="C303" s="236" t="s">
        <v>2</v>
      </c>
      <c r="D303" s="126">
        <v>0</v>
      </c>
      <c r="E303" s="236" t="s">
        <v>1235</v>
      </c>
    </row>
    <row r="304" spans="1:5" x14ac:dyDescent="0.2">
      <c r="A304" s="235">
        <v>112643</v>
      </c>
      <c r="B304" s="236" t="s">
        <v>317</v>
      </c>
      <c r="C304" s="236" t="s">
        <v>146</v>
      </c>
      <c r="D304" s="126">
        <v>0</v>
      </c>
      <c r="E304" s="236" t="s">
        <v>1234</v>
      </c>
    </row>
    <row r="305" spans="1:5" x14ac:dyDescent="0.2">
      <c r="A305" s="235">
        <v>112646</v>
      </c>
      <c r="B305" s="236" t="s">
        <v>318</v>
      </c>
      <c r="C305" s="236" t="s">
        <v>5</v>
      </c>
      <c r="D305" s="126">
        <v>0</v>
      </c>
      <c r="E305" s="236" t="s">
        <v>1235</v>
      </c>
    </row>
    <row r="306" spans="1:5" x14ac:dyDescent="0.2">
      <c r="A306" s="235">
        <v>112649</v>
      </c>
      <c r="B306" s="236" t="s">
        <v>319</v>
      </c>
      <c r="C306" s="236" t="s">
        <v>2</v>
      </c>
      <c r="D306" s="126">
        <v>0</v>
      </c>
      <c r="E306" s="236" t="s">
        <v>1234</v>
      </c>
    </row>
    <row r="307" spans="1:5" x14ac:dyDescent="0.2">
      <c r="A307" s="235">
        <v>112650</v>
      </c>
      <c r="B307" s="236" t="s">
        <v>320</v>
      </c>
      <c r="C307" s="236" t="s">
        <v>2</v>
      </c>
      <c r="D307" s="126">
        <v>0</v>
      </c>
      <c r="E307" s="236" t="s">
        <v>1234</v>
      </c>
    </row>
    <row r="308" spans="1:5" x14ac:dyDescent="0.2">
      <c r="A308" s="235">
        <v>112652</v>
      </c>
      <c r="B308" s="236" t="s">
        <v>321</v>
      </c>
      <c r="C308" s="236" t="s">
        <v>5</v>
      </c>
      <c r="D308" s="126">
        <v>0</v>
      </c>
      <c r="E308" s="236" t="s">
        <v>1234</v>
      </c>
    </row>
    <row r="309" spans="1:5" x14ac:dyDescent="0.2">
      <c r="A309" s="235">
        <v>112654</v>
      </c>
      <c r="B309" s="236" t="s">
        <v>322</v>
      </c>
      <c r="C309" s="236" t="s">
        <v>15</v>
      </c>
      <c r="D309" s="126">
        <v>0</v>
      </c>
      <c r="E309" s="236" t="s">
        <v>1235</v>
      </c>
    </row>
    <row r="310" spans="1:5" x14ac:dyDescent="0.2">
      <c r="A310" s="235">
        <v>112656</v>
      </c>
      <c r="B310" s="236" t="s">
        <v>323</v>
      </c>
      <c r="C310" s="236" t="s">
        <v>22</v>
      </c>
      <c r="D310" s="126">
        <v>0</v>
      </c>
      <c r="E310" s="236" t="s">
        <v>1234</v>
      </c>
    </row>
    <row r="311" spans="1:5" x14ac:dyDescent="0.2">
      <c r="A311" s="235">
        <v>112658</v>
      </c>
      <c r="B311" s="236" t="s">
        <v>324</v>
      </c>
      <c r="C311" s="236" t="s">
        <v>15</v>
      </c>
      <c r="D311" s="126">
        <v>0</v>
      </c>
      <c r="E311" s="236" t="s">
        <v>1235</v>
      </c>
    </row>
    <row r="312" spans="1:5" x14ac:dyDescent="0.2">
      <c r="A312" s="235">
        <v>112659</v>
      </c>
      <c r="B312" s="236" t="s">
        <v>325</v>
      </c>
      <c r="C312" s="236" t="s">
        <v>2</v>
      </c>
      <c r="D312" s="126">
        <v>0</v>
      </c>
      <c r="E312" s="236" t="s">
        <v>1234</v>
      </c>
    </row>
    <row r="313" spans="1:5" x14ac:dyDescent="0.2">
      <c r="A313" s="235">
        <v>112661</v>
      </c>
      <c r="B313" s="236" t="s">
        <v>326</v>
      </c>
      <c r="C313" s="236" t="s">
        <v>282</v>
      </c>
      <c r="D313" s="126">
        <v>0</v>
      </c>
      <c r="E313" s="236" t="s">
        <v>1234</v>
      </c>
    </row>
    <row r="314" spans="1:5" x14ac:dyDescent="0.2">
      <c r="A314" s="235">
        <v>112664</v>
      </c>
      <c r="B314" s="236" t="s">
        <v>327</v>
      </c>
      <c r="C314" s="236" t="s">
        <v>2</v>
      </c>
      <c r="D314" s="126">
        <v>1</v>
      </c>
      <c r="E314" s="236" t="s">
        <v>1234</v>
      </c>
    </row>
    <row r="315" spans="1:5" x14ac:dyDescent="0.2">
      <c r="A315" s="235">
        <v>112666</v>
      </c>
      <c r="B315" s="236" t="s">
        <v>328</v>
      </c>
      <c r="C315" s="236" t="s">
        <v>282</v>
      </c>
      <c r="D315" s="126">
        <v>0</v>
      </c>
      <c r="E315" s="236" t="s">
        <v>1234</v>
      </c>
    </row>
    <row r="316" spans="1:5" x14ac:dyDescent="0.2">
      <c r="A316" s="235">
        <v>112667</v>
      </c>
      <c r="B316" s="236" t="s">
        <v>329</v>
      </c>
      <c r="C316" s="236" t="s">
        <v>139</v>
      </c>
      <c r="D316" s="126">
        <v>0</v>
      </c>
      <c r="E316" s="236" t="s">
        <v>1234</v>
      </c>
    </row>
    <row r="317" spans="1:5" x14ac:dyDescent="0.2">
      <c r="A317" s="235">
        <v>112668</v>
      </c>
      <c r="B317" s="236" t="s">
        <v>330</v>
      </c>
      <c r="C317" s="236" t="s">
        <v>2</v>
      </c>
      <c r="D317" s="126">
        <v>0</v>
      </c>
      <c r="E317" s="236" t="s">
        <v>1234</v>
      </c>
    </row>
    <row r="318" spans="1:5" x14ac:dyDescent="0.2">
      <c r="A318" s="235">
        <v>112669</v>
      </c>
      <c r="B318" s="236" t="s">
        <v>331</v>
      </c>
      <c r="C318" s="236" t="s">
        <v>2</v>
      </c>
      <c r="D318" s="126">
        <v>0</v>
      </c>
      <c r="E318" s="236" t="s">
        <v>1234</v>
      </c>
    </row>
    <row r="319" spans="1:5" x14ac:dyDescent="0.2">
      <c r="A319" s="235">
        <v>112674</v>
      </c>
      <c r="B319" s="236" t="s">
        <v>332</v>
      </c>
      <c r="C319" s="236" t="s">
        <v>2</v>
      </c>
      <c r="D319" s="126">
        <v>0</v>
      </c>
      <c r="E319" s="236" t="s">
        <v>1234</v>
      </c>
    </row>
    <row r="320" spans="1:5" x14ac:dyDescent="0.2">
      <c r="A320" s="235">
        <v>112675</v>
      </c>
      <c r="B320" s="236" t="s">
        <v>333</v>
      </c>
      <c r="C320" s="236" t="s">
        <v>2</v>
      </c>
      <c r="D320" s="126">
        <v>0</v>
      </c>
      <c r="E320" s="236" t="s">
        <v>1234</v>
      </c>
    </row>
    <row r="321" spans="1:5" x14ac:dyDescent="0.2">
      <c r="A321" s="235">
        <v>112677</v>
      </c>
      <c r="B321" s="236" t="s">
        <v>334</v>
      </c>
      <c r="C321" s="236" t="s">
        <v>15</v>
      </c>
      <c r="D321" s="126">
        <v>0</v>
      </c>
      <c r="E321" s="236" t="s">
        <v>1234</v>
      </c>
    </row>
    <row r="322" spans="1:5" x14ac:dyDescent="0.2">
      <c r="A322" s="235">
        <v>112678</v>
      </c>
      <c r="B322" s="236" t="s">
        <v>335</v>
      </c>
      <c r="C322" s="236" t="s">
        <v>5</v>
      </c>
      <c r="D322" s="126">
        <v>0</v>
      </c>
      <c r="E322" s="236" t="s">
        <v>1234</v>
      </c>
    </row>
    <row r="323" spans="1:5" x14ac:dyDescent="0.2">
      <c r="A323" s="235">
        <v>112680</v>
      </c>
      <c r="B323" s="236" t="s">
        <v>336</v>
      </c>
      <c r="C323" s="236" t="s">
        <v>146</v>
      </c>
      <c r="D323" s="126">
        <v>0</v>
      </c>
      <c r="E323" s="236" t="s">
        <v>1234</v>
      </c>
    </row>
    <row r="324" spans="1:5" x14ac:dyDescent="0.2">
      <c r="A324" s="235">
        <v>112681</v>
      </c>
      <c r="B324" s="236" t="s">
        <v>337</v>
      </c>
      <c r="C324" s="236" t="s">
        <v>2</v>
      </c>
      <c r="D324" s="126">
        <v>0</v>
      </c>
      <c r="E324" s="236" t="s">
        <v>1235</v>
      </c>
    </row>
    <row r="325" spans="1:5" x14ac:dyDescent="0.2">
      <c r="A325" s="235">
        <v>112682</v>
      </c>
      <c r="B325" s="236" t="s">
        <v>338</v>
      </c>
      <c r="C325" s="236" t="s">
        <v>5</v>
      </c>
      <c r="D325" s="126">
        <v>0</v>
      </c>
      <c r="E325" s="236" t="s">
        <v>1234</v>
      </c>
    </row>
    <row r="326" spans="1:5" x14ac:dyDescent="0.2">
      <c r="A326" s="235">
        <v>112683</v>
      </c>
      <c r="B326" s="236" t="s">
        <v>339</v>
      </c>
      <c r="C326" s="236" t="s">
        <v>5</v>
      </c>
      <c r="D326" s="126">
        <v>0</v>
      </c>
      <c r="E326" s="236" t="s">
        <v>1234</v>
      </c>
    </row>
    <row r="327" spans="1:5" x14ac:dyDescent="0.2">
      <c r="A327" s="235">
        <v>112684</v>
      </c>
      <c r="B327" s="236" t="s">
        <v>340</v>
      </c>
      <c r="C327" s="236" t="s">
        <v>2</v>
      </c>
      <c r="D327" s="126">
        <v>0</v>
      </c>
      <c r="E327" s="236" t="s">
        <v>1234</v>
      </c>
    </row>
    <row r="328" spans="1:5" x14ac:dyDescent="0.2">
      <c r="A328" s="235">
        <v>112685</v>
      </c>
      <c r="B328" s="236" t="s">
        <v>341</v>
      </c>
      <c r="C328" s="236" t="s">
        <v>5</v>
      </c>
      <c r="D328" s="126">
        <v>0</v>
      </c>
      <c r="E328" s="236" t="s">
        <v>1234</v>
      </c>
    </row>
    <row r="329" spans="1:5" x14ac:dyDescent="0.2">
      <c r="A329" s="235">
        <v>112686</v>
      </c>
      <c r="B329" s="236" t="s">
        <v>342</v>
      </c>
      <c r="C329" s="236" t="s">
        <v>22</v>
      </c>
      <c r="D329" s="126">
        <v>0</v>
      </c>
      <c r="E329" s="236" t="s">
        <v>1234</v>
      </c>
    </row>
    <row r="330" spans="1:5" x14ac:dyDescent="0.2">
      <c r="A330" s="235">
        <v>112687</v>
      </c>
      <c r="B330" s="236" t="s">
        <v>343</v>
      </c>
      <c r="C330" s="236" t="s">
        <v>2</v>
      </c>
      <c r="D330" s="126">
        <v>0</v>
      </c>
      <c r="E330" s="236" t="s">
        <v>1234</v>
      </c>
    </row>
    <row r="331" spans="1:5" x14ac:dyDescent="0.2">
      <c r="A331" s="235">
        <v>112690</v>
      </c>
      <c r="B331" s="236" t="s">
        <v>1552</v>
      </c>
      <c r="C331" s="236" t="s">
        <v>5</v>
      </c>
      <c r="D331" s="126">
        <v>0</v>
      </c>
      <c r="E331" s="236" t="s">
        <v>1234</v>
      </c>
    </row>
    <row r="332" spans="1:5" x14ac:dyDescent="0.2">
      <c r="A332" s="235">
        <v>112691</v>
      </c>
      <c r="B332" s="236" t="s">
        <v>344</v>
      </c>
      <c r="C332" s="236" t="s">
        <v>22</v>
      </c>
      <c r="D332" s="126">
        <v>0</v>
      </c>
      <c r="E332" s="236" t="s">
        <v>1234</v>
      </c>
    </row>
    <row r="333" spans="1:5" x14ac:dyDescent="0.2">
      <c r="A333" s="235">
        <v>112692</v>
      </c>
      <c r="B333" s="236" t="s">
        <v>345</v>
      </c>
      <c r="C333" s="236" t="s">
        <v>2</v>
      </c>
      <c r="D333" s="126">
        <v>0</v>
      </c>
      <c r="E333" s="236" t="s">
        <v>1234</v>
      </c>
    </row>
    <row r="334" spans="1:5" x14ac:dyDescent="0.2">
      <c r="A334" s="235">
        <v>112693</v>
      </c>
      <c r="B334" s="236" t="s">
        <v>346</v>
      </c>
      <c r="C334" s="236" t="s">
        <v>2</v>
      </c>
      <c r="D334" s="126">
        <v>0</v>
      </c>
      <c r="E334" s="236" t="s">
        <v>1234</v>
      </c>
    </row>
    <row r="335" spans="1:5" x14ac:dyDescent="0.2">
      <c r="A335" s="235">
        <v>112694</v>
      </c>
      <c r="B335" s="236" t="s">
        <v>347</v>
      </c>
      <c r="C335" s="236" t="s">
        <v>39</v>
      </c>
      <c r="D335" s="126">
        <v>0</v>
      </c>
      <c r="E335" s="236" t="s">
        <v>1234</v>
      </c>
    </row>
    <row r="336" spans="1:5" x14ac:dyDescent="0.2">
      <c r="A336" s="235">
        <v>112697</v>
      </c>
      <c r="B336" s="236" t="s">
        <v>348</v>
      </c>
      <c r="C336" s="236" t="s">
        <v>2</v>
      </c>
      <c r="D336" s="126">
        <v>0</v>
      </c>
      <c r="E336" s="236" t="s">
        <v>1234</v>
      </c>
    </row>
    <row r="337" spans="1:5" x14ac:dyDescent="0.2">
      <c r="A337" s="235">
        <v>112698</v>
      </c>
      <c r="B337" s="236" t="s">
        <v>349</v>
      </c>
      <c r="C337" s="236" t="s">
        <v>2</v>
      </c>
      <c r="D337" s="126">
        <v>0</v>
      </c>
      <c r="E337" s="236" t="s">
        <v>1234</v>
      </c>
    </row>
    <row r="338" spans="1:5" x14ac:dyDescent="0.2">
      <c r="A338" s="235">
        <v>112699</v>
      </c>
      <c r="B338" s="236" t="s">
        <v>351</v>
      </c>
      <c r="C338" s="236" t="s">
        <v>2</v>
      </c>
      <c r="D338" s="126">
        <v>0</v>
      </c>
      <c r="E338" s="236" t="s">
        <v>1234</v>
      </c>
    </row>
    <row r="339" spans="1:5" x14ac:dyDescent="0.2">
      <c r="A339" s="235">
        <v>112700</v>
      </c>
      <c r="B339" s="236" t="s">
        <v>352</v>
      </c>
      <c r="C339" s="236" t="s">
        <v>2</v>
      </c>
      <c r="D339" s="126">
        <v>0</v>
      </c>
      <c r="E339" s="236" t="s">
        <v>1234</v>
      </c>
    </row>
    <row r="340" spans="1:5" x14ac:dyDescent="0.2">
      <c r="A340" s="235">
        <v>112703</v>
      </c>
      <c r="B340" s="236" t="s">
        <v>353</v>
      </c>
      <c r="C340" s="236" t="s">
        <v>2</v>
      </c>
      <c r="D340" s="126">
        <v>0</v>
      </c>
      <c r="E340" s="236" t="s">
        <v>1234</v>
      </c>
    </row>
    <row r="341" spans="1:5" x14ac:dyDescent="0.2">
      <c r="A341" s="235">
        <v>112704</v>
      </c>
      <c r="B341" s="236" t="s">
        <v>354</v>
      </c>
      <c r="C341" s="236" t="s">
        <v>22</v>
      </c>
      <c r="D341" s="126">
        <v>0</v>
      </c>
      <c r="E341" s="236" t="s">
        <v>1234</v>
      </c>
    </row>
    <row r="342" spans="1:5" x14ac:dyDescent="0.2">
      <c r="A342" s="235">
        <v>112706</v>
      </c>
      <c r="B342" s="236" t="s">
        <v>355</v>
      </c>
      <c r="C342" s="236" t="s">
        <v>2</v>
      </c>
      <c r="D342" s="126">
        <v>0</v>
      </c>
      <c r="E342" s="236" t="s">
        <v>1234</v>
      </c>
    </row>
    <row r="343" spans="1:5" x14ac:dyDescent="0.2">
      <c r="A343" s="235">
        <v>112707</v>
      </c>
      <c r="B343" s="236" t="s">
        <v>357</v>
      </c>
      <c r="C343" s="236" t="s">
        <v>22</v>
      </c>
      <c r="D343" s="126">
        <v>0</v>
      </c>
      <c r="E343" s="236" t="s">
        <v>1234</v>
      </c>
    </row>
    <row r="344" spans="1:5" x14ac:dyDescent="0.2">
      <c r="A344" s="235">
        <v>112709</v>
      </c>
      <c r="B344" s="236" t="s">
        <v>1534</v>
      </c>
      <c r="C344" s="236" t="s">
        <v>15</v>
      </c>
      <c r="D344" s="126">
        <v>0</v>
      </c>
      <c r="E344" s="236" t="s">
        <v>1234</v>
      </c>
    </row>
    <row r="345" spans="1:5" x14ac:dyDescent="0.2">
      <c r="A345" s="235">
        <v>112713</v>
      </c>
      <c r="B345" s="236" t="s">
        <v>358</v>
      </c>
      <c r="C345" s="236" t="s">
        <v>282</v>
      </c>
      <c r="D345" s="126">
        <v>0</v>
      </c>
      <c r="E345" s="236" t="s">
        <v>1234</v>
      </c>
    </row>
    <row r="346" spans="1:5" x14ac:dyDescent="0.2">
      <c r="A346" s="235">
        <v>112714</v>
      </c>
      <c r="B346" s="236" t="s">
        <v>359</v>
      </c>
      <c r="C346" s="236" t="s">
        <v>2</v>
      </c>
      <c r="D346" s="126">
        <v>0</v>
      </c>
      <c r="E346" s="236" t="s">
        <v>1234</v>
      </c>
    </row>
    <row r="347" spans="1:5" x14ac:dyDescent="0.2">
      <c r="A347" s="235">
        <v>112716</v>
      </c>
      <c r="B347" s="236" t="s">
        <v>360</v>
      </c>
      <c r="C347" s="236" t="s">
        <v>2</v>
      </c>
      <c r="D347" s="126">
        <v>0</v>
      </c>
      <c r="E347" s="236" t="s">
        <v>1234</v>
      </c>
    </row>
    <row r="348" spans="1:5" x14ac:dyDescent="0.2">
      <c r="A348" s="235">
        <v>112717</v>
      </c>
      <c r="B348" s="236" t="s">
        <v>361</v>
      </c>
      <c r="C348" s="236" t="s">
        <v>22</v>
      </c>
      <c r="D348" s="126">
        <v>0</v>
      </c>
      <c r="E348" s="236" t="s">
        <v>1234</v>
      </c>
    </row>
    <row r="349" spans="1:5" x14ac:dyDescent="0.2">
      <c r="A349" s="235">
        <v>112718</v>
      </c>
      <c r="B349" s="236" t="s">
        <v>362</v>
      </c>
      <c r="C349" s="236" t="s">
        <v>2</v>
      </c>
      <c r="D349" s="126">
        <v>0</v>
      </c>
      <c r="E349" s="236" t="s">
        <v>1234</v>
      </c>
    </row>
    <row r="350" spans="1:5" x14ac:dyDescent="0.2">
      <c r="A350" s="235">
        <v>112719</v>
      </c>
      <c r="B350" s="236" t="s">
        <v>363</v>
      </c>
      <c r="C350" s="236" t="s">
        <v>15</v>
      </c>
      <c r="D350" s="126">
        <v>0</v>
      </c>
      <c r="E350" s="236" t="s">
        <v>1234</v>
      </c>
    </row>
    <row r="351" spans="1:5" x14ac:dyDescent="0.2">
      <c r="A351" s="235">
        <v>112720</v>
      </c>
      <c r="B351" s="236" t="s">
        <v>364</v>
      </c>
      <c r="C351" s="236" t="s">
        <v>2</v>
      </c>
      <c r="D351" s="126">
        <v>0</v>
      </c>
      <c r="E351" s="236" t="s">
        <v>1234</v>
      </c>
    </row>
    <row r="352" spans="1:5" x14ac:dyDescent="0.2">
      <c r="A352" s="235">
        <v>112722</v>
      </c>
      <c r="B352" s="236" t="s">
        <v>365</v>
      </c>
      <c r="C352" s="236" t="s">
        <v>5</v>
      </c>
      <c r="D352" s="126">
        <v>0</v>
      </c>
      <c r="E352" s="236" t="s">
        <v>1234</v>
      </c>
    </row>
    <row r="353" spans="1:5" x14ac:dyDescent="0.2">
      <c r="A353" s="235">
        <v>112724</v>
      </c>
      <c r="B353" s="236" t="s">
        <v>366</v>
      </c>
      <c r="C353" s="236" t="s">
        <v>5</v>
      </c>
      <c r="D353" s="126">
        <v>0</v>
      </c>
      <c r="E353" s="236" t="s">
        <v>1234</v>
      </c>
    </row>
    <row r="354" spans="1:5" x14ac:dyDescent="0.2">
      <c r="A354" s="235">
        <v>112725</v>
      </c>
      <c r="B354" s="236" t="s">
        <v>367</v>
      </c>
      <c r="C354" s="236" t="s">
        <v>39</v>
      </c>
      <c r="D354" s="126">
        <v>0</v>
      </c>
      <c r="E354" s="236" t="s">
        <v>1235</v>
      </c>
    </row>
    <row r="355" spans="1:5" x14ac:dyDescent="0.2">
      <c r="A355" s="235">
        <v>112726</v>
      </c>
      <c r="B355" s="236" t="s">
        <v>368</v>
      </c>
      <c r="C355" s="236" t="s">
        <v>22</v>
      </c>
      <c r="D355" s="126">
        <v>0</v>
      </c>
      <c r="E355" s="236" t="s">
        <v>1234</v>
      </c>
    </row>
    <row r="356" spans="1:5" x14ac:dyDescent="0.2">
      <c r="A356" s="235">
        <v>112727</v>
      </c>
      <c r="B356" s="236" t="s">
        <v>369</v>
      </c>
      <c r="C356" s="236" t="s">
        <v>2</v>
      </c>
      <c r="D356" s="126">
        <v>0</v>
      </c>
      <c r="E356" s="236" t="s">
        <v>1234</v>
      </c>
    </row>
    <row r="357" spans="1:5" x14ac:dyDescent="0.2">
      <c r="A357" s="235">
        <v>112730</v>
      </c>
      <c r="B357" s="236" t="s">
        <v>370</v>
      </c>
      <c r="C357" s="236" t="s">
        <v>5</v>
      </c>
      <c r="D357" s="126">
        <v>0</v>
      </c>
      <c r="E357" s="236" t="s">
        <v>1234</v>
      </c>
    </row>
    <row r="358" spans="1:5" x14ac:dyDescent="0.2">
      <c r="A358" s="235">
        <v>112731</v>
      </c>
      <c r="B358" s="236" t="s">
        <v>371</v>
      </c>
      <c r="C358" s="236" t="s">
        <v>2</v>
      </c>
      <c r="D358" s="126">
        <v>0</v>
      </c>
      <c r="E358" s="236" t="s">
        <v>1234</v>
      </c>
    </row>
    <row r="359" spans="1:5" x14ac:dyDescent="0.2">
      <c r="A359" s="235">
        <v>112732</v>
      </c>
      <c r="B359" s="236" t="s">
        <v>372</v>
      </c>
      <c r="C359" s="236" t="s">
        <v>5</v>
      </c>
      <c r="D359" s="126">
        <v>0</v>
      </c>
      <c r="E359" s="236" t="s">
        <v>1234</v>
      </c>
    </row>
    <row r="360" spans="1:5" x14ac:dyDescent="0.2">
      <c r="A360" s="235">
        <v>112733</v>
      </c>
      <c r="B360" s="236" t="s">
        <v>373</v>
      </c>
      <c r="C360" s="236" t="s">
        <v>15</v>
      </c>
      <c r="D360" s="126">
        <v>0</v>
      </c>
      <c r="E360" s="236" t="s">
        <v>1235</v>
      </c>
    </row>
    <row r="361" spans="1:5" x14ac:dyDescent="0.2">
      <c r="A361" s="235">
        <v>112737</v>
      </c>
      <c r="B361" s="236" t="s">
        <v>375</v>
      </c>
      <c r="C361" s="236" t="s">
        <v>2</v>
      </c>
      <c r="D361" s="126">
        <v>0</v>
      </c>
      <c r="E361" s="236" t="s">
        <v>1234</v>
      </c>
    </row>
    <row r="362" spans="1:5" x14ac:dyDescent="0.2">
      <c r="A362" s="235">
        <v>112741</v>
      </c>
      <c r="B362" s="236" t="s">
        <v>376</v>
      </c>
      <c r="C362" s="236" t="s">
        <v>2</v>
      </c>
      <c r="D362" s="126">
        <v>0</v>
      </c>
      <c r="E362" s="236" t="s">
        <v>1234</v>
      </c>
    </row>
    <row r="363" spans="1:5" x14ac:dyDescent="0.2">
      <c r="A363" s="235">
        <v>112742</v>
      </c>
      <c r="B363" s="236" t="s">
        <v>377</v>
      </c>
      <c r="C363" s="236" t="s">
        <v>146</v>
      </c>
      <c r="D363" s="126">
        <v>0</v>
      </c>
      <c r="E363" s="236" t="s">
        <v>1234</v>
      </c>
    </row>
    <row r="364" spans="1:5" x14ac:dyDescent="0.2">
      <c r="A364" s="235">
        <v>112744</v>
      </c>
      <c r="B364" s="236" t="s">
        <v>379</v>
      </c>
      <c r="C364" s="236" t="s">
        <v>39</v>
      </c>
      <c r="D364" s="126">
        <v>0</v>
      </c>
      <c r="E364" s="236" t="s">
        <v>1234</v>
      </c>
    </row>
    <row r="365" spans="1:5" x14ac:dyDescent="0.2">
      <c r="A365" s="235">
        <v>112745</v>
      </c>
      <c r="B365" s="236" t="s">
        <v>380</v>
      </c>
      <c r="C365" s="236" t="s">
        <v>139</v>
      </c>
      <c r="D365" s="126">
        <v>0</v>
      </c>
      <c r="E365" s="236" t="s">
        <v>1234</v>
      </c>
    </row>
    <row r="366" spans="1:5" x14ac:dyDescent="0.2">
      <c r="A366" s="235">
        <v>112747</v>
      </c>
      <c r="B366" s="236" t="s">
        <v>381</v>
      </c>
      <c r="C366" s="236" t="s">
        <v>22</v>
      </c>
      <c r="D366" s="126">
        <v>0</v>
      </c>
      <c r="E366" s="236" t="s">
        <v>1234</v>
      </c>
    </row>
    <row r="367" spans="1:5" x14ac:dyDescent="0.2">
      <c r="A367" s="235">
        <v>112748</v>
      </c>
      <c r="B367" s="236" t="s">
        <v>382</v>
      </c>
      <c r="C367" s="236" t="s">
        <v>5</v>
      </c>
      <c r="D367" s="126">
        <v>0</v>
      </c>
      <c r="E367" s="236" t="s">
        <v>1234</v>
      </c>
    </row>
    <row r="368" spans="1:5" x14ac:dyDescent="0.2">
      <c r="A368" s="235">
        <v>112749</v>
      </c>
      <c r="B368" s="236" t="s">
        <v>383</v>
      </c>
      <c r="C368" s="236" t="s">
        <v>2</v>
      </c>
      <c r="D368" s="126">
        <v>0</v>
      </c>
      <c r="E368" s="236" t="s">
        <v>1234</v>
      </c>
    </row>
    <row r="369" spans="1:5" x14ac:dyDescent="0.2">
      <c r="A369" s="235">
        <v>112753</v>
      </c>
      <c r="B369" s="236" t="s">
        <v>384</v>
      </c>
      <c r="C369" s="236" t="s">
        <v>385</v>
      </c>
      <c r="D369" s="126">
        <v>0</v>
      </c>
      <c r="E369" s="236" t="s">
        <v>1234</v>
      </c>
    </row>
    <row r="370" spans="1:5" x14ac:dyDescent="0.2">
      <c r="A370" s="235">
        <v>112754</v>
      </c>
      <c r="B370" s="236" t="s">
        <v>386</v>
      </c>
      <c r="C370" s="236" t="s">
        <v>2</v>
      </c>
      <c r="D370" s="126">
        <v>0</v>
      </c>
      <c r="E370" s="236" t="s">
        <v>1234</v>
      </c>
    </row>
    <row r="371" spans="1:5" x14ac:dyDescent="0.2">
      <c r="A371" s="235">
        <v>112757</v>
      </c>
      <c r="B371" s="236" t="s">
        <v>387</v>
      </c>
      <c r="C371" s="236" t="s">
        <v>15</v>
      </c>
      <c r="D371" s="126">
        <v>0</v>
      </c>
      <c r="E371" s="236" t="s">
        <v>1234</v>
      </c>
    </row>
    <row r="372" spans="1:5" x14ac:dyDescent="0.2">
      <c r="A372" s="235">
        <v>112759</v>
      </c>
      <c r="B372" s="236" t="s">
        <v>388</v>
      </c>
      <c r="C372" s="236" t="s">
        <v>282</v>
      </c>
      <c r="D372" s="126">
        <v>0</v>
      </c>
      <c r="E372" s="236" t="s">
        <v>1234</v>
      </c>
    </row>
    <row r="373" spans="1:5" x14ac:dyDescent="0.2">
      <c r="A373" s="235">
        <v>112761</v>
      </c>
      <c r="B373" s="236" t="s">
        <v>389</v>
      </c>
      <c r="C373" s="236" t="s">
        <v>2</v>
      </c>
      <c r="D373" s="126">
        <v>0</v>
      </c>
      <c r="E373" s="236" t="s">
        <v>1234</v>
      </c>
    </row>
    <row r="374" spans="1:5" x14ac:dyDescent="0.2">
      <c r="A374" s="235">
        <v>112763</v>
      </c>
      <c r="B374" s="236" t="s">
        <v>390</v>
      </c>
      <c r="C374" s="236" t="s">
        <v>15</v>
      </c>
      <c r="D374" s="126">
        <v>0</v>
      </c>
      <c r="E374" s="236" t="s">
        <v>1234</v>
      </c>
    </row>
    <row r="375" spans="1:5" x14ac:dyDescent="0.2">
      <c r="A375" s="235">
        <v>112764</v>
      </c>
      <c r="B375" s="236" t="s">
        <v>391</v>
      </c>
      <c r="C375" s="236" t="s">
        <v>146</v>
      </c>
      <c r="D375" s="126">
        <v>0</v>
      </c>
      <c r="E375" s="236" t="s">
        <v>1234</v>
      </c>
    </row>
    <row r="376" spans="1:5" x14ac:dyDescent="0.2">
      <c r="A376" s="235">
        <v>112765</v>
      </c>
      <c r="B376" s="236" t="s">
        <v>392</v>
      </c>
      <c r="C376" s="236" t="s">
        <v>2</v>
      </c>
      <c r="D376" s="126">
        <v>0</v>
      </c>
      <c r="E376" s="236" t="s">
        <v>1234</v>
      </c>
    </row>
    <row r="377" spans="1:5" x14ac:dyDescent="0.2">
      <c r="A377" s="235">
        <v>112766</v>
      </c>
      <c r="B377" s="236" t="s">
        <v>393</v>
      </c>
      <c r="C377" s="236" t="s">
        <v>5</v>
      </c>
      <c r="D377" s="126">
        <v>1</v>
      </c>
      <c r="E377" s="236" t="s">
        <v>1234</v>
      </c>
    </row>
    <row r="378" spans="1:5" x14ac:dyDescent="0.2">
      <c r="A378" s="235">
        <v>112768</v>
      </c>
      <c r="B378" s="236" t="s">
        <v>395</v>
      </c>
      <c r="C378" s="236" t="s">
        <v>22</v>
      </c>
      <c r="D378" s="126">
        <v>0</v>
      </c>
      <c r="E378" s="236" t="s">
        <v>1234</v>
      </c>
    </row>
    <row r="379" spans="1:5" x14ac:dyDescent="0.2">
      <c r="A379" s="235">
        <v>112769</v>
      </c>
      <c r="B379" s="236" t="s">
        <v>396</v>
      </c>
      <c r="C379" s="236" t="s">
        <v>15</v>
      </c>
      <c r="D379" s="126">
        <v>0</v>
      </c>
      <c r="E379" s="236" t="s">
        <v>1234</v>
      </c>
    </row>
    <row r="380" spans="1:5" x14ac:dyDescent="0.2">
      <c r="A380" s="235">
        <v>112771</v>
      </c>
      <c r="B380" s="236" t="s">
        <v>397</v>
      </c>
      <c r="C380" s="236" t="s">
        <v>15</v>
      </c>
      <c r="D380" s="126">
        <v>0</v>
      </c>
      <c r="E380" s="236" t="s">
        <v>1234</v>
      </c>
    </row>
    <row r="381" spans="1:5" x14ac:dyDescent="0.2">
      <c r="A381" s="235">
        <v>112772</v>
      </c>
      <c r="B381" s="236" t="s">
        <v>398</v>
      </c>
      <c r="C381" s="236" t="s">
        <v>2</v>
      </c>
      <c r="D381" s="126">
        <v>0</v>
      </c>
      <c r="E381" s="236" t="s">
        <v>1234</v>
      </c>
    </row>
    <row r="382" spans="1:5" x14ac:dyDescent="0.2">
      <c r="A382" s="235">
        <v>112774</v>
      </c>
      <c r="B382" s="236" t="s">
        <v>399</v>
      </c>
      <c r="C382" s="236" t="s">
        <v>2</v>
      </c>
      <c r="D382" s="126">
        <v>0</v>
      </c>
      <c r="E382" s="236" t="s">
        <v>1234</v>
      </c>
    </row>
    <row r="383" spans="1:5" x14ac:dyDescent="0.2">
      <c r="A383" s="235">
        <v>112775</v>
      </c>
      <c r="B383" s="236" t="s">
        <v>400</v>
      </c>
      <c r="C383" s="236" t="s">
        <v>5</v>
      </c>
      <c r="D383" s="126">
        <v>0</v>
      </c>
      <c r="E383" s="236" t="s">
        <v>1234</v>
      </c>
    </row>
    <row r="384" spans="1:5" x14ac:dyDescent="0.2">
      <c r="A384" s="235">
        <v>112776</v>
      </c>
      <c r="B384" s="236" t="s">
        <v>401</v>
      </c>
      <c r="C384" s="236" t="s">
        <v>2</v>
      </c>
      <c r="D384" s="126">
        <v>0</v>
      </c>
      <c r="E384" s="236" t="s">
        <v>1234</v>
      </c>
    </row>
    <row r="385" spans="1:5" x14ac:dyDescent="0.2">
      <c r="A385" s="235">
        <v>112778</v>
      </c>
      <c r="B385" s="236" t="s">
        <v>402</v>
      </c>
      <c r="C385" s="236" t="s">
        <v>2</v>
      </c>
      <c r="D385" s="126">
        <v>0</v>
      </c>
      <c r="E385" s="236" t="s">
        <v>1234</v>
      </c>
    </row>
    <row r="386" spans="1:5" x14ac:dyDescent="0.2">
      <c r="A386" s="235">
        <v>112779</v>
      </c>
      <c r="B386" s="236" t="s">
        <v>403</v>
      </c>
      <c r="C386" s="236" t="s">
        <v>5</v>
      </c>
      <c r="D386" s="126">
        <v>0</v>
      </c>
      <c r="E386" s="236" t="s">
        <v>1235</v>
      </c>
    </row>
    <row r="387" spans="1:5" x14ac:dyDescent="0.2">
      <c r="A387" s="235">
        <v>112780</v>
      </c>
      <c r="B387" s="236" t="s">
        <v>404</v>
      </c>
      <c r="C387" s="236" t="s">
        <v>2</v>
      </c>
      <c r="D387" s="126">
        <v>0</v>
      </c>
      <c r="E387" s="236" t="s">
        <v>1234</v>
      </c>
    </row>
    <row r="388" spans="1:5" x14ac:dyDescent="0.2">
      <c r="A388" s="235">
        <v>112781</v>
      </c>
      <c r="B388" s="236" t="s">
        <v>405</v>
      </c>
      <c r="C388" s="236" t="s">
        <v>39</v>
      </c>
      <c r="D388" s="126">
        <v>0</v>
      </c>
      <c r="E388" s="236" t="s">
        <v>1234</v>
      </c>
    </row>
    <row r="389" spans="1:5" x14ac:dyDescent="0.2">
      <c r="A389" s="235">
        <v>112782</v>
      </c>
      <c r="B389" s="236" t="s">
        <v>406</v>
      </c>
      <c r="C389" s="236" t="s">
        <v>5</v>
      </c>
      <c r="D389" s="126">
        <v>0</v>
      </c>
      <c r="E389" s="236" t="s">
        <v>1234</v>
      </c>
    </row>
    <row r="390" spans="1:5" x14ac:dyDescent="0.2">
      <c r="A390" s="235">
        <v>112785</v>
      </c>
      <c r="B390" s="236" t="s">
        <v>408</v>
      </c>
      <c r="C390" s="236" t="s">
        <v>2</v>
      </c>
      <c r="D390" s="126">
        <v>0</v>
      </c>
      <c r="E390" s="236" t="s">
        <v>1234</v>
      </c>
    </row>
    <row r="391" spans="1:5" x14ac:dyDescent="0.2">
      <c r="A391" s="235">
        <v>112786</v>
      </c>
      <c r="B391" s="236" t="s">
        <v>409</v>
      </c>
      <c r="C391" s="236" t="s">
        <v>5</v>
      </c>
      <c r="D391" s="126">
        <v>0</v>
      </c>
      <c r="E391" s="236" t="s">
        <v>1234</v>
      </c>
    </row>
    <row r="392" spans="1:5" x14ac:dyDescent="0.2">
      <c r="A392" s="235">
        <v>112788</v>
      </c>
      <c r="B392" s="236" t="s">
        <v>410</v>
      </c>
      <c r="C392" s="236" t="s">
        <v>411</v>
      </c>
      <c r="D392" s="126">
        <v>0</v>
      </c>
      <c r="E392" s="236" t="s">
        <v>1234</v>
      </c>
    </row>
    <row r="393" spans="1:5" x14ac:dyDescent="0.2">
      <c r="A393" s="235">
        <v>112789</v>
      </c>
      <c r="B393" s="236" t="s">
        <v>412</v>
      </c>
      <c r="C393" s="236" t="s">
        <v>2</v>
      </c>
      <c r="D393" s="126">
        <v>0</v>
      </c>
      <c r="E393" s="236" t="s">
        <v>1234</v>
      </c>
    </row>
    <row r="394" spans="1:5" x14ac:dyDescent="0.2">
      <c r="A394" s="235">
        <v>112791</v>
      </c>
      <c r="B394" s="236" t="s">
        <v>1576</v>
      </c>
      <c r="C394" s="236" t="s">
        <v>2</v>
      </c>
      <c r="D394" s="126">
        <v>0</v>
      </c>
      <c r="E394" s="236" t="s">
        <v>1285</v>
      </c>
    </row>
    <row r="395" spans="1:5" x14ac:dyDescent="0.2">
      <c r="A395" s="235">
        <v>112793</v>
      </c>
      <c r="B395" s="236" t="s">
        <v>414</v>
      </c>
      <c r="C395" s="236" t="s">
        <v>2</v>
      </c>
      <c r="D395" s="126">
        <v>0</v>
      </c>
      <c r="E395" s="236" t="s">
        <v>1234</v>
      </c>
    </row>
    <row r="396" spans="1:5" x14ac:dyDescent="0.2">
      <c r="A396" s="235">
        <v>112795</v>
      </c>
      <c r="B396" s="236" t="s">
        <v>415</v>
      </c>
      <c r="C396" s="236" t="s">
        <v>416</v>
      </c>
      <c r="D396" s="126">
        <v>0</v>
      </c>
      <c r="E396" s="236" t="s">
        <v>1235</v>
      </c>
    </row>
    <row r="397" spans="1:5" x14ac:dyDescent="0.2">
      <c r="A397" s="235">
        <v>112797</v>
      </c>
      <c r="B397" s="236" t="s">
        <v>417</v>
      </c>
      <c r="C397" s="236" t="s">
        <v>2</v>
      </c>
      <c r="D397" s="126">
        <v>0</v>
      </c>
      <c r="E397" s="236" t="s">
        <v>1234</v>
      </c>
    </row>
    <row r="398" spans="1:5" x14ac:dyDescent="0.2">
      <c r="A398" s="235">
        <v>112798</v>
      </c>
      <c r="B398" s="236" t="s">
        <v>418</v>
      </c>
      <c r="C398" s="236" t="s">
        <v>2</v>
      </c>
      <c r="D398" s="126">
        <v>0</v>
      </c>
      <c r="E398" s="236" t="s">
        <v>1234</v>
      </c>
    </row>
    <row r="399" spans="1:5" x14ac:dyDescent="0.2">
      <c r="A399" s="235">
        <v>112799</v>
      </c>
      <c r="B399" s="236" t="s">
        <v>419</v>
      </c>
      <c r="C399" s="236" t="s">
        <v>5</v>
      </c>
      <c r="D399" s="126">
        <v>0</v>
      </c>
      <c r="E399" s="236" t="s">
        <v>1234</v>
      </c>
    </row>
    <row r="400" spans="1:5" x14ac:dyDescent="0.2">
      <c r="A400" s="235">
        <v>112801</v>
      </c>
      <c r="B400" s="236" t="s">
        <v>420</v>
      </c>
      <c r="C400" s="236" t="s">
        <v>413</v>
      </c>
      <c r="D400" s="126">
        <v>0</v>
      </c>
      <c r="E400" s="236" t="s">
        <v>1234</v>
      </c>
    </row>
    <row r="401" spans="1:5" x14ac:dyDescent="0.2">
      <c r="A401" s="235">
        <v>112802</v>
      </c>
      <c r="B401" s="236" t="s">
        <v>421</v>
      </c>
      <c r="C401" s="236" t="s">
        <v>15</v>
      </c>
      <c r="D401" s="126">
        <v>0</v>
      </c>
      <c r="E401" s="236" t="s">
        <v>1234</v>
      </c>
    </row>
    <row r="402" spans="1:5" x14ac:dyDescent="0.2">
      <c r="A402" s="235">
        <v>112803</v>
      </c>
      <c r="B402" s="236" t="s">
        <v>422</v>
      </c>
      <c r="C402" s="236" t="s">
        <v>2</v>
      </c>
      <c r="D402" s="126">
        <v>0</v>
      </c>
      <c r="E402" s="236" t="s">
        <v>1234</v>
      </c>
    </row>
    <row r="403" spans="1:5" x14ac:dyDescent="0.2">
      <c r="A403" s="235">
        <v>112804</v>
      </c>
      <c r="B403" s="236" t="s">
        <v>423</v>
      </c>
      <c r="C403" s="236" t="s">
        <v>2</v>
      </c>
      <c r="D403" s="126">
        <v>0</v>
      </c>
      <c r="E403" s="236" t="s">
        <v>1234</v>
      </c>
    </row>
    <row r="404" spans="1:5" x14ac:dyDescent="0.2">
      <c r="A404" s="235">
        <v>112805</v>
      </c>
      <c r="B404" s="236" t="s">
        <v>424</v>
      </c>
      <c r="C404" s="236" t="s">
        <v>425</v>
      </c>
      <c r="D404" s="126">
        <v>0</v>
      </c>
      <c r="E404" s="236" t="s">
        <v>1234</v>
      </c>
    </row>
    <row r="405" spans="1:5" x14ac:dyDescent="0.2">
      <c r="A405" s="235">
        <v>112809</v>
      </c>
      <c r="B405" s="236" t="s">
        <v>426</v>
      </c>
      <c r="C405" s="236" t="s">
        <v>5</v>
      </c>
      <c r="D405" s="126">
        <v>0</v>
      </c>
      <c r="E405" s="236" t="s">
        <v>1234</v>
      </c>
    </row>
    <row r="406" spans="1:5" x14ac:dyDescent="0.2">
      <c r="A406" s="235">
        <v>112810</v>
      </c>
      <c r="B406" s="236" t="s">
        <v>427</v>
      </c>
      <c r="C406" s="236" t="s">
        <v>2</v>
      </c>
      <c r="D406" s="126">
        <v>0</v>
      </c>
      <c r="E406" s="236" t="s">
        <v>1234</v>
      </c>
    </row>
    <row r="407" spans="1:5" x14ac:dyDescent="0.2">
      <c r="A407" s="235">
        <v>112811</v>
      </c>
      <c r="B407" s="236" t="s">
        <v>428</v>
      </c>
      <c r="C407" s="236" t="s">
        <v>15</v>
      </c>
      <c r="D407" s="126">
        <v>0</v>
      </c>
      <c r="E407" s="236" t="s">
        <v>1234</v>
      </c>
    </row>
    <row r="408" spans="1:5" x14ac:dyDescent="0.2">
      <c r="A408" s="235">
        <v>112812</v>
      </c>
      <c r="B408" s="236" t="s">
        <v>429</v>
      </c>
      <c r="C408" s="236" t="s">
        <v>146</v>
      </c>
      <c r="D408" s="126">
        <v>0</v>
      </c>
      <c r="E408" s="236" t="s">
        <v>1234</v>
      </c>
    </row>
    <row r="409" spans="1:5" x14ac:dyDescent="0.2">
      <c r="A409" s="235">
        <v>112813</v>
      </c>
      <c r="B409" s="236" t="s">
        <v>394</v>
      </c>
      <c r="C409" s="236" t="s">
        <v>5</v>
      </c>
      <c r="D409" s="126">
        <v>0</v>
      </c>
      <c r="E409" s="236" t="s">
        <v>1234</v>
      </c>
    </row>
    <row r="410" spans="1:5" x14ac:dyDescent="0.2">
      <c r="A410" s="235">
        <v>112814</v>
      </c>
      <c r="B410" s="236" t="s">
        <v>430</v>
      </c>
      <c r="C410" s="236" t="s">
        <v>2</v>
      </c>
      <c r="D410" s="126">
        <v>0</v>
      </c>
      <c r="E410" s="236" t="s">
        <v>1234</v>
      </c>
    </row>
    <row r="411" spans="1:5" x14ac:dyDescent="0.2">
      <c r="A411" s="235">
        <v>112815</v>
      </c>
      <c r="B411" s="236" t="s">
        <v>431</v>
      </c>
      <c r="C411" s="236" t="s">
        <v>5</v>
      </c>
      <c r="D411" s="126">
        <v>0</v>
      </c>
      <c r="E411" s="236" t="s">
        <v>1234</v>
      </c>
    </row>
    <row r="412" spans="1:5" x14ac:dyDescent="0.2">
      <c r="A412" s="235">
        <v>112816</v>
      </c>
      <c r="B412" s="236" t="s">
        <v>432</v>
      </c>
      <c r="C412" s="236" t="s">
        <v>22</v>
      </c>
      <c r="D412" s="126">
        <v>0</v>
      </c>
      <c r="E412" s="236" t="s">
        <v>1234</v>
      </c>
    </row>
    <row r="413" spans="1:5" x14ac:dyDescent="0.2">
      <c r="A413" s="235">
        <v>112818</v>
      </c>
      <c r="B413" s="236" t="s">
        <v>433</v>
      </c>
      <c r="C413" s="236" t="s">
        <v>146</v>
      </c>
      <c r="D413" s="126">
        <v>0</v>
      </c>
      <c r="E413" s="236" t="s">
        <v>1234</v>
      </c>
    </row>
    <row r="414" spans="1:5" x14ac:dyDescent="0.2">
      <c r="A414" s="235">
        <v>112820</v>
      </c>
      <c r="B414" s="236" t="s">
        <v>434</v>
      </c>
      <c r="C414" s="236" t="s">
        <v>22</v>
      </c>
      <c r="D414" s="126">
        <v>0</v>
      </c>
      <c r="E414" s="236" t="s">
        <v>1234</v>
      </c>
    </row>
    <row r="415" spans="1:5" x14ac:dyDescent="0.2">
      <c r="A415" s="235">
        <v>112821</v>
      </c>
      <c r="B415" s="236" t="s">
        <v>435</v>
      </c>
      <c r="C415" s="236" t="s">
        <v>15</v>
      </c>
      <c r="D415" s="126">
        <v>0</v>
      </c>
      <c r="E415" s="236" t="s">
        <v>1234</v>
      </c>
    </row>
    <row r="416" spans="1:5" x14ac:dyDescent="0.2">
      <c r="A416" s="235">
        <v>112823</v>
      </c>
      <c r="B416" s="236" t="s">
        <v>436</v>
      </c>
      <c r="C416" s="236" t="s">
        <v>2</v>
      </c>
      <c r="D416" s="126">
        <v>0</v>
      </c>
      <c r="E416" s="236" t="s">
        <v>1234</v>
      </c>
    </row>
    <row r="417" spans="1:5" x14ac:dyDescent="0.2">
      <c r="A417" s="235">
        <v>112824</v>
      </c>
      <c r="B417" s="236" t="s">
        <v>438</v>
      </c>
      <c r="C417" s="236" t="s">
        <v>2</v>
      </c>
      <c r="D417" s="126">
        <v>0</v>
      </c>
      <c r="E417" s="236" t="s">
        <v>1235</v>
      </c>
    </row>
    <row r="418" spans="1:5" x14ac:dyDescent="0.2">
      <c r="A418" s="235">
        <v>112825</v>
      </c>
      <c r="B418" s="236" t="s">
        <v>439</v>
      </c>
      <c r="C418" s="236" t="s">
        <v>15</v>
      </c>
      <c r="D418" s="126">
        <v>0</v>
      </c>
      <c r="E418" s="236" t="s">
        <v>1234</v>
      </c>
    </row>
    <row r="419" spans="1:5" x14ac:dyDescent="0.2">
      <c r="A419" s="235">
        <v>112827</v>
      </c>
      <c r="B419" s="236" t="s">
        <v>440</v>
      </c>
      <c r="C419" s="236" t="s">
        <v>22</v>
      </c>
      <c r="D419" s="126">
        <v>0</v>
      </c>
      <c r="E419" s="236" t="s">
        <v>1234</v>
      </c>
    </row>
    <row r="420" spans="1:5" x14ac:dyDescent="0.2">
      <c r="A420" s="235">
        <v>112829</v>
      </c>
      <c r="B420" s="236" t="s">
        <v>441</v>
      </c>
      <c r="C420" s="236" t="s">
        <v>282</v>
      </c>
      <c r="D420" s="126">
        <v>0</v>
      </c>
      <c r="E420" s="236" t="s">
        <v>1234</v>
      </c>
    </row>
    <row r="421" spans="1:5" x14ac:dyDescent="0.2">
      <c r="A421" s="235">
        <v>112830</v>
      </c>
      <c r="B421" s="236" t="s">
        <v>442</v>
      </c>
      <c r="C421" s="236" t="s">
        <v>5</v>
      </c>
      <c r="D421" s="126">
        <v>0</v>
      </c>
      <c r="E421" s="236" t="s">
        <v>1234</v>
      </c>
    </row>
    <row r="422" spans="1:5" x14ac:dyDescent="0.2">
      <c r="A422" s="235">
        <v>112832</v>
      </c>
      <c r="B422" s="236" t="s">
        <v>443</v>
      </c>
      <c r="C422" s="236" t="s">
        <v>22</v>
      </c>
      <c r="D422" s="126">
        <v>0</v>
      </c>
      <c r="E422" s="236" t="s">
        <v>1234</v>
      </c>
    </row>
    <row r="423" spans="1:5" x14ac:dyDescent="0.2">
      <c r="A423" s="235">
        <v>112833</v>
      </c>
      <c r="B423" s="236" t="s">
        <v>444</v>
      </c>
      <c r="C423" s="236" t="s">
        <v>2</v>
      </c>
      <c r="D423" s="126">
        <v>0</v>
      </c>
      <c r="E423" s="236" t="s">
        <v>1234</v>
      </c>
    </row>
    <row r="424" spans="1:5" x14ac:dyDescent="0.2">
      <c r="A424" s="235">
        <v>112834</v>
      </c>
      <c r="B424" s="236" t="s">
        <v>445</v>
      </c>
      <c r="C424" s="236" t="s">
        <v>2</v>
      </c>
      <c r="D424" s="126">
        <v>0</v>
      </c>
      <c r="E424" s="236" t="s">
        <v>1234</v>
      </c>
    </row>
    <row r="425" spans="1:5" x14ac:dyDescent="0.2">
      <c r="A425" s="235">
        <v>112837</v>
      </c>
      <c r="B425" s="236" t="s">
        <v>446</v>
      </c>
      <c r="C425" s="236" t="s">
        <v>15</v>
      </c>
      <c r="D425" s="126">
        <v>0</v>
      </c>
      <c r="E425" s="236" t="s">
        <v>1234</v>
      </c>
    </row>
    <row r="426" spans="1:5" x14ac:dyDescent="0.2">
      <c r="A426" s="235">
        <v>112838</v>
      </c>
      <c r="B426" s="236" t="s">
        <v>447</v>
      </c>
      <c r="C426" s="236" t="s">
        <v>15</v>
      </c>
      <c r="D426" s="126">
        <v>0</v>
      </c>
      <c r="E426" s="236" t="s">
        <v>1234</v>
      </c>
    </row>
    <row r="427" spans="1:5" x14ac:dyDescent="0.2">
      <c r="A427" s="235">
        <v>112840</v>
      </c>
      <c r="B427" s="236" t="s">
        <v>448</v>
      </c>
      <c r="C427" s="236" t="s">
        <v>2</v>
      </c>
      <c r="D427" s="126">
        <v>0</v>
      </c>
      <c r="E427" s="236" t="s">
        <v>1234</v>
      </c>
    </row>
    <row r="428" spans="1:5" x14ac:dyDescent="0.2">
      <c r="A428" s="235">
        <v>112843</v>
      </c>
      <c r="B428" s="236" t="s">
        <v>449</v>
      </c>
      <c r="C428" s="236" t="s">
        <v>5</v>
      </c>
      <c r="D428" s="126">
        <v>1</v>
      </c>
      <c r="E428" s="236" t="s">
        <v>1235</v>
      </c>
    </row>
    <row r="429" spans="1:5" x14ac:dyDescent="0.2">
      <c r="A429" s="235">
        <v>112845</v>
      </c>
      <c r="B429" s="236" t="s">
        <v>450</v>
      </c>
      <c r="C429" s="236" t="s">
        <v>15</v>
      </c>
      <c r="D429" s="126">
        <v>0</v>
      </c>
      <c r="E429" s="236" t="s">
        <v>1234</v>
      </c>
    </row>
    <row r="430" spans="1:5" x14ac:dyDescent="0.2">
      <c r="A430" s="235">
        <v>112847</v>
      </c>
      <c r="B430" s="236" t="s">
        <v>451</v>
      </c>
      <c r="C430" s="236" t="s">
        <v>39</v>
      </c>
      <c r="D430" s="126">
        <v>0</v>
      </c>
      <c r="E430" s="236" t="s">
        <v>1235</v>
      </c>
    </row>
    <row r="431" spans="1:5" x14ac:dyDescent="0.2">
      <c r="A431" s="235">
        <v>112849</v>
      </c>
      <c r="B431" s="236" t="s">
        <v>452</v>
      </c>
      <c r="C431" s="236" t="s">
        <v>2</v>
      </c>
      <c r="D431" s="126">
        <v>0</v>
      </c>
      <c r="E431" s="236" t="s">
        <v>1234</v>
      </c>
    </row>
    <row r="432" spans="1:5" x14ac:dyDescent="0.2">
      <c r="A432" s="235">
        <v>112850</v>
      </c>
      <c r="B432" s="236" t="s">
        <v>453</v>
      </c>
      <c r="C432" s="236" t="s">
        <v>15</v>
      </c>
      <c r="D432" s="126">
        <v>0</v>
      </c>
      <c r="E432" s="236" t="s">
        <v>1234</v>
      </c>
    </row>
    <row r="433" spans="1:5" x14ac:dyDescent="0.2">
      <c r="A433" s="235">
        <v>112851</v>
      </c>
      <c r="B433" s="236" t="s">
        <v>454</v>
      </c>
      <c r="C433" s="236" t="s">
        <v>5</v>
      </c>
      <c r="D433" s="126">
        <v>0</v>
      </c>
      <c r="E433" s="236" t="s">
        <v>1234</v>
      </c>
    </row>
    <row r="434" spans="1:5" x14ac:dyDescent="0.2">
      <c r="A434" s="235">
        <v>112853</v>
      </c>
      <c r="B434" s="236" t="s">
        <v>455</v>
      </c>
      <c r="C434" s="236" t="s">
        <v>2</v>
      </c>
      <c r="D434" s="126">
        <v>0</v>
      </c>
      <c r="E434" s="236" t="s">
        <v>1234</v>
      </c>
    </row>
    <row r="435" spans="1:5" x14ac:dyDescent="0.2">
      <c r="A435" s="235">
        <v>112855</v>
      </c>
      <c r="B435" s="236" t="s">
        <v>456</v>
      </c>
      <c r="C435" s="236" t="s">
        <v>5</v>
      </c>
      <c r="D435" s="126">
        <v>0</v>
      </c>
      <c r="E435" s="236" t="s">
        <v>1234</v>
      </c>
    </row>
    <row r="436" spans="1:5" x14ac:dyDescent="0.2">
      <c r="A436" s="235">
        <v>112858</v>
      </c>
      <c r="B436" s="236" t="s">
        <v>457</v>
      </c>
      <c r="C436" s="236" t="s">
        <v>15</v>
      </c>
      <c r="D436" s="126">
        <v>0</v>
      </c>
      <c r="E436" s="236" t="s">
        <v>1234</v>
      </c>
    </row>
    <row r="437" spans="1:5" x14ac:dyDescent="0.2">
      <c r="A437" s="235">
        <v>112860</v>
      </c>
      <c r="B437" s="236" t="s">
        <v>458</v>
      </c>
      <c r="C437" s="236" t="s">
        <v>5</v>
      </c>
      <c r="D437" s="126">
        <v>0</v>
      </c>
      <c r="E437" s="236" t="s">
        <v>1234</v>
      </c>
    </row>
    <row r="438" spans="1:5" x14ac:dyDescent="0.2">
      <c r="A438" s="235">
        <v>112862</v>
      </c>
      <c r="B438" s="236" t="s">
        <v>459</v>
      </c>
      <c r="C438" s="236" t="s">
        <v>2</v>
      </c>
      <c r="D438" s="126">
        <v>0</v>
      </c>
      <c r="E438" s="236" t="s">
        <v>1234</v>
      </c>
    </row>
    <row r="439" spans="1:5" x14ac:dyDescent="0.2">
      <c r="A439" s="235">
        <v>112864</v>
      </c>
      <c r="B439" s="236" t="s">
        <v>460</v>
      </c>
      <c r="C439" s="236" t="s">
        <v>2</v>
      </c>
      <c r="D439" s="126">
        <v>0</v>
      </c>
      <c r="E439" s="236" t="s">
        <v>1234</v>
      </c>
    </row>
    <row r="440" spans="1:5" x14ac:dyDescent="0.2">
      <c r="A440" s="235">
        <v>112865</v>
      </c>
      <c r="B440" s="236" t="s">
        <v>461</v>
      </c>
      <c r="C440" s="236" t="s">
        <v>2</v>
      </c>
      <c r="D440" s="126">
        <v>0</v>
      </c>
      <c r="E440" s="236" t="s">
        <v>1234</v>
      </c>
    </row>
    <row r="441" spans="1:5" x14ac:dyDescent="0.2">
      <c r="A441" s="235">
        <v>112866</v>
      </c>
      <c r="B441" s="236" t="s">
        <v>462</v>
      </c>
      <c r="C441" s="236" t="s">
        <v>2</v>
      </c>
      <c r="D441" s="126">
        <v>0</v>
      </c>
      <c r="E441" s="236" t="s">
        <v>1234</v>
      </c>
    </row>
    <row r="442" spans="1:5" x14ac:dyDescent="0.2">
      <c r="A442" s="235">
        <v>112867</v>
      </c>
      <c r="B442" s="236" t="s">
        <v>463</v>
      </c>
      <c r="C442" s="236" t="s">
        <v>2</v>
      </c>
      <c r="D442" s="126">
        <v>0</v>
      </c>
      <c r="E442" s="236" t="s">
        <v>1234</v>
      </c>
    </row>
    <row r="443" spans="1:5" x14ac:dyDescent="0.2">
      <c r="A443" s="235">
        <v>112870</v>
      </c>
      <c r="B443" s="236" t="s">
        <v>464</v>
      </c>
      <c r="C443" s="236" t="s">
        <v>2</v>
      </c>
      <c r="D443" s="126">
        <v>0</v>
      </c>
      <c r="E443" s="236" t="s">
        <v>1234</v>
      </c>
    </row>
    <row r="444" spans="1:5" x14ac:dyDescent="0.2">
      <c r="A444" s="235">
        <v>112871</v>
      </c>
      <c r="B444" s="236" t="s">
        <v>465</v>
      </c>
      <c r="C444" s="236" t="s">
        <v>2</v>
      </c>
      <c r="D444" s="126">
        <v>0</v>
      </c>
      <c r="E444" s="236" t="s">
        <v>1234</v>
      </c>
    </row>
    <row r="445" spans="1:5" x14ac:dyDescent="0.2">
      <c r="A445" s="235">
        <v>112873</v>
      </c>
      <c r="B445" s="236" t="s">
        <v>466</v>
      </c>
      <c r="C445" s="236" t="s">
        <v>2</v>
      </c>
      <c r="D445" s="126">
        <v>0</v>
      </c>
      <c r="E445" s="236" t="s">
        <v>1234</v>
      </c>
    </row>
    <row r="446" spans="1:5" x14ac:dyDescent="0.2">
      <c r="A446" s="235">
        <v>112874</v>
      </c>
      <c r="B446" s="236" t="s">
        <v>467</v>
      </c>
      <c r="C446" s="236" t="s">
        <v>15</v>
      </c>
      <c r="D446" s="126">
        <v>0</v>
      </c>
      <c r="E446" s="236" t="s">
        <v>1234</v>
      </c>
    </row>
    <row r="447" spans="1:5" x14ac:dyDescent="0.2">
      <c r="A447" s="235">
        <v>112875</v>
      </c>
      <c r="B447" s="236" t="s">
        <v>468</v>
      </c>
      <c r="C447" s="236" t="s">
        <v>15</v>
      </c>
      <c r="D447" s="126">
        <v>0</v>
      </c>
      <c r="E447" s="236" t="s">
        <v>1234</v>
      </c>
    </row>
    <row r="448" spans="1:5" x14ac:dyDescent="0.2">
      <c r="A448" s="235">
        <v>112876</v>
      </c>
      <c r="B448" s="236" t="s">
        <v>469</v>
      </c>
      <c r="C448" s="236" t="s">
        <v>470</v>
      </c>
      <c r="D448" s="126">
        <v>0</v>
      </c>
      <c r="E448" s="236" t="s">
        <v>1234</v>
      </c>
    </row>
    <row r="449" spans="1:5" x14ac:dyDescent="0.2">
      <c r="A449" s="235">
        <v>112877</v>
      </c>
      <c r="B449" s="236" t="s">
        <v>471</v>
      </c>
      <c r="C449" s="236" t="s">
        <v>5</v>
      </c>
      <c r="D449" s="126">
        <v>0</v>
      </c>
      <c r="E449" s="236" t="s">
        <v>1234</v>
      </c>
    </row>
    <row r="450" spans="1:5" x14ac:dyDescent="0.2">
      <c r="A450" s="235">
        <v>112878</v>
      </c>
      <c r="B450" s="236" t="s">
        <v>472</v>
      </c>
      <c r="C450" s="236" t="s">
        <v>15</v>
      </c>
      <c r="D450" s="126">
        <v>0</v>
      </c>
      <c r="E450" s="236" t="s">
        <v>1234</v>
      </c>
    </row>
    <row r="451" spans="1:5" x14ac:dyDescent="0.2">
      <c r="A451" s="235">
        <v>112881</v>
      </c>
      <c r="B451" s="236" t="s">
        <v>473</v>
      </c>
      <c r="C451" s="236" t="s">
        <v>2</v>
      </c>
      <c r="D451" s="126">
        <v>0</v>
      </c>
      <c r="E451" s="236" t="s">
        <v>1234</v>
      </c>
    </row>
    <row r="452" spans="1:5" x14ac:dyDescent="0.2">
      <c r="A452" s="235">
        <v>112882</v>
      </c>
      <c r="B452" s="236" t="s">
        <v>474</v>
      </c>
      <c r="C452" s="236" t="s">
        <v>5</v>
      </c>
      <c r="D452" s="126">
        <v>0</v>
      </c>
      <c r="E452" s="236" t="s">
        <v>1234</v>
      </c>
    </row>
    <row r="453" spans="1:5" x14ac:dyDescent="0.2">
      <c r="A453" s="235">
        <v>112883</v>
      </c>
      <c r="B453" s="236" t="s">
        <v>475</v>
      </c>
      <c r="C453" s="236" t="s">
        <v>5</v>
      </c>
      <c r="D453" s="126">
        <v>0</v>
      </c>
      <c r="E453" s="236" t="s">
        <v>1234</v>
      </c>
    </row>
    <row r="454" spans="1:5" x14ac:dyDescent="0.2">
      <c r="A454" s="235">
        <v>112886</v>
      </c>
      <c r="B454" s="236" t="s">
        <v>476</v>
      </c>
      <c r="C454" s="236" t="s">
        <v>2</v>
      </c>
      <c r="D454" s="126">
        <v>0</v>
      </c>
      <c r="E454" s="236" t="s">
        <v>1234</v>
      </c>
    </row>
    <row r="455" spans="1:5" x14ac:dyDescent="0.2">
      <c r="A455" s="235">
        <v>112887</v>
      </c>
      <c r="B455" s="236" t="s">
        <v>477</v>
      </c>
      <c r="C455" s="236" t="s">
        <v>2</v>
      </c>
      <c r="D455" s="126">
        <v>0</v>
      </c>
      <c r="E455" s="236" t="s">
        <v>1234</v>
      </c>
    </row>
    <row r="456" spans="1:5" x14ac:dyDescent="0.2">
      <c r="A456" s="235">
        <v>112888</v>
      </c>
      <c r="B456" s="236" t="s">
        <v>478</v>
      </c>
      <c r="C456" s="236" t="s">
        <v>22</v>
      </c>
      <c r="D456" s="126">
        <v>0</v>
      </c>
      <c r="E456" s="236" t="s">
        <v>1234</v>
      </c>
    </row>
    <row r="457" spans="1:5" x14ac:dyDescent="0.2">
      <c r="A457" s="235">
        <v>112891</v>
      </c>
      <c r="B457" s="236" t="s">
        <v>479</v>
      </c>
      <c r="C457" s="236" t="s">
        <v>2</v>
      </c>
      <c r="D457" s="126">
        <v>0</v>
      </c>
      <c r="E457" s="236" t="s">
        <v>1235</v>
      </c>
    </row>
    <row r="458" spans="1:5" x14ac:dyDescent="0.2">
      <c r="A458" s="235">
        <v>112892</v>
      </c>
      <c r="B458" s="236" t="s">
        <v>480</v>
      </c>
      <c r="C458" s="236" t="s">
        <v>378</v>
      </c>
      <c r="D458" s="126">
        <v>0</v>
      </c>
      <c r="E458" s="236" t="s">
        <v>1234</v>
      </c>
    </row>
    <row r="459" spans="1:5" x14ac:dyDescent="0.2">
      <c r="A459" s="235">
        <v>112893</v>
      </c>
      <c r="B459" s="236" t="s">
        <v>482</v>
      </c>
      <c r="C459" s="236" t="s">
        <v>146</v>
      </c>
      <c r="D459" s="126">
        <v>0</v>
      </c>
      <c r="E459" s="236" t="s">
        <v>1234</v>
      </c>
    </row>
    <row r="460" spans="1:5" x14ac:dyDescent="0.2">
      <c r="A460" s="235">
        <v>112894</v>
      </c>
      <c r="B460" s="236" t="s">
        <v>483</v>
      </c>
      <c r="C460" s="236" t="s">
        <v>2</v>
      </c>
      <c r="D460" s="126">
        <v>0</v>
      </c>
      <c r="E460" s="236" t="s">
        <v>1234</v>
      </c>
    </row>
    <row r="461" spans="1:5" x14ac:dyDescent="0.2">
      <c r="A461" s="235">
        <v>112896</v>
      </c>
      <c r="B461" s="236" t="s">
        <v>484</v>
      </c>
      <c r="C461" s="236" t="s">
        <v>22</v>
      </c>
      <c r="D461" s="126">
        <v>0</v>
      </c>
      <c r="E461" s="236" t="s">
        <v>1234</v>
      </c>
    </row>
    <row r="462" spans="1:5" x14ac:dyDescent="0.2">
      <c r="A462" s="235">
        <v>112897</v>
      </c>
      <c r="B462" s="236" t="s">
        <v>485</v>
      </c>
      <c r="C462" s="236" t="s">
        <v>2</v>
      </c>
      <c r="D462" s="126">
        <v>0</v>
      </c>
      <c r="E462" s="236" t="s">
        <v>1235</v>
      </c>
    </row>
    <row r="463" spans="1:5" x14ac:dyDescent="0.2">
      <c r="A463" s="235">
        <v>112898</v>
      </c>
      <c r="B463" s="236" t="s">
        <v>486</v>
      </c>
      <c r="C463" s="236" t="s">
        <v>22</v>
      </c>
      <c r="D463" s="126">
        <v>0</v>
      </c>
      <c r="E463" s="236" t="s">
        <v>1234</v>
      </c>
    </row>
    <row r="464" spans="1:5" x14ac:dyDescent="0.2">
      <c r="A464" s="235">
        <v>112900</v>
      </c>
      <c r="B464" s="236" t="s">
        <v>487</v>
      </c>
      <c r="C464" s="236" t="s">
        <v>5</v>
      </c>
      <c r="D464" s="126">
        <v>0</v>
      </c>
      <c r="E464" s="236" t="s">
        <v>1234</v>
      </c>
    </row>
    <row r="465" spans="1:5" x14ac:dyDescent="0.2">
      <c r="A465" s="235">
        <v>112902</v>
      </c>
      <c r="B465" s="236" t="s">
        <v>488</v>
      </c>
      <c r="C465" s="236" t="s">
        <v>5</v>
      </c>
      <c r="D465" s="126">
        <v>0</v>
      </c>
      <c r="E465" s="236" t="s">
        <v>1234</v>
      </c>
    </row>
    <row r="466" spans="1:5" x14ac:dyDescent="0.2">
      <c r="A466" s="235">
        <v>112904</v>
      </c>
      <c r="B466" s="236" t="s">
        <v>489</v>
      </c>
      <c r="C466" s="236" t="s">
        <v>15</v>
      </c>
      <c r="D466" s="126">
        <v>0</v>
      </c>
      <c r="E466" s="236" t="s">
        <v>1234</v>
      </c>
    </row>
    <row r="467" spans="1:5" x14ac:dyDescent="0.2">
      <c r="A467" s="235">
        <v>112905</v>
      </c>
      <c r="B467" s="236" t="s">
        <v>490</v>
      </c>
      <c r="C467" s="236" t="s">
        <v>5</v>
      </c>
      <c r="D467" s="126">
        <v>0</v>
      </c>
      <c r="E467" s="236" t="s">
        <v>1234</v>
      </c>
    </row>
    <row r="468" spans="1:5" x14ac:dyDescent="0.2">
      <c r="A468" s="235">
        <v>112906</v>
      </c>
      <c r="B468" s="236" t="s">
        <v>1574</v>
      </c>
      <c r="C468" s="236" t="s">
        <v>2</v>
      </c>
      <c r="D468" s="126">
        <v>0</v>
      </c>
      <c r="E468" s="236" t="s">
        <v>1234</v>
      </c>
    </row>
    <row r="469" spans="1:5" x14ac:dyDescent="0.2">
      <c r="A469" s="235">
        <v>112907</v>
      </c>
      <c r="B469" s="236" t="s">
        <v>491</v>
      </c>
      <c r="C469" s="236" t="s">
        <v>22</v>
      </c>
      <c r="D469" s="126">
        <v>0</v>
      </c>
      <c r="E469" s="236" t="s">
        <v>1235</v>
      </c>
    </row>
    <row r="470" spans="1:5" x14ac:dyDescent="0.2">
      <c r="A470" s="235">
        <v>112908</v>
      </c>
      <c r="B470" s="236" t="s">
        <v>492</v>
      </c>
      <c r="C470" s="236" t="s">
        <v>5</v>
      </c>
      <c r="D470" s="126">
        <v>0</v>
      </c>
      <c r="E470" s="236" t="s">
        <v>1234</v>
      </c>
    </row>
    <row r="471" spans="1:5" x14ac:dyDescent="0.2">
      <c r="A471" s="235">
        <v>112909</v>
      </c>
      <c r="B471" s="236" t="s">
        <v>493</v>
      </c>
      <c r="C471" s="236" t="s">
        <v>2</v>
      </c>
      <c r="D471" s="126">
        <v>0</v>
      </c>
      <c r="E471" s="236" t="s">
        <v>1234</v>
      </c>
    </row>
    <row r="472" spans="1:5" x14ac:dyDescent="0.2">
      <c r="A472" s="235">
        <v>112911</v>
      </c>
      <c r="B472" s="236" t="s">
        <v>494</v>
      </c>
      <c r="C472" s="236" t="s">
        <v>22</v>
      </c>
      <c r="D472" s="126">
        <v>0</v>
      </c>
      <c r="E472" s="236" t="s">
        <v>1235</v>
      </c>
    </row>
    <row r="473" spans="1:5" x14ac:dyDescent="0.2">
      <c r="A473" s="235">
        <v>112912</v>
      </c>
      <c r="B473" s="236" t="s">
        <v>495</v>
      </c>
      <c r="C473" s="236" t="s">
        <v>2</v>
      </c>
      <c r="D473" s="126">
        <v>0</v>
      </c>
      <c r="E473" s="236" t="s">
        <v>1234</v>
      </c>
    </row>
    <row r="474" spans="1:5" x14ac:dyDescent="0.2">
      <c r="A474" s="235">
        <v>112916</v>
      </c>
      <c r="B474" s="236" t="s">
        <v>496</v>
      </c>
      <c r="C474" s="236" t="s">
        <v>2</v>
      </c>
      <c r="D474" s="126">
        <v>0</v>
      </c>
      <c r="E474" s="236" t="s">
        <v>1235</v>
      </c>
    </row>
    <row r="475" spans="1:5" x14ac:dyDescent="0.2">
      <c r="A475" s="235">
        <v>112917</v>
      </c>
      <c r="B475" s="236" t="s">
        <v>350</v>
      </c>
      <c r="C475" s="236" t="s">
        <v>2</v>
      </c>
      <c r="D475" s="126">
        <v>0</v>
      </c>
      <c r="E475" s="236" t="s">
        <v>1234</v>
      </c>
    </row>
    <row r="476" spans="1:5" x14ac:dyDescent="0.2">
      <c r="A476" s="235">
        <v>112918</v>
      </c>
      <c r="B476" s="236" t="s">
        <v>497</v>
      </c>
      <c r="C476" s="236" t="s">
        <v>22</v>
      </c>
      <c r="D476" s="126">
        <v>0</v>
      </c>
      <c r="E476" s="236" t="s">
        <v>1234</v>
      </c>
    </row>
    <row r="477" spans="1:5" x14ac:dyDescent="0.2">
      <c r="A477" s="235">
        <v>112920</v>
      </c>
      <c r="B477" s="236" t="s">
        <v>498</v>
      </c>
      <c r="C477" s="236" t="s">
        <v>15</v>
      </c>
      <c r="D477" s="126">
        <v>0</v>
      </c>
      <c r="E477" s="236" t="s">
        <v>1234</v>
      </c>
    </row>
    <row r="478" spans="1:5" x14ac:dyDescent="0.2">
      <c r="A478" s="235">
        <v>112922</v>
      </c>
      <c r="B478" s="236" t="s">
        <v>500</v>
      </c>
      <c r="C478" s="236" t="s">
        <v>22</v>
      </c>
      <c r="D478" s="126">
        <v>0</v>
      </c>
      <c r="E478" s="236" t="s">
        <v>1235</v>
      </c>
    </row>
    <row r="479" spans="1:5" x14ac:dyDescent="0.2">
      <c r="A479" s="235">
        <v>112924</v>
      </c>
      <c r="B479" s="236" t="s">
        <v>501</v>
      </c>
      <c r="C479" s="236" t="s">
        <v>2</v>
      </c>
      <c r="D479" s="126">
        <v>0</v>
      </c>
      <c r="E479" s="236" t="s">
        <v>1234</v>
      </c>
    </row>
    <row r="480" spans="1:5" x14ac:dyDescent="0.2">
      <c r="A480" s="235">
        <v>112926</v>
      </c>
      <c r="B480" s="236" t="s">
        <v>502</v>
      </c>
      <c r="C480" s="236" t="s">
        <v>2</v>
      </c>
      <c r="D480" s="126">
        <v>0</v>
      </c>
      <c r="E480" s="236" t="s">
        <v>1234</v>
      </c>
    </row>
    <row r="481" spans="1:5" x14ac:dyDescent="0.2">
      <c r="A481" s="235">
        <v>112927</v>
      </c>
      <c r="B481" s="236" t="s">
        <v>503</v>
      </c>
      <c r="C481" s="236" t="s">
        <v>2</v>
      </c>
      <c r="D481" s="126">
        <v>0</v>
      </c>
      <c r="E481" s="236" t="s">
        <v>1234</v>
      </c>
    </row>
    <row r="482" spans="1:5" x14ac:dyDescent="0.2">
      <c r="A482" s="235">
        <v>112928</v>
      </c>
      <c r="B482" s="236" t="s">
        <v>504</v>
      </c>
      <c r="C482" s="236" t="s">
        <v>2</v>
      </c>
      <c r="D482" s="126">
        <v>0</v>
      </c>
      <c r="E482" s="236" t="s">
        <v>1234</v>
      </c>
    </row>
    <row r="483" spans="1:5" x14ac:dyDescent="0.2">
      <c r="A483" s="235">
        <v>112930</v>
      </c>
      <c r="B483" s="236" t="s">
        <v>505</v>
      </c>
      <c r="C483" s="236" t="s">
        <v>5</v>
      </c>
      <c r="D483" s="126">
        <v>0</v>
      </c>
      <c r="E483" s="236" t="s">
        <v>1285</v>
      </c>
    </row>
    <row r="484" spans="1:5" x14ac:dyDescent="0.2">
      <c r="A484" s="235">
        <v>112935</v>
      </c>
      <c r="B484" s="236" t="s">
        <v>506</v>
      </c>
      <c r="C484" s="236" t="s">
        <v>2</v>
      </c>
      <c r="D484" s="126">
        <v>0</v>
      </c>
      <c r="E484" s="236" t="s">
        <v>1234</v>
      </c>
    </row>
    <row r="485" spans="1:5" x14ac:dyDescent="0.2">
      <c r="A485" s="235">
        <v>112936</v>
      </c>
      <c r="B485" s="236" t="s">
        <v>507</v>
      </c>
      <c r="C485" s="236" t="s">
        <v>2</v>
      </c>
      <c r="D485" s="126">
        <v>0</v>
      </c>
      <c r="E485" s="236" t="s">
        <v>1235</v>
      </c>
    </row>
    <row r="486" spans="1:5" x14ac:dyDescent="0.2">
      <c r="A486" s="235">
        <v>112937</v>
      </c>
      <c r="B486" s="236" t="s">
        <v>508</v>
      </c>
      <c r="C486" s="236" t="s">
        <v>2</v>
      </c>
      <c r="D486" s="126">
        <v>0</v>
      </c>
      <c r="E486" s="236" t="s">
        <v>1234</v>
      </c>
    </row>
    <row r="487" spans="1:5" x14ac:dyDescent="0.2">
      <c r="A487" s="235">
        <v>112940</v>
      </c>
      <c r="B487" s="236" t="s">
        <v>509</v>
      </c>
      <c r="C487" s="236" t="s">
        <v>2</v>
      </c>
      <c r="D487" s="126">
        <v>0</v>
      </c>
      <c r="E487" s="236" t="s">
        <v>1234</v>
      </c>
    </row>
    <row r="488" spans="1:5" x14ac:dyDescent="0.2">
      <c r="A488" s="235">
        <v>112941</v>
      </c>
      <c r="B488" s="236" t="s">
        <v>510</v>
      </c>
      <c r="C488" s="236" t="s">
        <v>2</v>
      </c>
      <c r="D488" s="126">
        <v>0</v>
      </c>
      <c r="E488" s="236" t="s">
        <v>1234</v>
      </c>
    </row>
    <row r="489" spans="1:5" x14ac:dyDescent="0.2">
      <c r="A489" s="235">
        <v>112942</v>
      </c>
      <c r="B489" s="236" t="s">
        <v>511</v>
      </c>
      <c r="C489" s="236" t="s">
        <v>15</v>
      </c>
      <c r="D489" s="126">
        <v>0</v>
      </c>
      <c r="E489" s="236" t="s">
        <v>1234</v>
      </c>
    </row>
    <row r="490" spans="1:5" x14ac:dyDescent="0.2">
      <c r="A490" s="235">
        <v>112943</v>
      </c>
      <c r="B490" s="236" t="s">
        <v>512</v>
      </c>
      <c r="C490" s="236" t="s">
        <v>2</v>
      </c>
      <c r="D490" s="126">
        <v>0</v>
      </c>
      <c r="E490" s="236" t="s">
        <v>1234</v>
      </c>
    </row>
    <row r="491" spans="1:5" x14ac:dyDescent="0.2">
      <c r="A491" s="235">
        <v>112944</v>
      </c>
      <c r="B491" s="236" t="s">
        <v>513</v>
      </c>
      <c r="C491" s="236" t="s">
        <v>2</v>
      </c>
      <c r="D491" s="126">
        <v>0</v>
      </c>
      <c r="E491" s="236" t="s">
        <v>1234</v>
      </c>
    </row>
    <row r="492" spans="1:5" x14ac:dyDescent="0.2">
      <c r="A492" s="235">
        <v>112946</v>
      </c>
      <c r="B492" s="236" t="s">
        <v>256</v>
      </c>
      <c r="C492" s="236" t="s">
        <v>2</v>
      </c>
      <c r="D492" s="126">
        <v>0</v>
      </c>
      <c r="E492" s="236" t="s">
        <v>1234</v>
      </c>
    </row>
    <row r="493" spans="1:5" x14ac:dyDescent="0.2">
      <c r="A493" s="235">
        <v>112949</v>
      </c>
      <c r="B493" s="236" t="s">
        <v>515</v>
      </c>
      <c r="C493" s="236" t="s">
        <v>2</v>
      </c>
      <c r="D493" s="126">
        <v>0</v>
      </c>
      <c r="E493" s="236" t="s">
        <v>1234</v>
      </c>
    </row>
    <row r="494" spans="1:5" x14ac:dyDescent="0.2">
      <c r="A494" s="235">
        <v>112950</v>
      </c>
      <c r="B494" s="236" t="s">
        <v>516</v>
      </c>
      <c r="C494" s="236" t="s">
        <v>2</v>
      </c>
      <c r="D494" s="126">
        <v>0</v>
      </c>
      <c r="E494" s="236" t="s">
        <v>1234</v>
      </c>
    </row>
    <row r="495" spans="1:5" x14ac:dyDescent="0.2">
      <c r="A495" s="235">
        <v>112951</v>
      </c>
      <c r="B495" s="236" t="s">
        <v>517</v>
      </c>
      <c r="C495" s="236" t="s">
        <v>2</v>
      </c>
      <c r="D495" s="126">
        <v>0</v>
      </c>
      <c r="E495" s="236" t="s">
        <v>1234</v>
      </c>
    </row>
    <row r="496" spans="1:5" x14ac:dyDescent="0.2">
      <c r="A496" s="235">
        <v>112952</v>
      </c>
      <c r="B496" s="236" t="s">
        <v>518</v>
      </c>
      <c r="C496" s="236" t="s">
        <v>2</v>
      </c>
      <c r="D496" s="126">
        <v>0</v>
      </c>
      <c r="E496" s="236" t="s">
        <v>1234</v>
      </c>
    </row>
    <row r="497" spans="1:5" x14ac:dyDescent="0.2">
      <c r="A497" s="235">
        <v>112954</v>
      </c>
      <c r="B497" s="236" t="s">
        <v>519</v>
      </c>
      <c r="C497" s="236" t="s">
        <v>2</v>
      </c>
      <c r="D497" s="126">
        <v>0</v>
      </c>
      <c r="E497" s="236" t="s">
        <v>1234</v>
      </c>
    </row>
    <row r="498" spans="1:5" x14ac:dyDescent="0.2">
      <c r="A498" s="235">
        <v>112956</v>
      </c>
      <c r="B498" s="236" t="s">
        <v>520</v>
      </c>
      <c r="C498" s="236" t="s">
        <v>5</v>
      </c>
      <c r="D498" s="126">
        <v>0</v>
      </c>
      <c r="E498" s="236" t="s">
        <v>1234</v>
      </c>
    </row>
    <row r="499" spans="1:5" x14ac:dyDescent="0.2">
      <c r="A499" s="235">
        <v>112957</v>
      </c>
      <c r="B499" s="236" t="s">
        <v>521</v>
      </c>
      <c r="C499" s="236" t="s">
        <v>15</v>
      </c>
      <c r="D499" s="126">
        <v>0</v>
      </c>
      <c r="E499" s="236" t="s">
        <v>1235</v>
      </c>
    </row>
    <row r="500" spans="1:5" x14ac:dyDescent="0.2">
      <c r="A500" s="235">
        <v>112959</v>
      </c>
      <c r="B500" s="236" t="s">
        <v>522</v>
      </c>
      <c r="C500" s="236" t="s">
        <v>5</v>
      </c>
      <c r="D500" s="126">
        <v>0</v>
      </c>
      <c r="E500" s="236" t="s">
        <v>1234</v>
      </c>
    </row>
    <row r="501" spans="1:5" x14ac:dyDescent="0.2">
      <c r="A501" s="235">
        <v>112961</v>
      </c>
      <c r="B501" s="236" t="s">
        <v>523</v>
      </c>
      <c r="C501" s="236" t="s">
        <v>15</v>
      </c>
      <c r="D501" s="126">
        <v>0</v>
      </c>
      <c r="E501" s="236" t="s">
        <v>1234</v>
      </c>
    </row>
    <row r="502" spans="1:5" x14ac:dyDescent="0.2">
      <c r="A502" s="235">
        <v>112962</v>
      </c>
      <c r="B502" s="236" t="s">
        <v>524</v>
      </c>
      <c r="C502" s="236" t="s">
        <v>5</v>
      </c>
      <c r="D502" s="126">
        <v>0</v>
      </c>
      <c r="E502" s="236" t="s">
        <v>1234</v>
      </c>
    </row>
    <row r="503" spans="1:5" x14ac:dyDescent="0.2">
      <c r="A503" s="235">
        <v>112964</v>
      </c>
      <c r="B503" s="236" t="s">
        <v>525</v>
      </c>
      <c r="C503" s="236" t="s">
        <v>5</v>
      </c>
      <c r="D503" s="126">
        <v>0</v>
      </c>
      <c r="E503" s="236" t="s">
        <v>1234</v>
      </c>
    </row>
    <row r="504" spans="1:5" x14ac:dyDescent="0.2">
      <c r="A504" s="235">
        <v>112967</v>
      </c>
      <c r="B504" s="236" t="s">
        <v>526</v>
      </c>
      <c r="C504" s="236" t="s">
        <v>5</v>
      </c>
      <c r="D504" s="126">
        <v>0</v>
      </c>
      <c r="E504" s="236" t="s">
        <v>1234</v>
      </c>
    </row>
    <row r="505" spans="1:5" x14ac:dyDescent="0.2">
      <c r="A505" s="235">
        <v>112973</v>
      </c>
      <c r="B505" s="236" t="s">
        <v>527</v>
      </c>
      <c r="C505" s="236" t="s">
        <v>5</v>
      </c>
      <c r="D505" s="126">
        <v>0</v>
      </c>
      <c r="E505" s="236" t="s">
        <v>1234</v>
      </c>
    </row>
    <row r="506" spans="1:5" x14ac:dyDescent="0.2">
      <c r="A506" s="235">
        <v>112974</v>
      </c>
      <c r="B506" s="236" t="s">
        <v>528</v>
      </c>
      <c r="C506" s="236" t="s">
        <v>2</v>
      </c>
      <c r="D506" s="126">
        <v>0</v>
      </c>
      <c r="E506" s="236" t="s">
        <v>1234</v>
      </c>
    </row>
    <row r="507" spans="1:5" x14ac:dyDescent="0.2">
      <c r="A507" s="235">
        <v>112975</v>
      </c>
      <c r="B507" s="236" t="s">
        <v>529</v>
      </c>
      <c r="C507" s="236" t="s">
        <v>416</v>
      </c>
      <c r="D507" s="126">
        <v>0</v>
      </c>
      <c r="E507" s="236" t="s">
        <v>1234</v>
      </c>
    </row>
    <row r="508" spans="1:5" x14ac:dyDescent="0.2">
      <c r="A508" s="235">
        <v>112978</v>
      </c>
      <c r="B508" s="236" t="s">
        <v>530</v>
      </c>
      <c r="C508" s="236" t="s">
        <v>2</v>
      </c>
      <c r="D508" s="126">
        <v>0</v>
      </c>
      <c r="E508" s="236" t="s">
        <v>1234</v>
      </c>
    </row>
    <row r="509" spans="1:5" x14ac:dyDescent="0.2">
      <c r="A509" s="235">
        <v>112979</v>
      </c>
      <c r="B509" s="236" t="s">
        <v>531</v>
      </c>
      <c r="C509" s="236" t="s">
        <v>5</v>
      </c>
      <c r="D509" s="126">
        <v>0</v>
      </c>
      <c r="E509" s="236" t="s">
        <v>1234</v>
      </c>
    </row>
    <row r="510" spans="1:5" x14ac:dyDescent="0.2">
      <c r="A510" s="235">
        <v>112983</v>
      </c>
      <c r="B510" s="236" t="s">
        <v>532</v>
      </c>
      <c r="C510" s="236" t="s">
        <v>5</v>
      </c>
      <c r="D510" s="126">
        <v>0</v>
      </c>
      <c r="E510" s="236" t="s">
        <v>1234</v>
      </c>
    </row>
    <row r="511" spans="1:5" x14ac:dyDescent="0.2">
      <c r="A511" s="235">
        <v>112986</v>
      </c>
      <c r="B511" s="236" t="s">
        <v>533</v>
      </c>
      <c r="C511" s="236" t="s">
        <v>5</v>
      </c>
      <c r="D511" s="126">
        <v>0</v>
      </c>
      <c r="E511" s="236" t="s">
        <v>1234</v>
      </c>
    </row>
    <row r="512" spans="1:5" x14ac:dyDescent="0.2">
      <c r="A512" s="235">
        <v>112989</v>
      </c>
      <c r="B512" s="236" t="s">
        <v>534</v>
      </c>
      <c r="C512" s="236" t="s">
        <v>39</v>
      </c>
      <c r="D512" s="126">
        <v>0</v>
      </c>
      <c r="E512" s="236" t="s">
        <v>1234</v>
      </c>
    </row>
    <row r="513" spans="1:5" x14ac:dyDescent="0.2">
      <c r="A513" s="235">
        <v>112990</v>
      </c>
      <c r="B513" s="236" t="s">
        <v>535</v>
      </c>
      <c r="C513" s="236" t="s">
        <v>15</v>
      </c>
      <c r="D513" s="126">
        <v>0</v>
      </c>
      <c r="E513" s="236" t="s">
        <v>1235</v>
      </c>
    </row>
    <row r="514" spans="1:5" x14ac:dyDescent="0.2">
      <c r="A514" s="235">
        <v>112991</v>
      </c>
      <c r="B514" s="236" t="s">
        <v>536</v>
      </c>
      <c r="C514" s="236" t="s">
        <v>146</v>
      </c>
      <c r="D514" s="126">
        <v>0</v>
      </c>
      <c r="E514" s="236" t="s">
        <v>1234</v>
      </c>
    </row>
    <row r="515" spans="1:5" x14ac:dyDescent="0.2">
      <c r="A515" s="235">
        <v>112992</v>
      </c>
      <c r="B515" s="236" t="s">
        <v>537</v>
      </c>
      <c r="C515" s="236" t="s">
        <v>15</v>
      </c>
      <c r="D515" s="126">
        <v>0</v>
      </c>
      <c r="E515" s="236" t="s">
        <v>1234</v>
      </c>
    </row>
    <row r="516" spans="1:5" x14ac:dyDescent="0.2">
      <c r="A516" s="235">
        <v>112995</v>
      </c>
      <c r="B516" s="236" t="s">
        <v>538</v>
      </c>
      <c r="C516" s="236" t="s">
        <v>2</v>
      </c>
      <c r="D516" s="126">
        <v>0</v>
      </c>
      <c r="E516" s="236" t="s">
        <v>1234</v>
      </c>
    </row>
    <row r="517" spans="1:5" x14ac:dyDescent="0.2">
      <c r="A517" s="235">
        <v>112996</v>
      </c>
      <c r="B517" s="236" t="s">
        <v>539</v>
      </c>
      <c r="C517" s="236" t="s">
        <v>2</v>
      </c>
      <c r="D517" s="126">
        <v>0</v>
      </c>
      <c r="E517" s="236" t="s">
        <v>1234</v>
      </c>
    </row>
    <row r="518" spans="1:5" x14ac:dyDescent="0.2">
      <c r="A518" s="235">
        <v>113000</v>
      </c>
      <c r="B518" s="236" t="s">
        <v>540</v>
      </c>
      <c r="C518" s="236" t="s">
        <v>15</v>
      </c>
      <c r="D518" s="126">
        <v>0</v>
      </c>
      <c r="E518" s="236" t="s">
        <v>1234</v>
      </c>
    </row>
    <row r="519" spans="1:5" x14ac:dyDescent="0.2">
      <c r="A519" s="235">
        <v>113002</v>
      </c>
      <c r="B519" s="236" t="s">
        <v>541</v>
      </c>
      <c r="C519" s="236" t="s">
        <v>2</v>
      </c>
      <c r="D519" s="126">
        <v>0</v>
      </c>
      <c r="E519" s="236" t="s">
        <v>1234</v>
      </c>
    </row>
    <row r="520" spans="1:5" x14ac:dyDescent="0.2">
      <c r="A520" s="235">
        <v>113003</v>
      </c>
      <c r="B520" s="236" t="s">
        <v>542</v>
      </c>
      <c r="C520" s="236" t="s">
        <v>15</v>
      </c>
      <c r="D520" s="126">
        <v>0</v>
      </c>
      <c r="E520" s="236" t="s">
        <v>1234</v>
      </c>
    </row>
    <row r="521" spans="1:5" x14ac:dyDescent="0.2">
      <c r="A521" s="235">
        <v>113004</v>
      </c>
      <c r="B521" s="236" t="s">
        <v>543</v>
      </c>
      <c r="C521" s="236" t="s">
        <v>5</v>
      </c>
      <c r="D521" s="126">
        <v>0</v>
      </c>
      <c r="E521" s="236" t="s">
        <v>1234</v>
      </c>
    </row>
    <row r="522" spans="1:5" x14ac:dyDescent="0.2">
      <c r="A522" s="235">
        <v>113008</v>
      </c>
      <c r="B522" s="236" t="s">
        <v>544</v>
      </c>
      <c r="C522" s="236" t="s">
        <v>15</v>
      </c>
      <c r="D522" s="126">
        <v>0</v>
      </c>
      <c r="E522" s="236" t="s">
        <v>1234</v>
      </c>
    </row>
    <row r="523" spans="1:5" x14ac:dyDescent="0.2">
      <c r="A523" s="235">
        <v>113013</v>
      </c>
      <c r="B523" s="236" t="s">
        <v>545</v>
      </c>
      <c r="C523" s="236" t="s">
        <v>15</v>
      </c>
      <c r="D523" s="126">
        <v>0</v>
      </c>
      <c r="E523" s="236" t="s">
        <v>1234</v>
      </c>
    </row>
    <row r="524" spans="1:5" x14ac:dyDescent="0.2">
      <c r="A524" s="235">
        <v>113016</v>
      </c>
      <c r="B524" s="236" t="s">
        <v>546</v>
      </c>
      <c r="C524" s="236" t="s">
        <v>15</v>
      </c>
      <c r="D524" s="126">
        <v>0</v>
      </c>
      <c r="E524" s="236" t="s">
        <v>1234</v>
      </c>
    </row>
    <row r="525" spans="1:5" x14ac:dyDescent="0.2">
      <c r="A525" s="235">
        <v>113021</v>
      </c>
      <c r="B525" s="236" t="s">
        <v>53</v>
      </c>
      <c r="C525" s="236" t="s">
        <v>2</v>
      </c>
      <c r="D525" s="126">
        <v>0</v>
      </c>
      <c r="E525" s="236" t="s">
        <v>1234</v>
      </c>
    </row>
    <row r="526" spans="1:5" x14ac:dyDescent="0.2">
      <c r="A526" s="235">
        <v>113023</v>
      </c>
      <c r="B526" s="236" t="s">
        <v>547</v>
      </c>
      <c r="C526" s="236" t="s">
        <v>15</v>
      </c>
      <c r="D526" s="126">
        <v>0</v>
      </c>
      <c r="E526" s="236" t="s">
        <v>1234</v>
      </c>
    </row>
    <row r="527" spans="1:5" x14ac:dyDescent="0.2">
      <c r="A527" s="235">
        <v>113024</v>
      </c>
      <c r="B527" s="236" t="s">
        <v>548</v>
      </c>
      <c r="C527" s="236" t="s">
        <v>39</v>
      </c>
      <c r="D527" s="126">
        <v>0</v>
      </c>
      <c r="E527" s="236" t="s">
        <v>1234</v>
      </c>
    </row>
    <row r="528" spans="1:5" x14ac:dyDescent="0.2">
      <c r="A528" s="235">
        <v>113025</v>
      </c>
      <c r="B528" s="236" t="s">
        <v>549</v>
      </c>
      <c r="C528" s="236" t="s">
        <v>2</v>
      </c>
      <c r="D528" s="126">
        <v>0</v>
      </c>
      <c r="E528" s="236" t="s">
        <v>1234</v>
      </c>
    </row>
    <row r="529" spans="1:5" x14ac:dyDescent="0.2">
      <c r="A529" s="235">
        <v>113028</v>
      </c>
      <c r="B529" s="236" t="s">
        <v>550</v>
      </c>
      <c r="C529" s="236" t="s">
        <v>182</v>
      </c>
      <c r="D529" s="126">
        <v>0</v>
      </c>
      <c r="E529" s="236" t="s">
        <v>1235</v>
      </c>
    </row>
    <row r="530" spans="1:5" x14ac:dyDescent="0.2">
      <c r="A530" s="235">
        <v>113029</v>
      </c>
      <c r="B530" s="236" t="s">
        <v>551</v>
      </c>
      <c r="C530" s="236" t="s">
        <v>15</v>
      </c>
      <c r="D530" s="126">
        <v>0</v>
      </c>
      <c r="E530" s="236" t="s">
        <v>1234</v>
      </c>
    </row>
    <row r="531" spans="1:5" x14ac:dyDescent="0.2">
      <c r="A531" s="235">
        <v>113030</v>
      </c>
      <c r="B531" s="236" t="s">
        <v>552</v>
      </c>
      <c r="C531" s="236" t="s">
        <v>15</v>
      </c>
      <c r="D531" s="126">
        <v>0</v>
      </c>
      <c r="E531" s="236" t="s">
        <v>1234</v>
      </c>
    </row>
    <row r="532" spans="1:5" x14ac:dyDescent="0.2">
      <c r="A532" s="235">
        <v>113032</v>
      </c>
      <c r="B532" s="236" t="s">
        <v>1288</v>
      </c>
      <c r="C532" s="236" t="s">
        <v>2</v>
      </c>
      <c r="D532" s="126">
        <v>0</v>
      </c>
      <c r="E532" s="236" t="s">
        <v>1234</v>
      </c>
    </row>
    <row r="533" spans="1:5" x14ac:dyDescent="0.2">
      <c r="A533" s="235">
        <v>113033</v>
      </c>
      <c r="B533" s="236" t="s">
        <v>553</v>
      </c>
      <c r="C533" s="236" t="s">
        <v>15</v>
      </c>
      <c r="D533" s="126">
        <v>0</v>
      </c>
      <c r="E533" s="236" t="s">
        <v>1234</v>
      </c>
    </row>
    <row r="534" spans="1:5" x14ac:dyDescent="0.2">
      <c r="A534" s="235">
        <v>113034</v>
      </c>
      <c r="B534" s="236" t="s">
        <v>554</v>
      </c>
      <c r="C534" s="236" t="s">
        <v>15</v>
      </c>
      <c r="D534" s="126">
        <v>0</v>
      </c>
      <c r="E534" s="236" t="s">
        <v>1234</v>
      </c>
    </row>
    <row r="535" spans="1:5" x14ac:dyDescent="0.2">
      <c r="A535" s="235">
        <v>113035</v>
      </c>
      <c r="B535" s="236" t="s">
        <v>555</v>
      </c>
      <c r="C535" s="236" t="s">
        <v>22</v>
      </c>
      <c r="D535" s="126">
        <v>0</v>
      </c>
      <c r="E535" s="236" t="s">
        <v>1235</v>
      </c>
    </row>
    <row r="536" spans="1:5" x14ac:dyDescent="0.2">
      <c r="A536" s="235">
        <v>113036</v>
      </c>
      <c r="B536" s="236" t="s">
        <v>556</v>
      </c>
      <c r="C536" s="236" t="s">
        <v>2</v>
      </c>
      <c r="D536" s="126">
        <v>0</v>
      </c>
      <c r="E536" s="236" t="s">
        <v>1234</v>
      </c>
    </row>
    <row r="537" spans="1:5" x14ac:dyDescent="0.2">
      <c r="A537" s="235">
        <v>113039</v>
      </c>
      <c r="B537" s="236" t="s">
        <v>108</v>
      </c>
      <c r="C537" s="236" t="s">
        <v>2</v>
      </c>
      <c r="D537" s="126">
        <v>0</v>
      </c>
      <c r="E537" s="236" t="s">
        <v>1234</v>
      </c>
    </row>
    <row r="538" spans="1:5" x14ac:dyDescent="0.2">
      <c r="A538" s="235">
        <v>113041</v>
      </c>
      <c r="B538" s="236" t="s">
        <v>557</v>
      </c>
      <c r="C538" s="236" t="s">
        <v>15</v>
      </c>
      <c r="D538" s="126">
        <v>0</v>
      </c>
      <c r="E538" s="236" t="s">
        <v>1234</v>
      </c>
    </row>
    <row r="539" spans="1:5" x14ac:dyDescent="0.2">
      <c r="A539" s="235">
        <v>113042</v>
      </c>
      <c r="B539" s="236" t="s">
        <v>558</v>
      </c>
      <c r="C539" s="236" t="s">
        <v>5</v>
      </c>
      <c r="D539" s="126">
        <v>0</v>
      </c>
      <c r="E539" s="236" t="s">
        <v>1234</v>
      </c>
    </row>
    <row r="540" spans="1:5" x14ac:dyDescent="0.2">
      <c r="A540" s="235">
        <v>113043</v>
      </c>
      <c r="B540" s="236" t="s">
        <v>559</v>
      </c>
      <c r="C540" s="236" t="s">
        <v>5</v>
      </c>
      <c r="D540" s="126">
        <v>0</v>
      </c>
      <c r="E540" s="236" t="s">
        <v>1234</v>
      </c>
    </row>
    <row r="541" spans="1:5" x14ac:dyDescent="0.2">
      <c r="A541" s="235">
        <v>113044</v>
      </c>
      <c r="B541" s="236" t="s">
        <v>560</v>
      </c>
      <c r="C541" s="236" t="s">
        <v>15</v>
      </c>
      <c r="D541" s="126">
        <v>0</v>
      </c>
      <c r="E541" s="236" t="s">
        <v>1234</v>
      </c>
    </row>
    <row r="542" spans="1:5" x14ac:dyDescent="0.2">
      <c r="A542" s="235">
        <v>113049</v>
      </c>
      <c r="B542" s="236" t="s">
        <v>561</v>
      </c>
      <c r="C542" s="236" t="s">
        <v>15</v>
      </c>
      <c r="D542" s="126">
        <v>0</v>
      </c>
      <c r="E542" s="236" t="s">
        <v>1234</v>
      </c>
    </row>
    <row r="543" spans="1:5" x14ac:dyDescent="0.2">
      <c r="A543" s="235">
        <v>113050</v>
      </c>
      <c r="B543" s="236" t="s">
        <v>562</v>
      </c>
      <c r="C543" s="236" t="s">
        <v>2</v>
      </c>
      <c r="D543" s="126">
        <v>0</v>
      </c>
      <c r="E543" s="236" t="s">
        <v>1234</v>
      </c>
    </row>
    <row r="544" spans="1:5" x14ac:dyDescent="0.2">
      <c r="A544" s="235">
        <v>113055</v>
      </c>
      <c r="B544" s="236" t="s">
        <v>563</v>
      </c>
      <c r="C544" s="236" t="s">
        <v>2</v>
      </c>
      <c r="D544" s="126">
        <v>0</v>
      </c>
      <c r="E544" s="236" t="s">
        <v>1234</v>
      </c>
    </row>
    <row r="545" spans="1:5" x14ac:dyDescent="0.2">
      <c r="A545" s="235">
        <v>113056</v>
      </c>
      <c r="B545" s="236" t="s">
        <v>564</v>
      </c>
      <c r="C545" s="236" t="s">
        <v>2</v>
      </c>
      <c r="D545" s="126">
        <v>0</v>
      </c>
      <c r="E545" s="236" t="s">
        <v>1234</v>
      </c>
    </row>
    <row r="546" spans="1:5" x14ac:dyDescent="0.2">
      <c r="A546" s="235">
        <v>113058</v>
      </c>
      <c r="B546" s="236" t="s">
        <v>565</v>
      </c>
      <c r="C546" s="236" t="s">
        <v>2</v>
      </c>
      <c r="D546" s="126">
        <v>0</v>
      </c>
      <c r="E546" s="236" t="s">
        <v>1234</v>
      </c>
    </row>
    <row r="547" spans="1:5" x14ac:dyDescent="0.2">
      <c r="A547" s="235">
        <v>113059</v>
      </c>
      <c r="B547" s="236" t="s">
        <v>566</v>
      </c>
      <c r="C547" s="236" t="s">
        <v>15</v>
      </c>
      <c r="D547" s="126">
        <v>0</v>
      </c>
      <c r="E547" s="236" t="s">
        <v>1234</v>
      </c>
    </row>
    <row r="548" spans="1:5" x14ac:dyDescent="0.2">
      <c r="A548" s="235">
        <v>113063</v>
      </c>
      <c r="B548" s="236" t="s">
        <v>567</v>
      </c>
      <c r="C548" s="236" t="s">
        <v>15</v>
      </c>
      <c r="D548" s="126">
        <v>0</v>
      </c>
      <c r="E548" s="236" t="s">
        <v>1234</v>
      </c>
    </row>
    <row r="549" spans="1:5" x14ac:dyDescent="0.2">
      <c r="A549" s="235">
        <v>113064</v>
      </c>
      <c r="B549" s="236" t="s">
        <v>568</v>
      </c>
      <c r="C549" s="236" t="s">
        <v>5</v>
      </c>
      <c r="D549" s="126">
        <v>1</v>
      </c>
      <c r="E549" s="236" t="s">
        <v>1234</v>
      </c>
    </row>
    <row r="550" spans="1:5" x14ac:dyDescent="0.2">
      <c r="A550" s="235">
        <v>113068</v>
      </c>
      <c r="B550" s="236" t="s">
        <v>569</v>
      </c>
      <c r="C550" s="236" t="s">
        <v>22</v>
      </c>
      <c r="D550" s="126">
        <v>0</v>
      </c>
      <c r="E550" s="236" t="s">
        <v>1234</v>
      </c>
    </row>
    <row r="551" spans="1:5" x14ac:dyDescent="0.2">
      <c r="A551" s="235">
        <v>113071</v>
      </c>
      <c r="B551" s="236" t="s">
        <v>570</v>
      </c>
      <c r="C551" s="236" t="s">
        <v>146</v>
      </c>
      <c r="D551" s="126">
        <v>0</v>
      </c>
      <c r="E551" s="236" t="s">
        <v>1234</v>
      </c>
    </row>
    <row r="552" spans="1:5" x14ac:dyDescent="0.2">
      <c r="A552" s="235">
        <v>113072</v>
      </c>
      <c r="B552" s="236" t="s">
        <v>571</v>
      </c>
      <c r="C552" s="236" t="s">
        <v>5</v>
      </c>
      <c r="D552" s="126">
        <v>0</v>
      </c>
      <c r="E552" s="236" t="s">
        <v>1234</v>
      </c>
    </row>
    <row r="553" spans="1:5" x14ac:dyDescent="0.2">
      <c r="A553" s="235">
        <v>113073</v>
      </c>
      <c r="B553" s="236" t="s">
        <v>572</v>
      </c>
      <c r="C553" s="236" t="s">
        <v>2</v>
      </c>
      <c r="D553" s="126">
        <v>0</v>
      </c>
      <c r="E553" s="236" t="s">
        <v>1234</v>
      </c>
    </row>
    <row r="554" spans="1:5" x14ac:dyDescent="0.2">
      <c r="A554" s="235">
        <v>113074</v>
      </c>
      <c r="B554" s="236" t="s">
        <v>573</v>
      </c>
      <c r="C554" s="236" t="s">
        <v>15</v>
      </c>
      <c r="D554" s="126">
        <v>0</v>
      </c>
      <c r="E554" s="236" t="s">
        <v>1234</v>
      </c>
    </row>
    <row r="555" spans="1:5" x14ac:dyDescent="0.2">
      <c r="A555" s="235">
        <v>113075</v>
      </c>
      <c r="B555" s="236" t="s">
        <v>574</v>
      </c>
      <c r="C555" s="236" t="s">
        <v>2</v>
      </c>
      <c r="D555" s="126">
        <v>0</v>
      </c>
      <c r="E555" s="236" t="s">
        <v>1234</v>
      </c>
    </row>
    <row r="556" spans="1:5" x14ac:dyDescent="0.2">
      <c r="A556" s="235">
        <v>113077</v>
      </c>
      <c r="B556" s="236" t="s">
        <v>575</v>
      </c>
      <c r="C556" s="236" t="s">
        <v>5</v>
      </c>
      <c r="D556" s="126">
        <v>1</v>
      </c>
      <c r="E556" s="236" t="s">
        <v>1234</v>
      </c>
    </row>
    <row r="557" spans="1:5" x14ac:dyDescent="0.2">
      <c r="A557" s="235">
        <v>113079</v>
      </c>
      <c r="B557" s="236" t="s">
        <v>576</v>
      </c>
      <c r="C557" s="236" t="s">
        <v>5</v>
      </c>
      <c r="D557" s="126">
        <v>0</v>
      </c>
      <c r="E557" s="236" t="s">
        <v>1234</v>
      </c>
    </row>
    <row r="558" spans="1:5" x14ac:dyDescent="0.2">
      <c r="A558" s="235">
        <v>113080</v>
      </c>
      <c r="B558" s="236" t="s">
        <v>577</v>
      </c>
      <c r="C558" s="236" t="s">
        <v>22</v>
      </c>
      <c r="D558" s="126">
        <v>0</v>
      </c>
      <c r="E558" s="236" t="s">
        <v>1234</v>
      </c>
    </row>
    <row r="559" spans="1:5" x14ac:dyDescent="0.2">
      <c r="A559" s="235">
        <v>113081</v>
      </c>
      <c r="B559" s="236" t="s">
        <v>578</v>
      </c>
      <c r="C559" s="236" t="s">
        <v>5</v>
      </c>
      <c r="D559" s="126">
        <v>0</v>
      </c>
      <c r="E559" s="236" t="s">
        <v>1234</v>
      </c>
    </row>
    <row r="560" spans="1:5" x14ac:dyDescent="0.2">
      <c r="A560" s="235">
        <v>113082</v>
      </c>
      <c r="B560" s="236" t="s">
        <v>579</v>
      </c>
      <c r="C560" s="236" t="s">
        <v>2</v>
      </c>
      <c r="D560" s="126">
        <v>0</v>
      </c>
      <c r="E560" s="236" t="s">
        <v>1285</v>
      </c>
    </row>
    <row r="561" spans="1:5" x14ac:dyDescent="0.2">
      <c r="A561" s="235">
        <v>113083</v>
      </c>
      <c r="B561" s="236" t="s">
        <v>580</v>
      </c>
      <c r="C561" s="236" t="s">
        <v>146</v>
      </c>
      <c r="D561" s="126">
        <v>0</v>
      </c>
      <c r="E561" s="236" t="s">
        <v>1235</v>
      </c>
    </row>
    <row r="562" spans="1:5" x14ac:dyDescent="0.2">
      <c r="A562" s="235">
        <v>113086</v>
      </c>
      <c r="B562" s="236" t="s">
        <v>581</v>
      </c>
      <c r="C562" s="236" t="s">
        <v>15</v>
      </c>
      <c r="D562" s="126">
        <v>0</v>
      </c>
      <c r="E562" s="236" t="s">
        <v>1234</v>
      </c>
    </row>
    <row r="563" spans="1:5" x14ac:dyDescent="0.2">
      <c r="A563" s="235">
        <v>113093</v>
      </c>
      <c r="B563" s="236" t="s">
        <v>583</v>
      </c>
      <c r="C563" s="236" t="s">
        <v>5</v>
      </c>
      <c r="D563" s="126">
        <v>0</v>
      </c>
      <c r="E563" s="236" t="s">
        <v>1234</v>
      </c>
    </row>
    <row r="564" spans="1:5" x14ac:dyDescent="0.2">
      <c r="A564" s="235">
        <v>113094</v>
      </c>
      <c r="B564" s="236" t="s">
        <v>584</v>
      </c>
      <c r="C564" s="236" t="s">
        <v>5</v>
      </c>
      <c r="D564" s="126">
        <v>0</v>
      </c>
      <c r="E564" s="236" t="s">
        <v>1234</v>
      </c>
    </row>
    <row r="565" spans="1:5" x14ac:dyDescent="0.2">
      <c r="A565" s="235">
        <v>113095</v>
      </c>
      <c r="B565" s="236" t="s">
        <v>585</v>
      </c>
      <c r="C565" s="236" t="s">
        <v>146</v>
      </c>
      <c r="D565" s="126">
        <v>0</v>
      </c>
      <c r="E565" s="236" t="s">
        <v>1234</v>
      </c>
    </row>
    <row r="566" spans="1:5" x14ac:dyDescent="0.2">
      <c r="A566" s="235">
        <v>113098</v>
      </c>
      <c r="B566" s="236" t="s">
        <v>586</v>
      </c>
      <c r="C566" s="236" t="s">
        <v>22</v>
      </c>
      <c r="D566" s="126">
        <v>0</v>
      </c>
      <c r="E566" s="236" t="s">
        <v>1234</v>
      </c>
    </row>
    <row r="567" spans="1:5" x14ac:dyDescent="0.2">
      <c r="A567" s="235">
        <v>113101</v>
      </c>
      <c r="B567" s="236" t="s">
        <v>587</v>
      </c>
      <c r="C567" s="236" t="s">
        <v>5</v>
      </c>
      <c r="D567" s="126">
        <v>0</v>
      </c>
      <c r="E567" s="236" t="s">
        <v>1234</v>
      </c>
    </row>
    <row r="568" spans="1:5" x14ac:dyDescent="0.2">
      <c r="A568" s="235">
        <v>113103</v>
      </c>
      <c r="B568" s="236" t="s">
        <v>588</v>
      </c>
      <c r="C568" s="236" t="s">
        <v>5</v>
      </c>
      <c r="D568" s="126">
        <v>0</v>
      </c>
      <c r="E568" s="236" t="s">
        <v>1235</v>
      </c>
    </row>
    <row r="569" spans="1:5" x14ac:dyDescent="0.2">
      <c r="A569" s="235">
        <v>113106</v>
      </c>
      <c r="B569" s="236" t="s">
        <v>85</v>
      </c>
      <c r="C569" s="236" t="s">
        <v>2</v>
      </c>
      <c r="D569" s="126">
        <v>0</v>
      </c>
      <c r="E569" s="236" t="s">
        <v>1235</v>
      </c>
    </row>
    <row r="570" spans="1:5" x14ac:dyDescent="0.2">
      <c r="A570" s="235">
        <v>113107</v>
      </c>
      <c r="B570" s="236" t="s">
        <v>589</v>
      </c>
      <c r="C570" s="236" t="s">
        <v>2</v>
      </c>
      <c r="D570" s="126">
        <v>0</v>
      </c>
      <c r="E570" s="236" t="s">
        <v>1234</v>
      </c>
    </row>
    <row r="571" spans="1:5" x14ac:dyDescent="0.2">
      <c r="A571" s="235">
        <v>113109</v>
      </c>
      <c r="B571" s="236" t="s">
        <v>590</v>
      </c>
      <c r="C571" s="236" t="s">
        <v>39</v>
      </c>
      <c r="D571" s="126">
        <v>0</v>
      </c>
      <c r="E571" s="236" t="s">
        <v>1234</v>
      </c>
    </row>
    <row r="572" spans="1:5" x14ac:dyDescent="0.2">
      <c r="A572" s="235">
        <v>113110</v>
      </c>
      <c r="B572" s="236" t="s">
        <v>591</v>
      </c>
      <c r="C572" s="236" t="s">
        <v>2</v>
      </c>
      <c r="D572" s="126">
        <v>0</v>
      </c>
      <c r="E572" s="236" t="s">
        <v>1234</v>
      </c>
    </row>
    <row r="573" spans="1:5" x14ac:dyDescent="0.2">
      <c r="A573" s="235">
        <v>113111</v>
      </c>
      <c r="B573" s="236" t="s">
        <v>592</v>
      </c>
      <c r="C573" s="236" t="s">
        <v>5</v>
      </c>
      <c r="D573" s="126">
        <v>2</v>
      </c>
      <c r="E573" s="236" t="s">
        <v>1234</v>
      </c>
    </row>
    <row r="574" spans="1:5" x14ac:dyDescent="0.2">
      <c r="A574" s="235">
        <v>113114</v>
      </c>
      <c r="B574" s="236" t="s">
        <v>593</v>
      </c>
      <c r="C574" s="236" t="s">
        <v>2</v>
      </c>
      <c r="D574" s="126">
        <v>0</v>
      </c>
      <c r="E574" s="236" t="s">
        <v>1234</v>
      </c>
    </row>
    <row r="575" spans="1:5" x14ac:dyDescent="0.2">
      <c r="A575" s="235">
        <v>113116</v>
      </c>
      <c r="B575" s="236" t="s">
        <v>594</v>
      </c>
      <c r="C575" s="236" t="s">
        <v>2</v>
      </c>
      <c r="D575" s="126">
        <v>0</v>
      </c>
      <c r="E575" s="236" t="s">
        <v>1234</v>
      </c>
    </row>
    <row r="576" spans="1:5" x14ac:dyDescent="0.2">
      <c r="A576" s="235">
        <v>113117</v>
      </c>
      <c r="B576" s="236" t="s">
        <v>595</v>
      </c>
      <c r="C576" s="236" t="s">
        <v>5</v>
      </c>
      <c r="D576" s="126">
        <v>0</v>
      </c>
      <c r="E576" s="236" t="s">
        <v>1234</v>
      </c>
    </row>
    <row r="577" spans="1:5" x14ac:dyDescent="0.2">
      <c r="A577" s="235">
        <v>113118</v>
      </c>
      <c r="B577" s="236" t="s">
        <v>596</v>
      </c>
      <c r="C577" s="236" t="s">
        <v>411</v>
      </c>
      <c r="D577" s="126">
        <v>0</v>
      </c>
      <c r="E577" s="236" t="s">
        <v>1234</v>
      </c>
    </row>
    <row r="578" spans="1:5" x14ac:dyDescent="0.2">
      <c r="A578" s="235">
        <v>113119</v>
      </c>
      <c r="B578" s="236" t="s">
        <v>597</v>
      </c>
      <c r="C578" s="236" t="s">
        <v>22</v>
      </c>
      <c r="D578" s="126">
        <v>0</v>
      </c>
      <c r="E578" s="236" t="s">
        <v>1234</v>
      </c>
    </row>
    <row r="579" spans="1:5" x14ac:dyDescent="0.2">
      <c r="A579" s="235">
        <v>113120</v>
      </c>
      <c r="B579" s="236" t="s">
        <v>598</v>
      </c>
      <c r="C579" s="236" t="s">
        <v>39</v>
      </c>
      <c r="D579" s="126">
        <v>0</v>
      </c>
      <c r="E579" s="236" t="s">
        <v>1234</v>
      </c>
    </row>
    <row r="580" spans="1:5" x14ac:dyDescent="0.2">
      <c r="A580" s="235">
        <v>113121</v>
      </c>
      <c r="B580" s="236" t="s">
        <v>1291</v>
      </c>
      <c r="C580" s="236" t="s">
        <v>15</v>
      </c>
      <c r="D580" s="126">
        <v>0</v>
      </c>
      <c r="E580" s="236" t="s">
        <v>1234</v>
      </c>
    </row>
    <row r="581" spans="1:5" x14ac:dyDescent="0.2">
      <c r="A581" s="235">
        <v>113122</v>
      </c>
      <c r="B581" s="236" t="s">
        <v>1524</v>
      </c>
      <c r="C581" s="236" t="s">
        <v>2</v>
      </c>
      <c r="D581" s="126">
        <v>0</v>
      </c>
      <c r="E581" s="236" t="s">
        <v>1234</v>
      </c>
    </row>
    <row r="582" spans="1:5" x14ac:dyDescent="0.2">
      <c r="A582" s="235">
        <v>113123</v>
      </c>
      <c r="B582" s="236" t="s">
        <v>599</v>
      </c>
      <c r="C582" s="236" t="s">
        <v>282</v>
      </c>
      <c r="D582" s="126">
        <v>0</v>
      </c>
      <c r="E582" s="236" t="s">
        <v>1234</v>
      </c>
    </row>
    <row r="583" spans="1:5" x14ac:dyDescent="0.2">
      <c r="A583" s="235">
        <v>113124</v>
      </c>
      <c r="B583" s="236" t="s">
        <v>600</v>
      </c>
      <c r="C583" s="236" t="s">
        <v>22</v>
      </c>
      <c r="D583" s="126">
        <v>0</v>
      </c>
      <c r="E583" s="236" t="s">
        <v>1234</v>
      </c>
    </row>
    <row r="584" spans="1:5" x14ac:dyDescent="0.2">
      <c r="A584" s="235">
        <v>113125</v>
      </c>
      <c r="B584" s="236" t="s">
        <v>601</v>
      </c>
      <c r="C584" s="236" t="s">
        <v>22</v>
      </c>
      <c r="D584" s="126">
        <v>0</v>
      </c>
      <c r="E584" s="236" t="s">
        <v>1234</v>
      </c>
    </row>
    <row r="585" spans="1:5" x14ac:dyDescent="0.2">
      <c r="A585" s="235">
        <v>113127</v>
      </c>
      <c r="B585" s="236" t="s">
        <v>1267</v>
      </c>
      <c r="C585" s="236" t="s">
        <v>2</v>
      </c>
      <c r="D585" s="126">
        <v>0</v>
      </c>
      <c r="E585" s="236" t="s">
        <v>1234</v>
      </c>
    </row>
    <row r="586" spans="1:5" x14ac:dyDescent="0.2">
      <c r="A586" s="235">
        <v>113131</v>
      </c>
      <c r="B586" s="236" t="s">
        <v>602</v>
      </c>
      <c r="C586" s="236" t="s">
        <v>2</v>
      </c>
      <c r="D586" s="126">
        <v>0</v>
      </c>
      <c r="E586" s="236" t="s">
        <v>1234</v>
      </c>
    </row>
    <row r="587" spans="1:5" x14ac:dyDescent="0.2">
      <c r="A587" s="235">
        <v>113132</v>
      </c>
      <c r="B587" s="236" t="s">
        <v>603</v>
      </c>
      <c r="C587" s="236" t="s">
        <v>22</v>
      </c>
      <c r="D587" s="126">
        <v>0</v>
      </c>
      <c r="E587" s="236" t="s">
        <v>1234</v>
      </c>
    </row>
    <row r="588" spans="1:5" x14ac:dyDescent="0.2">
      <c r="A588" s="235">
        <v>113134</v>
      </c>
      <c r="B588" s="236" t="s">
        <v>604</v>
      </c>
      <c r="C588" s="236" t="s">
        <v>22</v>
      </c>
      <c r="D588" s="126">
        <v>0</v>
      </c>
      <c r="E588" s="236" t="s">
        <v>1234</v>
      </c>
    </row>
    <row r="589" spans="1:5" x14ac:dyDescent="0.2">
      <c r="A589" s="235">
        <v>113135</v>
      </c>
      <c r="B589" s="236" t="s">
        <v>605</v>
      </c>
      <c r="C589" s="236" t="s">
        <v>2</v>
      </c>
      <c r="D589" s="126">
        <v>0</v>
      </c>
      <c r="E589" s="236" t="s">
        <v>1234</v>
      </c>
    </row>
    <row r="590" spans="1:5" x14ac:dyDescent="0.2">
      <c r="A590" s="235">
        <v>113136</v>
      </c>
      <c r="B590" s="236" t="s">
        <v>606</v>
      </c>
      <c r="C590" s="236" t="s">
        <v>22</v>
      </c>
      <c r="D590" s="126">
        <v>0</v>
      </c>
      <c r="E590" s="236" t="s">
        <v>1234</v>
      </c>
    </row>
    <row r="591" spans="1:5" x14ac:dyDescent="0.2">
      <c r="A591" s="235">
        <v>113137</v>
      </c>
      <c r="B591" s="236" t="s">
        <v>607</v>
      </c>
      <c r="C591" s="236" t="s">
        <v>22</v>
      </c>
      <c r="D591" s="126">
        <v>0</v>
      </c>
      <c r="E591" s="236" t="s">
        <v>1234</v>
      </c>
    </row>
    <row r="592" spans="1:5" x14ac:dyDescent="0.2">
      <c r="A592" s="235">
        <v>113139</v>
      </c>
      <c r="B592" s="236" t="s">
        <v>608</v>
      </c>
      <c r="C592" s="236" t="s">
        <v>2</v>
      </c>
      <c r="D592" s="126">
        <v>0</v>
      </c>
      <c r="E592" s="236" t="s">
        <v>1235</v>
      </c>
    </row>
    <row r="593" spans="1:5" x14ac:dyDescent="0.2">
      <c r="A593" s="235">
        <v>113140</v>
      </c>
      <c r="B593" s="236" t="s">
        <v>609</v>
      </c>
      <c r="C593" s="236" t="s">
        <v>2</v>
      </c>
      <c r="D593" s="126">
        <v>0</v>
      </c>
      <c r="E593" s="236" t="s">
        <v>1234</v>
      </c>
    </row>
    <row r="594" spans="1:5" x14ac:dyDescent="0.2">
      <c r="A594" s="235">
        <v>113141</v>
      </c>
      <c r="B594" s="236" t="s">
        <v>610</v>
      </c>
      <c r="C594" s="236" t="s">
        <v>2</v>
      </c>
      <c r="D594" s="126">
        <v>0</v>
      </c>
      <c r="E594" s="236" t="s">
        <v>1234</v>
      </c>
    </row>
    <row r="595" spans="1:5" x14ac:dyDescent="0.2">
      <c r="A595" s="235">
        <v>113142</v>
      </c>
      <c r="B595" s="236" t="s">
        <v>611</v>
      </c>
      <c r="C595" s="236" t="s">
        <v>22</v>
      </c>
      <c r="D595" s="126">
        <v>0</v>
      </c>
      <c r="E595" s="236" t="s">
        <v>1235</v>
      </c>
    </row>
    <row r="596" spans="1:5" x14ac:dyDescent="0.2">
      <c r="A596" s="235">
        <v>113146</v>
      </c>
      <c r="B596" s="236" t="s">
        <v>612</v>
      </c>
      <c r="C596" s="236" t="s">
        <v>2</v>
      </c>
      <c r="D596" s="126">
        <v>0</v>
      </c>
      <c r="E596" s="236" t="s">
        <v>1234</v>
      </c>
    </row>
    <row r="597" spans="1:5" x14ac:dyDescent="0.2">
      <c r="A597" s="235">
        <v>113149</v>
      </c>
      <c r="B597" s="236" t="s">
        <v>613</v>
      </c>
      <c r="C597" s="236" t="s">
        <v>2</v>
      </c>
      <c r="D597" s="126">
        <v>0</v>
      </c>
      <c r="E597" s="236" t="s">
        <v>1234</v>
      </c>
    </row>
    <row r="598" spans="1:5" x14ac:dyDescent="0.2">
      <c r="A598" s="235">
        <v>113150</v>
      </c>
      <c r="B598" s="236" t="s">
        <v>614</v>
      </c>
      <c r="C598" s="236" t="s">
        <v>22</v>
      </c>
      <c r="D598" s="126">
        <v>0</v>
      </c>
      <c r="E598" s="236" t="s">
        <v>1234</v>
      </c>
    </row>
    <row r="599" spans="1:5" x14ac:dyDescent="0.2">
      <c r="A599" s="235">
        <v>113151</v>
      </c>
      <c r="B599" s="236" t="s">
        <v>615</v>
      </c>
      <c r="C599" s="236" t="s">
        <v>5</v>
      </c>
      <c r="D599" s="126">
        <v>0</v>
      </c>
      <c r="E599" s="236" t="s">
        <v>1234</v>
      </c>
    </row>
    <row r="600" spans="1:5" x14ac:dyDescent="0.2">
      <c r="A600" s="235">
        <v>113153</v>
      </c>
      <c r="B600" s="236" t="s">
        <v>616</v>
      </c>
      <c r="C600" s="236" t="s">
        <v>5</v>
      </c>
      <c r="D600" s="126">
        <v>0</v>
      </c>
      <c r="E600" s="236" t="s">
        <v>1235</v>
      </c>
    </row>
    <row r="601" spans="1:5" x14ac:dyDescent="0.2">
      <c r="A601" s="235">
        <v>113155</v>
      </c>
      <c r="B601" s="236" t="s">
        <v>617</v>
      </c>
      <c r="C601" s="236" t="s">
        <v>15</v>
      </c>
      <c r="D601" s="126">
        <v>0</v>
      </c>
      <c r="E601" s="236" t="s">
        <v>1234</v>
      </c>
    </row>
    <row r="602" spans="1:5" x14ac:dyDescent="0.2">
      <c r="A602" s="235">
        <v>113157</v>
      </c>
      <c r="B602" s="236" t="s">
        <v>618</v>
      </c>
      <c r="C602" s="236" t="s">
        <v>2</v>
      </c>
      <c r="D602" s="126">
        <v>0</v>
      </c>
      <c r="E602" s="236" t="s">
        <v>1234</v>
      </c>
    </row>
    <row r="603" spans="1:5" x14ac:dyDescent="0.2">
      <c r="A603" s="235">
        <v>113158</v>
      </c>
      <c r="B603" s="236" t="s">
        <v>619</v>
      </c>
      <c r="C603" s="236" t="s">
        <v>22</v>
      </c>
      <c r="D603" s="126">
        <v>0</v>
      </c>
      <c r="E603" s="236" t="s">
        <v>1234</v>
      </c>
    </row>
    <row r="604" spans="1:5" x14ac:dyDescent="0.2">
      <c r="A604" s="235">
        <v>113159</v>
      </c>
      <c r="B604" s="236" t="s">
        <v>620</v>
      </c>
      <c r="C604" s="236" t="s">
        <v>22</v>
      </c>
      <c r="D604" s="126">
        <v>0</v>
      </c>
      <c r="E604" s="236" t="s">
        <v>1234</v>
      </c>
    </row>
    <row r="605" spans="1:5" x14ac:dyDescent="0.2">
      <c r="A605" s="235">
        <v>113160</v>
      </c>
      <c r="B605" s="236" t="s">
        <v>621</v>
      </c>
      <c r="C605" s="236" t="s">
        <v>22</v>
      </c>
      <c r="D605" s="126">
        <v>0</v>
      </c>
      <c r="E605" s="236" t="s">
        <v>1234</v>
      </c>
    </row>
    <row r="606" spans="1:5" x14ac:dyDescent="0.2">
      <c r="A606" s="235">
        <v>113161</v>
      </c>
      <c r="B606" s="236" t="s">
        <v>622</v>
      </c>
      <c r="C606" s="236" t="s">
        <v>15</v>
      </c>
      <c r="D606" s="126">
        <v>0</v>
      </c>
      <c r="E606" s="236" t="s">
        <v>1234</v>
      </c>
    </row>
    <row r="607" spans="1:5" x14ac:dyDescent="0.2">
      <c r="A607" s="235">
        <v>113162</v>
      </c>
      <c r="B607" s="236" t="s">
        <v>514</v>
      </c>
      <c r="C607" s="236" t="s">
        <v>22</v>
      </c>
      <c r="D607" s="126">
        <v>0</v>
      </c>
      <c r="E607" s="236" t="s">
        <v>1234</v>
      </c>
    </row>
    <row r="608" spans="1:5" x14ac:dyDescent="0.2">
      <c r="A608" s="235">
        <v>113163</v>
      </c>
      <c r="B608" s="236" t="s">
        <v>623</v>
      </c>
      <c r="C608" s="236" t="s">
        <v>22</v>
      </c>
      <c r="D608" s="126">
        <v>0</v>
      </c>
      <c r="E608" s="236" t="s">
        <v>1234</v>
      </c>
    </row>
    <row r="609" spans="1:5" x14ac:dyDescent="0.2">
      <c r="A609" s="235">
        <v>113164</v>
      </c>
      <c r="B609" s="236" t="s">
        <v>624</v>
      </c>
      <c r="C609" s="236" t="s">
        <v>22</v>
      </c>
      <c r="D609" s="126">
        <v>0</v>
      </c>
      <c r="E609" s="236" t="s">
        <v>1234</v>
      </c>
    </row>
    <row r="610" spans="1:5" x14ac:dyDescent="0.2">
      <c r="A610" s="235">
        <v>113166</v>
      </c>
      <c r="B610" s="236" t="s">
        <v>625</v>
      </c>
      <c r="C610" s="236" t="s">
        <v>22</v>
      </c>
      <c r="D610" s="126">
        <v>0</v>
      </c>
      <c r="E610" s="236" t="s">
        <v>1234</v>
      </c>
    </row>
    <row r="611" spans="1:5" x14ac:dyDescent="0.2">
      <c r="A611" s="235">
        <v>113167</v>
      </c>
      <c r="B611" s="236" t="s">
        <v>626</v>
      </c>
      <c r="C611" s="236" t="s">
        <v>2</v>
      </c>
      <c r="D611" s="126">
        <v>0</v>
      </c>
      <c r="E611" s="236" t="s">
        <v>1234</v>
      </c>
    </row>
    <row r="612" spans="1:5" x14ac:dyDescent="0.2">
      <c r="A612" s="235">
        <v>113169</v>
      </c>
      <c r="B612" s="236" t="s">
        <v>627</v>
      </c>
      <c r="C612" s="236" t="s">
        <v>2</v>
      </c>
      <c r="D612" s="126">
        <v>0</v>
      </c>
      <c r="E612" s="236" t="s">
        <v>1234</v>
      </c>
    </row>
    <row r="613" spans="1:5" x14ac:dyDescent="0.2">
      <c r="A613" s="235">
        <v>113171</v>
      </c>
      <c r="B613" s="236" t="s">
        <v>628</v>
      </c>
      <c r="C613" s="236" t="s">
        <v>5</v>
      </c>
      <c r="D613" s="126">
        <v>0</v>
      </c>
      <c r="E613" s="236" t="s">
        <v>1234</v>
      </c>
    </row>
    <row r="614" spans="1:5" x14ac:dyDescent="0.2">
      <c r="A614" s="235">
        <v>113172</v>
      </c>
      <c r="B614" s="236" t="s">
        <v>629</v>
      </c>
      <c r="C614" s="236" t="s">
        <v>2</v>
      </c>
      <c r="D614" s="126">
        <v>0</v>
      </c>
      <c r="E614" s="236" t="s">
        <v>1234</v>
      </c>
    </row>
    <row r="615" spans="1:5" x14ac:dyDescent="0.2">
      <c r="A615" s="235">
        <v>113173</v>
      </c>
      <c r="B615" s="236" t="s">
        <v>630</v>
      </c>
      <c r="C615" s="236" t="s">
        <v>5</v>
      </c>
      <c r="D615" s="126">
        <v>0</v>
      </c>
      <c r="E615" s="236" t="s">
        <v>1235</v>
      </c>
    </row>
    <row r="616" spans="1:5" x14ac:dyDescent="0.2">
      <c r="A616" s="235">
        <v>113177</v>
      </c>
      <c r="B616" s="236" t="s">
        <v>631</v>
      </c>
      <c r="C616" s="236" t="s">
        <v>2</v>
      </c>
      <c r="D616" s="126">
        <v>0</v>
      </c>
      <c r="E616" s="236" t="s">
        <v>1234</v>
      </c>
    </row>
    <row r="617" spans="1:5" x14ac:dyDescent="0.2">
      <c r="A617" s="235">
        <v>113179</v>
      </c>
      <c r="B617" s="236" t="s">
        <v>632</v>
      </c>
      <c r="C617" s="236" t="s">
        <v>5</v>
      </c>
      <c r="D617" s="126">
        <v>0</v>
      </c>
      <c r="E617" s="236" t="s">
        <v>1234</v>
      </c>
    </row>
    <row r="618" spans="1:5" x14ac:dyDescent="0.2">
      <c r="A618" s="235">
        <v>113181</v>
      </c>
      <c r="B618" s="236" t="s">
        <v>633</v>
      </c>
      <c r="C618" s="236" t="s">
        <v>5</v>
      </c>
      <c r="D618" s="126">
        <v>0</v>
      </c>
      <c r="E618" s="236" t="s">
        <v>1234</v>
      </c>
    </row>
    <row r="619" spans="1:5" x14ac:dyDescent="0.2">
      <c r="A619" s="235">
        <v>113183</v>
      </c>
      <c r="B619" s="236" t="s">
        <v>634</v>
      </c>
      <c r="C619" s="236" t="s">
        <v>22</v>
      </c>
      <c r="D619" s="126">
        <v>0</v>
      </c>
      <c r="E619" s="236" t="s">
        <v>1234</v>
      </c>
    </row>
    <row r="620" spans="1:5" x14ac:dyDescent="0.2">
      <c r="A620" s="235">
        <v>113185</v>
      </c>
      <c r="B620" s="236" t="s">
        <v>635</v>
      </c>
      <c r="C620" s="236" t="s">
        <v>15</v>
      </c>
      <c r="D620" s="126">
        <v>0</v>
      </c>
      <c r="E620" s="236" t="s">
        <v>1234</v>
      </c>
    </row>
    <row r="621" spans="1:5" x14ac:dyDescent="0.2">
      <c r="A621" s="235">
        <v>113186</v>
      </c>
      <c r="B621" s="236" t="s">
        <v>636</v>
      </c>
      <c r="C621" s="236" t="s">
        <v>2</v>
      </c>
      <c r="D621" s="126">
        <v>0</v>
      </c>
      <c r="E621" s="236" t="s">
        <v>1234</v>
      </c>
    </row>
    <row r="622" spans="1:5" x14ac:dyDescent="0.2">
      <c r="A622" s="235">
        <v>113188</v>
      </c>
      <c r="B622" s="236" t="s">
        <v>637</v>
      </c>
      <c r="C622" s="236" t="s">
        <v>5</v>
      </c>
      <c r="D622" s="126">
        <v>0</v>
      </c>
      <c r="E622" s="236" t="s">
        <v>1234</v>
      </c>
    </row>
    <row r="623" spans="1:5" x14ac:dyDescent="0.2">
      <c r="A623" s="235">
        <v>113189</v>
      </c>
      <c r="B623" s="236" t="s">
        <v>638</v>
      </c>
      <c r="C623" s="236" t="s">
        <v>22</v>
      </c>
      <c r="D623" s="126">
        <v>0</v>
      </c>
      <c r="E623" s="236" t="s">
        <v>1234</v>
      </c>
    </row>
    <row r="624" spans="1:5" x14ac:dyDescent="0.2">
      <c r="A624" s="235">
        <v>113192</v>
      </c>
      <c r="B624" s="236" t="s">
        <v>639</v>
      </c>
      <c r="C624" s="236" t="s">
        <v>2</v>
      </c>
      <c r="D624" s="126">
        <v>0</v>
      </c>
      <c r="E624" s="236" t="s">
        <v>1234</v>
      </c>
    </row>
    <row r="625" spans="1:5" x14ac:dyDescent="0.2">
      <c r="A625" s="235">
        <v>113194</v>
      </c>
      <c r="B625" s="236" t="s">
        <v>640</v>
      </c>
      <c r="C625" s="236" t="s">
        <v>2</v>
      </c>
      <c r="D625" s="126">
        <v>0</v>
      </c>
      <c r="E625" s="236" t="s">
        <v>1234</v>
      </c>
    </row>
    <row r="626" spans="1:5" x14ac:dyDescent="0.2">
      <c r="A626" s="235">
        <v>113198</v>
      </c>
      <c r="B626" s="236" t="s">
        <v>641</v>
      </c>
      <c r="C626" s="236" t="s">
        <v>146</v>
      </c>
      <c r="D626" s="126">
        <v>0</v>
      </c>
      <c r="E626" s="236" t="s">
        <v>1234</v>
      </c>
    </row>
    <row r="627" spans="1:5" x14ac:dyDescent="0.2">
      <c r="A627" s="235">
        <v>113199</v>
      </c>
      <c r="B627" s="236" t="s">
        <v>642</v>
      </c>
      <c r="C627" s="236" t="s">
        <v>2</v>
      </c>
      <c r="D627" s="126">
        <v>0</v>
      </c>
      <c r="E627" s="236" t="s">
        <v>1234</v>
      </c>
    </row>
    <row r="628" spans="1:5" x14ac:dyDescent="0.2">
      <c r="A628" s="235">
        <v>113201</v>
      </c>
      <c r="B628" s="236" t="s">
        <v>643</v>
      </c>
      <c r="C628" s="236" t="s">
        <v>2</v>
      </c>
      <c r="D628" s="126">
        <v>0</v>
      </c>
      <c r="E628" s="236" t="s">
        <v>1234</v>
      </c>
    </row>
    <row r="629" spans="1:5" x14ac:dyDescent="0.2">
      <c r="A629" s="235">
        <v>113202</v>
      </c>
      <c r="B629" s="236" t="s">
        <v>644</v>
      </c>
      <c r="C629" s="236" t="s">
        <v>5</v>
      </c>
      <c r="D629" s="126">
        <v>0</v>
      </c>
      <c r="E629" s="236" t="s">
        <v>1234</v>
      </c>
    </row>
    <row r="630" spans="1:5" x14ac:dyDescent="0.2">
      <c r="A630" s="235">
        <v>113203</v>
      </c>
      <c r="B630" s="236" t="s">
        <v>645</v>
      </c>
      <c r="C630" s="236" t="s">
        <v>5</v>
      </c>
      <c r="D630" s="126">
        <v>0</v>
      </c>
      <c r="E630" s="236" t="s">
        <v>1234</v>
      </c>
    </row>
    <row r="631" spans="1:5" x14ac:dyDescent="0.2">
      <c r="A631" s="235">
        <v>113204</v>
      </c>
      <c r="B631" s="236" t="s">
        <v>646</v>
      </c>
      <c r="C631" s="236" t="s">
        <v>5</v>
      </c>
      <c r="D631" s="126">
        <v>0</v>
      </c>
      <c r="E631" s="236" t="s">
        <v>1234</v>
      </c>
    </row>
    <row r="632" spans="1:5" x14ac:dyDescent="0.2">
      <c r="A632" s="235">
        <v>113205</v>
      </c>
      <c r="B632" s="236" t="s">
        <v>647</v>
      </c>
      <c r="C632" s="236" t="s">
        <v>2</v>
      </c>
      <c r="D632" s="126">
        <v>0</v>
      </c>
      <c r="E632" s="236" t="s">
        <v>1234</v>
      </c>
    </row>
    <row r="633" spans="1:5" x14ac:dyDescent="0.2">
      <c r="A633" s="235">
        <v>113206</v>
      </c>
      <c r="B633" s="236" t="s">
        <v>649</v>
      </c>
      <c r="C633" s="236" t="s">
        <v>2</v>
      </c>
      <c r="D633" s="126">
        <v>0</v>
      </c>
      <c r="E633" s="236" t="s">
        <v>1234</v>
      </c>
    </row>
    <row r="634" spans="1:5" x14ac:dyDescent="0.2">
      <c r="A634" s="235">
        <v>113208</v>
      </c>
      <c r="B634" s="236" t="s">
        <v>650</v>
      </c>
      <c r="C634" s="236" t="s">
        <v>2</v>
      </c>
      <c r="D634" s="126">
        <v>0</v>
      </c>
      <c r="E634" s="236" t="s">
        <v>1234</v>
      </c>
    </row>
    <row r="635" spans="1:5" x14ac:dyDescent="0.2">
      <c r="A635" s="235">
        <v>113209</v>
      </c>
      <c r="B635" s="236" t="s">
        <v>651</v>
      </c>
      <c r="C635" s="236" t="s">
        <v>2</v>
      </c>
      <c r="D635" s="126">
        <v>0</v>
      </c>
      <c r="E635" s="236" t="s">
        <v>1234</v>
      </c>
    </row>
    <row r="636" spans="1:5" x14ac:dyDescent="0.2">
      <c r="A636" s="235">
        <v>113213</v>
      </c>
      <c r="B636" s="236" t="s">
        <v>652</v>
      </c>
      <c r="C636" s="236" t="s">
        <v>15</v>
      </c>
      <c r="D636" s="126">
        <v>0</v>
      </c>
      <c r="E636" s="236" t="s">
        <v>1234</v>
      </c>
    </row>
    <row r="637" spans="1:5" x14ac:dyDescent="0.2">
      <c r="A637" s="235">
        <v>113217</v>
      </c>
      <c r="B637" s="236" t="s">
        <v>653</v>
      </c>
      <c r="C637" s="236" t="s">
        <v>5</v>
      </c>
      <c r="D637" s="126">
        <v>1</v>
      </c>
      <c r="E637" s="236" t="s">
        <v>1234</v>
      </c>
    </row>
    <row r="638" spans="1:5" x14ac:dyDescent="0.2">
      <c r="A638" s="235">
        <v>113218</v>
      </c>
      <c r="B638" s="236" t="s">
        <v>654</v>
      </c>
      <c r="C638" s="236" t="s">
        <v>15</v>
      </c>
      <c r="D638" s="126">
        <v>0</v>
      </c>
      <c r="E638" s="236" t="s">
        <v>1234</v>
      </c>
    </row>
    <row r="639" spans="1:5" x14ac:dyDescent="0.2">
      <c r="A639" s="235">
        <v>113219</v>
      </c>
      <c r="B639" s="236" t="s">
        <v>655</v>
      </c>
      <c r="C639" s="236" t="s">
        <v>15</v>
      </c>
      <c r="D639" s="126">
        <v>0</v>
      </c>
      <c r="E639" s="236" t="s">
        <v>1234</v>
      </c>
    </row>
    <row r="640" spans="1:5" x14ac:dyDescent="0.2">
      <c r="A640" s="235">
        <v>113223</v>
      </c>
      <c r="B640" s="236" t="s">
        <v>656</v>
      </c>
      <c r="C640" s="236" t="s">
        <v>5</v>
      </c>
      <c r="D640" s="126">
        <v>0</v>
      </c>
      <c r="E640" s="236" t="s">
        <v>1234</v>
      </c>
    </row>
    <row r="641" spans="1:5" x14ac:dyDescent="0.2">
      <c r="A641" s="235">
        <v>113224</v>
      </c>
      <c r="B641" s="236" t="s">
        <v>657</v>
      </c>
      <c r="C641" s="236" t="s">
        <v>5</v>
      </c>
      <c r="D641" s="126">
        <v>0</v>
      </c>
      <c r="E641" s="236" t="s">
        <v>1234</v>
      </c>
    </row>
    <row r="642" spans="1:5" x14ac:dyDescent="0.2">
      <c r="A642" s="235">
        <v>113225</v>
      </c>
      <c r="B642" s="236" t="s">
        <v>658</v>
      </c>
      <c r="C642" s="236" t="s">
        <v>2</v>
      </c>
      <c r="D642" s="126">
        <v>0</v>
      </c>
      <c r="E642" s="236" t="s">
        <v>1235</v>
      </c>
    </row>
    <row r="643" spans="1:5" x14ac:dyDescent="0.2">
      <c r="A643" s="235">
        <v>113226</v>
      </c>
      <c r="B643" s="236" t="s">
        <v>659</v>
      </c>
      <c r="C643" s="236" t="s">
        <v>2</v>
      </c>
      <c r="D643" s="126">
        <v>0</v>
      </c>
      <c r="E643" s="236" t="s">
        <v>1234</v>
      </c>
    </row>
    <row r="644" spans="1:5" x14ac:dyDescent="0.2">
      <c r="A644" s="235">
        <v>113227</v>
      </c>
      <c r="B644" s="236" t="s">
        <v>660</v>
      </c>
      <c r="C644" s="236" t="s">
        <v>15</v>
      </c>
      <c r="D644" s="126">
        <v>0</v>
      </c>
      <c r="E644" s="236" t="s">
        <v>1235</v>
      </c>
    </row>
    <row r="645" spans="1:5" x14ac:dyDescent="0.2">
      <c r="A645" s="235">
        <v>113228</v>
      </c>
      <c r="B645" s="236" t="s">
        <v>661</v>
      </c>
      <c r="C645" s="236" t="s">
        <v>22</v>
      </c>
      <c r="D645" s="126">
        <v>0</v>
      </c>
      <c r="E645" s="236" t="s">
        <v>1234</v>
      </c>
    </row>
    <row r="646" spans="1:5" x14ac:dyDescent="0.2">
      <c r="A646" s="235">
        <v>113232</v>
      </c>
      <c r="B646" s="236" t="s">
        <v>662</v>
      </c>
      <c r="C646" s="236" t="s">
        <v>7</v>
      </c>
      <c r="D646" s="126">
        <v>0</v>
      </c>
      <c r="E646" s="236" t="s">
        <v>1234</v>
      </c>
    </row>
    <row r="647" spans="1:5" x14ac:dyDescent="0.2">
      <c r="A647" s="235">
        <v>113233</v>
      </c>
      <c r="B647" s="236" t="s">
        <v>663</v>
      </c>
      <c r="C647" s="236" t="s">
        <v>5</v>
      </c>
      <c r="D647" s="126">
        <v>0</v>
      </c>
      <c r="E647" s="236" t="s">
        <v>1234</v>
      </c>
    </row>
    <row r="648" spans="1:5" x14ac:dyDescent="0.2">
      <c r="A648" s="235">
        <v>113235</v>
      </c>
      <c r="B648" s="236" t="s">
        <v>664</v>
      </c>
      <c r="C648" s="236" t="s">
        <v>5</v>
      </c>
      <c r="D648" s="126">
        <v>0</v>
      </c>
      <c r="E648" s="236" t="s">
        <v>1234</v>
      </c>
    </row>
    <row r="649" spans="1:5" x14ac:dyDescent="0.2">
      <c r="A649" s="235">
        <v>113237</v>
      </c>
      <c r="B649" s="236" t="s">
        <v>665</v>
      </c>
      <c r="C649" s="236" t="s">
        <v>2</v>
      </c>
      <c r="D649" s="126">
        <v>0</v>
      </c>
      <c r="E649" s="236" t="s">
        <v>1234</v>
      </c>
    </row>
    <row r="650" spans="1:5" x14ac:dyDescent="0.2">
      <c r="A650" s="235">
        <v>113240</v>
      </c>
      <c r="B650" s="236" t="s">
        <v>1575</v>
      </c>
      <c r="C650" s="236" t="s">
        <v>5</v>
      </c>
      <c r="D650" s="126">
        <v>0</v>
      </c>
      <c r="E650" s="236" t="s">
        <v>1285</v>
      </c>
    </row>
    <row r="651" spans="1:5" x14ac:dyDescent="0.2">
      <c r="A651" s="235">
        <v>113242</v>
      </c>
      <c r="B651" s="236" t="s">
        <v>666</v>
      </c>
      <c r="C651" s="236" t="s">
        <v>5</v>
      </c>
      <c r="D651" s="126">
        <v>0</v>
      </c>
      <c r="E651" s="236" t="s">
        <v>1234</v>
      </c>
    </row>
    <row r="652" spans="1:5" x14ac:dyDescent="0.2">
      <c r="A652" s="235">
        <v>113244</v>
      </c>
      <c r="B652" s="236" t="s">
        <v>667</v>
      </c>
      <c r="C652" s="236" t="s">
        <v>2</v>
      </c>
      <c r="D652" s="126">
        <v>0</v>
      </c>
      <c r="E652" s="236" t="s">
        <v>1234</v>
      </c>
    </row>
    <row r="653" spans="1:5" x14ac:dyDescent="0.2">
      <c r="A653" s="235">
        <v>113246</v>
      </c>
      <c r="B653" s="236" t="s">
        <v>668</v>
      </c>
      <c r="C653" s="236" t="s">
        <v>15</v>
      </c>
      <c r="D653" s="126">
        <v>0</v>
      </c>
      <c r="E653" s="236" t="s">
        <v>1234</v>
      </c>
    </row>
    <row r="654" spans="1:5" x14ac:dyDescent="0.2">
      <c r="A654" s="235">
        <v>113249</v>
      </c>
      <c r="B654" s="236" t="s">
        <v>669</v>
      </c>
      <c r="C654" s="236" t="s">
        <v>2</v>
      </c>
      <c r="D654" s="126">
        <v>0</v>
      </c>
      <c r="E654" s="236" t="s">
        <v>1234</v>
      </c>
    </row>
    <row r="655" spans="1:5" x14ac:dyDescent="0.2">
      <c r="A655" s="235">
        <v>113250</v>
      </c>
      <c r="B655" s="236" t="s">
        <v>670</v>
      </c>
      <c r="C655" s="236" t="s">
        <v>5</v>
      </c>
      <c r="D655" s="126">
        <v>0</v>
      </c>
      <c r="E655" s="236" t="s">
        <v>1234</v>
      </c>
    </row>
    <row r="656" spans="1:5" x14ac:dyDescent="0.2">
      <c r="A656" s="235">
        <v>113251</v>
      </c>
      <c r="B656" s="236" t="s">
        <v>671</v>
      </c>
      <c r="C656" s="236" t="s">
        <v>15</v>
      </c>
      <c r="D656" s="126">
        <v>0</v>
      </c>
      <c r="E656" s="236" t="s">
        <v>1234</v>
      </c>
    </row>
    <row r="657" spans="1:5" x14ac:dyDescent="0.2">
      <c r="A657" s="235">
        <v>113253</v>
      </c>
      <c r="B657" s="236" t="s">
        <v>672</v>
      </c>
      <c r="C657" s="236" t="s">
        <v>146</v>
      </c>
      <c r="D657" s="126">
        <v>0</v>
      </c>
      <c r="E657" s="236" t="s">
        <v>1234</v>
      </c>
    </row>
    <row r="658" spans="1:5" x14ac:dyDescent="0.2">
      <c r="A658" s="235">
        <v>113255</v>
      </c>
      <c r="B658" s="236" t="s">
        <v>673</v>
      </c>
      <c r="C658" s="236" t="s">
        <v>22</v>
      </c>
      <c r="D658" s="126">
        <v>0</v>
      </c>
      <c r="E658" s="236" t="s">
        <v>1234</v>
      </c>
    </row>
    <row r="659" spans="1:5" x14ac:dyDescent="0.2">
      <c r="A659" s="235">
        <v>113258</v>
      </c>
      <c r="B659" s="236" t="s">
        <v>674</v>
      </c>
      <c r="C659" s="236" t="s">
        <v>5</v>
      </c>
      <c r="D659" s="126">
        <v>0</v>
      </c>
      <c r="E659" s="236" t="s">
        <v>1234</v>
      </c>
    </row>
    <row r="660" spans="1:5" x14ac:dyDescent="0.2">
      <c r="A660" s="235">
        <v>113260</v>
      </c>
      <c r="B660" s="236" t="s">
        <v>675</v>
      </c>
      <c r="C660" s="236" t="s">
        <v>5</v>
      </c>
      <c r="D660" s="126">
        <v>0</v>
      </c>
      <c r="E660" s="236" t="s">
        <v>1234</v>
      </c>
    </row>
    <row r="661" spans="1:5" x14ac:dyDescent="0.2">
      <c r="A661" s="235">
        <v>113262</v>
      </c>
      <c r="B661" s="236" t="s">
        <v>676</v>
      </c>
      <c r="C661" s="236" t="s">
        <v>2</v>
      </c>
      <c r="D661" s="126">
        <v>0</v>
      </c>
      <c r="E661" s="236" t="s">
        <v>1234</v>
      </c>
    </row>
    <row r="662" spans="1:5" x14ac:dyDescent="0.2">
      <c r="A662" s="235">
        <v>113263</v>
      </c>
      <c r="B662" s="236" t="s">
        <v>677</v>
      </c>
      <c r="C662" s="236" t="s">
        <v>2</v>
      </c>
      <c r="D662" s="126">
        <v>0</v>
      </c>
      <c r="E662" s="236" t="s">
        <v>1234</v>
      </c>
    </row>
    <row r="663" spans="1:5" x14ac:dyDescent="0.2">
      <c r="A663" s="235">
        <v>113264</v>
      </c>
      <c r="B663" s="236" t="s">
        <v>678</v>
      </c>
      <c r="C663" s="236" t="s">
        <v>2</v>
      </c>
      <c r="D663" s="126">
        <v>0</v>
      </c>
      <c r="E663" s="236" t="s">
        <v>1234</v>
      </c>
    </row>
    <row r="664" spans="1:5" x14ac:dyDescent="0.2">
      <c r="A664" s="235">
        <v>113268</v>
      </c>
      <c r="B664" s="236" t="s">
        <v>679</v>
      </c>
      <c r="C664" s="236" t="s">
        <v>5</v>
      </c>
      <c r="D664" s="126">
        <v>0</v>
      </c>
      <c r="E664" s="236" t="s">
        <v>1234</v>
      </c>
    </row>
    <row r="665" spans="1:5" x14ac:dyDescent="0.2">
      <c r="A665" s="235">
        <v>113272</v>
      </c>
      <c r="B665" s="236" t="s">
        <v>681</v>
      </c>
      <c r="C665" s="236" t="s">
        <v>2</v>
      </c>
      <c r="D665" s="126">
        <v>0</v>
      </c>
      <c r="E665" s="236" t="s">
        <v>1234</v>
      </c>
    </row>
    <row r="666" spans="1:5" x14ac:dyDescent="0.2">
      <c r="A666" s="235">
        <v>113273</v>
      </c>
      <c r="B666" s="236" t="s">
        <v>682</v>
      </c>
      <c r="C666" s="236" t="s">
        <v>22</v>
      </c>
      <c r="D666" s="126">
        <v>0</v>
      </c>
      <c r="E666" s="236" t="s">
        <v>1234</v>
      </c>
    </row>
    <row r="667" spans="1:5" x14ac:dyDescent="0.2">
      <c r="A667" s="235">
        <v>113274</v>
      </c>
      <c r="B667" s="236" t="s">
        <v>683</v>
      </c>
      <c r="C667" s="236" t="s">
        <v>2</v>
      </c>
      <c r="D667" s="126">
        <v>0</v>
      </c>
      <c r="E667" s="236" t="s">
        <v>1234</v>
      </c>
    </row>
    <row r="668" spans="1:5" x14ac:dyDescent="0.2">
      <c r="A668" s="235">
        <v>113276</v>
      </c>
      <c r="B668" s="236" t="s">
        <v>684</v>
      </c>
      <c r="C668" s="236" t="s">
        <v>5</v>
      </c>
      <c r="D668" s="126">
        <v>0</v>
      </c>
      <c r="E668" s="236" t="s">
        <v>1234</v>
      </c>
    </row>
    <row r="669" spans="1:5" x14ac:dyDescent="0.2">
      <c r="A669" s="235">
        <v>113278</v>
      </c>
      <c r="B669" s="236" t="s">
        <v>685</v>
      </c>
      <c r="C669" s="236" t="s">
        <v>5</v>
      </c>
      <c r="D669" s="126">
        <v>0</v>
      </c>
      <c r="E669" s="236" t="s">
        <v>1234</v>
      </c>
    </row>
    <row r="670" spans="1:5" x14ac:dyDescent="0.2">
      <c r="A670" s="235">
        <v>113279</v>
      </c>
      <c r="B670" s="236" t="s">
        <v>686</v>
      </c>
      <c r="C670" s="236" t="s">
        <v>385</v>
      </c>
      <c r="D670" s="126">
        <v>0</v>
      </c>
      <c r="E670" s="236" t="s">
        <v>1234</v>
      </c>
    </row>
    <row r="671" spans="1:5" x14ac:dyDescent="0.2">
      <c r="A671" s="235">
        <v>113280</v>
      </c>
      <c r="B671" s="236" t="s">
        <v>687</v>
      </c>
      <c r="C671" s="236" t="s">
        <v>5</v>
      </c>
      <c r="D671" s="126">
        <v>0</v>
      </c>
      <c r="E671" s="236" t="s">
        <v>1234</v>
      </c>
    </row>
    <row r="672" spans="1:5" x14ac:dyDescent="0.2">
      <c r="A672" s="235">
        <v>113282</v>
      </c>
      <c r="B672" s="236" t="s">
        <v>688</v>
      </c>
      <c r="C672" s="236" t="s">
        <v>15</v>
      </c>
      <c r="D672" s="126">
        <v>0</v>
      </c>
      <c r="E672" s="236" t="s">
        <v>1234</v>
      </c>
    </row>
    <row r="673" spans="1:5" x14ac:dyDescent="0.2">
      <c r="A673" s="235">
        <v>113286</v>
      </c>
      <c r="B673" s="236" t="s">
        <v>689</v>
      </c>
      <c r="C673" s="236" t="s">
        <v>22</v>
      </c>
      <c r="D673" s="126">
        <v>0</v>
      </c>
      <c r="E673" s="236" t="s">
        <v>1234</v>
      </c>
    </row>
    <row r="674" spans="1:5" x14ac:dyDescent="0.2">
      <c r="A674" s="235">
        <v>113287</v>
      </c>
      <c r="B674" s="236" t="s">
        <v>690</v>
      </c>
      <c r="C674" s="236" t="s">
        <v>2</v>
      </c>
      <c r="D674" s="126">
        <v>0</v>
      </c>
      <c r="E674" s="236" t="s">
        <v>1234</v>
      </c>
    </row>
    <row r="675" spans="1:5" x14ac:dyDescent="0.2">
      <c r="A675" s="235">
        <v>113288</v>
      </c>
      <c r="B675" s="236" t="s">
        <v>691</v>
      </c>
      <c r="C675" s="236" t="s">
        <v>2</v>
      </c>
      <c r="D675" s="126">
        <v>0</v>
      </c>
      <c r="E675" s="236" t="s">
        <v>1234</v>
      </c>
    </row>
    <row r="676" spans="1:5" x14ac:dyDescent="0.2">
      <c r="A676" s="235">
        <v>113289</v>
      </c>
      <c r="B676" s="236" t="s">
        <v>692</v>
      </c>
      <c r="C676" s="236" t="s">
        <v>2</v>
      </c>
      <c r="D676" s="126">
        <v>0</v>
      </c>
      <c r="E676" s="236" t="s">
        <v>1234</v>
      </c>
    </row>
    <row r="677" spans="1:5" x14ac:dyDescent="0.2">
      <c r="A677" s="235">
        <v>113292</v>
      </c>
      <c r="B677" s="236" t="s">
        <v>693</v>
      </c>
      <c r="C677" s="236" t="s">
        <v>2</v>
      </c>
      <c r="D677" s="126">
        <v>0</v>
      </c>
      <c r="E677" s="236" t="s">
        <v>1234</v>
      </c>
    </row>
    <row r="678" spans="1:5" x14ac:dyDescent="0.2">
      <c r="A678" s="235">
        <v>113294</v>
      </c>
      <c r="B678" s="236" t="s">
        <v>694</v>
      </c>
      <c r="C678" s="236" t="s">
        <v>2</v>
      </c>
      <c r="D678" s="126">
        <v>0</v>
      </c>
      <c r="E678" s="236" t="s">
        <v>1234</v>
      </c>
    </row>
    <row r="679" spans="1:5" x14ac:dyDescent="0.2">
      <c r="A679" s="235">
        <v>113298</v>
      </c>
      <c r="B679" s="236" t="s">
        <v>695</v>
      </c>
      <c r="C679" s="236" t="s">
        <v>22</v>
      </c>
      <c r="D679" s="126">
        <v>0</v>
      </c>
      <c r="E679" s="236" t="s">
        <v>1234</v>
      </c>
    </row>
    <row r="680" spans="1:5" x14ac:dyDescent="0.2">
      <c r="A680" s="235">
        <v>113302</v>
      </c>
      <c r="B680" s="236" t="s">
        <v>696</v>
      </c>
      <c r="C680" s="236" t="s">
        <v>2</v>
      </c>
      <c r="D680" s="126">
        <v>0</v>
      </c>
      <c r="E680" s="236" t="s">
        <v>1234</v>
      </c>
    </row>
    <row r="681" spans="1:5" x14ac:dyDescent="0.2">
      <c r="A681" s="235">
        <v>113303</v>
      </c>
      <c r="B681" s="236" t="s">
        <v>697</v>
      </c>
      <c r="C681" s="236" t="s">
        <v>22</v>
      </c>
      <c r="D681" s="126">
        <v>0</v>
      </c>
      <c r="E681" s="236" t="s">
        <v>1234</v>
      </c>
    </row>
    <row r="682" spans="1:5" x14ac:dyDescent="0.2">
      <c r="A682" s="235">
        <v>113305</v>
      </c>
      <c r="B682" s="236" t="s">
        <v>698</v>
      </c>
      <c r="C682" s="236" t="s">
        <v>2</v>
      </c>
      <c r="D682" s="126">
        <v>0</v>
      </c>
      <c r="E682" s="236" t="s">
        <v>1234</v>
      </c>
    </row>
    <row r="683" spans="1:5" x14ac:dyDescent="0.2">
      <c r="A683" s="235">
        <v>113308</v>
      </c>
      <c r="B683" s="236" t="s">
        <v>699</v>
      </c>
      <c r="C683" s="236" t="s">
        <v>700</v>
      </c>
      <c r="D683" s="126">
        <v>0</v>
      </c>
      <c r="E683" s="236" t="s">
        <v>1234</v>
      </c>
    </row>
    <row r="684" spans="1:5" x14ac:dyDescent="0.2">
      <c r="A684" s="235">
        <v>113309</v>
      </c>
      <c r="B684" s="236" t="s">
        <v>701</v>
      </c>
      <c r="C684" s="236" t="s">
        <v>2</v>
      </c>
      <c r="D684" s="126">
        <v>0</v>
      </c>
      <c r="E684" s="236" t="s">
        <v>1234</v>
      </c>
    </row>
    <row r="685" spans="1:5" x14ac:dyDescent="0.2">
      <c r="A685" s="235">
        <v>113310</v>
      </c>
      <c r="B685" s="236" t="s">
        <v>702</v>
      </c>
      <c r="C685" s="236" t="s">
        <v>15</v>
      </c>
      <c r="D685" s="126">
        <v>0</v>
      </c>
      <c r="E685" s="236" t="s">
        <v>1234</v>
      </c>
    </row>
    <row r="686" spans="1:5" x14ac:dyDescent="0.2">
      <c r="A686" s="235">
        <v>113313</v>
      </c>
      <c r="B686" s="236" t="s">
        <v>703</v>
      </c>
      <c r="C686" s="236" t="s">
        <v>5</v>
      </c>
      <c r="D686" s="126">
        <v>1</v>
      </c>
      <c r="E686" s="236" t="s">
        <v>1234</v>
      </c>
    </row>
    <row r="687" spans="1:5" x14ac:dyDescent="0.2">
      <c r="A687" s="235">
        <v>113317</v>
      </c>
      <c r="B687" s="236" t="s">
        <v>704</v>
      </c>
      <c r="C687" s="236" t="s">
        <v>2</v>
      </c>
      <c r="D687" s="126">
        <v>0</v>
      </c>
      <c r="E687" s="236" t="s">
        <v>1234</v>
      </c>
    </row>
    <row r="688" spans="1:5" x14ac:dyDescent="0.2">
      <c r="A688" s="235">
        <v>113318</v>
      </c>
      <c r="B688" s="236" t="s">
        <v>705</v>
      </c>
      <c r="C688" s="236" t="s">
        <v>2</v>
      </c>
      <c r="D688" s="126">
        <v>0</v>
      </c>
      <c r="E688" s="236" t="s">
        <v>1234</v>
      </c>
    </row>
    <row r="689" spans="1:5" x14ac:dyDescent="0.2">
      <c r="A689" s="235">
        <v>113320</v>
      </c>
      <c r="B689" s="236" t="s">
        <v>706</v>
      </c>
      <c r="C689" s="236" t="s">
        <v>22</v>
      </c>
      <c r="D689" s="126">
        <v>0</v>
      </c>
      <c r="E689" s="236" t="s">
        <v>1234</v>
      </c>
    </row>
    <row r="690" spans="1:5" x14ac:dyDescent="0.2">
      <c r="A690" s="235">
        <v>113323</v>
      </c>
      <c r="B690" s="236" t="s">
        <v>707</v>
      </c>
      <c r="C690" s="236" t="s">
        <v>5</v>
      </c>
      <c r="D690" s="126">
        <v>0</v>
      </c>
      <c r="E690" s="236" t="s">
        <v>1234</v>
      </c>
    </row>
    <row r="691" spans="1:5" x14ac:dyDescent="0.2">
      <c r="A691" s="235">
        <v>113324</v>
      </c>
      <c r="B691" s="236" t="s">
        <v>708</v>
      </c>
      <c r="C691" s="236" t="s">
        <v>2</v>
      </c>
      <c r="D691" s="126">
        <v>0</v>
      </c>
      <c r="E691" s="236" t="s">
        <v>1234</v>
      </c>
    </row>
    <row r="692" spans="1:5" x14ac:dyDescent="0.2">
      <c r="A692" s="235">
        <v>113325</v>
      </c>
      <c r="B692" s="236" t="s">
        <v>709</v>
      </c>
      <c r="C692" s="236" t="s">
        <v>22</v>
      </c>
      <c r="D692" s="126">
        <v>2</v>
      </c>
      <c r="E692" s="236" t="s">
        <v>1234</v>
      </c>
    </row>
    <row r="693" spans="1:5" x14ac:dyDescent="0.2">
      <c r="A693" s="235">
        <v>113327</v>
      </c>
      <c r="B693" s="236" t="s">
        <v>710</v>
      </c>
      <c r="C693" s="236" t="s">
        <v>22</v>
      </c>
      <c r="D693" s="126">
        <v>0</v>
      </c>
      <c r="E693" s="236" t="s">
        <v>1234</v>
      </c>
    </row>
    <row r="694" spans="1:5" x14ac:dyDescent="0.2">
      <c r="A694" s="235">
        <v>113328</v>
      </c>
      <c r="B694" s="236" t="s">
        <v>711</v>
      </c>
      <c r="C694" s="236" t="s">
        <v>2</v>
      </c>
      <c r="D694" s="126">
        <v>0</v>
      </c>
      <c r="E694" s="236" t="s">
        <v>1234</v>
      </c>
    </row>
    <row r="695" spans="1:5" x14ac:dyDescent="0.2">
      <c r="A695" s="235">
        <v>113329</v>
      </c>
      <c r="B695" s="236" t="s">
        <v>712</v>
      </c>
      <c r="C695" s="236" t="s">
        <v>2</v>
      </c>
      <c r="D695" s="126">
        <v>0</v>
      </c>
      <c r="E695" s="236" t="s">
        <v>1234</v>
      </c>
    </row>
    <row r="696" spans="1:5" x14ac:dyDescent="0.2">
      <c r="A696" s="235">
        <v>113331</v>
      </c>
      <c r="B696" s="236" t="s">
        <v>713</v>
      </c>
      <c r="C696" s="236" t="s">
        <v>5</v>
      </c>
      <c r="D696" s="126">
        <v>0</v>
      </c>
      <c r="E696" s="236" t="s">
        <v>1234</v>
      </c>
    </row>
    <row r="697" spans="1:5" x14ac:dyDescent="0.2">
      <c r="A697" s="235">
        <v>113334</v>
      </c>
      <c r="B697" s="236" t="s">
        <v>714</v>
      </c>
      <c r="C697" s="236" t="s">
        <v>282</v>
      </c>
      <c r="D697" s="126">
        <v>0</v>
      </c>
      <c r="E697" s="236" t="s">
        <v>1234</v>
      </c>
    </row>
    <row r="698" spans="1:5" x14ac:dyDescent="0.2">
      <c r="A698" s="235">
        <v>113335</v>
      </c>
      <c r="B698" s="236" t="s">
        <v>715</v>
      </c>
      <c r="C698" s="236" t="s">
        <v>146</v>
      </c>
      <c r="D698" s="126">
        <v>0</v>
      </c>
      <c r="E698" s="236" t="s">
        <v>1234</v>
      </c>
    </row>
    <row r="699" spans="1:5" x14ac:dyDescent="0.2">
      <c r="A699" s="235">
        <v>113337</v>
      </c>
      <c r="B699" s="236" t="s">
        <v>716</v>
      </c>
      <c r="C699" s="236" t="s">
        <v>5</v>
      </c>
      <c r="D699" s="126">
        <v>0</v>
      </c>
      <c r="E699" s="236" t="s">
        <v>1234</v>
      </c>
    </row>
    <row r="700" spans="1:5" x14ac:dyDescent="0.2">
      <c r="A700" s="235">
        <v>113339</v>
      </c>
      <c r="B700" s="236" t="s">
        <v>717</v>
      </c>
      <c r="C700" s="236" t="s">
        <v>385</v>
      </c>
      <c r="D700" s="126">
        <v>0</v>
      </c>
      <c r="E700" s="236" t="s">
        <v>1234</v>
      </c>
    </row>
    <row r="701" spans="1:5" x14ac:dyDescent="0.2">
      <c r="A701" s="235">
        <v>113341</v>
      </c>
      <c r="B701" s="236" t="s">
        <v>718</v>
      </c>
      <c r="C701" s="236" t="s">
        <v>2</v>
      </c>
      <c r="D701" s="126">
        <v>0</v>
      </c>
      <c r="E701" s="236" t="s">
        <v>1234</v>
      </c>
    </row>
    <row r="702" spans="1:5" x14ac:dyDescent="0.2">
      <c r="A702" s="235">
        <v>113342</v>
      </c>
      <c r="B702" s="236" t="s">
        <v>719</v>
      </c>
      <c r="C702" s="236" t="s">
        <v>5</v>
      </c>
      <c r="D702" s="126">
        <v>0</v>
      </c>
      <c r="E702" s="236" t="s">
        <v>1234</v>
      </c>
    </row>
    <row r="703" spans="1:5" x14ac:dyDescent="0.2">
      <c r="A703" s="235">
        <v>113344</v>
      </c>
      <c r="B703" s="236" t="s">
        <v>720</v>
      </c>
      <c r="C703" s="236" t="s">
        <v>413</v>
      </c>
      <c r="D703" s="126">
        <v>0</v>
      </c>
      <c r="E703" s="236" t="s">
        <v>1235</v>
      </c>
    </row>
    <row r="704" spans="1:5" x14ac:dyDescent="0.2">
      <c r="A704" s="235">
        <v>113349</v>
      </c>
      <c r="B704" s="236" t="s">
        <v>1287</v>
      </c>
      <c r="C704" s="236" t="s">
        <v>15</v>
      </c>
      <c r="D704" s="126">
        <v>0</v>
      </c>
      <c r="E704" s="236" t="s">
        <v>1234</v>
      </c>
    </row>
    <row r="705" spans="1:5" x14ac:dyDescent="0.2">
      <c r="A705" s="235">
        <v>113350</v>
      </c>
      <c r="B705" s="236" t="s">
        <v>721</v>
      </c>
      <c r="C705" s="236" t="s">
        <v>5</v>
      </c>
      <c r="D705" s="126">
        <v>0</v>
      </c>
      <c r="E705" s="236" t="s">
        <v>1234</v>
      </c>
    </row>
    <row r="706" spans="1:5" x14ac:dyDescent="0.2">
      <c r="A706" s="235">
        <v>113353</v>
      </c>
      <c r="B706" s="236" t="s">
        <v>723</v>
      </c>
      <c r="C706" s="236" t="s">
        <v>282</v>
      </c>
      <c r="D706" s="126">
        <v>0</v>
      </c>
      <c r="E706" s="236" t="s">
        <v>1234</v>
      </c>
    </row>
    <row r="707" spans="1:5" x14ac:dyDescent="0.2">
      <c r="A707" s="235">
        <v>113354</v>
      </c>
      <c r="B707" s="236" t="s">
        <v>724</v>
      </c>
      <c r="C707" s="236" t="s">
        <v>5</v>
      </c>
      <c r="D707" s="126">
        <v>0</v>
      </c>
      <c r="E707" s="236" t="s">
        <v>1234</v>
      </c>
    </row>
    <row r="708" spans="1:5" x14ac:dyDescent="0.2">
      <c r="A708" s="235">
        <v>113355</v>
      </c>
      <c r="B708" s="236" t="s">
        <v>725</v>
      </c>
      <c r="C708" s="236" t="s">
        <v>5</v>
      </c>
      <c r="D708" s="126">
        <v>0</v>
      </c>
      <c r="E708" s="236" t="s">
        <v>1234</v>
      </c>
    </row>
    <row r="709" spans="1:5" x14ac:dyDescent="0.2">
      <c r="A709" s="235">
        <v>113356</v>
      </c>
      <c r="B709" s="236" t="s">
        <v>648</v>
      </c>
      <c r="C709" s="236" t="s">
        <v>5</v>
      </c>
      <c r="D709" s="126">
        <v>0</v>
      </c>
      <c r="E709" s="236" t="s">
        <v>1234</v>
      </c>
    </row>
    <row r="710" spans="1:5" x14ac:dyDescent="0.2">
      <c r="A710" s="235">
        <v>113357</v>
      </c>
      <c r="B710" s="236" t="s">
        <v>726</v>
      </c>
      <c r="C710" s="236" t="s">
        <v>2</v>
      </c>
      <c r="D710" s="126">
        <v>0</v>
      </c>
      <c r="E710" s="236" t="s">
        <v>1234</v>
      </c>
    </row>
    <row r="711" spans="1:5" x14ac:dyDescent="0.2">
      <c r="A711" s="235">
        <v>113358</v>
      </c>
      <c r="B711" s="236" t="s">
        <v>727</v>
      </c>
      <c r="C711" s="236" t="s">
        <v>2</v>
      </c>
      <c r="D711" s="126">
        <v>0</v>
      </c>
      <c r="E711" s="236" t="s">
        <v>1234</v>
      </c>
    </row>
    <row r="712" spans="1:5" x14ac:dyDescent="0.2">
      <c r="A712" s="235">
        <v>113361</v>
      </c>
      <c r="B712" s="236" t="s">
        <v>729</v>
      </c>
      <c r="C712" s="236" t="s">
        <v>15</v>
      </c>
      <c r="D712" s="126">
        <v>0</v>
      </c>
      <c r="E712" s="236" t="s">
        <v>1234</v>
      </c>
    </row>
    <row r="713" spans="1:5" x14ac:dyDescent="0.2">
      <c r="A713" s="235">
        <v>113362</v>
      </c>
      <c r="B713" s="236" t="s">
        <v>730</v>
      </c>
      <c r="C713" s="236" t="s">
        <v>2</v>
      </c>
      <c r="D713" s="126">
        <v>0</v>
      </c>
      <c r="E713" s="236" t="s">
        <v>1234</v>
      </c>
    </row>
    <row r="714" spans="1:5" x14ac:dyDescent="0.2">
      <c r="A714" s="235">
        <v>113363</v>
      </c>
      <c r="B714" s="236" t="s">
        <v>731</v>
      </c>
      <c r="C714" s="236" t="s">
        <v>2</v>
      </c>
      <c r="D714" s="126">
        <v>0</v>
      </c>
      <c r="E714" s="236" t="s">
        <v>1234</v>
      </c>
    </row>
    <row r="715" spans="1:5" x14ac:dyDescent="0.2">
      <c r="A715" s="235">
        <v>113364</v>
      </c>
      <c r="B715" s="236" t="s">
        <v>732</v>
      </c>
      <c r="C715" s="236" t="s">
        <v>2</v>
      </c>
      <c r="D715" s="126">
        <v>0</v>
      </c>
      <c r="E715" s="236" t="s">
        <v>1234</v>
      </c>
    </row>
    <row r="716" spans="1:5" x14ac:dyDescent="0.2">
      <c r="A716" s="235">
        <v>113365</v>
      </c>
      <c r="B716" s="236" t="s">
        <v>648</v>
      </c>
      <c r="C716" s="236" t="s">
        <v>15</v>
      </c>
      <c r="D716" s="126">
        <v>0</v>
      </c>
      <c r="E716" s="236" t="s">
        <v>1234</v>
      </c>
    </row>
    <row r="717" spans="1:5" x14ac:dyDescent="0.2">
      <c r="A717" s="235">
        <v>113366</v>
      </c>
      <c r="B717" s="236" t="s">
        <v>733</v>
      </c>
      <c r="C717" s="236" t="s">
        <v>2</v>
      </c>
      <c r="D717" s="126">
        <v>0</v>
      </c>
      <c r="E717" s="236" t="s">
        <v>1234</v>
      </c>
    </row>
    <row r="718" spans="1:5" x14ac:dyDescent="0.2">
      <c r="A718" s="235">
        <v>113367</v>
      </c>
      <c r="B718" s="236" t="s">
        <v>734</v>
      </c>
      <c r="C718" s="236" t="s">
        <v>22</v>
      </c>
      <c r="D718" s="126">
        <v>0</v>
      </c>
      <c r="E718" s="236" t="s">
        <v>1234</v>
      </c>
    </row>
    <row r="719" spans="1:5" x14ac:dyDescent="0.2">
      <c r="A719" s="235">
        <v>113368</v>
      </c>
      <c r="B719" s="236" t="s">
        <v>735</v>
      </c>
      <c r="C719" s="236" t="s">
        <v>2</v>
      </c>
      <c r="D719" s="126">
        <v>0</v>
      </c>
      <c r="E719" s="236" t="s">
        <v>1234</v>
      </c>
    </row>
    <row r="720" spans="1:5" x14ac:dyDescent="0.2">
      <c r="A720" s="235">
        <v>113369</v>
      </c>
      <c r="B720" s="236" t="s">
        <v>736</v>
      </c>
      <c r="C720" s="236" t="s">
        <v>2</v>
      </c>
      <c r="D720" s="126">
        <v>0</v>
      </c>
      <c r="E720" s="236" t="s">
        <v>1234</v>
      </c>
    </row>
    <row r="721" spans="1:5" x14ac:dyDescent="0.2">
      <c r="A721" s="235">
        <v>113370</v>
      </c>
      <c r="B721" s="236" t="s">
        <v>737</v>
      </c>
      <c r="C721" s="236" t="s">
        <v>2</v>
      </c>
      <c r="D721" s="126">
        <v>0</v>
      </c>
      <c r="E721" s="236" t="s">
        <v>1234</v>
      </c>
    </row>
    <row r="722" spans="1:5" x14ac:dyDescent="0.2">
      <c r="A722" s="235">
        <v>113373</v>
      </c>
      <c r="B722" s="236" t="s">
        <v>53</v>
      </c>
      <c r="C722" s="236" t="s">
        <v>2</v>
      </c>
      <c r="D722" s="126">
        <v>0</v>
      </c>
      <c r="E722" s="236" t="s">
        <v>1234</v>
      </c>
    </row>
    <row r="723" spans="1:5" x14ac:dyDescent="0.2">
      <c r="A723" s="235">
        <v>113374</v>
      </c>
      <c r="B723" s="236" t="s">
        <v>738</v>
      </c>
      <c r="C723" s="236" t="s">
        <v>2</v>
      </c>
      <c r="D723" s="126">
        <v>0</v>
      </c>
      <c r="E723" s="236" t="s">
        <v>1234</v>
      </c>
    </row>
    <row r="724" spans="1:5" x14ac:dyDescent="0.2">
      <c r="A724" s="235">
        <v>113375</v>
      </c>
      <c r="B724" s="236" t="s">
        <v>739</v>
      </c>
      <c r="C724" s="236" t="s">
        <v>2</v>
      </c>
      <c r="D724" s="126">
        <v>0</v>
      </c>
      <c r="E724" s="236" t="s">
        <v>1234</v>
      </c>
    </row>
    <row r="725" spans="1:5" x14ac:dyDescent="0.2">
      <c r="A725" s="235">
        <v>113376</v>
      </c>
      <c r="B725" s="236" t="s">
        <v>740</v>
      </c>
      <c r="C725" s="236" t="s">
        <v>2</v>
      </c>
      <c r="D725" s="126">
        <v>0</v>
      </c>
      <c r="E725" s="236" t="s">
        <v>1234</v>
      </c>
    </row>
    <row r="726" spans="1:5" x14ac:dyDescent="0.2">
      <c r="A726" s="235">
        <v>113377</v>
      </c>
      <c r="B726" s="236" t="s">
        <v>741</v>
      </c>
      <c r="C726" s="236" t="s">
        <v>2</v>
      </c>
      <c r="D726" s="126">
        <v>0</v>
      </c>
      <c r="E726" s="236" t="s">
        <v>1235</v>
      </c>
    </row>
    <row r="727" spans="1:5" x14ac:dyDescent="0.2">
      <c r="A727" s="235">
        <v>113378</v>
      </c>
      <c r="B727" s="236" t="s">
        <v>1577</v>
      </c>
      <c r="C727" s="236" t="s">
        <v>2</v>
      </c>
      <c r="D727" s="126">
        <v>0</v>
      </c>
      <c r="E727" s="236" t="s">
        <v>1285</v>
      </c>
    </row>
    <row r="728" spans="1:5" x14ac:dyDescent="0.2">
      <c r="A728" s="235">
        <v>113379</v>
      </c>
      <c r="B728" s="236" t="s">
        <v>742</v>
      </c>
      <c r="C728" s="236" t="s">
        <v>39</v>
      </c>
      <c r="D728" s="126">
        <v>0</v>
      </c>
      <c r="E728" s="236" t="s">
        <v>1234</v>
      </c>
    </row>
    <row r="729" spans="1:5" x14ac:dyDescent="0.2">
      <c r="A729" s="235">
        <v>113381</v>
      </c>
      <c r="B729" s="236" t="s">
        <v>743</v>
      </c>
      <c r="C729" s="236" t="s">
        <v>2</v>
      </c>
      <c r="D729" s="126">
        <v>0</v>
      </c>
      <c r="E729" s="236" t="s">
        <v>1234</v>
      </c>
    </row>
    <row r="730" spans="1:5" x14ac:dyDescent="0.2">
      <c r="A730" s="235">
        <v>113384</v>
      </c>
      <c r="B730" s="236" t="s">
        <v>744</v>
      </c>
      <c r="C730" s="236" t="s">
        <v>2</v>
      </c>
      <c r="D730" s="126">
        <v>0</v>
      </c>
      <c r="E730" s="236" t="s">
        <v>1234</v>
      </c>
    </row>
    <row r="731" spans="1:5" x14ac:dyDescent="0.2">
      <c r="A731" s="235">
        <v>113385</v>
      </c>
      <c r="B731" s="236" t="s">
        <v>745</v>
      </c>
      <c r="C731" s="236" t="s">
        <v>2</v>
      </c>
      <c r="D731" s="126">
        <v>0</v>
      </c>
      <c r="E731" s="236" t="s">
        <v>1234</v>
      </c>
    </row>
    <row r="732" spans="1:5" x14ac:dyDescent="0.2">
      <c r="A732" s="235">
        <v>113387</v>
      </c>
      <c r="B732" s="236" t="s">
        <v>746</v>
      </c>
      <c r="C732" s="236" t="s">
        <v>2</v>
      </c>
      <c r="D732" s="126">
        <v>0</v>
      </c>
      <c r="E732" s="236" t="s">
        <v>1234</v>
      </c>
    </row>
    <row r="733" spans="1:5" x14ac:dyDescent="0.2">
      <c r="A733" s="235">
        <v>113388</v>
      </c>
      <c r="B733" s="236" t="s">
        <v>747</v>
      </c>
      <c r="C733" s="236" t="s">
        <v>2</v>
      </c>
      <c r="D733" s="126">
        <v>0</v>
      </c>
      <c r="E733" s="236" t="s">
        <v>1234</v>
      </c>
    </row>
    <row r="734" spans="1:5" x14ac:dyDescent="0.2">
      <c r="A734" s="235">
        <v>113389</v>
      </c>
      <c r="B734" s="236" t="s">
        <v>748</v>
      </c>
      <c r="C734" s="236" t="s">
        <v>22</v>
      </c>
      <c r="D734" s="126">
        <v>0</v>
      </c>
      <c r="E734" s="236" t="s">
        <v>1234</v>
      </c>
    </row>
    <row r="735" spans="1:5" x14ac:dyDescent="0.2">
      <c r="A735" s="235">
        <v>113390</v>
      </c>
      <c r="B735" s="236" t="s">
        <v>749</v>
      </c>
      <c r="C735" s="236" t="s">
        <v>470</v>
      </c>
      <c r="D735" s="126">
        <v>0</v>
      </c>
      <c r="E735" s="236" t="s">
        <v>1234</v>
      </c>
    </row>
    <row r="736" spans="1:5" x14ac:dyDescent="0.2">
      <c r="A736" s="235">
        <v>113391</v>
      </c>
      <c r="B736" s="236" t="s">
        <v>751</v>
      </c>
      <c r="C736" s="236" t="s">
        <v>2</v>
      </c>
      <c r="D736" s="126">
        <v>0</v>
      </c>
      <c r="E736" s="236" t="s">
        <v>1234</v>
      </c>
    </row>
    <row r="737" spans="1:5" x14ac:dyDescent="0.2">
      <c r="A737" s="235">
        <v>113392</v>
      </c>
      <c r="B737" s="236" t="s">
        <v>752</v>
      </c>
      <c r="C737" s="236" t="s">
        <v>2</v>
      </c>
      <c r="D737" s="126">
        <v>0</v>
      </c>
      <c r="E737" s="236" t="s">
        <v>1234</v>
      </c>
    </row>
    <row r="738" spans="1:5" x14ac:dyDescent="0.2">
      <c r="A738" s="235">
        <v>113394</v>
      </c>
      <c r="B738" s="236" t="s">
        <v>753</v>
      </c>
      <c r="C738" s="236" t="s">
        <v>39</v>
      </c>
      <c r="D738" s="126">
        <v>0</v>
      </c>
      <c r="E738" s="236" t="s">
        <v>1234</v>
      </c>
    </row>
    <row r="739" spans="1:5" x14ac:dyDescent="0.2">
      <c r="A739" s="235">
        <v>113395</v>
      </c>
      <c r="B739" s="236" t="s">
        <v>754</v>
      </c>
      <c r="C739" s="236" t="s">
        <v>2</v>
      </c>
      <c r="D739" s="126">
        <v>0</v>
      </c>
      <c r="E739" s="236" t="s">
        <v>1234</v>
      </c>
    </row>
    <row r="740" spans="1:5" x14ac:dyDescent="0.2">
      <c r="A740" s="235">
        <v>113396</v>
      </c>
      <c r="B740" s="236" t="s">
        <v>755</v>
      </c>
      <c r="C740" s="236" t="s">
        <v>5</v>
      </c>
      <c r="D740" s="126">
        <v>0</v>
      </c>
      <c r="E740" s="236" t="s">
        <v>1234</v>
      </c>
    </row>
    <row r="741" spans="1:5" x14ac:dyDescent="0.2">
      <c r="A741" s="235">
        <v>113399</v>
      </c>
      <c r="B741" s="236" t="s">
        <v>756</v>
      </c>
      <c r="C741" s="236" t="s">
        <v>5</v>
      </c>
      <c r="D741" s="126">
        <v>0</v>
      </c>
      <c r="E741" s="236" t="s">
        <v>1234</v>
      </c>
    </row>
    <row r="742" spans="1:5" x14ac:dyDescent="0.2">
      <c r="A742" s="235">
        <v>113400</v>
      </c>
      <c r="B742" s="236" t="s">
        <v>757</v>
      </c>
      <c r="C742" s="236" t="s">
        <v>22</v>
      </c>
      <c r="D742" s="126">
        <v>0</v>
      </c>
      <c r="E742" s="236" t="s">
        <v>1235</v>
      </c>
    </row>
    <row r="743" spans="1:5" x14ac:dyDescent="0.2">
      <c r="A743" s="235">
        <v>113403</v>
      </c>
      <c r="B743" s="236" t="s">
        <v>758</v>
      </c>
      <c r="C743" s="236" t="s">
        <v>2</v>
      </c>
      <c r="D743" s="126">
        <v>0</v>
      </c>
      <c r="E743" s="236" t="s">
        <v>1285</v>
      </c>
    </row>
    <row r="744" spans="1:5" x14ac:dyDescent="0.2">
      <c r="A744" s="235">
        <v>113404</v>
      </c>
      <c r="B744" s="236" t="s">
        <v>750</v>
      </c>
      <c r="C744" s="236" t="s">
        <v>182</v>
      </c>
      <c r="D744" s="126">
        <v>0</v>
      </c>
      <c r="E744" s="236" t="s">
        <v>1234</v>
      </c>
    </row>
    <row r="745" spans="1:5" x14ac:dyDescent="0.2">
      <c r="A745" s="235">
        <v>113405</v>
      </c>
      <c r="B745" s="236" t="s">
        <v>759</v>
      </c>
      <c r="C745" s="236" t="s">
        <v>2</v>
      </c>
      <c r="D745" s="126">
        <v>0</v>
      </c>
      <c r="E745" s="236" t="s">
        <v>1234</v>
      </c>
    </row>
    <row r="746" spans="1:5" x14ac:dyDescent="0.2">
      <c r="A746" s="235">
        <v>113406</v>
      </c>
      <c r="B746" s="236" t="s">
        <v>760</v>
      </c>
      <c r="C746" s="236" t="s">
        <v>2</v>
      </c>
      <c r="D746" s="126">
        <v>0</v>
      </c>
      <c r="E746" s="236" t="s">
        <v>1234</v>
      </c>
    </row>
    <row r="747" spans="1:5" x14ac:dyDescent="0.2">
      <c r="A747" s="235">
        <v>113407</v>
      </c>
      <c r="B747" s="236" t="s">
        <v>761</v>
      </c>
      <c r="C747" s="236" t="s">
        <v>15</v>
      </c>
      <c r="D747" s="126">
        <v>0</v>
      </c>
      <c r="E747" s="236" t="s">
        <v>1234</v>
      </c>
    </row>
    <row r="748" spans="1:5" x14ac:dyDescent="0.2">
      <c r="A748" s="235">
        <v>113410</v>
      </c>
      <c r="B748" s="236" t="s">
        <v>762</v>
      </c>
      <c r="C748" s="236" t="s">
        <v>2</v>
      </c>
      <c r="D748" s="126">
        <v>0</v>
      </c>
      <c r="E748" s="236" t="s">
        <v>1234</v>
      </c>
    </row>
    <row r="749" spans="1:5" x14ac:dyDescent="0.2">
      <c r="A749" s="235">
        <v>113412</v>
      </c>
      <c r="B749" s="236" t="s">
        <v>763</v>
      </c>
      <c r="C749" s="236" t="s">
        <v>2</v>
      </c>
      <c r="D749" s="126">
        <v>0</v>
      </c>
      <c r="E749" s="236" t="s">
        <v>1234</v>
      </c>
    </row>
    <row r="750" spans="1:5" x14ac:dyDescent="0.2">
      <c r="A750" s="235">
        <v>113413</v>
      </c>
      <c r="B750" s="236" t="s">
        <v>764</v>
      </c>
      <c r="C750" s="236" t="s">
        <v>2</v>
      </c>
      <c r="D750" s="126">
        <v>0</v>
      </c>
      <c r="E750" s="236" t="s">
        <v>1234</v>
      </c>
    </row>
    <row r="751" spans="1:5" x14ac:dyDescent="0.2">
      <c r="A751" s="235">
        <v>113414</v>
      </c>
      <c r="B751" s="236" t="s">
        <v>765</v>
      </c>
      <c r="C751" s="236" t="s">
        <v>2</v>
      </c>
      <c r="D751" s="126">
        <v>0</v>
      </c>
      <c r="E751" s="236" t="s">
        <v>1234</v>
      </c>
    </row>
    <row r="752" spans="1:5" x14ac:dyDescent="0.2">
      <c r="A752" s="235">
        <v>113415</v>
      </c>
      <c r="B752" s="236" t="s">
        <v>766</v>
      </c>
      <c r="C752" s="236" t="s">
        <v>2</v>
      </c>
      <c r="D752" s="126">
        <v>0</v>
      </c>
      <c r="E752" s="236" t="s">
        <v>1234</v>
      </c>
    </row>
    <row r="753" spans="1:5" x14ac:dyDescent="0.2">
      <c r="A753" s="235">
        <v>113416</v>
      </c>
      <c r="B753" s="236" t="s">
        <v>767</v>
      </c>
      <c r="C753" s="236" t="s">
        <v>2</v>
      </c>
      <c r="D753" s="126">
        <v>0</v>
      </c>
      <c r="E753" s="236" t="s">
        <v>1234</v>
      </c>
    </row>
    <row r="754" spans="1:5" x14ac:dyDescent="0.2">
      <c r="A754" s="235">
        <v>113417</v>
      </c>
      <c r="B754" s="236" t="s">
        <v>768</v>
      </c>
      <c r="C754" s="236" t="s">
        <v>2</v>
      </c>
      <c r="D754" s="126">
        <v>0</v>
      </c>
      <c r="E754" s="236" t="s">
        <v>1234</v>
      </c>
    </row>
    <row r="755" spans="1:5" x14ac:dyDescent="0.2">
      <c r="A755" s="235">
        <v>113418</v>
      </c>
      <c r="B755" s="236" t="s">
        <v>769</v>
      </c>
      <c r="C755" s="236" t="s">
        <v>2</v>
      </c>
      <c r="D755" s="126">
        <v>0</v>
      </c>
      <c r="E755" s="236" t="s">
        <v>1234</v>
      </c>
    </row>
    <row r="756" spans="1:5" x14ac:dyDescent="0.2">
      <c r="A756" s="235">
        <v>113419</v>
      </c>
      <c r="B756" s="236" t="s">
        <v>770</v>
      </c>
      <c r="C756" s="236" t="s">
        <v>771</v>
      </c>
      <c r="D756" s="126">
        <v>0</v>
      </c>
      <c r="E756" s="236" t="s">
        <v>1234</v>
      </c>
    </row>
    <row r="757" spans="1:5" x14ac:dyDescent="0.2">
      <c r="A757" s="235">
        <v>113420</v>
      </c>
      <c r="B757" s="236" t="s">
        <v>53</v>
      </c>
      <c r="C757" s="236" t="s">
        <v>2</v>
      </c>
      <c r="D757" s="126">
        <v>0</v>
      </c>
      <c r="E757" s="236" t="s">
        <v>1234</v>
      </c>
    </row>
    <row r="758" spans="1:5" x14ac:dyDescent="0.2">
      <c r="A758" s="235">
        <v>113421</v>
      </c>
      <c r="B758" s="236" t="s">
        <v>772</v>
      </c>
      <c r="C758" s="236" t="s">
        <v>15</v>
      </c>
      <c r="D758" s="126">
        <v>0</v>
      </c>
      <c r="E758" s="236" t="s">
        <v>1234</v>
      </c>
    </row>
    <row r="759" spans="1:5" x14ac:dyDescent="0.2">
      <c r="A759" s="235">
        <v>113422</v>
      </c>
      <c r="B759" s="236" t="s">
        <v>773</v>
      </c>
      <c r="C759" s="236" t="s">
        <v>2</v>
      </c>
      <c r="D759" s="126">
        <v>0</v>
      </c>
      <c r="E759" s="236" t="s">
        <v>1234</v>
      </c>
    </row>
    <row r="760" spans="1:5" x14ac:dyDescent="0.2">
      <c r="A760" s="235">
        <v>113426</v>
      </c>
      <c r="B760" s="236" t="s">
        <v>774</v>
      </c>
      <c r="C760" s="236" t="s">
        <v>2</v>
      </c>
      <c r="D760" s="126">
        <v>0</v>
      </c>
      <c r="E760" s="236" t="s">
        <v>1234</v>
      </c>
    </row>
    <row r="761" spans="1:5" x14ac:dyDescent="0.2">
      <c r="A761" s="235">
        <v>113429</v>
      </c>
      <c r="B761" s="236" t="s">
        <v>775</v>
      </c>
      <c r="C761" s="236" t="s">
        <v>2</v>
      </c>
      <c r="D761" s="126">
        <v>0</v>
      </c>
      <c r="E761" s="236" t="s">
        <v>1234</v>
      </c>
    </row>
    <row r="762" spans="1:5" x14ac:dyDescent="0.2">
      <c r="A762" s="235">
        <v>113431</v>
      </c>
      <c r="B762" s="236" t="s">
        <v>776</v>
      </c>
      <c r="C762" s="236" t="s">
        <v>2</v>
      </c>
      <c r="D762" s="126">
        <v>0</v>
      </c>
      <c r="E762" s="236" t="s">
        <v>1235</v>
      </c>
    </row>
    <row r="763" spans="1:5" x14ac:dyDescent="0.2">
      <c r="A763" s="235">
        <v>113432</v>
      </c>
      <c r="B763" s="236" t="s">
        <v>777</v>
      </c>
      <c r="C763" s="236" t="s">
        <v>2</v>
      </c>
      <c r="D763" s="126">
        <v>0</v>
      </c>
      <c r="E763" s="236" t="s">
        <v>1235</v>
      </c>
    </row>
    <row r="764" spans="1:5" x14ac:dyDescent="0.2">
      <c r="A764" s="235">
        <v>113433</v>
      </c>
      <c r="B764" s="236" t="s">
        <v>778</v>
      </c>
      <c r="C764" s="236" t="s">
        <v>7</v>
      </c>
      <c r="D764" s="126">
        <v>0</v>
      </c>
      <c r="E764" s="236" t="s">
        <v>1234</v>
      </c>
    </row>
    <row r="765" spans="1:5" x14ac:dyDescent="0.2">
      <c r="A765" s="235">
        <v>113435</v>
      </c>
      <c r="B765" s="236" t="s">
        <v>779</v>
      </c>
      <c r="C765" s="236" t="s">
        <v>2</v>
      </c>
      <c r="D765" s="126">
        <v>0</v>
      </c>
      <c r="E765" s="236" t="s">
        <v>1234</v>
      </c>
    </row>
    <row r="766" spans="1:5" x14ac:dyDescent="0.2">
      <c r="A766" s="235">
        <v>113436</v>
      </c>
      <c r="B766" s="236" t="s">
        <v>780</v>
      </c>
      <c r="C766" s="236" t="s">
        <v>2</v>
      </c>
      <c r="D766" s="126">
        <v>0</v>
      </c>
      <c r="E766" s="236" t="s">
        <v>1234</v>
      </c>
    </row>
    <row r="767" spans="1:5" x14ac:dyDescent="0.2">
      <c r="A767" s="235">
        <v>113437</v>
      </c>
      <c r="B767" s="236" t="s">
        <v>781</v>
      </c>
      <c r="C767" s="236" t="s">
        <v>2</v>
      </c>
      <c r="D767" s="126">
        <v>0</v>
      </c>
      <c r="E767" s="236" t="s">
        <v>1234</v>
      </c>
    </row>
    <row r="768" spans="1:5" x14ac:dyDescent="0.2">
      <c r="A768" s="235">
        <v>113438</v>
      </c>
      <c r="B768" s="236" t="s">
        <v>782</v>
      </c>
      <c r="C768" s="236" t="s">
        <v>5</v>
      </c>
      <c r="D768" s="126">
        <v>0</v>
      </c>
      <c r="E768" s="236" t="s">
        <v>1234</v>
      </c>
    </row>
    <row r="769" spans="1:5" x14ac:dyDescent="0.2">
      <c r="A769" s="235">
        <v>113441</v>
      </c>
      <c r="B769" s="236" t="s">
        <v>783</v>
      </c>
      <c r="C769" s="236" t="s">
        <v>15</v>
      </c>
      <c r="D769" s="126">
        <v>0</v>
      </c>
      <c r="E769" s="236" t="s">
        <v>1234</v>
      </c>
    </row>
    <row r="770" spans="1:5" x14ac:dyDescent="0.2">
      <c r="A770" s="235">
        <v>113442</v>
      </c>
      <c r="B770" s="236" t="s">
        <v>784</v>
      </c>
      <c r="C770" s="236" t="s">
        <v>2</v>
      </c>
      <c r="D770" s="126">
        <v>0</v>
      </c>
      <c r="E770" s="236" t="s">
        <v>1234</v>
      </c>
    </row>
    <row r="771" spans="1:5" x14ac:dyDescent="0.2">
      <c r="A771" s="235">
        <v>113443</v>
      </c>
      <c r="B771" s="236" t="s">
        <v>374</v>
      </c>
      <c r="C771" s="236" t="s">
        <v>2</v>
      </c>
      <c r="D771" s="126">
        <v>0</v>
      </c>
      <c r="E771" s="236" t="s">
        <v>1234</v>
      </c>
    </row>
    <row r="772" spans="1:5" x14ac:dyDescent="0.2">
      <c r="A772" s="235">
        <v>113445</v>
      </c>
      <c r="B772" s="236" t="s">
        <v>785</v>
      </c>
      <c r="C772" s="236" t="s">
        <v>5</v>
      </c>
      <c r="D772" s="126">
        <v>0</v>
      </c>
      <c r="E772" s="236" t="s">
        <v>1234</v>
      </c>
    </row>
    <row r="773" spans="1:5" x14ac:dyDescent="0.2">
      <c r="A773" s="235">
        <v>113447</v>
      </c>
      <c r="B773" s="236" t="s">
        <v>786</v>
      </c>
      <c r="C773" s="236" t="s">
        <v>722</v>
      </c>
      <c r="D773" s="126">
        <v>0</v>
      </c>
      <c r="E773" s="236" t="s">
        <v>1234</v>
      </c>
    </row>
    <row r="774" spans="1:5" x14ac:dyDescent="0.2">
      <c r="A774" s="235">
        <v>113448</v>
      </c>
      <c r="B774" s="236" t="s">
        <v>787</v>
      </c>
      <c r="C774" s="236" t="s">
        <v>2</v>
      </c>
      <c r="D774" s="126">
        <v>0</v>
      </c>
      <c r="E774" s="236" t="s">
        <v>1234</v>
      </c>
    </row>
    <row r="775" spans="1:5" x14ac:dyDescent="0.2">
      <c r="A775" s="235">
        <v>113449</v>
      </c>
      <c r="B775" s="236" t="s">
        <v>788</v>
      </c>
      <c r="C775" s="236" t="s">
        <v>5</v>
      </c>
      <c r="D775" s="126">
        <v>0</v>
      </c>
      <c r="E775" s="236" t="s">
        <v>1234</v>
      </c>
    </row>
    <row r="776" spans="1:5" x14ac:dyDescent="0.2">
      <c r="A776" s="235">
        <v>113455</v>
      </c>
      <c r="B776" s="236" t="s">
        <v>789</v>
      </c>
      <c r="C776" s="236" t="s">
        <v>5</v>
      </c>
      <c r="D776" s="126">
        <v>0</v>
      </c>
      <c r="E776" s="236" t="s">
        <v>1234</v>
      </c>
    </row>
    <row r="777" spans="1:5" x14ac:dyDescent="0.2">
      <c r="A777" s="235">
        <v>113457</v>
      </c>
      <c r="B777" s="236" t="s">
        <v>790</v>
      </c>
      <c r="C777" s="236" t="s">
        <v>2</v>
      </c>
      <c r="D777" s="126">
        <v>0</v>
      </c>
      <c r="E777" s="236" t="s">
        <v>1234</v>
      </c>
    </row>
    <row r="778" spans="1:5" x14ac:dyDescent="0.2">
      <c r="A778" s="235">
        <v>113458</v>
      </c>
      <c r="B778" s="236" t="s">
        <v>791</v>
      </c>
      <c r="C778" s="236" t="s">
        <v>2</v>
      </c>
      <c r="D778" s="126">
        <v>0</v>
      </c>
      <c r="E778" s="236" t="s">
        <v>1234</v>
      </c>
    </row>
    <row r="779" spans="1:5" x14ac:dyDescent="0.2">
      <c r="A779" s="235">
        <v>113459</v>
      </c>
      <c r="B779" s="236" t="s">
        <v>792</v>
      </c>
      <c r="C779" s="236" t="s">
        <v>5</v>
      </c>
      <c r="D779" s="126">
        <v>0</v>
      </c>
      <c r="E779" s="236" t="s">
        <v>1234</v>
      </c>
    </row>
    <row r="780" spans="1:5" x14ac:dyDescent="0.2">
      <c r="A780" s="235">
        <v>113460</v>
      </c>
      <c r="B780" s="236" t="s">
        <v>793</v>
      </c>
      <c r="C780" s="236" t="s">
        <v>22</v>
      </c>
      <c r="D780" s="126">
        <v>0</v>
      </c>
      <c r="E780" s="236" t="s">
        <v>1234</v>
      </c>
    </row>
    <row r="781" spans="1:5" x14ac:dyDescent="0.2">
      <c r="A781" s="235">
        <v>113461</v>
      </c>
      <c r="B781" s="236" t="s">
        <v>794</v>
      </c>
      <c r="C781" s="236" t="s">
        <v>2</v>
      </c>
      <c r="D781" s="126">
        <v>0</v>
      </c>
      <c r="E781" s="236" t="s">
        <v>1234</v>
      </c>
    </row>
    <row r="782" spans="1:5" x14ac:dyDescent="0.2">
      <c r="A782" s="235">
        <v>113463</v>
      </c>
      <c r="B782" s="236" t="s">
        <v>795</v>
      </c>
      <c r="C782" s="236" t="s">
        <v>2</v>
      </c>
      <c r="D782" s="126">
        <v>0</v>
      </c>
      <c r="E782" s="236" t="s">
        <v>1234</v>
      </c>
    </row>
    <row r="783" spans="1:5" x14ac:dyDescent="0.2">
      <c r="A783" s="235">
        <v>113464</v>
      </c>
      <c r="B783" s="236" t="s">
        <v>796</v>
      </c>
      <c r="C783" s="236" t="s">
        <v>39</v>
      </c>
      <c r="D783" s="126">
        <v>0</v>
      </c>
      <c r="E783" s="236" t="s">
        <v>1234</v>
      </c>
    </row>
    <row r="784" spans="1:5" x14ac:dyDescent="0.2">
      <c r="A784" s="235">
        <v>113467</v>
      </c>
      <c r="B784" s="236" t="s">
        <v>797</v>
      </c>
      <c r="C784" s="236" t="s">
        <v>2</v>
      </c>
      <c r="D784" s="126">
        <v>0</v>
      </c>
      <c r="E784" s="236" t="s">
        <v>1234</v>
      </c>
    </row>
    <row r="785" spans="1:5" x14ac:dyDescent="0.2">
      <c r="A785" s="235">
        <v>113469</v>
      </c>
      <c r="B785" s="236" t="s">
        <v>798</v>
      </c>
      <c r="C785" s="236" t="s">
        <v>5</v>
      </c>
      <c r="D785" s="126">
        <v>0</v>
      </c>
      <c r="E785" s="236" t="s">
        <v>1234</v>
      </c>
    </row>
    <row r="786" spans="1:5" x14ac:dyDescent="0.2">
      <c r="A786" s="235">
        <v>113470</v>
      </c>
      <c r="B786" s="236" t="s">
        <v>799</v>
      </c>
      <c r="C786" s="236" t="s">
        <v>2</v>
      </c>
      <c r="D786" s="126">
        <v>0</v>
      </c>
      <c r="E786" s="236" t="s">
        <v>1235</v>
      </c>
    </row>
    <row r="787" spans="1:5" x14ac:dyDescent="0.2">
      <c r="A787" s="235">
        <v>113471</v>
      </c>
      <c r="B787" s="236" t="s">
        <v>800</v>
      </c>
      <c r="C787" s="236" t="s">
        <v>5</v>
      </c>
      <c r="D787" s="126">
        <v>0</v>
      </c>
      <c r="E787" s="236" t="s">
        <v>1234</v>
      </c>
    </row>
    <row r="788" spans="1:5" x14ac:dyDescent="0.2">
      <c r="A788" s="235">
        <v>113474</v>
      </c>
      <c r="B788" s="236" t="s">
        <v>801</v>
      </c>
      <c r="C788" s="236" t="s">
        <v>5</v>
      </c>
      <c r="D788" s="126">
        <v>0</v>
      </c>
      <c r="E788" s="236" t="s">
        <v>1234</v>
      </c>
    </row>
    <row r="789" spans="1:5" x14ac:dyDescent="0.2">
      <c r="A789" s="235">
        <v>113477</v>
      </c>
      <c r="B789" s="236" t="s">
        <v>802</v>
      </c>
      <c r="C789" s="236" t="s">
        <v>5</v>
      </c>
      <c r="D789" s="126">
        <v>0</v>
      </c>
      <c r="E789" s="236" t="s">
        <v>1234</v>
      </c>
    </row>
    <row r="790" spans="1:5" x14ac:dyDescent="0.2">
      <c r="A790" s="235">
        <v>113478</v>
      </c>
      <c r="B790" s="236" t="s">
        <v>803</v>
      </c>
      <c r="C790" s="236" t="s">
        <v>407</v>
      </c>
      <c r="D790" s="126">
        <v>0</v>
      </c>
      <c r="E790" s="236" t="s">
        <v>1234</v>
      </c>
    </row>
    <row r="791" spans="1:5" x14ac:dyDescent="0.2">
      <c r="A791" s="235">
        <v>113480</v>
      </c>
      <c r="B791" s="236" t="s">
        <v>804</v>
      </c>
      <c r="C791" s="236" t="s">
        <v>2</v>
      </c>
      <c r="D791" s="126">
        <v>0</v>
      </c>
      <c r="E791" s="236" t="s">
        <v>1234</v>
      </c>
    </row>
    <row r="792" spans="1:5" x14ac:dyDescent="0.2">
      <c r="A792" s="235">
        <v>113482</v>
      </c>
      <c r="B792" s="236" t="s">
        <v>805</v>
      </c>
      <c r="C792" s="236" t="s">
        <v>582</v>
      </c>
      <c r="D792" s="126">
        <v>0</v>
      </c>
      <c r="E792" s="236" t="s">
        <v>1234</v>
      </c>
    </row>
    <row r="793" spans="1:5" x14ac:dyDescent="0.2">
      <c r="A793" s="235">
        <v>113486</v>
      </c>
      <c r="B793" s="236" t="s">
        <v>806</v>
      </c>
      <c r="C793" s="236" t="s">
        <v>15</v>
      </c>
      <c r="D793" s="126">
        <v>0</v>
      </c>
      <c r="E793" s="236" t="s">
        <v>1234</v>
      </c>
    </row>
    <row r="794" spans="1:5" x14ac:dyDescent="0.2">
      <c r="A794" s="235">
        <v>113487</v>
      </c>
      <c r="B794" s="236" t="s">
        <v>807</v>
      </c>
      <c r="C794" s="236" t="s">
        <v>22</v>
      </c>
      <c r="D794" s="126">
        <v>0</v>
      </c>
      <c r="E794" s="236" t="s">
        <v>1285</v>
      </c>
    </row>
    <row r="795" spans="1:5" x14ac:dyDescent="0.2">
      <c r="A795" s="235">
        <v>113489</v>
      </c>
      <c r="B795" s="236" t="s">
        <v>808</v>
      </c>
      <c r="C795" s="236" t="s">
        <v>2</v>
      </c>
      <c r="D795" s="126">
        <v>0</v>
      </c>
      <c r="E795" s="236" t="s">
        <v>1234</v>
      </c>
    </row>
    <row r="796" spans="1:5" x14ac:dyDescent="0.2">
      <c r="A796" s="235">
        <v>113490</v>
      </c>
      <c r="B796" s="236" t="s">
        <v>809</v>
      </c>
      <c r="C796" s="236" t="s">
        <v>385</v>
      </c>
      <c r="D796" s="126">
        <v>0</v>
      </c>
      <c r="E796" s="236" t="s">
        <v>1234</v>
      </c>
    </row>
    <row r="797" spans="1:5" x14ac:dyDescent="0.2">
      <c r="A797" s="235">
        <v>113491</v>
      </c>
      <c r="B797" s="236" t="s">
        <v>810</v>
      </c>
      <c r="C797" s="236" t="s">
        <v>5</v>
      </c>
      <c r="D797" s="126">
        <v>0</v>
      </c>
      <c r="E797" s="236" t="s">
        <v>1234</v>
      </c>
    </row>
    <row r="798" spans="1:5" x14ac:dyDescent="0.2">
      <c r="A798" s="235">
        <v>113493</v>
      </c>
      <c r="B798" s="236" t="s">
        <v>811</v>
      </c>
      <c r="C798" s="236" t="s">
        <v>2</v>
      </c>
      <c r="D798" s="126">
        <v>22</v>
      </c>
      <c r="E798" s="236" t="s">
        <v>1234</v>
      </c>
    </row>
    <row r="799" spans="1:5" x14ac:dyDescent="0.2">
      <c r="A799" s="235">
        <v>113495</v>
      </c>
      <c r="B799" s="236" t="s">
        <v>1565</v>
      </c>
      <c r="C799" s="236" t="s">
        <v>5</v>
      </c>
      <c r="D799" s="126">
        <v>0</v>
      </c>
      <c r="E799" s="236" t="s">
        <v>1516</v>
      </c>
    </row>
    <row r="800" spans="1:5" x14ac:dyDescent="0.2">
      <c r="A800" s="235">
        <v>113496</v>
      </c>
      <c r="B800" s="236" t="s">
        <v>812</v>
      </c>
      <c r="C800" s="236" t="s">
        <v>2</v>
      </c>
      <c r="D800" s="126">
        <v>0</v>
      </c>
      <c r="E800" s="236" t="s">
        <v>1234</v>
      </c>
    </row>
    <row r="801" spans="1:5" x14ac:dyDescent="0.2">
      <c r="A801" s="235">
        <v>113498</v>
      </c>
      <c r="B801" s="236" t="s">
        <v>813</v>
      </c>
      <c r="C801" s="236" t="s">
        <v>5</v>
      </c>
      <c r="D801" s="126">
        <v>0</v>
      </c>
      <c r="E801" s="236" t="s">
        <v>1234</v>
      </c>
    </row>
    <row r="802" spans="1:5" x14ac:dyDescent="0.2">
      <c r="A802" s="235">
        <v>113499</v>
      </c>
      <c r="B802" s="236" t="s">
        <v>814</v>
      </c>
      <c r="C802" s="236" t="s">
        <v>2</v>
      </c>
      <c r="D802" s="126">
        <v>0</v>
      </c>
      <c r="E802" s="236" t="s">
        <v>1234</v>
      </c>
    </row>
    <row r="803" spans="1:5" x14ac:dyDescent="0.2">
      <c r="A803" s="235">
        <v>113500</v>
      </c>
      <c r="B803" s="236" t="s">
        <v>815</v>
      </c>
      <c r="C803" s="236" t="s">
        <v>5</v>
      </c>
      <c r="D803" s="126">
        <v>0</v>
      </c>
      <c r="E803" s="236" t="s">
        <v>1234</v>
      </c>
    </row>
    <row r="804" spans="1:5" x14ac:dyDescent="0.2">
      <c r="A804" s="235">
        <v>113504</v>
      </c>
      <c r="B804" s="236" t="s">
        <v>816</v>
      </c>
      <c r="C804" s="236" t="s">
        <v>2</v>
      </c>
      <c r="D804" s="126">
        <v>0</v>
      </c>
      <c r="E804" s="236" t="s">
        <v>1234</v>
      </c>
    </row>
    <row r="805" spans="1:5" x14ac:dyDescent="0.2">
      <c r="A805" s="235">
        <v>113505</v>
      </c>
      <c r="B805" s="236" t="s">
        <v>817</v>
      </c>
      <c r="C805" s="236" t="s">
        <v>2</v>
      </c>
      <c r="D805" s="126">
        <v>0</v>
      </c>
      <c r="E805" s="236" t="s">
        <v>1234</v>
      </c>
    </row>
    <row r="806" spans="1:5" x14ac:dyDescent="0.2">
      <c r="A806" s="235">
        <v>113508</v>
      </c>
      <c r="B806" s="236" t="s">
        <v>818</v>
      </c>
      <c r="C806" s="236" t="s">
        <v>15</v>
      </c>
      <c r="D806" s="126">
        <v>0</v>
      </c>
      <c r="E806" s="236" t="s">
        <v>1234</v>
      </c>
    </row>
    <row r="807" spans="1:5" x14ac:dyDescent="0.2">
      <c r="A807" s="235">
        <v>113510</v>
      </c>
      <c r="B807" s="236" t="s">
        <v>819</v>
      </c>
      <c r="C807" s="236" t="s">
        <v>15</v>
      </c>
      <c r="D807" s="126">
        <v>0</v>
      </c>
      <c r="E807" s="236" t="s">
        <v>1234</v>
      </c>
    </row>
    <row r="808" spans="1:5" x14ac:dyDescent="0.2">
      <c r="A808" s="235">
        <v>113512</v>
      </c>
      <c r="B808" s="236" t="s">
        <v>820</v>
      </c>
      <c r="C808" s="236" t="s">
        <v>5</v>
      </c>
      <c r="D808" s="126">
        <v>0</v>
      </c>
      <c r="E808" s="236" t="s">
        <v>1234</v>
      </c>
    </row>
    <row r="809" spans="1:5" x14ac:dyDescent="0.2">
      <c r="A809" s="235">
        <v>113515</v>
      </c>
      <c r="B809" s="236" t="s">
        <v>821</v>
      </c>
      <c r="C809" s="236" t="s">
        <v>2</v>
      </c>
      <c r="D809" s="126">
        <v>0</v>
      </c>
      <c r="E809" s="236" t="s">
        <v>1235</v>
      </c>
    </row>
    <row r="810" spans="1:5" x14ac:dyDescent="0.2">
      <c r="A810" s="235">
        <v>113516</v>
      </c>
      <c r="B810" s="236" t="s">
        <v>822</v>
      </c>
      <c r="C810" s="236" t="s">
        <v>2</v>
      </c>
      <c r="D810" s="126">
        <v>0</v>
      </c>
      <c r="E810" s="236" t="s">
        <v>1234</v>
      </c>
    </row>
    <row r="811" spans="1:5" x14ac:dyDescent="0.2">
      <c r="A811" s="235">
        <v>113519</v>
      </c>
      <c r="B811" s="236" t="s">
        <v>823</v>
      </c>
      <c r="C811" s="236" t="s">
        <v>39</v>
      </c>
      <c r="D811" s="126">
        <v>0</v>
      </c>
      <c r="E811" s="236" t="s">
        <v>1234</v>
      </c>
    </row>
    <row r="812" spans="1:5" x14ac:dyDescent="0.2">
      <c r="A812" s="235">
        <v>113520</v>
      </c>
      <c r="B812" s="236" t="s">
        <v>824</v>
      </c>
      <c r="C812" s="236" t="s">
        <v>146</v>
      </c>
      <c r="D812" s="126">
        <v>0</v>
      </c>
      <c r="E812" s="236" t="s">
        <v>1234</v>
      </c>
    </row>
    <row r="813" spans="1:5" x14ac:dyDescent="0.2">
      <c r="A813" s="235">
        <v>113521</v>
      </c>
      <c r="B813" s="236" t="s">
        <v>825</v>
      </c>
      <c r="C813" s="236" t="s">
        <v>2</v>
      </c>
      <c r="D813" s="126">
        <v>0</v>
      </c>
      <c r="E813" s="236" t="s">
        <v>1234</v>
      </c>
    </row>
    <row r="814" spans="1:5" x14ac:dyDescent="0.2">
      <c r="A814" s="235">
        <v>113524</v>
      </c>
      <c r="B814" s="236" t="s">
        <v>826</v>
      </c>
      <c r="C814" s="236" t="s">
        <v>5</v>
      </c>
      <c r="D814" s="126">
        <v>0</v>
      </c>
      <c r="E814" s="236" t="s">
        <v>1234</v>
      </c>
    </row>
    <row r="815" spans="1:5" x14ac:dyDescent="0.2">
      <c r="A815" s="235">
        <v>113526</v>
      </c>
      <c r="B815" s="236" t="s">
        <v>827</v>
      </c>
      <c r="C815" s="236" t="s">
        <v>5</v>
      </c>
      <c r="D815" s="126">
        <v>0</v>
      </c>
      <c r="E815" s="236" t="s">
        <v>1234</v>
      </c>
    </row>
    <row r="816" spans="1:5" x14ac:dyDescent="0.2">
      <c r="A816" s="235">
        <v>113529</v>
      </c>
      <c r="B816" s="236" t="s">
        <v>828</v>
      </c>
      <c r="C816" s="236" t="s">
        <v>15</v>
      </c>
      <c r="D816" s="126">
        <v>0</v>
      </c>
      <c r="E816" s="236" t="s">
        <v>1234</v>
      </c>
    </row>
    <row r="817" spans="1:5" x14ac:dyDescent="0.2">
      <c r="A817" s="235">
        <v>113530</v>
      </c>
      <c r="B817" s="236" t="s">
        <v>829</v>
      </c>
      <c r="C817" s="236" t="s">
        <v>2</v>
      </c>
      <c r="D817" s="126">
        <v>0</v>
      </c>
      <c r="E817" s="236" t="s">
        <v>1234</v>
      </c>
    </row>
    <row r="818" spans="1:5" x14ac:dyDescent="0.2">
      <c r="A818" s="235">
        <v>113531</v>
      </c>
      <c r="B818" s="236" t="s">
        <v>830</v>
      </c>
      <c r="C818" s="236" t="s">
        <v>2</v>
      </c>
      <c r="D818" s="126">
        <v>0</v>
      </c>
      <c r="E818" s="236" t="s">
        <v>1234</v>
      </c>
    </row>
    <row r="819" spans="1:5" x14ac:dyDescent="0.2">
      <c r="A819" s="235">
        <v>113532</v>
      </c>
      <c r="B819" s="236" t="s">
        <v>831</v>
      </c>
      <c r="C819" s="236" t="s">
        <v>5</v>
      </c>
      <c r="D819" s="126">
        <v>0</v>
      </c>
      <c r="E819" s="236" t="s">
        <v>1234</v>
      </c>
    </row>
    <row r="820" spans="1:5" x14ac:dyDescent="0.2">
      <c r="A820" s="235">
        <v>113533</v>
      </c>
      <c r="B820" s="236" t="s">
        <v>832</v>
      </c>
      <c r="C820" s="236" t="s">
        <v>2</v>
      </c>
      <c r="D820" s="126">
        <v>0</v>
      </c>
      <c r="E820" s="236" t="s">
        <v>1234</v>
      </c>
    </row>
    <row r="821" spans="1:5" x14ac:dyDescent="0.2">
      <c r="A821" s="235">
        <v>113535</v>
      </c>
      <c r="B821" s="236" t="s">
        <v>833</v>
      </c>
      <c r="C821" s="236" t="s">
        <v>1449</v>
      </c>
      <c r="D821" s="126">
        <v>0</v>
      </c>
      <c r="E821" s="236" t="s">
        <v>1234</v>
      </c>
    </row>
    <row r="822" spans="1:5" x14ac:dyDescent="0.2">
      <c r="A822" s="235">
        <v>113536</v>
      </c>
      <c r="B822" s="236" t="s">
        <v>834</v>
      </c>
      <c r="C822" s="236" t="s">
        <v>2</v>
      </c>
      <c r="D822" s="126">
        <v>0</v>
      </c>
      <c r="E822" s="236" t="s">
        <v>1234</v>
      </c>
    </row>
    <row r="823" spans="1:5" x14ac:dyDescent="0.2">
      <c r="A823" s="235">
        <v>113537</v>
      </c>
      <c r="B823" s="236" t="s">
        <v>835</v>
      </c>
      <c r="C823" s="236" t="s">
        <v>2</v>
      </c>
      <c r="D823" s="126">
        <v>0</v>
      </c>
      <c r="E823" s="236" t="s">
        <v>1234</v>
      </c>
    </row>
    <row r="824" spans="1:5" x14ac:dyDescent="0.2">
      <c r="A824" s="235">
        <v>113538</v>
      </c>
      <c r="B824" s="236" t="s">
        <v>1578</v>
      </c>
      <c r="C824" s="236" t="s">
        <v>2</v>
      </c>
      <c r="D824" s="126">
        <v>0</v>
      </c>
      <c r="E824" s="236" t="s">
        <v>1285</v>
      </c>
    </row>
    <row r="825" spans="1:5" x14ac:dyDescent="0.2">
      <c r="A825" s="235">
        <v>113540</v>
      </c>
      <c r="B825" s="236" t="s">
        <v>836</v>
      </c>
      <c r="C825" s="236" t="s">
        <v>15</v>
      </c>
      <c r="D825" s="126">
        <v>0</v>
      </c>
      <c r="E825" s="236" t="s">
        <v>1234</v>
      </c>
    </row>
    <row r="826" spans="1:5" x14ac:dyDescent="0.2">
      <c r="A826" s="235">
        <v>113541</v>
      </c>
      <c r="B826" s="236" t="s">
        <v>837</v>
      </c>
      <c r="C826" s="236" t="s">
        <v>7</v>
      </c>
      <c r="D826" s="126">
        <v>0</v>
      </c>
      <c r="E826" s="236" t="s">
        <v>1234</v>
      </c>
    </row>
    <row r="827" spans="1:5" x14ac:dyDescent="0.2">
      <c r="A827" s="235">
        <v>113543</v>
      </c>
      <c r="B827" s="236" t="s">
        <v>838</v>
      </c>
      <c r="C827" s="236" t="s">
        <v>15</v>
      </c>
      <c r="D827" s="126">
        <v>0</v>
      </c>
      <c r="E827" s="236" t="s">
        <v>1234</v>
      </c>
    </row>
    <row r="828" spans="1:5" x14ac:dyDescent="0.2">
      <c r="A828" s="235">
        <v>113545</v>
      </c>
      <c r="B828" s="236" t="s">
        <v>839</v>
      </c>
      <c r="C828" s="236" t="s">
        <v>2</v>
      </c>
      <c r="D828" s="126">
        <v>0</v>
      </c>
      <c r="E828" s="236" t="s">
        <v>1234</v>
      </c>
    </row>
    <row r="829" spans="1:5" x14ac:dyDescent="0.2">
      <c r="A829" s="235">
        <v>113546</v>
      </c>
      <c r="B829" s="236" t="s">
        <v>840</v>
      </c>
      <c r="C829" s="236" t="s">
        <v>22</v>
      </c>
      <c r="D829" s="126">
        <v>0</v>
      </c>
      <c r="E829" s="236" t="s">
        <v>1235</v>
      </c>
    </row>
    <row r="830" spans="1:5" x14ac:dyDescent="0.2">
      <c r="A830" s="235">
        <v>113547</v>
      </c>
      <c r="B830" s="236" t="s">
        <v>841</v>
      </c>
      <c r="C830" s="236" t="s">
        <v>146</v>
      </c>
      <c r="D830" s="126">
        <v>0</v>
      </c>
      <c r="E830" s="236" t="s">
        <v>1234</v>
      </c>
    </row>
    <row r="831" spans="1:5" x14ac:dyDescent="0.2">
      <c r="A831" s="235">
        <v>113548</v>
      </c>
      <c r="B831" s="236" t="s">
        <v>842</v>
      </c>
      <c r="C831" s="236" t="s">
        <v>5</v>
      </c>
      <c r="D831" s="126">
        <v>0</v>
      </c>
      <c r="E831" s="236" t="s">
        <v>1234</v>
      </c>
    </row>
    <row r="832" spans="1:5" x14ac:dyDescent="0.2">
      <c r="A832" s="235">
        <v>113549</v>
      </c>
      <c r="B832" s="236" t="s">
        <v>843</v>
      </c>
      <c r="C832" s="236" t="s">
        <v>5</v>
      </c>
      <c r="D832" s="126">
        <v>3</v>
      </c>
      <c r="E832" s="236" t="s">
        <v>1234</v>
      </c>
    </row>
    <row r="833" spans="1:5" x14ac:dyDescent="0.2">
      <c r="A833" s="235">
        <v>113550</v>
      </c>
      <c r="B833" s="236" t="s">
        <v>844</v>
      </c>
      <c r="C833" s="236" t="s">
        <v>5</v>
      </c>
      <c r="D833" s="126">
        <v>0</v>
      </c>
      <c r="E833" s="236" t="s">
        <v>1234</v>
      </c>
    </row>
    <row r="834" spans="1:5" x14ac:dyDescent="0.2">
      <c r="A834" s="235">
        <v>113551</v>
      </c>
      <c r="B834" s="236" t="s">
        <v>845</v>
      </c>
      <c r="C834" s="236" t="s">
        <v>2</v>
      </c>
      <c r="D834" s="126">
        <v>0</v>
      </c>
      <c r="E834" s="236" t="s">
        <v>1234</v>
      </c>
    </row>
    <row r="835" spans="1:5" x14ac:dyDescent="0.2">
      <c r="A835" s="235">
        <v>113552</v>
      </c>
      <c r="B835" s="236" t="s">
        <v>846</v>
      </c>
      <c r="C835" s="236" t="s">
        <v>22</v>
      </c>
      <c r="D835" s="126">
        <v>0</v>
      </c>
      <c r="E835" s="236" t="s">
        <v>1234</v>
      </c>
    </row>
    <row r="836" spans="1:5" x14ac:dyDescent="0.2">
      <c r="A836" s="235">
        <v>113553</v>
      </c>
      <c r="B836" s="236" t="s">
        <v>847</v>
      </c>
      <c r="C836" s="236" t="s">
        <v>2</v>
      </c>
      <c r="D836" s="126">
        <v>0</v>
      </c>
      <c r="E836" s="236" t="s">
        <v>1235</v>
      </c>
    </row>
    <row r="837" spans="1:5" x14ac:dyDescent="0.2">
      <c r="A837" s="235">
        <v>113555</v>
      </c>
      <c r="B837" s="236" t="s">
        <v>728</v>
      </c>
      <c r="C837" s="236" t="s">
        <v>2</v>
      </c>
      <c r="D837" s="126">
        <v>0</v>
      </c>
      <c r="E837" s="236" t="s">
        <v>1234</v>
      </c>
    </row>
    <row r="838" spans="1:5" x14ac:dyDescent="0.2">
      <c r="A838" s="235">
        <v>113557</v>
      </c>
      <c r="B838" s="236" t="s">
        <v>848</v>
      </c>
      <c r="C838" s="236" t="s">
        <v>2</v>
      </c>
      <c r="D838" s="126">
        <v>0</v>
      </c>
      <c r="E838" s="236" t="s">
        <v>1234</v>
      </c>
    </row>
    <row r="839" spans="1:5" x14ac:dyDescent="0.2">
      <c r="A839" s="235">
        <v>113558</v>
      </c>
      <c r="B839" s="236" t="s">
        <v>849</v>
      </c>
      <c r="C839" s="236" t="s">
        <v>2</v>
      </c>
      <c r="D839" s="126">
        <v>0</v>
      </c>
      <c r="E839" s="236" t="s">
        <v>1234</v>
      </c>
    </row>
    <row r="840" spans="1:5" x14ac:dyDescent="0.2">
      <c r="A840" s="235">
        <v>113559</v>
      </c>
      <c r="B840" s="236" t="s">
        <v>850</v>
      </c>
      <c r="C840" s="236" t="s">
        <v>2</v>
      </c>
      <c r="D840" s="126">
        <v>0</v>
      </c>
      <c r="E840" s="236" t="s">
        <v>1234</v>
      </c>
    </row>
    <row r="841" spans="1:5" x14ac:dyDescent="0.2">
      <c r="A841" s="235">
        <v>113560</v>
      </c>
      <c r="B841" s="236" t="s">
        <v>851</v>
      </c>
      <c r="C841" s="236" t="s">
        <v>5</v>
      </c>
      <c r="D841" s="126">
        <v>0</v>
      </c>
      <c r="E841" s="236" t="s">
        <v>1234</v>
      </c>
    </row>
    <row r="842" spans="1:5" x14ac:dyDescent="0.2">
      <c r="A842" s="235">
        <v>113561</v>
      </c>
      <c r="B842" s="236" t="s">
        <v>852</v>
      </c>
      <c r="C842" s="236" t="s">
        <v>2</v>
      </c>
      <c r="D842" s="126">
        <v>0</v>
      </c>
      <c r="E842" s="236" t="s">
        <v>1234</v>
      </c>
    </row>
    <row r="843" spans="1:5" x14ac:dyDescent="0.2">
      <c r="A843" s="235">
        <v>113565</v>
      </c>
      <c r="B843" s="236" t="s">
        <v>853</v>
      </c>
      <c r="C843" s="236" t="s">
        <v>15</v>
      </c>
      <c r="D843" s="126">
        <v>0</v>
      </c>
      <c r="E843" s="236" t="s">
        <v>1234</v>
      </c>
    </row>
    <row r="844" spans="1:5" x14ac:dyDescent="0.2">
      <c r="A844" s="235">
        <v>113566</v>
      </c>
      <c r="B844" s="236" t="s">
        <v>854</v>
      </c>
      <c r="C844" s="236" t="s">
        <v>2</v>
      </c>
      <c r="D844" s="126">
        <v>0</v>
      </c>
      <c r="E844" s="236" t="s">
        <v>1234</v>
      </c>
    </row>
    <row r="845" spans="1:5" x14ac:dyDescent="0.2">
      <c r="A845" s="235">
        <v>113568</v>
      </c>
      <c r="B845" s="236" t="s">
        <v>855</v>
      </c>
      <c r="C845" s="236" t="s">
        <v>15</v>
      </c>
      <c r="D845" s="126">
        <v>0</v>
      </c>
      <c r="E845" s="236" t="s">
        <v>1234</v>
      </c>
    </row>
    <row r="846" spans="1:5" x14ac:dyDescent="0.2">
      <c r="A846" s="235">
        <v>113573</v>
      </c>
      <c r="B846" s="236" t="s">
        <v>856</v>
      </c>
      <c r="C846" s="236" t="s">
        <v>2</v>
      </c>
      <c r="D846" s="126">
        <v>0</v>
      </c>
      <c r="E846" s="236" t="s">
        <v>1234</v>
      </c>
    </row>
    <row r="847" spans="1:5" x14ac:dyDescent="0.2">
      <c r="A847" s="235">
        <v>113577</v>
      </c>
      <c r="B847" s="236" t="s">
        <v>857</v>
      </c>
      <c r="C847" s="236" t="s">
        <v>22</v>
      </c>
      <c r="D847" s="126">
        <v>0</v>
      </c>
      <c r="E847" s="236" t="s">
        <v>1234</v>
      </c>
    </row>
    <row r="848" spans="1:5" x14ac:dyDescent="0.2">
      <c r="A848" s="235">
        <v>113579</v>
      </c>
      <c r="B848" s="236" t="s">
        <v>858</v>
      </c>
      <c r="C848" s="236" t="s">
        <v>2</v>
      </c>
      <c r="D848" s="126">
        <v>0</v>
      </c>
      <c r="E848" s="236" t="s">
        <v>1234</v>
      </c>
    </row>
    <row r="849" spans="1:5" x14ac:dyDescent="0.2">
      <c r="A849" s="235">
        <v>113582</v>
      </c>
      <c r="B849" s="236" t="s">
        <v>859</v>
      </c>
      <c r="C849" s="236" t="s">
        <v>2</v>
      </c>
      <c r="D849" s="126">
        <v>0</v>
      </c>
      <c r="E849" s="236" t="s">
        <v>1234</v>
      </c>
    </row>
    <row r="850" spans="1:5" x14ac:dyDescent="0.2">
      <c r="A850" s="235">
        <v>113584</v>
      </c>
      <c r="B850" s="236" t="s">
        <v>860</v>
      </c>
      <c r="C850" s="236" t="s">
        <v>39</v>
      </c>
      <c r="D850" s="126">
        <v>0</v>
      </c>
      <c r="E850" s="236" t="s">
        <v>1234</v>
      </c>
    </row>
    <row r="851" spans="1:5" x14ac:dyDescent="0.2">
      <c r="A851" s="235">
        <v>113585</v>
      </c>
      <c r="B851" s="236" t="s">
        <v>861</v>
      </c>
      <c r="C851" s="236" t="s">
        <v>2</v>
      </c>
      <c r="D851" s="126">
        <v>0</v>
      </c>
      <c r="E851" s="236" t="s">
        <v>1234</v>
      </c>
    </row>
    <row r="852" spans="1:5" x14ac:dyDescent="0.2">
      <c r="A852" s="235">
        <v>113586</v>
      </c>
      <c r="B852" s="236" t="s">
        <v>862</v>
      </c>
      <c r="C852" s="236" t="s">
        <v>2</v>
      </c>
      <c r="D852" s="126">
        <v>0</v>
      </c>
      <c r="E852" s="236" t="s">
        <v>1234</v>
      </c>
    </row>
    <row r="853" spans="1:5" x14ac:dyDescent="0.2">
      <c r="A853" s="235">
        <v>113587</v>
      </c>
      <c r="B853" s="236" t="s">
        <v>863</v>
      </c>
      <c r="C853" s="236" t="s">
        <v>2</v>
      </c>
      <c r="D853" s="126">
        <v>0</v>
      </c>
      <c r="E853" s="236" t="s">
        <v>1234</v>
      </c>
    </row>
    <row r="854" spans="1:5" x14ac:dyDescent="0.2">
      <c r="A854" s="235">
        <v>113588</v>
      </c>
      <c r="B854" s="236" t="s">
        <v>864</v>
      </c>
      <c r="C854" s="236" t="s">
        <v>2</v>
      </c>
      <c r="D854" s="126">
        <v>0</v>
      </c>
      <c r="E854" s="236" t="s">
        <v>1235</v>
      </c>
    </row>
    <row r="855" spans="1:5" x14ac:dyDescent="0.2">
      <c r="A855" s="235">
        <v>113589</v>
      </c>
      <c r="B855" s="236" t="s">
        <v>1404</v>
      </c>
      <c r="C855" s="236" t="s">
        <v>5</v>
      </c>
      <c r="D855" s="126">
        <v>0</v>
      </c>
      <c r="E855" s="236" t="s">
        <v>1234</v>
      </c>
    </row>
    <row r="856" spans="1:5" x14ac:dyDescent="0.2">
      <c r="A856" s="235">
        <v>113590</v>
      </c>
      <c r="B856" s="236" t="s">
        <v>865</v>
      </c>
      <c r="C856" s="236" t="s">
        <v>5</v>
      </c>
      <c r="D856" s="126">
        <v>0</v>
      </c>
      <c r="E856" s="236" t="s">
        <v>1234</v>
      </c>
    </row>
    <row r="857" spans="1:5" x14ac:dyDescent="0.2">
      <c r="A857" s="235">
        <v>113592</v>
      </c>
      <c r="B857" s="236" t="s">
        <v>866</v>
      </c>
      <c r="C857" s="236" t="s">
        <v>15</v>
      </c>
      <c r="D857" s="126">
        <v>0</v>
      </c>
      <c r="E857" s="236" t="s">
        <v>1234</v>
      </c>
    </row>
    <row r="858" spans="1:5" x14ac:dyDescent="0.2">
      <c r="A858" s="235">
        <v>113594</v>
      </c>
      <c r="B858" s="236" t="s">
        <v>867</v>
      </c>
      <c r="C858" s="236" t="s">
        <v>5</v>
      </c>
      <c r="D858" s="126">
        <v>0</v>
      </c>
      <c r="E858" s="236" t="s">
        <v>1234</v>
      </c>
    </row>
    <row r="859" spans="1:5" x14ac:dyDescent="0.2">
      <c r="A859" s="235">
        <v>113597</v>
      </c>
      <c r="B859" s="236" t="s">
        <v>868</v>
      </c>
      <c r="C859" s="236" t="s">
        <v>2</v>
      </c>
      <c r="D859" s="126">
        <v>0</v>
      </c>
      <c r="E859" s="236" t="s">
        <v>1234</v>
      </c>
    </row>
    <row r="860" spans="1:5" x14ac:dyDescent="0.2">
      <c r="A860" s="235">
        <v>113599</v>
      </c>
      <c r="B860" s="236" t="s">
        <v>869</v>
      </c>
      <c r="C860" s="236" t="s">
        <v>15</v>
      </c>
      <c r="D860" s="126">
        <v>0</v>
      </c>
      <c r="E860" s="236" t="s">
        <v>1235</v>
      </c>
    </row>
    <row r="861" spans="1:5" x14ac:dyDescent="0.2">
      <c r="A861" s="235">
        <v>113602</v>
      </c>
      <c r="B861" s="236" t="s">
        <v>870</v>
      </c>
      <c r="C861" s="236" t="s">
        <v>15</v>
      </c>
      <c r="D861" s="126">
        <v>0</v>
      </c>
      <c r="E861" s="236" t="s">
        <v>1234</v>
      </c>
    </row>
    <row r="862" spans="1:5" x14ac:dyDescent="0.2">
      <c r="A862" s="235">
        <v>113603</v>
      </c>
      <c r="B862" s="236" t="s">
        <v>871</v>
      </c>
      <c r="C862" s="236" t="s">
        <v>39</v>
      </c>
      <c r="D862" s="126">
        <v>1</v>
      </c>
      <c r="E862" s="236" t="s">
        <v>1234</v>
      </c>
    </row>
    <row r="863" spans="1:5" x14ac:dyDescent="0.2">
      <c r="A863" s="235">
        <v>113607</v>
      </c>
      <c r="B863" s="236" t="s">
        <v>872</v>
      </c>
      <c r="C863" s="236" t="s">
        <v>15</v>
      </c>
      <c r="D863" s="126">
        <v>0</v>
      </c>
      <c r="E863" s="236" t="s">
        <v>1234</v>
      </c>
    </row>
    <row r="864" spans="1:5" x14ac:dyDescent="0.2">
      <c r="A864" s="235">
        <v>113608</v>
      </c>
      <c r="B864" s="236" t="s">
        <v>873</v>
      </c>
      <c r="C864" s="236" t="s">
        <v>2</v>
      </c>
      <c r="D864" s="126">
        <v>0</v>
      </c>
      <c r="E864" s="236" t="s">
        <v>1234</v>
      </c>
    </row>
    <row r="865" spans="1:5" x14ac:dyDescent="0.2">
      <c r="A865" s="235">
        <v>113609</v>
      </c>
      <c r="B865" s="236" t="s">
        <v>874</v>
      </c>
      <c r="C865" s="236" t="s">
        <v>5</v>
      </c>
      <c r="D865" s="126">
        <v>0</v>
      </c>
      <c r="E865" s="236" t="s">
        <v>1234</v>
      </c>
    </row>
    <row r="866" spans="1:5" x14ac:dyDescent="0.2">
      <c r="A866" s="235">
        <v>113611</v>
      </c>
      <c r="B866" s="236" t="s">
        <v>875</v>
      </c>
      <c r="C866" s="236" t="s">
        <v>146</v>
      </c>
      <c r="D866" s="126">
        <v>0</v>
      </c>
      <c r="E866" s="236" t="s">
        <v>1234</v>
      </c>
    </row>
    <row r="867" spans="1:5" x14ac:dyDescent="0.2">
      <c r="A867" s="235">
        <v>113612</v>
      </c>
      <c r="B867" s="236" t="s">
        <v>876</v>
      </c>
      <c r="C867" s="236" t="s">
        <v>2</v>
      </c>
      <c r="D867" s="126">
        <v>0</v>
      </c>
      <c r="E867" s="236" t="s">
        <v>1234</v>
      </c>
    </row>
    <row r="868" spans="1:5" x14ac:dyDescent="0.2">
      <c r="A868" s="235">
        <v>113614</v>
      </c>
      <c r="B868" s="236" t="s">
        <v>781</v>
      </c>
      <c r="C868" s="236" t="s">
        <v>15</v>
      </c>
      <c r="D868" s="126">
        <v>0</v>
      </c>
      <c r="E868" s="236" t="s">
        <v>1234</v>
      </c>
    </row>
    <row r="869" spans="1:5" x14ac:dyDescent="0.2">
      <c r="A869" s="235">
        <v>113617</v>
      </c>
      <c r="B869" s="236" t="s">
        <v>877</v>
      </c>
      <c r="C869" s="236" t="s">
        <v>15</v>
      </c>
      <c r="D869" s="126">
        <v>0</v>
      </c>
      <c r="E869" s="236" t="s">
        <v>1234</v>
      </c>
    </row>
    <row r="870" spans="1:5" x14ac:dyDescent="0.2">
      <c r="A870" s="235">
        <v>113618</v>
      </c>
      <c r="B870" s="236" t="s">
        <v>878</v>
      </c>
      <c r="C870" s="236" t="s">
        <v>407</v>
      </c>
      <c r="D870" s="126">
        <v>0</v>
      </c>
      <c r="E870" s="236" t="s">
        <v>1234</v>
      </c>
    </row>
    <row r="871" spans="1:5" x14ac:dyDescent="0.2">
      <c r="A871" s="235">
        <v>113619</v>
      </c>
      <c r="B871" s="236" t="s">
        <v>879</v>
      </c>
      <c r="C871" s="236" t="s">
        <v>5</v>
      </c>
      <c r="D871" s="126">
        <v>0</v>
      </c>
      <c r="E871" s="236" t="s">
        <v>1234</v>
      </c>
    </row>
    <row r="872" spans="1:5" x14ac:dyDescent="0.2">
      <c r="A872" s="235">
        <v>113623</v>
      </c>
      <c r="B872" s="236" t="s">
        <v>880</v>
      </c>
      <c r="C872" s="236" t="s">
        <v>2</v>
      </c>
      <c r="D872" s="126">
        <v>0</v>
      </c>
      <c r="E872" s="236" t="s">
        <v>1234</v>
      </c>
    </row>
    <row r="873" spans="1:5" x14ac:dyDescent="0.2">
      <c r="A873" s="235">
        <v>113625</v>
      </c>
      <c r="B873" s="236" t="s">
        <v>881</v>
      </c>
      <c r="C873" s="236" t="s">
        <v>5</v>
      </c>
      <c r="D873" s="126">
        <v>0</v>
      </c>
      <c r="E873" s="236" t="s">
        <v>1234</v>
      </c>
    </row>
    <row r="874" spans="1:5" x14ac:dyDescent="0.2">
      <c r="A874" s="235">
        <v>113626</v>
      </c>
      <c r="B874" s="236" t="s">
        <v>882</v>
      </c>
      <c r="C874" s="236" t="s">
        <v>411</v>
      </c>
      <c r="D874" s="126">
        <v>0</v>
      </c>
      <c r="E874" s="236" t="s">
        <v>1234</v>
      </c>
    </row>
    <row r="875" spans="1:5" x14ac:dyDescent="0.2">
      <c r="A875" s="235">
        <v>113627</v>
      </c>
      <c r="B875" s="236" t="s">
        <v>883</v>
      </c>
      <c r="C875" s="236" t="s">
        <v>5</v>
      </c>
      <c r="D875" s="126">
        <v>0</v>
      </c>
      <c r="E875" s="236" t="s">
        <v>1234</v>
      </c>
    </row>
    <row r="876" spans="1:5" x14ac:dyDescent="0.2">
      <c r="A876" s="235">
        <v>113628</v>
      </c>
      <c r="B876" s="236" t="s">
        <v>884</v>
      </c>
      <c r="C876" s="236" t="s">
        <v>15</v>
      </c>
      <c r="D876" s="126">
        <v>0</v>
      </c>
      <c r="E876" s="236" t="s">
        <v>1234</v>
      </c>
    </row>
    <row r="877" spans="1:5" x14ac:dyDescent="0.2">
      <c r="A877" s="235">
        <v>113630</v>
      </c>
      <c r="B877" s="236" t="s">
        <v>885</v>
      </c>
      <c r="C877" s="236" t="s">
        <v>2</v>
      </c>
      <c r="D877" s="126">
        <v>0</v>
      </c>
      <c r="E877" s="236" t="s">
        <v>1234</v>
      </c>
    </row>
    <row r="878" spans="1:5" x14ac:dyDescent="0.2">
      <c r="A878" s="235">
        <v>113631</v>
      </c>
      <c r="B878" s="236" t="s">
        <v>886</v>
      </c>
      <c r="C878" s="236" t="s">
        <v>2</v>
      </c>
      <c r="D878" s="126">
        <v>0</v>
      </c>
      <c r="E878" s="236" t="s">
        <v>1234</v>
      </c>
    </row>
    <row r="879" spans="1:5" x14ac:dyDescent="0.2">
      <c r="A879" s="235">
        <v>113633</v>
      </c>
      <c r="B879" s="236" t="s">
        <v>887</v>
      </c>
      <c r="C879" s="236" t="s">
        <v>15</v>
      </c>
      <c r="D879" s="126">
        <v>0</v>
      </c>
      <c r="E879" s="236" t="s">
        <v>1234</v>
      </c>
    </row>
    <row r="880" spans="1:5" x14ac:dyDescent="0.2">
      <c r="A880" s="235">
        <v>113634</v>
      </c>
      <c r="B880" s="236" t="s">
        <v>888</v>
      </c>
      <c r="C880" s="236" t="s">
        <v>22</v>
      </c>
      <c r="D880" s="126">
        <v>0</v>
      </c>
      <c r="E880" s="236" t="s">
        <v>1234</v>
      </c>
    </row>
    <row r="881" spans="1:5" x14ac:dyDescent="0.2">
      <c r="A881" s="235">
        <v>113635</v>
      </c>
      <c r="B881" s="236" t="s">
        <v>889</v>
      </c>
      <c r="C881" s="236" t="s">
        <v>15</v>
      </c>
      <c r="D881" s="126">
        <v>0</v>
      </c>
      <c r="E881" s="236" t="s">
        <v>1234</v>
      </c>
    </row>
    <row r="882" spans="1:5" x14ac:dyDescent="0.2">
      <c r="A882" s="235">
        <v>113636</v>
      </c>
      <c r="B882" s="236" t="s">
        <v>890</v>
      </c>
      <c r="C882" s="236" t="s">
        <v>5</v>
      </c>
      <c r="D882" s="126">
        <v>0</v>
      </c>
      <c r="E882" s="236" t="s">
        <v>1234</v>
      </c>
    </row>
    <row r="883" spans="1:5" x14ac:dyDescent="0.2">
      <c r="A883" s="235">
        <v>113637</v>
      </c>
      <c r="B883" s="236" t="s">
        <v>891</v>
      </c>
      <c r="C883" s="236" t="s">
        <v>15</v>
      </c>
      <c r="D883" s="126">
        <v>0</v>
      </c>
      <c r="E883" s="236" t="s">
        <v>1234</v>
      </c>
    </row>
    <row r="884" spans="1:5" x14ac:dyDescent="0.2">
      <c r="A884" s="235">
        <v>113638</v>
      </c>
      <c r="B884" s="236" t="s">
        <v>892</v>
      </c>
      <c r="C884" s="236" t="s">
        <v>146</v>
      </c>
      <c r="D884" s="126">
        <v>0</v>
      </c>
      <c r="E884" s="236" t="s">
        <v>1234</v>
      </c>
    </row>
    <row r="885" spans="1:5" x14ac:dyDescent="0.2">
      <c r="A885" s="235">
        <v>113643</v>
      </c>
      <c r="B885" s="236" t="s">
        <v>893</v>
      </c>
      <c r="C885" s="236" t="s">
        <v>5</v>
      </c>
      <c r="D885" s="126">
        <v>0</v>
      </c>
      <c r="E885" s="236" t="s">
        <v>1234</v>
      </c>
    </row>
    <row r="886" spans="1:5" x14ac:dyDescent="0.2">
      <c r="A886" s="235">
        <v>113645</v>
      </c>
      <c r="B886" s="236" t="s">
        <v>894</v>
      </c>
      <c r="C886" s="236" t="s">
        <v>15</v>
      </c>
      <c r="D886" s="126">
        <v>0</v>
      </c>
      <c r="E886" s="236" t="s">
        <v>1235</v>
      </c>
    </row>
    <row r="887" spans="1:5" x14ac:dyDescent="0.2">
      <c r="A887" s="235">
        <v>113646</v>
      </c>
      <c r="B887" s="236" t="s">
        <v>895</v>
      </c>
      <c r="C887" s="236" t="s">
        <v>2</v>
      </c>
      <c r="D887" s="126">
        <v>0</v>
      </c>
      <c r="E887" s="236" t="s">
        <v>1235</v>
      </c>
    </row>
    <row r="888" spans="1:5" x14ac:dyDescent="0.2">
      <c r="A888" s="235">
        <v>113648</v>
      </c>
      <c r="B888" s="236" t="s">
        <v>896</v>
      </c>
      <c r="C888" s="236" t="s">
        <v>2</v>
      </c>
      <c r="D888" s="126">
        <v>0</v>
      </c>
      <c r="E888" s="236" t="s">
        <v>1234</v>
      </c>
    </row>
    <row r="889" spans="1:5" x14ac:dyDescent="0.2">
      <c r="A889" s="235">
        <v>113649</v>
      </c>
      <c r="B889" s="236" t="s">
        <v>897</v>
      </c>
      <c r="C889" s="236" t="s">
        <v>413</v>
      </c>
      <c r="D889" s="126">
        <v>0</v>
      </c>
      <c r="E889" s="236" t="s">
        <v>1234</v>
      </c>
    </row>
    <row r="890" spans="1:5" x14ac:dyDescent="0.2">
      <c r="A890" s="235">
        <v>113650</v>
      </c>
      <c r="B890" s="236" t="s">
        <v>898</v>
      </c>
      <c r="C890" s="236" t="s">
        <v>22</v>
      </c>
      <c r="D890" s="126">
        <v>0</v>
      </c>
      <c r="E890" s="236" t="s">
        <v>1234</v>
      </c>
    </row>
    <row r="891" spans="1:5" x14ac:dyDescent="0.2">
      <c r="A891" s="235">
        <v>113651</v>
      </c>
      <c r="B891" s="236" t="s">
        <v>781</v>
      </c>
      <c r="C891" s="236" t="s">
        <v>15</v>
      </c>
      <c r="D891" s="126">
        <v>0</v>
      </c>
      <c r="E891" s="236" t="s">
        <v>1235</v>
      </c>
    </row>
    <row r="892" spans="1:5" x14ac:dyDescent="0.2">
      <c r="A892" s="235">
        <v>113654</v>
      </c>
      <c r="B892" s="236" t="s">
        <v>899</v>
      </c>
      <c r="C892" s="236" t="s">
        <v>22</v>
      </c>
      <c r="D892" s="126">
        <v>0</v>
      </c>
      <c r="E892" s="236" t="s">
        <v>1234</v>
      </c>
    </row>
    <row r="893" spans="1:5" x14ac:dyDescent="0.2">
      <c r="A893" s="235">
        <v>113655</v>
      </c>
      <c r="B893" s="236" t="s">
        <v>900</v>
      </c>
      <c r="C893" s="236" t="s">
        <v>15</v>
      </c>
      <c r="D893" s="126">
        <v>0</v>
      </c>
      <c r="E893" s="236" t="s">
        <v>1234</v>
      </c>
    </row>
    <row r="894" spans="1:5" x14ac:dyDescent="0.2">
      <c r="A894" s="235">
        <v>113656</v>
      </c>
      <c r="B894" s="236" t="s">
        <v>901</v>
      </c>
      <c r="C894" s="236" t="s">
        <v>2</v>
      </c>
      <c r="D894" s="126">
        <v>0</v>
      </c>
      <c r="E894" s="236" t="s">
        <v>1235</v>
      </c>
    </row>
    <row r="895" spans="1:5" x14ac:dyDescent="0.2">
      <c r="A895" s="235">
        <v>113658</v>
      </c>
      <c r="B895" s="236" t="s">
        <v>902</v>
      </c>
      <c r="C895" s="236" t="s">
        <v>146</v>
      </c>
      <c r="D895" s="126">
        <v>0</v>
      </c>
      <c r="E895" s="236" t="s">
        <v>1234</v>
      </c>
    </row>
    <row r="896" spans="1:5" x14ac:dyDescent="0.2">
      <c r="A896" s="235">
        <v>113661</v>
      </c>
      <c r="B896" s="236" t="s">
        <v>903</v>
      </c>
      <c r="C896" s="236" t="s">
        <v>2</v>
      </c>
      <c r="D896" s="126">
        <v>0</v>
      </c>
      <c r="E896" s="236" t="s">
        <v>1234</v>
      </c>
    </row>
    <row r="897" spans="1:5" x14ac:dyDescent="0.2">
      <c r="A897" s="235">
        <v>113663</v>
      </c>
      <c r="B897" s="236" t="s">
        <v>905</v>
      </c>
      <c r="C897" s="236" t="s">
        <v>15</v>
      </c>
      <c r="D897" s="126">
        <v>0</v>
      </c>
      <c r="E897" s="236" t="s">
        <v>1234</v>
      </c>
    </row>
    <row r="898" spans="1:5" x14ac:dyDescent="0.2">
      <c r="A898" s="235">
        <v>113666</v>
      </c>
      <c r="B898" s="236" t="s">
        <v>906</v>
      </c>
      <c r="C898" s="236" t="s">
        <v>255</v>
      </c>
      <c r="D898" s="126">
        <v>0</v>
      </c>
      <c r="E898" s="236" t="s">
        <v>1234</v>
      </c>
    </row>
    <row r="899" spans="1:5" x14ac:dyDescent="0.2">
      <c r="A899" s="235">
        <v>113667</v>
      </c>
      <c r="B899" s="236" t="s">
        <v>907</v>
      </c>
      <c r="C899" s="236" t="s">
        <v>2</v>
      </c>
      <c r="D899" s="126">
        <v>0</v>
      </c>
      <c r="E899" s="236" t="s">
        <v>1234</v>
      </c>
    </row>
    <row r="900" spans="1:5" x14ac:dyDescent="0.2">
      <c r="A900" s="235">
        <v>113668</v>
      </c>
      <c r="B900" s="236" t="s">
        <v>908</v>
      </c>
      <c r="C900" s="236" t="s">
        <v>15</v>
      </c>
      <c r="D900" s="126">
        <v>0</v>
      </c>
      <c r="E900" s="236" t="s">
        <v>1234</v>
      </c>
    </row>
    <row r="901" spans="1:5" x14ac:dyDescent="0.2">
      <c r="A901" s="235">
        <v>113669</v>
      </c>
      <c r="B901" s="236" t="s">
        <v>909</v>
      </c>
      <c r="C901" s="236" t="s">
        <v>2</v>
      </c>
      <c r="D901" s="126">
        <v>0</v>
      </c>
      <c r="E901" s="236" t="s">
        <v>1235</v>
      </c>
    </row>
    <row r="902" spans="1:5" x14ac:dyDescent="0.2">
      <c r="A902" s="235">
        <v>113671</v>
      </c>
      <c r="B902" s="236" t="s">
        <v>910</v>
      </c>
      <c r="C902" s="236" t="s">
        <v>5</v>
      </c>
      <c r="D902" s="126">
        <v>0</v>
      </c>
      <c r="E902" s="236" t="s">
        <v>1234</v>
      </c>
    </row>
    <row r="903" spans="1:5" x14ac:dyDescent="0.2">
      <c r="A903" s="235">
        <v>113674</v>
      </c>
      <c r="B903" s="236" t="s">
        <v>911</v>
      </c>
      <c r="C903" s="236" t="s">
        <v>2</v>
      </c>
      <c r="D903" s="126">
        <v>0</v>
      </c>
      <c r="E903" s="236" t="s">
        <v>1234</v>
      </c>
    </row>
    <row r="904" spans="1:5" x14ac:dyDescent="0.2">
      <c r="A904" s="235">
        <v>113675</v>
      </c>
      <c r="B904" s="236" t="s">
        <v>912</v>
      </c>
      <c r="C904" s="236" t="s">
        <v>5</v>
      </c>
      <c r="D904" s="126">
        <v>0</v>
      </c>
      <c r="E904" s="236" t="s">
        <v>1234</v>
      </c>
    </row>
    <row r="905" spans="1:5" x14ac:dyDescent="0.2">
      <c r="A905" s="235">
        <v>113677</v>
      </c>
      <c r="B905" s="236" t="s">
        <v>913</v>
      </c>
      <c r="C905" s="236" t="s">
        <v>2</v>
      </c>
      <c r="D905" s="126">
        <v>0</v>
      </c>
      <c r="E905" s="236" t="s">
        <v>1234</v>
      </c>
    </row>
    <row r="906" spans="1:5" x14ac:dyDescent="0.2">
      <c r="A906" s="235">
        <v>113678</v>
      </c>
      <c r="B906" s="236" t="s">
        <v>914</v>
      </c>
      <c r="C906" s="236" t="s">
        <v>5</v>
      </c>
      <c r="D906" s="126">
        <v>1</v>
      </c>
      <c r="E906" s="236" t="s">
        <v>1234</v>
      </c>
    </row>
    <row r="907" spans="1:5" x14ac:dyDescent="0.2">
      <c r="A907" s="235">
        <v>113679</v>
      </c>
      <c r="B907" s="236" t="s">
        <v>356</v>
      </c>
      <c r="C907" s="236" t="s">
        <v>2</v>
      </c>
      <c r="D907" s="126">
        <v>0</v>
      </c>
      <c r="E907" s="236" t="s">
        <v>1234</v>
      </c>
    </row>
    <row r="908" spans="1:5" x14ac:dyDescent="0.2">
      <c r="A908" s="235">
        <v>113681</v>
      </c>
      <c r="B908" s="236" t="s">
        <v>915</v>
      </c>
      <c r="C908" s="236" t="s">
        <v>2</v>
      </c>
      <c r="D908" s="126">
        <v>0</v>
      </c>
      <c r="E908" s="236" t="s">
        <v>1234</v>
      </c>
    </row>
    <row r="909" spans="1:5" x14ac:dyDescent="0.2">
      <c r="A909" s="235">
        <v>113682</v>
      </c>
      <c r="B909" s="236" t="s">
        <v>916</v>
      </c>
      <c r="C909" s="236" t="s">
        <v>5</v>
      </c>
      <c r="D909" s="126">
        <v>0</v>
      </c>
      <c r="E909" s="236" t="s">
        <v>1234</v>
      </c>
    </row>
    <row r="910" spans="1:5" x14ac:dyDescent="0.2">
      <c r="A910" s="235">
        <v>113683</v>
      </c>
      <c r="B910" s="236" t="s">
        <v>917</v>
      </c>
      <c r="C910" s="236" t="s">
        <v>2</v>
      </c>
      <c r="D910" s="126">
        <v>0</v>
      </c>
      <c r="E910" s="236" t="s">
        <v>1235</v>
      </c>
    </row>
    <row r="911" spans="1:5" x14ac:dyDescent="0.2">
      <c r="A911" s="235">
        <v>113686</v>
      </c>
      <c r="B911" s="236" t="s">
        <v>437</v>
      </c>
      <c r="C911" s="236" t="s">
        <v>2</v>
      </c>
      <c r="D911" s="126">
        <v>0</v>
      </c>
      <c r="E911" s="236" t="s">
        <v>1234</v>
      </c>
    </row>
    <row r="912" spans="1:5" x14ac:dyDescent="0.2">
      <c r="A912" s="235">
        <v>113687</v>
      </c>
      <c r="B912" s="236" t="s">
        <v>918</v>
      </c>
      <c r="C912" s="236" t="s">
        <v>2</v>
      </c>
      <c r="D912" s="126">
        <v>0</v>
      </c>
      <c r="E912" s="236" t="s">
        <v>1234</v>
      </c>
    </row>
    <row r="913" spans="1:5" x14ac:dyDescent="0.2">
      <c r="A913" s="235">
        <v>113689</v>
      </c>
      <c r="B913" s="236" t="s">
        <v>919</v>
      </c>
      <c r="C913" s="236" t="s">
        <v>2</v>
      </c>
      <c r="D913" s="126">
        <v>0</v>
      </c>
      <c r="E913" s="236" t="s">
        <v>1234</v>
      </c>
    </row>
    <row r="914" spans="1:5" x14ac:dyDescent="0.2">
      <c r="A914" s="235">
        <v>113690</v>
      </c>
      <c r="B914" s="236" t="s">
        <v>920</v>
      </c>
      <c r="C914" s="236" t="s">
        <v>2</v>
      </c>
      <c r="D914" s="126">
        <v>0</v>
      </c>
      <c r="E914" s="236" t="s">
        <v>1234</v>
      </c>
    </row>
    <row r="915" spans="1:5" x14ac:dyDescent="0.2">
      <c r="A915" s="235">
        <v>113692</v>
      </c>
      <c r="B915" s="236" t="s">
        <v>921</v>
      </c>
      <c r="C915" s="236" t="s">
        <v>282</v>
      </c>
      <c r="D915" s="126">
        <v>0</v>
      </c>
      <c r="E915" s="236" t="s">
        <v>1234</v>
      </c>
    </row>
    <row r="916" spans="1:5" x14ac:dyDescent="0.2">
      <c r="A916" s="235">
        <v>113693</v>
      </c>
      <c r="B916" s="236" t="s">
        <v>922</v>
      </c>
      <c r="C916" s="236" t="s">
        <v>2</v>
      </c>
      <c r="D916" s="126">
        <v>0</v>
      </c>
      <c r="E916" s="236" t="s">
        <v>1234</v>
      </c>
    </row>
    <row r="917" spans="1:5" x14ac:dyDescent="0.2">
      <c r="A917" s="235">
        <v>113694</v>
      </c>
      <c r="B917" s="236" t="s">
        <v>923</v>
      </c>
      <c r="C917" s="236" t="s">
        <v>15</v>
      </c>
      <c r="D917" s="126">
        <v>0</v>
      </c>
      <c r="E917" s="236" t="s">
        <v>1234</v>
      </c>
    </row>
    <row r="918" spans="1:5" x14ac:dyDescent="0.2">
      <c r="A918" s="235">
        <v>113696</v>
      </c>
      <c r="B918" s="236" t="s">
        <v>924</v>
      </c>
      <c r="C918" s="236" t="s">
        <v>5</v>
      </c>
      <c r="D918" s="126">
        <v>0</v>
      </c>
      <c r="E918" s="236" t="s">
        <v>1234</v>
      </c>
    </row>
    <row r="919" spans="1:5" x14ac:dyDescent="0.2">
      <c r="A919" s="235">
        <v>113698</v>
      </c>
      <c r="B919" s="236" t="s">
        <v>925</v>
      </c>
      <c r="C919" s="236" t="s">
        <v>5</v>
      </c>
      <c r="D919" s="126">
        <v>0</v>
      </c>
      <c r="E919" s="236" t="s">
        <v>1234</v>
      </c>
    </row>
    <row r="920" spans="1:5" x14ac:dyDescent="0.2">
      <c r="A920" s="235">
        <v>113699</v>
      </c>
      <c r="B920" s="236" t="s">
        <v>926</v>
      </c>
      <c r="C920" s="236" t="s">
        <v>2</v>
      </c>
      <c r="D920" s="126">
        <v>0</v>
      </c>
      <c r="E920" s="236" t="s">
        <v>1234</v>
      </c>
    </row>
    <row r="921" spans="1:5" x14ac:dyDescent="0.2">
      <c r="A921" s="235">
        <v>113704</v>
      </c>
      <c r="B921" s="236" t="s">
        <v>927</v>
      </c>
      <c r="C921" s="236" t="s">
        <v>2</v>
      </c>
      <c r="D921" s="126">
        <v>0</v>
      </c>
      <c r="E921" s="236" t="s">
        <v>1235</v>
      </c>
    </row>
    <row r="922" spans="1:5" x14ac:dyDescent="0.2">
      <c r="A922" s="235">
        <v>113708</v>
      </c>
      <c r="B922" s="236" t="s">
        <v>928</v>
      </c>
      <c r="C922" s="236" t="s">
        <v>5</v>
      </c>
      <c r="D922" s="126">
        <v>0</v>
      </c>
      <c r="E922" s="236" t="s">
        <v>1234</v>
      </c>
    </row>
    <row r="923" spans="1:5" x14ac:dyDescent="0.2">
      <c r="A923" s="235">
        <v>113710</v>
      </c>
      <c r="B923" s="236" t="s">
        <v>1556</v>
      </c>
      <c r="C923" s="236" t="s">
        <v>722</v>
      </c>
      <c r="D923" s="126">
        <v>0</v>
      </c>
      <c r="E923" s="236" t="s">
        <v>1285</v>
      </c>
    </row>
    <row r="924" spans="1:5" x14ac:dyDescent="0.2">
      <c r="A924" s="235">
        <v>113711</v>
      </c>
      <c r="B924" s="236" t="s">
        <v>929</v>
      </c>
      <c r="C924" s="236" t="s">
        <v>930</v>
      </c>
      <c r="D924" s="126">
        <v>0</v>
      </c>
      <c r="E924" s="236" t="s">
        <v>1234</v>
      </c>
    </row>
    <row r="925" spans="1:5" x14ac:dyDescent="0.2">
      <c r="A925" s="235">
        <v>113712</v>
      </c>
      <c r="B925" s="236" t="s">
        <v>931</v>
      </c>
      <c r="C925" s="236" t="s">
        <v>5</v>
      </c>
      <c r="D925" s="126">
        <v>0</v>
      </c>
      <c r="E925" s="236" t="s">
        <v>1234</v>
      </c>
    </row>
    <row r="926" spans="1:5" x14ac:dyDescent="0.2">
      <c r="A926" s="235">
        <v>113714</v>
      </c>
      <c r="B926" s="236" t="s">
        <v>933</v>
      </c>
      <c r="C926" s="236" t="s">
        <v>904</v>
      </c>
      <c r="D926" s="126">
        <v>0</v>
      </c>
      <c r="E926" s="236" t="s">
        <v>1234</v>
      </c>
    </row>
    <row r="927" spans="1:5" x14ac:dyDescent="0.2">
      <c r="A927" s="235">
        <v>113715</v>
      </c>
      <c r="B927" s="236" t="s">
        <v>934</v>
      </c>
      <c r="C927" s="236" t="s">
        <v>935</v>
      </c>
      <c r="D927" s="126">
        <v>0</v>
      </c>
      <c r="E927" s="236" t="s">
        <v>1234</v>
      </c>
    </row>
    <row r="928" spans="1:5" x14ac:dyDescent="0.2">
      <c r="A928" s="235">
        <v>113720</v>
      </c>
      <c r="B928" s="236" t="s">
        <v>937</v>
      </c>
      <c r="C928" s="236" t="s">
        <v>930</v>
      </c>
      <c r="D928" s="126">
        <v>0</v>
      </c>
      <c r="E928" s="236" t="s">
        <v>1234</v>
      </c>
    </row>
    <row r="929" spans="1:5" x14ac:dyDescent="0.2">
      <c r="A929" s="235">
        <v>113721</v>
      </c>
      <c r="B929" s="236" t="s">
        <v>938</v>
      </c>
      <c r="C929" s="236" t="s">
        <v>470</v>
      </c>
      <c r="D929" s="126">
        <v>0</v>
      </c>
      <c r="E929" s="236" t="s">
        <v>1234</v>
      </c>
    </row>
    <row r="930" spans="1:5" x14ac:dyDescent="0.2">
      <c r="A930" s="235">
        <v>113722</v>
      </c>
      <c r="B930" s="236" t="s">
        <v>939</v>
      </c>
      <c r="C930" s="236" t="s">
        <v>5</v>
      </c>
      <c r="D930" s="126">
        <v>0</v>
      </c>
      <c r="E930" s="236" t="s">
        <v>1234</v>
      </c>
    </row>
    <row r="931" spans="1:5" x14ac:dyDescent="0.2">
      <c r="A931" s="235">
        <v>113723</v>
      </c>
      <c r="B931" s="236" t="s">
        <v>940</v>
      </c>
      <c r="C931" s="236" t="s">
        <v>941</v>
      </c>
      <c r="D931" s="126">
        <v>0</v>
      </c>
      <c r="E931" s="236" t="s">
        <v>1234</v>
      </c>
    </row>
    <row r="932" spans="1:5" x14ac:dyDescent="0.2">
      <c r="A932" s="235">
        <v>113725</v>
      </c>
      <c r="B932" s="236" t="s">
        <v>943</v>
      </c>
      <c r="C932" s="236" t="s">
        <v>944</v>
      </c>
      <c r="D932" s="126">
        <v>0</v>
      </c>
      <c r="E932" s="236" t="s">
        <v>1234</v>
      </c>
    </row>
    <row r="933" spans="1:5" x14ac:dyDescent="0.2">
      <c r="A933" s="235">
        <v>113726</v>
      </c>
      <c r="B933" s="236" t="s">
        <v>945</v>
      </c>
      <c r="C933" s="236" t="s">
        <v>5</v>
      </c>
      <c r="D933" s="126">
        <v>0</v>
      </c>
      <c r="E933" s="236" t="s">
        <v>1234</v>
      </c>
    </row>
    <row r="934" spans="1:5" x14ac:dyDescent="0.2">
      <c r="A934" s="235">
        <v>113728</v>
      </c>
      <c r="B934" s="236" t="s">
        <v>946</v>
      </c>
      <c r="C934" s="236" t="s">
        <v>5</v>
      </c>
      <c r="D934" s="126">
        <v>0</v>
      </c>
      <c r="E934" s="236" t="s">
        <v>1234</v>
      </c>
    </row>
    <row r="935" spans="1:5" x14ac:dyDescent="0.2">
      <c r="A935" s="235">
        <v>113729</v>
      </c>
      <c r="B935" s="236" t="s">
        <v>947</v>
      </c>
      <c r="C935" s="236" t="s">
        <v>700</v>
      </c>
      <c r="D935" s="126">
        <v>0</v>
      </c>
      <c r="E935" s="236" t="s">
        <v>1234</v>
      </c>
    </row>
    <row r="936" spans="1:5" x14ac:dyDescent="0.2">
      <c r="A936" s="235">
        <v>113732</v>
      </c>
      <c r="B936" s="236" t="s">
        <v>948</v>
      </c>
      <c r="C936" s="236" t="s">
        <v>182</v>
      </c>
      <c r="D936" s="126">
        <v>0</v>
      </c>
      <c r="E936" s="236" t="s">
        <v>1234</v>
      </c>
    </row>
    <row r="937" spans="1:5" x14ac:dyDescent="0.2">
      <c r="A937" s="235">
        <v>113733</v>
      </c>
      <c r="B937" s="236" t="s">
        <v>949</v>
      </c>
      <c r="C937" s="236" t="s">
        <v>950</v>
      </c>
      <c r="D937" s="126">
        <v>0</v>
      </c>
      <c r="E937" s="236" t="s">
        <v>1234</v>
      </c>
    </row>
    <row r="938" spans="1:5" x14ac:dyDescent="0.2">
      <c r="A938" s="235">
        <v>113734</v>
      </c>
      <c r="B938" s="236" t="s">
        <v>951</v>
      </c>
      <c r="C938" s="236" t="s">
        <v>952</v>
      </c>
      <c r="D938" s="126">
        <v>0</v>
      </c>
      <c r="E938" s="236" t="s">
        <v>1234</v>
      </c>
    </row>
    <row r="939" spans="1:5" x14ac:dyDescent="0.2">
      <c r="A939" s="235">
        <v>113735</v>
      </c>
      <c r="B939" s="236" t="s">
        <v>953</v>
      </c>
      <c r="C939" s="236" t="s">
        <v>954</v>
      </c>
      <c r="D939" s="126">
        <v>0</v>
      </c>
      <c r="E939" s="236" t="s">
        <v>1234</v>
      </c>
    </row>
    <row r="940" spans="1:5" x14ac:dyDescent="0.2">
      <c r="A940" s="235">
        <v>113739</v>
      </c>
      <c r="B940" s="236" t="s">
        <v>961</v>
      </c>
      <c r="C940" s="236" t="s">
        <v>1437</v>
      </c>
      <c r="D940" s="126">
        <v>0</v>
      </c>
      <c r="E940" s="236" t="s">
        <v>1234</v>
      </c>
    </row>
    <row r="941" spans="1:5" x14ac:dyDescent="0.2">
      <c r="A941" s="235">
        <v>113741</v>
      </c>
      <c r="B941" s="236" t="s">
        <v>963</v>
      </c>
      <c r="C941" s="236" t="s">
        <v>964</v>
      </c>
      <c r="D941" s="126">
        <v>0</v>
      </c>
      <c r="E941" s="236" t="s">
        <v>1234</v>
      </c>
    </row>
    <row r="942" spans="1:5" x14ac:dyDescent="0.2">
      <c r="A942" s="235">
        <v>113742</v>
      </c>
      <c r="B942" s="236" t="s">
        <v>965</v>
      </c>
      <c r="C942" s="236" t="s">
        <v>1718</v>
      </c>
      <c r="D942" s="126">
        <v>0</v>
      </c>
      <c r="E942" s="236" t="s">
        <v>1234</v>
      </c>
    </row>
    <row r="943" spans="1:5" x14ac:dyDescent="0.2">
      <c r="A943" s="235">
        <v>113743</v>
      </c>
      <c r="B943" s="236" t="s">
        <v>966</v>
      </c>
      <c r="C943" s="236" t="s">
        <v>1526</v>
      </c>
      <c r="D943" s="126">
        <v>0</v>
      </c>
      <c r="E943" s="236" t="s">
        <v>1234</v>
      </c>
    </row>
    <row r="944" spans="1:5" x14ac:dyDescent="0.2">
      <c r="A944" s="235">
        <v>113760</v>
      </c>
      <c r="B944" s="236" t="s">
        <v>1518</v>
      </c>
      <c r="C944" s="236" t="s">
        <v>1663</v>
      </c>
      <c r="D944" s="126">
        <v>0</v>
      </c>
      <c r="E944" s="236" t="s">
        <v>1235</v>
      </c>
    </row>
    <row r="945" spans="1:5" x14ac:dyDescent="0.2">
      <c r="A945" s="235">
        <v>113762</v>
      </c>
      <c r="B945" s="236" t="s">
        <v>968</v>
      </c>
      <c r="C945" s="236" t="s">
        <v>470</v>
      </c>
      <c r="D945" s="126">
        <v>0</v>
      </c>
      <c r="E945" s="236" t="s">
        <v>1234</v>
      </c>
    </row>
    <row r="946" spans="1:5" x14ac:dyDescent="0.2">
      <c r="A946" s="235">
        <v>113763</v>
      </c>
      <c r="B946" s="236" t="s">
        <v>969</v>
      </c>
      <c r="C946" s="236" t="s">
        <v>416</v>
      </c>
      <c r="D946" s="126">
        <v>0</v>
      </c>
      <c r="E946" s="236" t="s">
        <v>1234</v>
      </c>
    </row>
    <row r="947" spans="1:5" x14ac:dyDescent="0.2">
      <c r="A947" s="235">
        <v>113764</v>
      </c>
      <c r="B947" s="236" t="s">
        <v>970</v>
      </c>
      <c r="C947" s="236" t="s">
        <v>1668</v>
      </c>
      <c r="D947" s="126">
        <v>0</v>
      </c>
      <c r="E947" s="236" t="s">
        <v>1234</v>
      </c>
    </row>
    <row r="948" spans="1:5" x14ac:dyDescent="0.2">
      <c r="A948" s="235">
        <v>113766</v>
      </c>
      <c r="B948" s="236" t="s">
        <v>971</v>
      </c>
      <c r="C948" s="236" t="s">
        <v>722</v>
      </c>
      <c r="D948" s="126">
        <v>0</v>
      </c>
      <c r="E948" s="236" t="s">
        <v>1234</v>
      </c>
    </row>
    <row r="949" spans="1:5" x14ac:dyDescent="0.2">
      <c r="A949" s="235">
        <v>113768</v>
      </c>
      <c r="B949" s="236" t="s">
        <v>972</v>
      </c>
      <c r="C949" s="236" t="s">
        <v>146</v>
      </c>
      <c r="D949" s="126">
        <v>0</v>
      </c>
      <c r="E949" s="236" t="s">
        <v>1234</v>
      </c>
    </row>
    <row r="950" spans="1:5" x14ac:dyDescent="0.2">
      <c r="A950" s="235">
        <v>113769</v>
      </c>
      <c r="B950" s="236" t="s">
        <v>973</v>
      </c>
      <c r="C950" s="236" t="s">
        <v>974</v>
      </c>
      <c r="D950" s="126">
        <v>0</v>
      </c>
      <c r="E950" s="236" t="s">
        <v>1234</v>
      </c>
    </row>
    <row r="951" spans="1:5" x14ac:dyDescent="0.2">
      <c r="A951" s="235">
        <v>113774</v>
      </c>
      <c r="B951" s="236" t="s">
        <v>975</v>
      </c>
      <c r="C951" s="236" t="s">
        <v>146</v>
      </c>
      <c r="D951" s="126">
        <v>0</v>
      </c>
      <c r="E951" s="236" t="s">
        <v>1234</v>
      </c>
    </row>
    <row r="952" spans="1:5" x14ac:dyDescent="0.2">
      <c r="A952" s="235">
        <v>113775</v>
      </c>
      <c r="B952" s="236" t="s">
        <v>976</v>
      </c>
      <c r="C952" s="236" t="s">
        <v>977</v>
      </c>
      <c r="D952" s="126">
        <v>0</v>
      </c>
      <c r="E952" s="236" t="s">
        <v>1234</v>
      </c>
    </row>
    <row r="953" spans="1:5" x14ac:dyDescent="0.2">
      <c r="A953" s="235">
        <v>113776</v>
      </c>
      <c r="B953" s="236" t="s">
        <v>978</v>
      </c>
      <c r="C953" s="236" t="s">
        <v>977</v>
      </c>
      <c r="D953" s="126">
        <v>0</v>
      </c>
      <c r="E953" s="236" t="s">
        <v>1235</v>
      </c>
    </row>
    <row r="954" spans="1:5" x14ac:dyDescent="0.2">
      <c r="A954" s="235">
        <v>113778</v>
      </c>
      <c r="B954" s="236" t="s">
        <v>979</v>
      </c>
      <c r="C954" s="236" t="s">
        <v>7</v>
      </c>
      <c r="D954" s="126">
        <v>0</v>
      </c>
      <c r="E954" s="236" t="s">
        <v>1234</v>
      </c>
    </row>
    <row r="955" spans="1:5" x14ac:dyDescent="0.2">
      <c r="A955" s="235">
        <v>113782</v>
      </c>
      <c r="B955" s="236" t="s">
        <v>980</v>
      </c>
      <c r="C955" s="236" t="s">
        <v>981</v>
      </c>
      <c r="D955" s="126">
        <v>0</v>
      </c>
      <c r="E955" s="236" t="s">
        <v>1234</v>
      </c>
    </row>
    <row r="956" spans="1:5" x14ac:dyDescent="0.2">
      <c r="A956" s="235">
        <v>113783</v>
      </c>
      <c r="B956" s="236" t="s">
        <v>982</v>
      </c>
      <c r="C956" s="236" t="s">
        <v>1663</v>
      </c>
      <c r="D956" s="126">
        <v>0</v>
      </c>
      <c r="E956" s="236" t="s">
        <v>1234</v>
      </c>
    </row>
    <row r="957" spans="1:5" x14ac:dyDescent="0.2">
      <c r="A957" s="235">
        <v>113785</v>
      </c>
      <c r="B957" s="236" t="s">
        <v>983</v>
      </c>
      <c r="C957" s="236" t="s">
        <v>15</v>
      </c>
      <c r="D957" s="126">
        <v>0</v>
      </c>
      <c r="E957" s="236" t="s">
        <v>1234</v>
      </c>
    </row>
    <row r="958" spans="1:5" x14ac:dyDescent="0.2">
      <c r="A958" s="235">
        <v>113792</v>
      </c>
      <c r="B958" s="236" t="s">
        <v>984</v>
      </c>
      <c r="C958" s="236" t="s">
        <v>385</v>
      </c>
      <c r="D958" s="126">
        <v>0</v>
      </c>
      <c r="E958" s="236" t="s">
        <v>1234</v>
      </c>
    </row>
    <row r="959" spans="1:5" x14ac:dyDescent="0.2">
      <c r="A959" s="235">
        <v>113795</v>
      </c>
      <c r="B959" s="236" t="s">
        <v>985</v>
      </c>
      <c r="C959" s="236" t="s">
        <v>986</v>
      </c>
      <c r="D959" s="126">
        <v>0</v>
      </c>
      <c r="E959" s="236" t="s">
        <v>1234</v>
      </c>
    </row>
    <row r="960" spans="1:5" x14ac:dyDescent="0.2">
      <c r="A960" s="235">
        <v>113803</v>
      </c>
      <c r="B960" s="236" t="s">
        <v>987</v>
      </c>
      <c r="C960" s="236" t="s">
        <v>15</v>
      </c>
      <c r="D960" s="126">
        <v>0</v>
      </c>
      <c r="E960" s="236" t="s">
        <v>1235</v>
      </c>
    </row>
    <row r="961" spans="1:5" x14ac:dyDescent="0.2">
      <c r="A961" s="235">
        <v>113846</v>
      </c>
      <c r="B961" s="236" t="s">
        <v>988</v>
      </c>
      <c r="C961" s="236" t="s">
        <v>1452</v>
      </c>
      <c r="D961" s="126">
        <v>0</v>
      </c>
      <c r="E961" s="236" t="s">
        <v>1234</v>
      </c>
    </row>
    <row r="962" spans="1:5" x14ac:dyDescent="0.2">
      <c r="A962" s="235">
        <v>113883</v>
      </c>
      <c r="B962" s="236" t="s">
        <v>1253</v>
      </c>
      <c r="C962" s="236" t="s">
        <v>1254</v>
      </c>
      <c r="D962" s="126">
        <v>0</v>
      </c>
      <c r="E962" s="236" t="s">
        <v>1234</v>
      </c>
    </row>
    <row r="963" spans="1:5" x14ac:dyDescent="0.2">
      <c r="A963" s="235">
        <v>113884</v>
      </c>
      <c r="B963" s="236" t="s">
        <v>1255</v>
      </c>
      <c r="C963" s="236" t="s">
        <v>1256</v>
      </c>
      <c r="D963" s="126">
        <v>0</v>
      </c>
      <c r="E963" s="236" t="s">
        <v>1234</v>
      </c>
    </row>
    <row r="964" spans="1:5" x14ac:dyDescent="0.2">
      <c r="A964" s="235">
        <v>113899</v>
      </c>
      <c r="B964" s="236" t="s">
        <v>990</v>
      </c>
      <c r="C964" s="236" t="s">
        <v>15</v>
      </c>
      <c r="D964" s="126">
        <v>0</v>
      </c>
      <c r="E964" s="236" t="s">
        <v>1234</v>
      </c>
    </row>
    <row r="965" spans="1:5" x14ac:dyDescent="0.2">
      <c r="A965" s="235">
        <v>113921</v>
      </c>
      <c r="B965" s="236" t="s">
        <v>991</v>
      </c>
      <c r="C965" s="236" t="s">
        <v>146</v>
      </c>
      <c r="D965" s="126">
        <v>0</v>
      </c>
      <c r="E965" s="236" t="s">
        <v>1234</v>
      </c>
    </row>
    <row r="966" spans="1:5" x14ac:dyDescent="0.2">
      <c r="A966" s="235">
        <v>113922</v>
      </c>
      <c r="B966" s="236" t="s">
        <v>992</v>
      </c>
      <c r="C966" s="236" t="s">
        <v>993</v>
      </c>
      <c r="D966" s="126">
        <v>0</v>
      </c>
      <c r="E966" s="236" t="s">
        <v>1234</v>
      </c>
    </row>
    <row r="967" spans="1:5" x14ac:dyDescent="0.2">
      <c r="A967" s="235">
        <v>113929</v>
      </c>
      <c r="B967" s="236" t="s">
        <v>994</v>
      </c>
      <c r="C967" s="236" t="s">
        <v>2</v>
      </c>
      <c r="D967" s="126">
        <v>0</v>
      </c>
      <c r="E967" s="236" t="s">
        <v>1234</v>
      </c>
    </row>
    <row r="968" spans="1:5" x14ac:dyDescent="0.2">
      <c r="A968" s="235">
        <v>113930</v>
      </c>
      <c r="B968" s="236" t="s">
        <v>995</v>
      </c>
      <c r="C968" s="236" t="s">
        <v>996</v>
      </c>
      <c r="D968" s="126">
        <v>0</v>
      </c>
      <c r="E968" s="236" t="s">
        <v>1234</v>
      </c>
    </row>
    <row r="969" spans="1:5" x14ac:dyDescent="0.2">
      <c r="A969" s="235">
        <v>113932</v>
      </c>
      <c r="B969" s="236" t="s">
        <v>997</v>
      </c>
      <c r="C969" s="236" t="s">
        <v>228</v>
      </c>
      <c r="D969" s="126">
        <v>0</v>
      </c>
      <c r="E969" s="236" t="s">
        <v>1234</v>
      </c>
    </row>
    <row r="970" spans="1:5" x14ac:dyDescent="0.2">
      <c r="A970" s="235">
        <v>114004</v>
      </c>
      <c r="B970" s="236" t="s">
        <v>998</v>
      </c>
      <c r="C970" s="236" t="s">
        <v>936</v>
      </c>
      <c r="D970" s="126">
        <v>0</v>
      </c>
      <c r="E970" s="236" t="s">
        <v>1234</v>
      </c>
    </row>
    <row r="971" spans="1:5" x14ac:dyDescent="0.2">
      <c r="A971" s="235">
        <v>114030</v>
      </c>
      <c r="B971" s="236" t="s">
        <v>999</v>
      </c>
      <c r="C971" s="236" t="s">
        <v>5</v>
      </c>
      <c r="D971" s="126">
        <v>0</v>
      </c>
      <c r="E971" s="236" t="s">
        <v>1234</v>
      </c>
    </row>
    <row r="972" spans="1:5" x14ac:dyDescent="0.2">
      <c r="A972" s="235">
        <v>114031</v>
      </c>
      <c r="B972" s="236" t="s">
        <v>1000</v>
      </c>
      <c r="C972" s="236" t="s">
        <v>146</v>
      </c>
      <c r="D972" s="126">
        <v>0</v>
      </c>
      <c r="E972" s="236" t="s">
        <v>1234</v>
      </c>
    </row>
    <row r="973" spans="1:5" x14ac:dyDescent="0.2">
      <c r="A973" s="235">
        <v>114034</v>
      </c>
      <c r="B973" s="236" t="s">
        <v>1001</v>
      </c>
      <c r="C973" s="236" t="s">
        <v>146</v>
      </c>
      <c r="D973" s="126">
        <v>0</v>
      </c>
      <c r="E973" s="236" t="s">
        <v>1234</v>
      </c>
    </row>
    <row r="974" spans="1:5" x14ac:dyDescent="0.2">
      <c r="A974" s="235">
        <v>114039</v>
      </c>
      <c r="B974" s="236" t="s">
        <v>1002</v>
      </c>
      <c r="C974" s="236" t="s">
        <v>5</v>
      </c>
      <c r="D974" s="126">
        <v>0</v>
      </c>
      <c r="E974" s="236" t="s">
        <v>1234</v>
      </c>
    </row>
    <row r="975" spans="1:5" x14ac:dyDescent="0.2">
      <c r="A975" s="235">
        <v>114088</v>
      </c>
      <c r="B975" s="236" t="s">
        <v>1003</v>
      </c>
      <c r="C975" s="236" t="s">
        <v>5</v>
      </c>
      <c r="D975" s="126">
        <v>0</v>
      </c>
      <c r="E975" s="236" t="s">
        <v>1234</v>
      </c>
    </row>
    <row r="976" spans="1:5" x14ac:dyDescent="0.2">
      <c r="A976" s="235">
        <v>114092</v>
      </c>
      <c r="B976" s="236" t="s">
        <v>1004</v>
      </c>
      <c r="C976" s="236" t="s">
        <v>5</v>
      </c>
      <c r="D976" s="126">
        <v>0</v>
      </c>
      <c r="E976" s="236" t="s">
        <v>1234</v>
      </c>
    </row>
    <row r="977" spans="1:5" x14ac:dyDescent="0.2">
      <c r="A977" s="235">
        <v>114093</v>
      </c>
      <c r="B977" s="236" t="s">
        <v>1005</v>
      </c>
      <c r="C977" s="236" t="s">
        <v>5</v>
      </c>
      <c r="D977" s="126">
        <v>0</v>
      </c>
      <c r="E977" s="236" t="s">
        <v>1234</v>
      </c>
    </row>
    <row r="978" spans="1:5" x14ac:dyDescent="0.2">
      <c r="A978" s="235">
        <v>114094</v>
      </c>
      <c r="B978" s="236" t="s">
        <v>1006</v>
      </c>
      <c r="C978" s="236" t="s">
        <v>5</v>
      </c>
      <c r="D978" s="126">
        <v>0</v>
      </c>
      <c r="E978" s="236" t="s">
        <v>1234</v>
      </c>
    </row>
    <row r="979" spans="1:5" x14ac:dyDescent="0.2">
      <c r="A979" s="235">
        <v>114099</v>
      </c>
      <c r="B979" s="236" t="s">
        <v>1007</v>
      </c>
      <c r="C979" s="236" t="s">
        <v>5</v>
      </c>
      <c r="D979" s="126">
        <v>0</v>
      </c>
      <c r="E979" s="236" t="s">
        <v>1234</v>
      </c>
    </row>
    <row r="980" spans="1:5" x14ac:dyDescent="0.2">
      <c r="A980" s="235">
        <v>114101</v>
      </c>
      <c r="B980" s="236" t="s">
        <v>1008</v>
      </c>
      <c r="C980" s="236" t="s">
        <v>5</v>
      </c>
      <c r="D980" s="126">
        <v>0</v>
      </c>
      <c r="E980" s="236" t="s">
        <v>1285</v>
      </c>
    </row>
    <row r="981" spans="1:5" x14ac:dyDescent="0.2">
      <c r="A981" s="235">
        <v>114105</v>
      </c>
      <c r="B981" s="236" t="s">
        <v>1009</v>
      </c>
      <c r="C981" s="236" t="s">
        <v>5</v>
      </c>
      <c r="D981" s="126">
        <v>0</v>
      </c>
      <c r="E981" s="236" t="s">
        <v>1234</v>
      </c>
    </row>
    <row r="982" spans="1:5" x14ac:dyDescent="0.2">
      <c r="A982" s="235">
        <v>114106</v>
      </c>
      <c r="B982" s="236" t="s">
        <v>1010</v>
      </c>
      <c r="C982" s="236" t="s">
        <v>5</v>
      </c>
      <c r="D982" s="126">
        <v>0</v>
      </c>
      <c r="E982" s="236" t="s">
        <v>1234</v>
      </c>
    </row>
    <row r="983" spans="1:5" x14ac:dyDescent="0.2">
      <c r="A983" s="235">
        <v>114107</v>
      </c>
      <c r="B983" s="236" t="s">
        <v>1011</v>
      </c>
      <c r="C983" s="236" t="s">
        <v>2</v>
      </c>
      <c r="D983" s="126">
        <v>0</v>
      </c>
      <c r="E983" s="236" t="s">
        <v>1234</v>
      </c>
    </row>
    <row r="984" spans="1:5" x14ac:dyDescent="0.2">
      <c r="A984" s="235">
        <v>114108</v>
      </c>
      <c r="B984" s="236" t="s">
        <v>1012</v>
      </c>
      <c r="C984" s="236" t="s">
        <v>5</v>
      </c>
      <c r="D984" s="126">
        <v>0</v>
      </c>
      <c r="E984" s="236" t="s">
        <v>1234</v>
      </c>
    </row>
    <row r="985" spans="1:5" x14ac:dyDescent="0.2">
      <c r="A985" s="235">
        <v>114110</v>
      </c>
      <c r="B985" s="236" t="s">
        <v>1013</v>
      </c>
      <c r="C985" s="236" t="s">
        <v>5</v>
      </c>
      <c r="D985" s="126">
        <v>0</v>
      </c>
      <c r="E985" s="236" t="s">
        <v>1234</v>
      </c>
    </row>
    <row r="986" spans="1:5" x14ac:dyDescent="0.2">
      <c r="A986" s="235">
        <v>114120</v>
      </c>
      <c r="B986" s="236" t="s">
        <v>1014</v>
      </c>
      <c r="C986" s="236" t="s">
        <v>413</v>
      </c>
      <c r="D986" s="126">
        <v>0</v>
      </c>
      <c r="E986" s="236" t="s">
        <v>1234</v>
      </c>
    </row>
    <row r="987" spans="1:5" x14ac:dyDescent="0.2">
      <c r="A987" s="235">
        <v>114124</v>
      </c>
      <c r="B987" s="236" t="s">
        <v>1015</v>
      </c>
      <c r="C987" s="236" t="s">
        <v>15</v>
      </c>
      <c r="D987" s="126">
        <v>0</v>
      </c>
      <c r="E987" s="236" t="s">
        <v>1234</v>
      </c>
    </row>
    <row r="988" spans="1:5" x14ac:dyDescent="0.2">
      <c r="A988" s="235">
        <v>114125</v>
      </c>
      <c r="B988" s="236" t="s">
        <v>1016</v>
      </c>
      <c r="C988" s="236" t="s">
        <v>2</v>
      </c>
      <c r="D988" s="126">
        <v>0</v>
      </c>
      <c r="E988" s="236" t="s">
        <v>1234</v>
      </c>
    </row>
    <row r="989" spans="1:5" x14ac:dyDescent="0.2">
      <c r="A989" s="235">
        <v>114127</v>
      </c>
      <c r="B989" s="236" t="s">
        <v>1017</v>
      </c>
      <c r="C989" s="236" t="s">
        <v>15</v>
      </c>
      <c r="D989" s="126">
        <v>0</v>
      </c>
      <c r="E989" s="236" t="s">
        <v>1234</v>
      </c>
    </row>
    <row r="990" spans="1:5" x14ac:dyDescent="0.2">
      <c r="A990" s="235">
        <v>114128</v>
      </c>
      <c r="B990" s="236" t="s">
        <v>1018</v>
      </c>
      <c r="C990" s="236" t="s">
        <v>15</v>
      </c>
      <c r="D990" s="126">
        <v>0</v>
      </c>
      <c r="E990" s="236" t="s">
        <v>1234</v>
      </c>
    </row>
    <row r="991" spans="1:5" x14ac:dyDescent="0.2">
      <c r="A991" s="235">
        <v>114231</v>
      </c>
      <c r="B991" s="236" t="s">
        <v>1019</v>
      </c>
      <c r="C991" s="236" t="s">
        <v>146</v>
      </c>
      <c r="D991" s="126">
        <v>0</v>
      </c>
      <c r="E991" s="236" t="s">
        <v>1234</v>
      </c>
    </row>
    <row r="992" spans="1:5" x14ac:dyDescent="0.2">
      <c r="A992" s="235">
        <v>114239</v>
      </c>
      <c r="B992" s="236" t="s">
        <v>1020</v>
      </c>
      <c r="C992" s="236" t="s">
        <v>146</v>
      </c>
      <c r="D992" s="126">
        <v>0</v>
      </c>
      <c r="E992" s="236" t="s">
        <v>1234</v>
      </c>
    </row>
    <row r="993" spans="1:5" x14ac:dyDescent="0.2">
      <c r="A993" s="235">
        <v>114253</v>
      </c>
      <c r="B993" s="236" t="s">
        <v>1021</v>
      </c>
      <c r="C993" s="236" t="s">
        <v>5</v>
      </c>
      <c r="D993" s="126">
        <v>0</v>
      </c>
      <c r="E993" s="236" t="s">
        <v>1234</v>
      </c>
    </row>
    <row r="994" spans="1:5" x14ac:dyDescent="0.2">
      <c r="A994" s="235">
        <v>114254</v>
      </c>
      <c r="B994" s="236" t="s">
        <v>1022</v>
      </c>
      <c r="C994" s="236" t="s">
        <v>2</v>
      </c>
      <c r="D994" s="126">
        <v>0</v>
      </c>
      <c r="E994" s="236" t="s">
        <v>1234</v>
      </c>
    </row>
    <row r="995" spans="1:5" x14ac:dyDescent="0.2">
      <c r="A995" s="235">
        <v>114255</v>
      </c>
      <c r="B995" s="236" t="s">
        <v>1023</v>
      </c>
      <c r="C995" s="236" t="s">
        <v>5</v>
      </c>
      <c r="D995" s="126">
        <v>0</v>
      </c>
      <c r="E995" s="236" t="s">
        <v>1234</v>
      </c>
    </row>
    <row r="996" spans="1:5" x14ac:dyDescent="0.2">
      <c r="A996" s="235">
        <v>114256</v>
      </c>
      <c r="B996" s="236" t="s">
        <v>1024</v>
      </c>
      <c r="C996" s="236" t="s">
        <v>378</v>
      </c>
      <c r="D996" s="126">
        <v>0</v>
      </c>
      <c r="E996" s="236" t="s">
        <v>1235</v>
      </c>
    </row>
    <row r="997" spans="1:5" x14ac:dyDescent="0.2">
      <c r="A997" s="235">
        <v>114258</v>
      </c>
      <c r="B997" s="236" t="s">
        <v>1025</v>
      </c>
      <c r="C997" s="236" t="s">
        <v>5</v>
      </c>
      <c r="D997" s="126">
        <v>0</v>
      </c>
      <c r="E997" s="236" t="s">
        <v>1234</v>
      </c>
    </row>
    <row r="998" spans="1:5" x14ac:dyDescent="0.2">
      <c r="A998" s="235">
        <v>114259</v>
      </c>
      <c r="B998" s="236" t="s">
        <v>1026</v>
      </c>
      <c r="C998" s="236" t="s">
        <v>5</v>
      </c>
      <c r="D998" s="126">
        <v>0</v>
      </c>
      <c r="E998" s="236" t="s">
        <v>1234</v>
      </c>
    </row>
    <row r="999" spans="1:5" x14ac:dyDescent="0.2">
      <c r="A999" s="235">
        <v>114260</v>
      </c>
      <c r="B999" s="236" t="s">
        <v>1027</v>
      </c>
      <c r="C999" s="236" t="s">
        <v>5</v>
      </c>
      <c r="D999" s="126">
        <v>0</v>
      </c>
      <c r="E999" s="236" t="s">
        <v>1234</v>
      </c>
    </row>
    <row r="1000" spans="1:5" x14ac:dyDescent="0.2">
      <c r="A1000" s="235">
        <v>114262</v>
      </c>
      <c r="B1000" s="236" t="s">
        <v>1028</v>
      </c>
      <c r="C1000" s="236" t="s">
        <v>5</v>
      </c>
      <c r="D1000" s="126">
        <v>1</v>
      </c>
      <c r="E1000" s="236" t="s">
        <v>1234</v>
      </c>
    </row>
    <row r="1001" spans="1:5" x14ac:dyDescent="0.2">
      <c r="A1001" s="235">
        <v>114263</v>
      </c>
      <c r="B1001" s="236" t="s">
        <v>1029</v>
      </c>
      <c r="C1001" s="236" t="s">
        <v>2</v>
      </c>
      <c r="D1001" s="126">
        <v>0</v>
      </c>
      <c r="E1001" s="236" t="s">
        <v>1234</v>
      </c>
    </row>
    <row r="1002" spans="1:5" x14ac:dyDescent="0.2">
      <c r="A1002" s="235">
        <v>114265</v>
      </c>
      <c r="B1002" s="236" t="s">
        <v>1030</v>
      </c>
      <c r="C1002" s="236" t="s">
        <v>5</v>
      </c>
      <c r="D1002" s="126">
        <v>0</v>
      </c>
      <c r="E1002" s="236" t="s">
        <v>1234</v>
      </c>
    </row>
    <row r="1003" spans="1:5" x14ac:dyDescent="0.2">
      <c r="A1003" s="235">
        <v>114266</v>
      </c>
      <c r="B1003" s="236" t="s">
        <v>1031</v>
      </c>
      <c r="C1003" s="236" t="s">
        <v>2</v>
      </c>
      <c r="D1003" s="126">
        <v>0</v>
      </c>
      <c r="E1003" s="236" t="s">
        <v>1234</v>
      </c>
    </row>
    <row r="1004" spans="1:5" x14ac:dyDescent="0.2">
      <c r="A1004" s="235">
        <v>114267</v>
      </c>
      <c r="B1004" s="236" t="s">
        <v>1032</v>
      </c>
      <c r="C1004" s="236" t="s">
        <v>5</v>
      </c>
      <c r="D1004" s="126">
        <v>0</v>
      </c>
      <c r="E1004" s="236" t="s">
        <v>1234</v>
      </c>
    </row>
    <row r="1005" spans="1:5" x14ac:dyDescent="0.2">
      <c r="A1005" s="235">
        <v>114269</v>
      </c>
      <c r="B1005" s="236" t="s">
        <v>1519</v>
      </c>
      <c r="C1005" s="236" t="s">
        <v>5</v>
      </c>
      <c r="D1005" s="126">
        <v>0</v>
      </c>
      <c r="E1005" s="236" t="s">
        <v>1234</v>
      </c>
    </row>
    <row r="1006" spans="1:5" x14ac:dyDescent="0.2">
      <c r="A1006" s="235">
        <v>114272</v>
      </c>
      <c r="B1006" s="236" t="s">
        <v>1033</v>
      </c>
      <c r="C1006" s="236" t="s">
        <v>2</v>
      </c>
      <c r="D1006" s="126">
        <v>0</v>
      </c>
      <c r="E1006" s="236" t="s">
        <v>1234</v>
      </c>
    </row>
    <row r="1007" spans="1:5" x14ac:dyDescent="0.2">
      <c r="A1007" s="235">
        <v>114273</v>
      </c>
      <c r="B1007" s="236" t="s">
        <v>1034</v>
      </c>
      <c r="C1007" s="236" t="s">
        <v>5</v>
      </c>
      <c r="D1007" s="126">
        <v>0</v>
      </c>
      <c r="E1007" s="236" t="s">
        <v>1234</v>
      </c>
    </row>
    <row r="1008" spans="1:5" x14ac:dyDescent="0.2">
      <c r="A1008" s="235">
        <v>114315</v>
      </c>
      <c r="B1008" s="236" t="s">
        <v>1035</v>
      </c>
      <c r="C1008" s="236" t="s">
        <v>5</v>
      </c>
      <c r="D1008" s="126">
        <v>0</v>
      </c>
      <c r="E1008" s="236" t="s">
        <v>1235</v>
      </c>
    </row>
    <row r="1009" spans="1:5" x14ac:dyDescent="0.2">
      <c r="A1009" s="235">
        <v>114316</v>
      </c>
      <c r="B1009" s="236" t="s">
        <v>1036</v>
      </c>
      <c r="C1009" s="236" t="s">
        <v>5</v>
      </c>
      <c r="D1009" s="126">
        <v>2</v>
      </c>
      <c r="E1009" s="236" t="s">
        <v>1234</v>
      </c>
    </row>
    <row r="1010" spans="1:5" x14ac:dyDescent="0.2">
      <c r="A1010" s="235">
        <v>114360</v>
      </c>
      <c r="B1010" s="236" t="s">
        <v>1037</v>
      </c>
      <c r="C1010" s="236" t="s">
        <v>5</v>
      </c>
      <c r="D1010" s="126">
        <v>0</v>
      </c>
      <c r="E1010" s="236" t="s">
        <v>1234</v>
      </c>
    </row>
    <row r="1011" spans="1:5" x14ac:dyDescent="0.2">
      <c r="A1011" s="235">
        <v>114385</v>
      </c>
      <c r="B1011" s="236" t="s">
        <v>1038</v>
      </c>
      <c r="C1011" s="236" t="s">
        <v>120</v>
      </c>
      <c r="D1011" s="126">
        <v>0</v>
      </c>
      <c r="E1011" s="236" t="s">
        <v>1234</v>
      </c>
    </row>
    <row r="1012" spans="1:5" x14ac:dyDescent="0.2">
      <c r="A1012" s="235">
        <v>114404</v>
      </c>
      <c r="B1012" s="236" t="s">
        <v>1039</v>
      </c>
      <c r="C1012" s="236" t="s">
        <v>5</v>
      </c>
      <c r="D1012" s="126">
        <v>0</v>
      </c>
      <c r="E1012" s="236" t="s">
        <v>1234</v>
      </c>
    </row>
    <row r="1013" spans="1:5" x14ac:dyDescent="0.2">
      <c r="A1013" s="235">
        <v>114418</v>
      </c>
      <c r="B1013" s="236" t="s">
        <v>1040</v>
      </c>
      <c r="C1013" s="236" t="s">
        <v>2</v>
      </c>
      <c r="D1013" s="126">
        <v>0</v>
      </c>
      <c r="E1013" s="236" t="s">
        <v>1234</v>
      </c>
    </row>
    <row r="1014" spans="1:5" x14ac:dyDescent="0.2">
      <c r="A1014" s="235">
        <v>114454</v>
      </c>
      <c r="B1014" s="236" t="s">
        <v>1041</v>
      </c>
      <c r="C1014" s="236" t="s">
        <v>5</v>
      </c>
      <c r="D1014" s="126">
        <v>0</v>
      </c>
      <c r="E1014" s="236" t="s">
        <v>1234</v>
      </c>
    </row>
    <row r="1015" spans="1:5" x14ac:dyDescent="0.2">
      <c r="A1015" s="235">
        <v>114490</v>
      </c>
      <c r="B1015" s="236" t="s">
        <v>1042</v>
      </c>
      <c r="C1015" s="236" t="s">
        <v>5</v>
      </c>
      <c r="D1015" s="126">
        <v>0</v>
      </c>
      <c r="E1015" s="236" t="s">
        <v>1235</v>
      </c>
    </row>
    <row r="1016" spans="1:5" x14ac:dyDescent="0.2">
      <c r="A1016" s="235">
        <v>114493</v>
      </c>
      <c r="B1016" s="236" t="s">
        <v>1043</v>
      </c>
      <c r="C1016" s="236" t="s">
        <v>2</v>
      </c>
      <c r="D1016" s="126">
        <v>3</v>
      </c>
      <c r="E1016" s="236" t="s">
        <v>1234</v>
      </c>
    </row>
    <row r="1017" spans="1:5" x14ac:dyDescent="0.2">
      <c r="A1017" s="235">
        <v>114500</v>
      </c>
      <c r="B1017" s="236" t="s">
        <v>1044</v>
      </c>
      <c r="C1017" s="236" t="s">
        <v>5</v>
      </c>
      <c r="D1017" s="126">
        <v>2</v>
      </c>
      <c r="E1017" s="236" t="s">
        <v>1234</v>
      </c>
    </row>
    <row r="1018" spans="1:5" x14ac:dyDescent="0.2">
      <c r="A1018" s="235">
        <v>114504</v>
      </c>
      <c r="B1018" s="236" t="s">
        <v>1045</v>
      </c>
      <c r="C1018" s="236" t="s">
        <v>2</v>
      </c>
      <c r="D1018" s="126">
        <v>0</v>
      </c>
      <c r="E1018" s="236" t="s">
        <v>1234</v>
      </c>
    </row>
    <row r="1019" spans="1:5" x14ac:dyDescent="0.2">
      <c r="A1019" s="235">
        <v>114506</v>
      </c>
      <c r="B1019" s="236" t="s">
        <v>1046</v>
      </c>
      <c r="C1019" s="236" t="s">
        <v>1047</v>
      </c>
      <c r="D1019" s="126">
        <v>0</v>
      </c>
      <c r="E1019" s="236" t="s">
        <v>1234</v>
      </c>
    </row>
    <row r="1020" spans="1:5" x14ac:dyDescent="0.2">
      <c r="A1020" s="235">
        <v>114509</v>
      </c>
      <c r="B1020" s="236" t="s">
        <v>1048</v>
      </c>
      <c r="C1020" s="236" t="s">
        <v>5</v>
      </c>
      <c r="D1020" s="126">
        <v>0</v>
      </c>
      <c r="E1020" s="236" t="s">
        <v>1234</v>
      </c>
    </row>
    <row r="1021" spans="1:5" x14ac:dyDescent="0.2">
      <c r="A1021" s="235">
        <v>114523</v>
      </c>
      <c r="B1021" s="236" t="s">
        <v>1049</v>
      </c>
      <c r="C1021" s="236" t="s">
        <v>15</v>
      </c>
      <c r="D1021" s="126">
        <v>0</v>
      </c>
      <c r="E1021" s="236" t="s">
        <v>1234</v>
      </c>
    </row>
    <row r="1022" spans="1:5" x14ac:dyDescent="0.2">
      <c r="A1022" s="235">
        <v>114525</v>
      </c>
      <c r="B1022" s="236" t="s">
        <v>1050</v>
      </c>
      <c r="C1022" s="236" t="s">
        <v>15</v>
      </c>
      <c r="D1022" s="126">
        <v>0</v>
      </c>
      <c r="E1022" s="236" t="s">
        <v>1234</v>
      </c>
    </row>
    <row r="1023" spans="1:5" x14ac:dyDescent="0.2">
      <c r="A1023" s="235">
        <v>114526</v>
      </c>
      <c r="B1023" s="236" t="s">
        <v>1051</v>
      </c>
      <c r="C1023" s="236" t="s">
        <v>15</v>
      </c>
      <c r="D1023" s="126">
        <v>0</v>
      </c>
      <c r="E1023" s="236" t="s">
        <v>1234</v>
      </c>
    </row>
    <row r="1024" spans="1:5" x14ac:dyDescent="0.2">
      <c r="A1024" s="235">
        <v>114527</v>
      </c>
      <c r="B1024" s="236" t="s">
        <v>1052</v>
      </c>
      <c r="C1024" s="236" t="s">
        <v>2</v>
      </c>
      <c r="D1024" s="126">
        <v>0</v>
      </c>
      <c r="E1024" s="236" t="s">
        <v>1234</v>
      </c>
    </row>
    <row r="1025" spans="1:5" x14ac:dyDescent="0.2">
      <c r="A1025" s="235">
        <v>114529</v>
      </c>
      <c r="B1025" s="236" t="s">
        <v>1053</v>
      </c>
      <c r="C1025" s="236" t="s">
        <v>5</v>
      </c>
      <c r="D1025" s="126">
        <v>0</v>
      </c>
      <c r="E1025" s="236" t="s">
        <v>1234</v>
      </c>
    </row>
    <row r="1026" spans="1:5" x14ac:dyDescent="0.2">
      <c r="A1026" s="235">
        <v>114537</v>
      </c>
      <c r="B1026" s="236" t="s">
        <v>1054</v>
      </c>
      <c r="C1026" s="236" t="s">
        <v>5</v>
      </c>
      <c r="D1026" s="126">
        <v>0</v>
      </c>
      <c r="E1026" s="236" t="s">
        <v>1235</v>
      </c>
    </row>
    <row r="1027" spans="1:5" x14ac:dyDescent="0.2">
      <c r="A1027" s="235">
        <v>114538</v>
      </c>
      <c r="B1027" s="236" t="s">
        <v>1290</v>
      </c>
      <c r="C1027" s="236" t="s">
        <v>182</v>
      </c>
      <c r="D1027" s="126">
        <v>0</v>
      </c>
      <c r="E1027" s="236" t="s">
        <v>1234</v>
      </c>
    </row>
    <row r="1028" spans="1:5" x14ac:dyDescent="0.2">
      <c r="A1028" s="235">
        <v>114539</v>
      </c>
      <c r="B1028" s="236" t="s">
        <v>1055</v>
      </c>
      <c r="C1028" s="236" t="s">
        <v>2</v>
      </c>
      <c r="D1028" s="126">
        <v>0</v>
      </c>
      <c r="E1028" s="236" t="s">
        <v>1234</v>
      </c>
    </row>
    <row r="1029" spans="1:5" x14ac:dyDescent="0.2">
      <c r="A1029" s="235">
        <v>114541</v>
      </c>
      <c r="B1029" s="236" t="s">
        <v>1056</v>
      </c>
      <c r="C1029" s="236" t="s">
        <v>5</v>
      </c>
      <c r="D1029" s="126">
        <v>1</v>
      </c>
      <c r="E1029" s="236" t="s">
        <v>1234</v>
      </c>
    </row>
    <row r="1030" spans="1:5" x14ac:dyDescent="0.2">
      <c r="A1030" s="235">
        <v>114546</v>
      </c>
      <c r="B1030" s="236" t="s">
        <v>1057</v>
      </c>
      <c r="C1030" s="236" t="s">
        <v>2</v>
      </c>
      <c r="D1030" s="126">
        <v>0</v>
      </c>
      <c r="E1030" s="236" t="s">
        <v>1234</v>
      </c>
    </row>
    <row r="1031" spans="1:5" x14ac:dyDescent="0.2">
      <c r="A1031" s="235">
        <v>114547</v>
      </c>
      <c r="B1031" s="236" t="s">
        <v>1058</v>
      </c>
      <c r="C1031" s="236" t="s">
        <v>2</v>
      </c>
      <c r="D1031" s="126">
        <v>6</v>
      </c>
      <c r="E1031" s="236" t="s">
        <v>1234</v>
      </c>
    </row>
    <row r="1032" spans="1:5" x14ac:dyDescent="0.2">
      <c r="A1032" s="235">
        <v>114548</v>
      </c>
      <c r="B1032" s="236" t="s">
        <v>1059</v>
      </c>
      <c r="C1032" s="236" t="s">
        <v>2</v>
      </c>
      <c r="D1032" s="126">
        <v>1</v>
      </c>
      <c r="E1032" s="236" t="s">
        <v>1234</v>
      </c>
    </row>
    <row r="1033" spans="1:5" x14ac:dyDescent="0.2">
      <c r="A1033" s="235">
        <v>114549</v>
      </c>
      <c r="B1033" s="236" t="s">
        <v>1060</v>
      </c>
      <c r="C1033" s="236" t="s">
        <v>2</v>
      </c>
      <c r="D1033" s="126">
        <v>0</v>
      </c>
      <c r="E1033" s="236" t="s">
        <v>1234</v>
      </c>
    </row>
    <row r="1034" spans="1:5" x14ac:dyDescent="0.2">
      <c r="A1034" s="235">
        <v>114554</v>
      </c>
      <c r="B1034" s="236" t="s">
        <v>1061</v>
      </c>
      <c r="C1034" s="236" t="s">
        <v>5</v>
      </c>
      <c r="D1034" s="126">
        <v>1</v>
      </c>
      <c r="E1034" s="236" t="s">
        <v>1235</v>
      </c>
    </row>
    <row r="1035" spans="1:5" x14ac:dyDescent="0.2">
      <c r="A1035" s="235">
        <v>114606</v>
      </c>
      <c r="B1035" s="236" t="s">
        <v>1062</v>
      </c>
      <c r="C1035" s="236" t="s">
        <v>2</v>
      </c>
      <c r="D1035" s="126">
        <v>0</v>
      </c>
      <c r="E1035" s="236" t="s">
        <v>1234</v>
      </c>
    </row>
    <row r="1036" spans="1:5" x14ac:dyDescent="0.2">
      <c r="A1036" s="235">
        <v>114607</v>
      </c>
      <c r="B1036" s="236" t="s">
        <v>1063</v>
      </c>
      <c r="C1036" s="236" t="s">
        <v>378</v>
      </c>
      <c r="D1036" s="126">
        <v>0</v>
      </c>
      <c r="E1036" s="236" t="s">
        <v>1234</v>
      </c>
    </row>
    <row r="1037" spans="1:5" x14ac:dyDescent="0.2">
      <c r="A1037" s="235">
        <v>114616</v>
      </c>
      <c r="B1037" s="236" t="s">
        <v>1064</v>
      </c>
      <c r="C1037" s="236" t="s">
        <v>15</v>
      </c>
      <c r="D1037" s="126">
        <v>0</v>
      </c>
      <c r="E1037" s="236" t="s">
        <v>1707</v>
      </c>
    </row>
    <row r="1038" spans="1:5" x14ac:dyDescent="0.2">
      <c r="A1038" s="235">
        <v>114641</v>
      </c>
      <c r="B1038" s="236" t="s">
        <v>1065</v>
      </c>
      <c r="C1038" s="236" t="s">
        <v>282</v>
      </c>
      <c r="D1038" s="126">
        <v>0</v>
      </c>
      <c r="E1038" s="236" t="s">
        <v>1234</v>
      </c>
    </row>
    <row r="1039" spans="1:5" x14ac:dyDescent="0.2">
      <c r="A1039" s="235">
        <v>114679</v>
      </c>
      <c r="B1039" s="236" t="s">
        <v>1066</v>
      </c>
      <c r="C1039" s="236" t="s">
        <v>2</v>
      </c>
      <c r="D1039" s="126">
        <v>0</v>
      </c>
      <c r="E1039" s="236" t="s">
        <v>1234</v>
      </c>
    </row>
    <row r="1040" spans="1:5" x14ac:dyDescent="0.2">
      <c r="A1040" s="235">
        <v>114682</v>
      </c>
      <c r="B1040" s="236" t="s">
        <v>1067</v>
      </c>
      <c r="C1040" s="236" t="s">
        <v>5</v>
      </c>
      <c r="D1040" s="126">
        <v>0</v>
      </c>
      <c r="E1040" s="236" t="s">
        <v>1234</v>
      </c>
    </row>
    <row r="1041" spans="1:5" x14ac:dyDescent="0.2">
      <c r="A1041" s="235">
        <v>114683</v>
      </c>
      <c r="B1041" s="236" t="s">
        <v>1068</v>
      </c>
      <c r="C1041" s="236" t="s">
        <v>2</v>
      </c>
      <c r="D1041" s="126">
        <v>0</v>
      </c>
      <c r="E1041" s="236" t="s">
        <v>1234</v>
      </c>
    </row>
    <row r="1042" spans="1:5" x14ac:dyDescent="0.2">
      <c r="A1042" s="235">
        <v>114684</v>
      </c>
      <c r="B1042" s="236" t="s">
        <v>1069</v>
      </c>
      <c r="C1042" s="236" t="s">
        <v>2</v>
      </c>
      <c r="D1042" s="126">
        <v>0</v>
      </c>
      <c r="E1042" s="236" t="s">
        <v>1234</v>
      </c>
    </row>
    <row r="1043" spans="1:5" x14ac:dyDescent="0.2">
      <c r="A1043" s="235">
        <v>114685</v>
      </c>
      <c r="B1043" s="236" t="s">
        <v>1070</v>
      </c>
      <c r="C1043" s="236" t="s">
        <v>2</v>
      </c>
      <c r="D1043" s="126">
        <v>0</v>
      </c>
      <c r="E1043" s="236" t="s">
        <v>1234</v>
      </c>
    </row>
    <row r="1044" spans="1:5" x14ac:dyDescent="0.2">
      <c r="A1044" s="235">
        <v>114687</v>
      </c>
      <c r="B1044" s="236" t="s">
        <v>1071</v>
      </c>
      <c r="C1044" s="236" t="s">
        <v>2</v>
      </c>
      <c r="D1044" s="126">
        <v>0</v>
      </c>
      <c r="E1044" s="236" t="s">
        <v>1234</v>
      </c>
    </row>
    <row r="1045" spans="1:5" x14ac:dyDescent="0.2">
      <c r="A1045" s="235">
        <v>114691</v>
      </c>
      <c r="B1045" s="236" t="s">
        <v>1072</v>
      </c>
      <c r="C1045" s="236" t="s">
        <v>5</v>
      </c>
      <c r="D1045" s="126">
        <v>4</v>
      </c>
      <c r="E1045" s="236" t="s">
        <v>1235</v>
      </c>
    </row>
    <row r="1046" spans="1:5" x14ac:dyDescent="0.2">
      <c r="A1046" s="235">
        <v>114693</v>
      </c>
      <c r="B1046" s="236" t="s">
        <v>1073</v>
      </c>
      <c r="C1046" s="236" t="s">
        <v>5</v>
      </c>
      <c r="D1046" s="126">
        <v>0</v>
      </c>
      <c r="E1046" s="236" t="s">
        <v>1234</v>
      </c>
    </row>
    <row r="1047" spans="1:5" x14ac:dyDescent="0.2">
      <c r="A1047" s="235">
        <v>114695</v>
      </c>
      <c r="B1047" s="236" t="s">
        <v>1074</v>
      </c>
      <c r="C1047" s="236" t="s">
        <v>2</v>
      </c>
      <c r="D1047" s="126">
        <v>0</v>
      </c>
      <c r="E1047" s="236" t="s">
        <v>1234</v>
      </c>
    </row>
    <row r="1048" spans="1:5" x14ac:dyDescent="0.2">
      <c r="A1048" s="235">
        <v>114697</v>
      </c>
      <c r="B1048" s="236" t="s">
        <v>1075</v>
      </c>
      <c r="C1048" s="236" t="s">
        <v>39</v>
      </c>
      <c r="D1048" s="126">
        <v>0</v>
      </c>
      <c r="E1048" s="236" t="s">
        <v>1234</v>
      </c>
    </row>
    <row r="1049" spans="1:5" x14ac:dyDescent="0.2">
      <c r="A1049" s="235">
        <v>114698</v>
      </c>
      <c r="B1049" s="236" t="s">
        <v>1076</v>
      </c>
      <c r="C1049" s="236" t="s">
        <v>5</v>
      </c>
      <c r="D1049" s="126">
        <v>0</v>
      </c>
      <c r="E1049" s="236" t="s">
        <v>1235</v>
      </c>
    </row>
    <row r="1050" spans="1:5" x14ac:dyDescent="0.2">
      <c r="A1050" s="235">
        <v>114699</v>
      </c>
      <c r="B1050" s="236" t="s">
        <v>1077</v>
      </c>
      <c r="C1050" s="236" t="s">
        <v>5</v>
      </c>
      <c r="D1050" s="126">
        <v>0</v>
      </c>
      <c r="E1050" s="236" t="s">
        <v>1234</v>
      </c>
    </row>
    <row r="1051" spans="1:5" x14ac:dyDescent="0.2">
      <c r="A1051" s="235">
        <v>114700</v>
      </c>
      <c r="B1051" s="236" t="s">
        <v>1078</v>
      </c>
      <c r="C1051" s="236" t="s">
        <v>2</v>
      </c>
      <c r="D1051" s="126">
        <v>2</v>
      </c>
      <c r="E1051" s="236" t="s">
        <v>1234</v>
      </c>
    </row>
    <row r="1052" spans="1:5" x14ac:dyDescent="0.2">
      <c r="A1052" s="235">
        <v>114702</v>
      </c>
      <c r="B1052" s="236" t="s">
        <v>1079</v>
      </c>
      <c r="C1052" s="236" t="s">
        <v>2</v>
      </c>
      <c r="D1052" s="126">
        <v>1</v>
      </c>
      <c r="E1052" s="236" t="s">
        <v>1234</v>
      </c>
    </row>
    <row r="1053" spans="1:5" x14ac:dyDescent="0.2">
      <c r="A1053" s="235">
        <v>114711</v>
      </c>
      <c r="B1053" s="236" t="s">
        <v>1081</v>
      </c>
      <c r="C1053" s="236" t="s">
        <v>5</v>
      </c>
      <c r="D1053" s="126">
        <v>0</v>
      </c>
      <c r="E1053" s="236" t="s">
        <v>1235</v>
      </c>
    </row>
    <row r="1054" spans="1:5" x14ac:dyDescent="0.2">
      <c r="A1054" s="235">
        <v>114712</v>
      </c>
      <c r="B1054" s="236" t="s">
        <v>1082</v>
      </c>
      <c r="C1054" s="236" t="s">
        <v>2</v>
      </c>
      <c r="D1054" s="126">
        <v>0</v>
      </c>
      <c r="E1054" s="236" t="s">
        <v>1234</v>
      </c>
    </row>
    <row r="1055" spans="1:5" x14ac:dyDescent="0.2">
      <c r="A1055" s="235">
        <v>114726</v>
      </c>
      <c r="B1055" s="236" t="s">
        <v>1083</v>
      </c>
      <c r="C1055" s="236" t="s">
        <v>5</v>
      </c>
      <c r="D1055" s="126">
        <v>0</v>
      </c>
      <c r="E1055" s="236" t="s">
        <v>1235</v>
      </c>
    </row>
    <row r="1056" spans="1:5" x14ac:dyDescent="0.2">
      <c r="A1056" s="235">
        <v>114729</v>
      </c>
      <c r="B1056" s="236" t="s">
        <v>1084</v>
      </c>
      <c r="C1056" s="236" t="s">
        <v>2</v>
      </c>
      <c r="D1056" s="126">
        <v>0</v>
      </c>
      <c r="E1056" s="236" t="s">
        <v>1234</v>
      </c>
    </row>
    <row r="1057" spans="1:5" x14ac:dyDescent="0.2">
      <c r="A1057" s="235">
        <v>114732</v>
      </c>
      <c r="B1057" s="236" t="s">
        <v>1086</v>
      </c>
      <c r="C1057" s="236" t="s">
        <v>2</v>
      </c>
      <c r="D1057" s="126">
        <v>0</v>
      </c>
      <c r="E1057" s="236" t="s">
        <v>1234</v>
      </c>
    </row>
    <row r="1058" spans="1:5" x14ac:dyDescent="0.2">
      <c r="A1058" s="235">
        <v>114733</v>
      </c>
      <c r="B1058" s="236" t="s">
        <v>1087</v>
      </c>
      <c r="C1058" s="236" t="s">
        <v>5</v>
      </c>
      <c r="D1058" s="126">
        <v>1</v>
      </c>
      <c r="E1058" s="236" t="s">
        <v>1234</v>
      </c>
    </row>
    <row r="1059" spans="1:5" x14ac:dyDescent="0.2">
      <c r="A1059" s="235">
        <v>114734</v>
      </c>
      <c r="B1059" s="236" t="s">
        <v>1088</v>
      </c>
      <c r="C1059" s="236" t="s">
        <v>5</v>
      </c>
      <c r="D1059" s="126">
        <v>0</v>
      </c>
      <c r="E1059" s="236" t="s">
        <v>1234</v>
      </c>
    </row>
    <row r="1060" spans="1:5" x14ac:dyDescent="0.2">
      <c r="A1060" s="235">
        <v>114736</v>
      </c>
      <c r="B1060" s="236" t="s">
        <v>1089</v>
      </c>
      <c r="C1060" s="236" t="s">
        <v>5</v>
      </c>
      <c r="D1060" s="126">
        <v>1</v>
      </c>
      <c r="E1060" s="236" t="s">
        <v>1234</v>
      </c>
    </row>
    <row r="1061" spans="1:5" x14ac:dyDescent="0.2">
      <c r="A1061" s="235">
        <v>114742</v>
      </c>
      <c r="B1061" s="236" t="s">
        <v>1090</v>
      </c>
      <c r="C1061" s="236" t="s">
        <v>5</v>
      </c>
      <c r="D1061" s="126">
        <v>5</v>
      </c>
      <c r="E1061" s="236" t="s">
        <v>1234</v>
      </c>
    </row>
    <row r="1062" spans="1:5" x14ac:dyDescent="0.2">
      <c r="A1062" s="235">
        <v>114744</v>
      </c>
      <c r="B1062" s="236" t="s">
        <v>1091</v>
      </c>
      <c r="C1062" s="236" t="s">
        <v>5</v>
      </c>
      <c r="D1062" s="126">
        <v>0</v>
      </c>
      <c r="E1062" s="236" t="s">
        <v>1235</v>
      </c>
    </row>
    <row r="1063" spans="1:5" x14ac:dyDescent="0.2">
      <c r="A1063" s="235">
        <v>114746</v>
      </c>
      <c r="B1063" s="236" t="s">
        <v>1092</v>
      </c>
      <c r="C1063" s="236" t="s">
        <v>2</v>
      </c>
      <c r="D1063" s="126">
        <v>0</v>
      </c>
      <c r="E1063" s="236" t="s">
        <v>1234</v>
      </c>
    </row>
    <row r="1064" spans="1:5" x14ac:dyDescent="0.2">
      <c r="A1064" s="235">
        <v>114748</v>
      </c>
      <c r="B1064" s="236" t="s">
        <v>1093</v>
      </c>
      <c r="C1064" s="236" t="s">
        <v>5</v>
      </c>
      <c r="D1064" s="126">
        <v>0</v>
      </c>
      <c r="E1064" s="236" t="s">
        <v>1234</v>
      </c>
    </row>
    <row r="1065" spans="1:5" x14ac:dyDescent="0.2">
      <c r="A1065" s="235">
        <v>114749</v>
      </c>
      <c r="B1065" s="236" t="s">
        <v>1094</v>
      </c>
      <c r="C1065" s="236" t="s">
        <v>5</v>
      </c>
      <c r="D1065" s="126">
        <v>0</v>
      </c>
      <c r="E1065" s="236" t="s">
        <v>1234</v>
      </c>
    </row>
    <row r="1066" spans="1:5" x14ac:dyDescent="0.2">
      <c r="A1066" s="235">
        <v>114750</v>
      </c>
      <c r="B1066" s="236" t="s">
        <v>1095</v>
      </c>
      <c r="C1066" s="236" t="s">
        <v>5</v>
      </c>
      <c r="D1066" s="126">
        <v>1</v>
      </c>
      <c r="E1066" s="236" t="s">
        <v>1234</v>
      </c>
    </row>
    <row r="1067" spans="1:5" x14ac:dyDescent="0.2">
      <c r="A1067" s="235">
        <v>114751</v>
      </c>
      <c r="B1067" s="236" t="s">
        <v>1096</v>
      </c>
      <c r="C1067" s="236" t="s">
        <v>2</v>
      </c>
      <c r="D1067" s="126">
        <v>0</v>
      </c>
      <c r="E1067" s="236" t="s">
        <v>1234</v>
      </c>
    </row>
    <row r="1068" spans="1:5" x14ac:dyDescent="0.2">
      <c r="A1068" s="235">
        <v>114757</v>
      </c>
      <c r="B1068" s="236" t="s">
        <v>1097</v>
      </c>
      <c r="C1068" s="236" t="s">
        <v>15</v>
      </c>
      <c r="D1068" s="126">
        <v>0</v>
      </c>
      <c r="E1068" s="236" t="s">
        <v>1234</v>
      </c>
    </row>
    <row r="1069" spans="1:5" x14ac:dyDescent="0.2">
      <c r="A1069" s="235">
        <v>114760</v>
      </c>
      <c r="B1069" s="236" t="s">
        <v>1098</v>
      </c>
      <c r="C1069" s="236" t="s">
        <v>282</v>
      </c>
      <c r="D1069" s="126">
        <v>0</v>
      </c>
      <c r="E1069" s="236" t="s">
        <v>1234</v>
      </c>
    </row>
    <row r="1070" spans="1:5" x14ac:dyDescent="0.2">
      <c r="A1070" s="235">
        <v>114761</v>
      </c>
      <c r="B1070" s="236" t="s">
        <v>1099</v>
      </c>
      <c r="C1070" s="236" t="s">
        <v>15</v>
      </c>
      <c r="D1070" s="126">
        <v>0</v>
      </c>
      <c r="E1070" s="236" t="s">
        <v>1234</v>
      </c>
    </row>
    <row r="1071" spans="1:5" x14ac:dyDescent="0.2">
      <c r="A1071" s="235">
        <v>114763</v>
      </c>
      <c r="B1071" s="236" t="s">
        <v>1100</v>
      </c>
      <c r="C1071" s="236" t="s">
        <v>282</v>
      </c>
      <c r="D1071" s="126">
        <v>0</v>
      </c>
      <c r="E1071" s="236" t="s">
        <v>1234</v>
      </c>
    </row>
    <row r="1072" spans="1:5" x14ac:dyDescent="0.2">
      <c r="A1072" s="235">
        <v>114765</v>
      </c>
      <c r="B1072" s="236" t="s">
        <v>1101</v>
      </c>
      <c r="C1072" s="236" t="s">
        <v>282</v>
      </c>
      <c r="D1072" s="126">
        <v>0</v>
      </c>
      <c r="E1072" s="236" t="s">
        <v>1234</v>
      </c>
    </row>
    <row r="1073" spans="1:5" x14ac:dyDescent="0.2">
      <c r="A1073" s="235">
        <v>114770</v>
      </c>
      <c r="B1073" s="236" t="s">
        <v>1104</v>
      </c>
      <c r="C1073" s="236" t="s">
        <v>282</v>
      </c>
      <c r="D1073" s="126">
        <v>0</v>
      </c>
      <c r="E1073" s="236" t="s">
        <v>1234</v>
      </c>
    </row>
    <row r="1074" spans="1:5" x14ac:dyDescent="0.2">
      <c r="A1074" s="235">
        <v>114774</v>
      </c>
      <c r="B1074" s="236" t="s">
        <v>1105</v>
      </c>
      <c r="C1074" s="236" t="s">
        <v>5</v>
      </c>
      <c r="D1074" s="126">
        <v>0</v>
      </c>
      <c r="E1074" s="236" t="s">
        <v>1234</v>
      </c>
    </row>
    <row r="1075" spans="1:5" x14ac:dyDescent="0.2">
      <c r="A1075" s="235">
        <v>114800</v>
      </c>
      <c r="B1075" s="236" t="s">
        <v>1106</v>
      </c>
      <c r="C1075" s="236" t="s">
        <v>15</v>
      </c>
      <c r="D1075" s="126">
        <v>0</v>
      </c>
      <c r="E1075" s="236" t="s">
        <v>1234</v>
      </c>
    </row>
    <row r="1076" spans="1:5" x14ac:dyDescent="0.2">
      <c r="A1076" s="235">
        <v>114805</v>
      </c>
      <c r="B1076" s="236" t="s">
        <v>1107</v>
      </c>
      <c r="C1076" s="236" t="s">
        <v>15</v>
      </c>
      <c r="D1076" s="126">
        <v>0</v>
      </c>
      <c r="E1076" s="236" t="s">
        <v>1234</v>
      </c>
    </row>
    <row r="1077" spans="1:5" x14ac:dyDescent="0.2">
      <c r="A1077" s="235">
        <v>114907</v>
      </c>
      <c r="B1077" s="236" t="s">
        <v>1108</v>
      </c>
      <c r="C1077" s="236" t="s">
        <v>5</v>
      </c>
      <c r="D1077" s="126">
        <v>0</v>
      </c>
      <c r="E1077" s="236" t="s">
        <v>1234</v>
      </c>
    </row>
    <row r="1078" spans="1:5" x14ac:dyDescent="0.2">
      <c r="A1078" s="235">
        <v>114910</v>
      </c>
      <c r="B1078" s="236" t="s">
        <v>1109</v>
      </c>
      <c r="C1078" s="236" t="s">
        <v>5</v>
      </c>
      <c r="D1078" s="126">
        <v>0</v>
      </c>
      <c r="E1078" s="236" t="s">
        <v>1234</v>
      </c>
    </row>
    <row r="1079" spans="1:5" x14ac:dyDescent="0.2">
      <c r="A1079" s="235">
        <v>114913</v>
      </c>
      <c r="B1079" s="236" t="s">
        <v>1110</v>
      </c>
      <c r="C1079" s="236" t="s">
        <v>481</v>
      </c>
      <c r="D1079" s="126">
        <v>0</v>
      </c>
      <c r="E1079" s="236" t="s">
        <v>1234</v>
      </c>
    </row>
    <row r="1080" spans="1:5" x14ac:dyDescent="0.2">
      <c r="A1080" s="235">
        <v>114916</v>
      </c>
      <c r="B1080" s="236" t="s">
        <v>1111</v>
      </c>
      <c r="C1080" s="236" t="s">
        <v>378</v>
      </c>
      <c r="D1080" s="126">
        <v>0</v>
      </c>
      <c r="E1080" s="236" t="s">
        <v>1234</v>
      </c>
    </row>
    <row r="1081" spans="1:5" x14ac:dyDescent="0.2">
      <c r="A1081" s="235">
        <v>114918</v>
      </c>
      <c r="B1081" s="236" t="s">
        <v>1112</v>
      </c>
      <c r="C1081" s="236" t="s">
        <v>5</v>
      </c>
      <c r="D1081" s="126">
        <v>0</v>
      </c>
      <c r="E1081" s="236" t="s">
        <v>1234</v>
      </c>
    </row>
    <row r="1082" spans="1:5" x14ac:dyDescent="0.2">
      <c r="A1082" s="235">
        <v>114922</v>
      </c>
      <c r="B1082" s="236" t="s">
        <v>1113</v>
      </c>
      <c r="C1082" s="236" t="s">
        <v>22</v>
      </c>
      <c r="D1082" s="126">
        <v>0</v>
      </c>
      <c r="E1082" s="236" t="s">
        <v>1234</v>
      </c>
    </row>
    <row r="1083" spans="1:5" x14ac:dyDescent="0.2">
      <c r="A1083" s="235">
        <v>114923</v>
      </c>
      <c r="B1083" s="236" t="s">
        <v>1114</v>
      </c>
      <c r="C1083" s="236" t="s">
        <v>5</v>
      </c>
      <c r="D1083" s="126">
        <v>0</v>
      </c>
      <c r="E1083" s="236" t="s">
        <v>1234</v>
      </c>
    </row>
    <row r="1084" spans="1:5" x14ac:dyDescent="0.2">
      <c r="A1084" s="235">
        <v>114924</v>
      </c>
      <c r="B1084" s="236" t="s">
        <v>593</v>
      </c>
      <c r="C1084" s="236" t="s">
        <v>5</v>
      </c>
      <c r="D1084" s="126">
        <v>0</v>
      </c>
      <c r="E1084" s="236" t="s">
        <v>1234</v>
      </c>
    </row>
    <row r="1085" spans="1:5" x14ac:dyDescent="0.2">
      <c r="A1085" s="235">
        <v>114925</v>
      </c>
      <c r="B1085" s="236" t="s">
        <v>1115</v>
      </c>
      <c r="C1085" s="236" t="s">
        <v>481</v>
      </c>
      <c r="D1085" s="126">
        <v>0</v>
      </c>
      <c r="E1085" s="236" t="s">
        <v>1234</v>
      </c>
    </row>
    <row r="1086" spans="1:5" x14ac:dyDescent="0.2">
      <c r="A1086" s="235">
        <v>114926</v>
      </c>
      <c r="B1086" s="236" t="s">
        <v>1116</v>
      </c>
      <c r="C1086" s="236" t="s">
        <v>5</v>
      </c>
      <c r="D1086" s="126">
        <v>0</v>
      </c>
      <c r="E1086" s="236" t="s">
        <v>1234</v>
      </c>
    </row>
    <row r="1087" spans="1:5" x14ac:dyDescent="0.2">
      <c r="A1087" s="235">
        <v>114927</v>
      </c>
      <c r="B1087" s="236" t="s">
        <v>1117</v>
      </c>
      <c r="C1087" s="236" t="s">
        <v>5</v>
      </c>
      <c r="D1087" s="126">
        <v>0</v>
      </c>
      <c r="E1087" s="236" t="s">
        <v>1234</v>
      </c>
    </row>
    <row r="1088" spans="1:5" x14ac:dyDescent="0.2">
      <c r="A1088" s="235">
        <v>114928</v>
      </c>
      <c r="B1088" s="236" t="s">
        <v>1118</v>
      </c>
      <c r="C1088" s="236" t="s">
        <v>5</v>
      </c>
      <c r="D1088" s="126">
        <v>0</v>
      </c>
      <c r="E1088" s="236" t="s">
        <v>1235</v>
      </c>
    </row>
    <row r="1089" spans="1:5" x14ac:dyDescent="0.2">
      <c r="A1089" s="235">
        <v>114930</v>
      </c>
      <c r="B1089" s="236" t="s">
        <v>1119</v>
      </c>
      <c r="C1089" s="236" t="s">
        <v>5</v>
      </c>
      <c r="D1089" s="126">
        <v>0</v>
      </c>
      <c r="E1089" s="236" t="s">
        <v>1235</v>
      </c>
    </row>
    <row r="1090" spans="1:5" x14ac:dyDescent="0.2">
      <c r="A1090" s="235">
        <v>114933</v>
      </c>
      <c r="B1090" s="236" t="s">
        <v>1120</v>
      </c>
      <c r="C1090" s="236" t="s">
        <v>22</v>
      </c>
      <c r="D1090" s="126">
        <v>0</v>
      </c>
      <c r="E1090" s="236" t="s">
        <v>1234</v>
      </c>
    </row>
    <row r="1091" spans="1:5" x14ac:dyDescent="0.2">
      <c r="A1091" s="235">
        <v>114934</v>
      </c>
      <c r="B1091" s="236" t="s">
        <v>1121</v>
      </c>
      <c r="C1091" s="236" t="s">
        <v>481</v>
      </c>
      <c r="D1091" s="126">
        <v>0</v>
      </c>
      <c r="E1091" s="236" t="s">
        <v>1234</v>
      </c>
    </row>
    <row r="1092" spans="1:5" x14ac:dyDescent="0.2">
      <c r="A1092" s="235">
        <v>114937</v>
      </c>
      <c r="B1092" s="236" t="s">
        <v>1122</v>
      </c>
      <c r="C1092" s="236" t="s">
        <v>5</v>
      </c>
      <c r="D1092" s="126">
        <v>3</v>
      </c>
      <c r="E1092" s="236" t="s">
        <v>1234</v>
      </c>
    </row>
    <row r="1093" spans="1:5" x14ac:dyDescent="0.2">
      <c r="A1093" s="235">
        <v>114938</v>
      </c>
      <c r="B1093" s="236" t="s">
        <v>1123</v>
      </c>
      <c r="C1093" s="236" t="s">
        <v>5</v>
      </c>
      <c r="D1093" s="126">
        <v>0</v>
      </c>
      <c r="E1093" s="236" t="s">
        <v>1234</v>
      </c>
    </row>
    <row r="1094" spans="1:5" x14ac:dyDescent="0.2">
      <c r="A1094" s="235">
        <v>114939</v>
      </c>
      <c r="B1094" s="236" t="s">
        <v>1124</v>
      </c>
      <c r="C1094" s="236" t="s">
        <v>5</v>
      </c>
      <c r="D1094" s="126">
        <v>0</v>
      </c>
      <c r="E1094" s="236" t="s">
        <v>1234</v>
      </c>
    </row>
    <row r="1095" spans="1:5" x14ac:dyDescent="0.2">
      <c r="A1095" s="235">
        <v>114940</v>
      </c>
      <c r="B1095" s="236" t="s">
        <v>1125</v>
      </c>
      <c r="C1095" s="236" t="s">
        <v>5</v>
      </c>
      <c r="D1095" s="126">
        <v>0</v>
      </c>
      <c r="E1095" s="236" t="s">
        <v>1234</v>
      </c>
    </row>
    <row r="1096" spans="1:5" x14ac:dyDescent="0.2">
      <c r="A1096" s="235">
        <v>114941</v>
      </c>
      <c r="B1096" s="236" t="s">
        <v>1715</v>
      </c>
      <c r="C1096" s="236" t="s">
        <v>5</v>
      </c>
      <c r="D1096" s="126">
        <v>0</v>
      </c>
      <c r="E1096" s="236" t="s">
        <v>1234</v>
      </c>
    </row>
    <row r="1097" spans="1:5" x14ac:dyDescent="0.2">
      <c r="A1097" s="235">
        <v>114942</v>
      </c>
      <c r="B1097" s="236" t="s">
        <v>1126</v>
      </c>
      <c r="C1097" s="236" t="s">
        <v>22</v>
      </c>
      <c r="D1097" s="126">
        <v>0</v>
      </c>
      <c r="E1097" s="236" t="s">
        <v>1234</v>
      </c>
    </row>
    <row r="1098" spans="1:5" x14ac:dyDescent="0.2">
      <c r="A1098" s="235">
        <v>114943</v>
      </c>
      <c r="B1098" s="236" t="s">
        <v>1127</v>
      </c>
      <c r="C1098" s="236" t="s">
        <v>5</v>
      </c>
      <c r="D1098" s="126">
        <v>0</v>
      </c>
      <c r="E1098" s="236" t="s">
        <v>1234</v>
      </c>
    </row>
    <row r="1099" spans="1:5" x14ac:dyDescent="0.2">
      <c r="A1099" s="235">
        <v>114944</v>
      </c>
      <c r="B1099" s="236" t="s">
        <v>1128</v>
      </c>
      <c r="C1099" s="236" t="s">
        <v>5</v>
      </c>
      <c r="D1099" s="126">
        <v>0</v>
      </c>
      <c r="E1099" s="236" t="s">
        <v>1234</v>
      </c>
    </row>
    <row r="1100" spans="1:5" x14ac:dyDescent="0.2">
      <c r="A1100" s="235">
        <v>114948</v>
      </c>
      <c r="B1100" s="236" t="s">
        <v>1102</v>
      </c>
      <c r="C1100" s="236" t="s">
        <v>15</v>
      </c>
      <c r="D1100" s="126">
        <v>0</v>
      </c>
      <c r="E1100" s="236" t="s">
        <v>1234</v>
      </c>
    </row>
    <row r="1101" spans="1:5" x14ac:dyDescent="0.2">
      <c r="A1101" s="235">
        <v>114949</v>
      </c>
      <c r="B1101" s="236" t="s">
        <v>1103</v>
      </c>
      <c r="C1101" s="236" t="s">
        <v>15</v>
      </c>
      <c r="D1101" s="126">
        <v>0</v>
      </c>
      <c r="E1101" s="236" t="s">
        <v>1234</v>
      </c>
    </row>
    <row r="1102" spans="1:5" x14ac:dyDescent="0.2">
      <c r="A1102" s="235">
        <v>114953</v>
      </c>
      <c r="B1102" s="236" t="s">
        <v>1129</v>
      </c>
      <c r="C1102" s="236" t="s">
        <v>282</v>
      </c>
      <c r="D1102" s="126">
        <v>0</v>
      </c>
      <c r="E1102" s="236" t="s">
        <v>1234</v>
      </c>
    </row>
    <row r="1103" spans="1:5" x14ac:dyDescent="0.2">
      <c r="A1103" s="235">
        <v>114954</v>
      </c>
      <c r="B1103" s="236" t="s">
        <v>1130</v>
      </c>
      <c r="C1103" s="236" t="s">
        <v>15</v>
      </c>
      <c r="D1103" s="126">
        <v>0</v>
      </c>
      <c r="E1103" s="236" t="s">
        <v>1234</v>
      </c>
    </row>
    <row r="1104" spans="1:5" x14ac:dyDescent="0.2">
      <c r="A1104" s="235">
        <v>114955</v>
      </c>
      <c r="B1104" s="236" t="s">
        <v>1131</v>
      </c>
      <c r="C1104" s="236" t="s">
        <v>282</v>
      </c>
      <c r="D1104" s="126">
        <v>0</v>
      </c>
      <c r="E1104" s="236" t="s">
        <v>1234</v>
      </c>
    </row>
    <row r="1105" spans="1:5" x14ac:dyDescent="0.2">
      <c r="A1105" s="235">
        <v>114958</v>
      </c>
      <c r="B1105" s="236" t="s">
        <v>1132</v>
      </c>
      <c r="C1105" s="236" t="s">
        <v>282</v>
      </c>
      <c r="D1105" s="126">
        <v>0</v>
      </c>
      <c r="E1105" s="236" t="s">
        <v>1234</v>
      </c>
    </row>
    <row r="1106" spans="1:5" x14ac:dyDescent="0.2">
      <c r="A1106" s="235">
        <v>114963</v>
      </c>
      <c r="B1106" s="236" t="s">
        <v>1133</v>
      </c>
      <c r="C1106" s="236" t="s">
        <v>5</v>
      </c>
      <c r="D1106" s="126">
        <v>0</v>
      </c>
      <c r="E1106" s="236" t="s">
        <v>1234</v>
      </c>
    </row>
    <row r="1107" spans="1:5" x14ac:dyDescent="0.2">
      <c r="A1107" s="235">
        <v>114966</v>
      </c>
      <c r="B1107" s="236" t="s">
        <v>1134</v>
      </c>
      <c r="C1107" s="236" t="s">
        <v>5</v>
      </c>
      <c r="D1107" s="126">
        <v>0</v>
      </c>
      <c r="E1107" s="236" t="s">
        <v>1234</v>
      </c>
    </row>
    <row r="1108" spans="1:5" x14ac:dyDescent="0.2">
      <c r="A1108" s="235">
        <v>114968</v>
      </c>
      <c r="B1108" s="236" t="s">
        <v>1135</v>
      </c>
      <c r="C1108" s="236" t="s">
        <v>5</v>
      </c>
      <c r="D1108" s="126">
        <v>0</v>
      </c>
      <c r="E1108" s="236" t="s">
        <v>1234</v>
      </c>
    </row>
    <row r="1109" spans="1:5" x14ac:dyDescent="0.2">
      <c r="A1109" s="235">
        <v>114973</v>
      </c>
      <c r="B1109" s="236" t="s">
        <v>1136</v>
      </c>
      <c r="C1109" s="236" t="s">
        <v>282</v>
      </c>
      <c r="D1109" s="126">
        <v>0</v>
      </c>
      <c r="E1109" s="236" t="s">
        <v>1234</v>
      </c>
    </row>
    <row r="1110" spans="1:5" x14ac:dyDescent="0.2">
      <c r="A1110" s="235">
        <v>114976</v>
      </c>
      <c r="B1110" s="236" t="s">
        <v>1137</v>
      </c>
      <c r="C1110" s="236" t="s">
        <v>282</v>
      </c>
      <c r="D1110" s="126">
        <v>0</v>
      </c>
      <c r="E1110" s="236" t="s">
        <v>1234</v>
      </c>
    </row>
    <row r="1111" spans="1:5" x14ac:dyDescent="0.2">
      <c r="A1111" s="235">
        <v>114977</v>
      </c>
      <c r="B1111" s="236" t="s">
        <v>1138</v>
      </c>
      <c r="C1111" s="236" t="s">
        <v>5</v>
      </c>
      <c r="D1111" s="126">
        <v>0</v>
      </c>
      <c r="E1111" s="236" t="s">
        <v>1234</v>
      </c>
    </row>
    <row r="1112" spans="1:5" x14ac:dyDescent="0.2">
      <c r="A1112" s="235">
        <v>114980</v>
      </c>
      <c r="B1112" s="236" t="s">
        <v>1139</v>
      </c>
      <c r="C1112" s="236" t="s">
        <v>5</v>
      </c>
      <c r="D1112" s="126">
        <v>0</v>
      </c>
      <c r="E1112" s="236" t="s">
        <v>1234</v>
      </c>
    </row>
    <row r="1113" spans="1:5" x14ac:dyDescent="0.2">
      <c r="A1113" s="235">
        <v>114981</v>
      </c>
      <c r="B1113" s="236" t="s">
        <v>1140</v>
      </c>
      <c r="C1113" s="236" t="s">
        <v>282</v>
      </c>
      <c r="D1113" s="126">
        <v>0</v>
      </c>
      <c r="E1113" s="236" t="s">
        <v>1234</v>
      </c>
    </row>
    <row r="1114" spans="1:5" x14ac:dyDescent="0.2">
      <c r="A1114" s="235">
        <v>114988</v>
      </c>
      <c r="B1114" s="236" t="s">
        <v>1141</v>
      </c>
      <c r="C1114" s="236" t="s">
        <v>282</v>
      </c>
      <c r="D1114" s="126">
        <v>0</v>
      </c>
      <c r="E1114" s="236" t="s">
        <v>1234</v>
      </c>
    </row>
    <row r="1115" spans="1:5" x14ac:dyDescent="0.2">
      <c r="A1115" s="235">
        <v>114990</v>
      </c>
      <c r="B1115" s="236" t="s">
        <v>1569</v>
      </c>
      <c r="C1115" s="236" t="s">
        <v>282</v>
      </c>
      <c r="D1115" s="126">
        <v>0</v>
      </c>
      <c r="E1115" s="236" t="s">
        <v>1234</v>
      </c>
    </row>
    <row r="1116" spans="1:5" x14ac:dyDescent="0.2">
      <c r="A1116" s="235">
        <v>114991</v>
      </c>
      <c r="B1116" s="236" t="s">
        <v>1142</v>
      </c>
      <c r="C1116" s="236" t="s">
        <v>5</v>
      </c>
      <c r="D1116" s="126">
        <v>0</v>
      </c>
      <c r="E1116" s="236" t="s">
        <v>1234</v>
      </c>
    </row>
    <row r="1117" spans="1:5" x14ac:dyDescent="0.2">
      <c r="A1117" s="235">
        <v>115008</v>
      </c>
      <c r="B1117" s="236" t="s">
        <v>1143</v>
      </c>
      <c r="C1117" s="236" t="s">
        <v>5</v>
      </c>
      <c r="D1117" s="126">
        <v>0</v>
      </c>
      <c r="E1117" s="236" t="s">
        <v>1234</v>
      </c>
    </row>
    <row r="1118" spans="1:5" x14ac:dyDescent="0.2">
      <c r="A1118" s="235">
        <v>115012</v>
      </c>
      <c r="B1118" s="236" t="s">
        <v>1144</v>
      </c>
      <c r="C1118" s="236" t="s">
        <v>5</v>
      </c>
      <c r="D1118" s="126">
        <v>5</v>
      </c>
      <c r="E1118" s="236" t="s">
        <v>1234</v>
      </c>
    </row>
    <row r="1119" spans="1:5" x14ac:dyDescent="0.2">
      <c r="A1119" s="235">
        <v>115214</v>
      </c>
      <c r="B1119" s="236" t="s">
        <v>1145</v>
      </c>
      <c r="C1119" s="236" t="s">
        <v>5</v>
      </c>
      <c r="D1119" s="126">
        <v>0</v>
      </c>
      <c r="E1119" s="236" t="s">
        <v>1234</v>
      </c>
    </row>
    <row r="1120" spans="1:5" x14ac:dyDescent="0.2">
      <c r="A1120" s="235">
        <v>115216</v>
      </c>
      <c r="B1120" s="236" t="s">
        <v>1146</v>
      </c>
      <c r="C1120" s="236" t="s">
        <v>5</v>
      </c>
      <c r="D1120" s="126">
        <v>0</v>
      </c>
      <c r="E1120" s="236" t="s">
        <v>1234</v>
      </c>
    </row>
    <row r="1121" spans="1:5" x14ac:dyDescent="0.2">
      <c r="A1121" s="235">
        <v>115218</v>
      </c>
      <c r="B1121" s="236" t="s">
        <v>1147</v>
      </c>
      <c r="C1121" s="236" t="s">
        <v>5</v>
      </c>
      <c r="D1121" s="126">
        <v>0</v>
      </c>
      <c r="E1121" s="236" t="s">
        <v>1234</v>
      </c>
    </row>
    <row r="1122" spans="1:5" x14ac:dyDescent="0.2">
      <c r="A1122" s="235">
        <v>115220</v>
      </c>
      <c r="B1122" s="236" t="s">
        <v>1148</v>
      </c>
      <c r="C1122" s="236" t="s">
        <v>5</v>
      </c>
      <c r="D1122" s="126">
        <v>0</v>
      </c>
      <c r="E1122" s="236" t="s">
        <v>1234</v>
      </c>
    </row>
    <row r="1123" spans="1:5" x14ac:dyDescent="0.2">
      <c r="A1123" s="235">
        <v>115223</v>
      </c>
      <c r="B1123" s="236" t="s">
        <v>1149</v>
      </c>
      <c r="C1123" s="236" t="s">
        <v>5</v>
      </c>
      <c r="D1123" s="126">
        <v>0</v>
      </c>
      <c r="E1123" s="236" t="s">
        <v>1234</v>
      </c>
    </row>
    <row r="1124" spans="1:5" x14ac:dyDescent="0.2">
      <c r="A1124" s="235">
        <v>115225</v>
      </c>
      <c r="B1124" s="236" t="s">
        <v>1150</v>
      </c>
      <c r="C1124" s="236" t="s">
        <v>5</v>
      </c>
      <c r="D1124" s="126">
        <v>0</v>
      </c>
      <c r="E1124" s="236" t="s">
        <v>1234</v>
      </c>
    </row>
    <row r="1125" spans="1:5" x14ac:dyDescent="0.2">
      <c r="A1125" s="235">
        <v>115229</v>
      </c>
      <c r="B1125" s="236" t="s">
        <v>1151</v>
      </c>
      <c r="C1125" s="236" t="s">
        <v>942</v>
      </c>
      <c r="D1125" s="126">
        <v>0</v>
      </c>
      <c r="E1125" s="236" t="s">
        <v>1234</v>
      </c>
    </row>
    <row r="1126" spans="1:5" x14ac:dyDescent="0.2">
      <c r="A1126" s="235">
        <v>115231</v>
      </c>
      <c r="B1126" s="236" t="s">
        <v>1152</v>
      </c>
      <c r="C1126" s="236" t="s">
        <v>5</v>
      </c>
      <c r="D1126" s="126">
        <v>0</v>
      </c>
      <c r="E1126" s="236" t="s">
        <v>1234</v>
      </c>
    </row>
    <row r="1127" spans="1:5" x14ac:dyDescent="0.2">
      <c r="A1127" s="235">
        <v>115371</v>
      </c>
      <c r="B1127" s="236" t="s">
        <v>1153</v>
      </c>
      <c r="C1127" s="236" t="s">
        <v>5</v>
      </c>
      <c r="D1127" s="126">
        <v>0</v>
      </c>
      <c r="E1127" s="236" t="s">
        <v>1234</v>
      </c>
    </row>
    <row r="1128" spans="1:5" x14ac:dyDescent="0.2">
      <c r="A1128" s="235">
        <v>115378</v>
      </c>
      <c r="B1128" s="236" t="s">
        <v>1154</v>
      </c>
      <c r="C1128" s="236" t="s">
        <v>5</v>
      </c>
      <c r="D1128" s="126">
        <v>1</v>
      </c>
      <c r="E1128" s="236" t="s">
        <v>1234</v>
      </c>
    </row>
    <row r="1129" spans="1:5" x14ac:dyDescent="0.2">
      <c r="A1129" s="235">
        <v>115379</v>
      </c>
      <c r="B1129" s="236" t="s">
        <v>1272</v>
      </c>
      <c r="C1129" s="236" t="s">
        <v>5</v>
      </c>
      <c r="D1129" s="126">
        <v>0</v>
      </c>
      <c r="E1129" s="236" t="s">
        <v>1234</v>
      </c>
    </row>
    <row r="1130" spans="1:5" x14ac:dyDescent="0.2">
      <c r="A1130" s="235">
        <v>115397</v>
      </c>
      <c r="B1130" s="236" t="s">
        <v>1155</v>
      </c>
      <c r="C1130" s="236" t="s">
        <v>5</v>
      </c>
      <c r="D1130" s="126">
        <v>0</v>
      </c>
      <c r="E1130" s="236" t="s">
        <v>1234</v>
      </c>
    </row>
    <row r="1131" spans="1:5" x14ac:dyDescent="0.2">
      <c r="A1131" s="235">
        <v>115399</v>
      </c>
      <c r="B1131" s="236" t="s">
        <v>1156</v>
      </c>
      <c r="C1131" s="236" t="s">
        <v>5</v>
      </c>
      <c r="D1131" s="126">
        <v>0</v>
      </c>
      <c r="E1131" s="236" t="s">
        <v>1234</v>
      </c>
    </row>
    <row r="1132" spans="1:5" x14ac:dyDescent="0.2">
      <c r="A1132" s="235">
        <v>115400</v>
      </c>
      <c r="B1132" s="236" t="s">
        <v>1157</v>
      </c>
      <c r="C1132" s="236" t="s">
        <v>5</v>
      </c>
      <c r="D1132" s="126">
        <v>0</v>
      </c>
      <c r="E1132" s="236" t="s">
        <v>1234</v>
      </c>
    </row>
    <row r="1133" spans="1:5" x14ac:dyDescent="0.2">
      <c r="A1133" s="235">
        <v>115403</v>
      </c>
      <c r="B1133" s="236" t="s">
        <v>1158</v>
      </c>
      <c r="C1133" s="236" t="s">
        <v>5</v>
      </c>
      <c r="D1133" s="126">
        <v>0</v>
      </c>
      <c r="E1133" s="236" t="s">
        <v>1285</v>
      </c>
    </row>
    <row r="1134" spans="1:5" x14ac:dyDescent="0.2">
      <c r="A1134" s="235">
        <v>115404</v>
      </c>
      <c r="B1134" s="236" t="s">
        <v>1159</v>
      </c>
      <c r="C1134" s="236" t="s">
        <v>2</v>
      </c>
      <c r="D1134" s="126">
        <v>0</v>
      </c>
      <c r="E1134" s="236" t="s">
        <v>1234</v>
      </c>
    </row>
    <row r="1135" spans="1:5" x14ac:dyDescent="0.2">
      <c r="A1135" s="235">
        <v>115406</v>
      </c>
      <c r="B1135" s="236" t="s">
        <v>1160</v>
      </c>
      <c r="C1135" s="236" t="s">
        <v>5</v>
      </c>
      <c r="D1135" s="126">
        <v>0</v>
      </c>
      <c r="E1135" s="236" t="s">
        <v>1234</v>
      </c>
    </row>
    <row r="1136" spans="1:5" x14ac:dyDescent="0.2">
      <c r="A1136" s="235">
        <v>115408</v>
      </c>
      <c r="B1136" s="236" t="s">
        <v>1161</v>
      </c>
      <c r="C1136" s="236" t="s">
        <v>5</v>
      </c>
      <c r="D1136" s="126">
        <v>0</v>
      </c>
      <c r="E1136" s="236" t="s">
        <v>1234</v>
      </c>
    </row>
    <row r="1137" spans="1:5" x14ac:dyDescent="0.2">
      <c r="A1137" s="235">
        <v>115409</v>
      </c>
      <c r="B1137" s="236" t="s">
        <v>1162</v>
      </c>
      <c r="C1137" s="236" t="s">
        <v>5</v>
      </c>
      <c r="D1137" s="126">
        <v>4</v>
      </c>
      <c r="E1137" s="236" t="s">
        <v>1234</v>
      </c>
    </row>
    <row r="1138" spans="1:5" x14ac:dyDescent="0.2">
      <c r="A1138" s="235">
        <v>115413</v>
      </c>
      <c r="B1138" s="236" t="s">
        <v>1163</v>
      </c>
      <c r="C1138" s="236" t="s">
        <v>5</v>
      </c>
      <c r="D1138" s="126">
        <v>0</v>
      </c>
      <c r="E1138" s="236" t="s">
        <v>1234</v>
      </c>
    </row>
    <row r="1139" spans="1:5" x14ac:dyDescent="0.2">
      <c r="A1139" s="235">
        <v>115415</v>
      </c>
      <c r="B1139" s="236" t="s">
        <v>1164</v>
      </c>
      <c r="C1139" s="236" t="s">
        <v>5</v>
      </c>
      <c r="D1139" s="126">
        <v>0</v>
      </c>
      <c r="E1139" s="236" t="s">
        <v>1234</v>
      </c>
    </row>
    <row r="1140" spans="1:5" x14ac:dyDescent="0.2">
      <c r="A1140" s="235">
        <v>115447</v>
      </c>
      <c r="B1140" s="236" t="s">
        <v>1165</v>
      </c>
      <c r="C1140" s="236" t="s">
        <v>146</v>
      </c>
      <c r="D1140" s="126">
        <v>0</v>
      </c>
      <c r="E1140" s="236" t="s">
        <v>1234</v>
      </c>
    </row>
    <row r="1141" spans="1:5" x14ac:dyDescent="0.2">
      <c r="A1141" s="235">
        <v>115796</v>
      </c>
      <c r="B1141" s="236" t="s">
        <v>1167</v>
      </c>
      <c r="C1141" s="236" t="s">
        <v>1668</v>
      </c>
      <c r="D1141" s="126">
        <v>0</v>
      </c>
      <c r="E1141" s="236" t="s">
        <v>1234</v>
      </c>
    </row>
    <row r="1142" spans="1:5" x14ac:dyDescent="0.2">
      <c r="A1142" s="235">
        <v>115814</v>
      </c>
      <c r="B1142" s="236" t="s">
        <v>1168</v>
      </c>
      <c r="C1142" s="236" t="s">
        <v>120</v>
      </c>
      <c r="D1142" s="126">
        <v>0</v>
      </c>
      <c r="E1142" s="236" t="s">
        <v>1285</v>
      </c>
    </row>
    <row r="1143" spans="1:5" x14ac:dyDescent="0.2">
      <c r="A1143" s="235">
        <v>115818</v>
      </c>
      <c r="B1143" s="236" t="s">
        <v>1169</v>
      </c>
      <c r="C1143" s="236" t="s">
        <v>5</v>
      </c>
      <c r="D1143" s="126">
        <v>0</v>
      </c>
      <c r="E1143" s="236" t="s">
        <v>1234</v>
      </c>
    </row>
    <row r="1144" spans="1:5" x14ac:dyDescent="0.2">
      <c r="A1144" s="235">
        <v>116001</v>
      </c>
      <c r="B1144" s="236" t="s">
        <v>1170</v>
      </c>
      <c r="C1144" s="236" t="s">
        <v>2</v>
      </c>
      <c r="D1144" s="126">
        <v>0</v>
      </c>
      <c r="E1144" s="236" t="s">
        <v>1234</v>
      </c>
    </row>
    <row r="1145" spans="1:5" x14ac:dyDescent="0.2">
      <c r="A1145" s="235">
        <v>116002</v>
      </c>
      <c r="B1145" s="236" t="s">
        <v>1171</v>
      </c>
      <c r="C1145" s="236" t="s">
        <v>5</v>
      </c>
      <c r="D1145" s="126">
        <v>0</v>
      </c>
      <c r="E1145" s="236" t="s">
        <v>1234</v>
      </c>
    </row>
    <row r="1146" spans="1:5" x14ac:dyDescent="0.2">
      <c r="A1146" s="235">
        <v>116003</v>
      </c>
      <c r="B1146" s="236" t="s">
        <v>1172</v>
      </c>
      <c r="C1146" s="236" t="s">
        <v>5</v>
      </c>
      <c r="D1146" s="126">
        <v>0</v>
      </c>
      <c r="E1146" s="236" t="s">
        <v>1234</v>
      </c>
    </row>
    <row r="1147" spans="1:5" x14ac:dyDescent="0.2">
      <c r="A1147" s="235">
        <v>116004</v>
      </c>
      <c r="B1147" s="236" t="s">
        <v>1173</v>
      </c>
      <c r="C1147" s="236" t="s">
        <v>5</v>
      </c>
      <c r="D1147" s="126">
        <v>0</v>
      </c>
      <c r="E1147" s="236" t="s">
        <v>1234</v>
      </c>
    </row>
    <row r="1148" spans="1:5" x14ac:dyDescent="0.2">
      <c r="A1148" s="235">
        <v>116006</v>
      </c>
      <c r="B1148" s="236" t="s">
        <v>1174</v>
      </c>
      <c r="C1148" s="236" t="s">
        <v>5</v>
      </c>
      <c r="D1148" s="126">
        <v>0</v>
      </c>
      <c r="E1148" s="236" t="s">
        <v>1235</v>
      </c>
    </row>
    <row r="1149" spans="1:5" x14ac:dyDescent="0.2">
      <c r="A1149" s="235">
        <v>116008</v>
      </c>
      <c r="B1149" s="236" t="s">
        <v>1175</v>
      </c>
      <c r="C1149" s="236" t="s">
        <v>5</v>
      </c>
      <c r="D1149" s="126">
        <v>0</v>
      </c>
      <c r="E1149" s="236" t="s">
        <v>1234</v>
      </c>
    </row>
    <row r="1150" spans="1:5" x14ac:dyDescent="0.2">
      <c r="A1150" s="235">
        <v>116009</v>
      </c>
      <c r="B1150" s="236" t="s">
        <v>81</v>
      </c>
      <c r="C1150" s="236" t="s">
        <v>2</v>
      </c>
      <c r="D1150" s="126">
        <v>0</v>
      </c>
      <c r="E1150" s="236" t="s">
        <v>1234</v>
      </c>
    </row>
    <row r="1151" spans="1:5" x14ac:dyDescent="0.2">
      <c r="A1151" s="235">
        <v>116010</v>
      </c>
      <c r="B1151" s="236" t="s">
        <v>1176</v>
      </c>
      <c r="C1151" s="236" t="s">
        <v>5</v>
      </c>
      <c r="D1151" s="126">
        <v>0</v>
      </c>
      <c r="E1151" s="236" t="s">
        <v>1234</v>
      </c>
    </row>
    <row r="1152" spans="1:5" x14ac:dyDescent="0.2">
      <c r="A1152" s="235">
        <v>116020</v>
      </c>
      <c r="B1152" s="236" t="s">
        <v>1177</v>
      </c>
      <c r="C1152" s="236" t="s">
        <v>5</v>
      </c>
      <c r="D1152" s="126">
        <v>0</v>
      </c>
      <c r="E1152" s="236" t="s">
        <v>1235</v>
      </c>
    </row>
    <row r="1153" spans="1:5" x14ac:dyDescent="0.2">
      <c r="A1153" s="235">
        <v>116021</v>
      </c>
      <c r="B1153" s="236" t="s">
        <v>1178</v>
      </c>
      <c r="C1153" s="236" t="s">
        <v>5</v>
      </c>
      <c r="D1153" s="126">
        <v>1</v>
      </c>
      <c r="E1153" s="236" t="s">
        <v>1234</v>
      </c>
    </row>
    <row r="1154" spans="1:5" x14ac:dyDescent="0.2">
      <c r="A1154" s="235">
        <v>116024</v>
      </c>
      <c r="B1154" s="236" t="s">
        <v>1179</v>
      </c>
      <c r="C1154" s="236" t="s">
        <v>5</v>
      </c>
      <c r="D1154" s="126">
        <v>0</v>
      </c>
      <c r="E1154" s="236" t="s">
        <v>1234</v>
      </c>
    </row>
    <row r="1155" spans="1:5" x14ac:dyDescent="0.2">
      <c r="A1155" s="235">
        <v>116026</v>
      </c>
      <c r="B1155" s="236" t="s">
        <v>1180</v>
      </c>
      <c r="C1155" s="236" t="s">
        <v>5</v>
      </c>
      <c r="D1155" s="126">
        <v>0</v>
      </c>
      <c r="E1155" s="236" t="s">
        <v>1285</v>
      </c>
    </row>
    <row r="1156" spans="1:5" x14ac:dyDescent="0.2">
      <c r="A1156" s="235">
        <v>116027</v>
      </c>
      <c r="B1156" s="236" t="s">
        <v>1181</v>
      </c>
      <c r="C1156" s="236" t="s">
        <v>5</v>
      </c>
      <c r="D1156" s="126">
        <v>2</v>
      </c>
      <c r="E1156" s="236" t="s">
        <v>1234</v>
      </c>
    </row>
    <row r="1157" spans="1:5" x14ac:dyDescent="0.2">
      <c r="A1157" s="235">
        <v>116031</v>
      </c>
      <c r="B1157" s="236" t="s">
        <v>1182</v>
      </c>
      <c r="C1157" s="236" t="s">
        <v>5</v>
      </c>
      <c r="D1157" s="126">
        <v>0</v>
      </c>
      <c r="E1157" s="236" t="s">
        <v>1235</v>
      </c>
    </row>
    <row r="1158" spans="1:5" x14ac:dyDescent="0.2">
      <c r="A1158" s="235">
        <v>116072</v>
      </c>
      <c r="B1158" s="236" t="s">
        <v>1183</v>
      </c>
      <c r="C1158" s="236" t="s">
        <v>228</v>
      </c>
      <c r="D1158" s="126">
        <v>0</v>
      </c>
      <c r="E1158" s="236" t="s">
        <v>1234</v>
      </c>
    </row>
    <row r="1159" spans="1:5" x14ac:dyDescent="0.2">
      <c r="A1159" s="235">
        <v>116076</v>
      </c>
      <c r="B1159" s="236" t="s">
        <v>1184</v>
      </c>
      <c r="C1159" s="236" t="s">
        <v>139</v>
      </c>
      <c r="D1159" s="126">
        <v>0</v>
      </c>
      <c r="E1159" s="236" t="s">
        <v>1234</v>
      </c>
    </row>
    <row r="1160" spans="1:5" x14ac:dyDescent="0.2">
      <c r="A1160" s="235">
        <v>116085</v>
      </c>
      <c r="B1160" s="236" t="s">
        <v>1185</v>
      </c>
      <c r="C1160" s="236" t="s">
        <v>15</v>
      </c>
      <c r="D1160" s="126">
        <v>0</v>
      </c>
      <c r="E1160" s="236" t="s">
        <v>1234</v>
      </c>
    </row>
    <row r="1161" spans="1:5" x14ac:dyDescent="0.2">
      <c r="A1161" s="235">
        <v>116087</v>
      </c>
      <c r="B1161" s="236" t="s">
        <v>1186</v>
      </c>
      <c r="C1161" s="236" t="s">
        <v>15</v>
      </c>
      <c r="D1161" s="126">
        <v>0</v>
      </c>
      <c r="E1161" s="236" t="s">
        <v>1234</v>
      </c>
    </row>
    <row r="1162" spans="1:5" x14ac:dyDescent="0.2">
      <c r="A1162" s="235">
        <v>116109</v>
      </c>
      <c r="B1162" s="236" t="s">
        <v>1187</v>
      </c>
      <c r="C1162" s="236" t="s">
        <v>15</v>
      </c>
      <c r="D1162" s="126">
        <v>0</v>
      </c>
      <c r="E1162" s="236" t="s">
        <v>1234</v>
      </c>
    </row>
    <row r="1163" spans="1:5" x14ac:dyDescent="0.2">
      <c r="A1163" s="235">
        <v>116110</v>
      </c>
      <c r="B1163" s="236" t="s">
        <v>1188</v>
      </c>
      <c r="C1163" s="236" t="s">
        <v>15</v>
      </c>
      <c r="D1163" s="126">
        <v>0</v>
      </c>
      <c r="E1163" s="236" t="s">
        <v>1234</v>
      </c>
    </row>
    <row r="1164" spans="1:5" x14ac:dyDescent="0.2">
      <c r="A1164" s="235">
        <v>116111</v>
      </c>
      <c r="B1164" s="236" t="s">
        <v>1189</v>
      </c>
      <c r="C1164" s="236" t="s">
        <v>282</v>
      </c>
      <c r="D1164" s="126">
        <v>0</v>
      </c>
      <c r="E1164" s="236" t="s">
        <v>1234</v>
      </c>
    </row>
    <row r="1165" spans="1:5" x14ac:dyDescent="0.2">
      <c r="A1165" s="235">
        <v>116112</v>
      </c>
      <c r="B1165" s="236" t="s">
        <v>1190</v>
      </c>
      <c r="C1165" s="236" t="s">
        <v>282</v>
      </c>
      <c r="D1165" s="126">
        <v>0</v>
      </c>
      <c r="E1165" s="236" t="s">
        <v>1234</v>
      </c>
    </row>
    <row r="1166" spans="1:5" x14ac:dyDescent="0.2">
      <c r="A1166" s="235">
        <v>116132</v>
      </c>
      <c r="B1166" s="236" t="s">
        <v>1191</v>
      </c>
      <c r="C1166" s="236" t="s">
        <v>15</v>
      </c>
      <c r="D1166" s="126">
        <v>0</v>
      </c>
      <c r="E1166" s="236" t="s">
        <v>1234</v>
      </c>
    </row>
    <row r="1167" spans="1:5" x14ac:dyDescent="0.2">
      <c r="A1167" s="235">
        <v>116133</v>
      </c>
      <c r="B1167" s="236" t="s">
        <v>1192</v>
      </c>
      <c r="C1167" s="236" t="s">
        <v>205</v>
      </c>
      <c r="D1167" s="126">
        <v>0</v>
      </c>
      <c r="E1167" s="236" t="s">
        <v>1234</v>
      </c>
    </row>
    <row r="1168" spans="1:5" x14ac:dyDescent="0.2">
      <c r="A1168" s="235">
        <v>116224</v>
      </c>
      <c r="B1168" s="236" t="s">
        <v>1193</v>
      </c>
      <c r="C1168" s="236" t="s">
        <v>5</v>
      </c>
      <c r="D1168" s="126">
        <v>0</v>
      </c>
      <c r="E1168" s="236" t="s">
        <v>1234</v>
      </c>
    </row>
    <row r="1169" spans="1:5" x14ac:dyDescent="0.2">
      <c r="A1169" s="235">
        <v>116225</v>
      </c>
      <c r="B1169" s="236" t="s">
        <v>1194</v>
      </c>
      <c r="C1169" s="236" t="s">
        <v>5</v>
      </c>
      <c r="D1169" s="126">
        <v>0</v>
      </c>
      <c r="E1169" s="236" t="s">
        <v>1285</v>
      </c>
    </row>
    <row r="1170" spans="1:5" x14ac:dyDescent="0.2">
      <c r="A1170" s="235">
        <v>116226</v>
      </c>
      <c r="B1170" s="236" t="s">
        <v>1195</v>
      </c>
      <c r="C1170" s="236" t="s">
        <v>5</v>
      </c>
      <c r="D1170" s="126">
        <v>4</v>
      </c>
      <c r="E1170" s="236" t="s">
        <v>1234</v>
      </c>
    </row>
    <row r="1171" spans="1:5" x14ac:dyDescent="0.2">
      <c r="A1171" s="235">
        <v>116228</v>
      </c>
      <c r="B1171" s="236" t="s">
        <v>1196</v>
      </c>
      <c r="C1171" s="236" t="s">
        <v>5</v>
      </c>
      <c r="D1171" s="126">
        <v>0</v>
      </c>
      <c r="E1171" s="236" t="s">
        <v>1234</v>
      </c>
    </row>
    <row r="1172" spans="1:5" x14ac:dyDescent="0.2">
      <c r="A1172" s="235">
        <v>116229</v>
      </c>
      <c r="B1172" s="236" t="s">
        <v>1197</v>
      </c>
      <c r="C1172" s="236" t="s">
        <v>5</v>
      </c>
      <c r="D1172" s="126">
        <v>0</v>
      </c>
      <c r="E1172" s="236" t="s">
        <v>1234</v>
      </c>
    </row>
    <row r="1173" spans="1:5" x14ac:dyDescent="0.2">
      <c r="A1173" s="235">
        <v>116232</v>
      </c>
      <c r="B1173" s="236" t="s">
        <v>1198</v>
      </c>
      <c r="C1173" s="236" t="s">
        <v>5</v>
      </c>
      <c r="D1173" s="126">
        <v>0</v>
      </c>
      <c r="E1173" s="236" t="s">
        <v>1234</v>
      </c>
    </row>
    <row r="1174" spans="1:5" x14ac:dyDescent="0.2">
      <c r="A1174" s="235">
        <v>116234</v>
      </c>
      <c r="B1174" s="236" t="s">
        <v>1199</v>
      </c>
      <c r="C1174" s="236" t="s">
        <v>2</v>
      </c>
      <c r="D1174" s="126">
        <v>0</v>
      </c>
      <c r="E1174" s="236" t="s">
        <v>1234</v>
      </c>
    </row>
    <row r="1175" spans="1:5" x14ac:dyDescent="0.2">
      <c r="A1175" s="235">
        <v>116235</v>
      </c>
      <c r="B1175" s="236" t="s">
        <v>1200</v>
      </c>
      <c r="C1175" s="236" t="s">
        <v>2</v>
      </c>
      <c r="D1175" s="126">
        <v>0</v>
      </c>
      <c r="E1175" s="236" t="s">
        <v>1234</v>
      </c>
    </row>
    <row r="1176" spans="1:5" x14ac:dyDescent="0.2">
      <c r="A1176" s="235">
        <v>116236</v>
      </c>
      <c r="B1176" s="236" t="s">
        <v>1201</v>
      </c>
      <c r="C1176" s="236" t="s">
        <v>2</v>
      </c>
      <c r="D1176" s="126">
        <v>0</v>
      </c>
      <c r="E1176" s="236" t="s">
        <v>1234</v>
      </c>
    </row>
    <row r="1177" spans="1:5" x14ac:dyDescent="0.2">
      <c r="A1177" s="235">
        <v>116237</v>
      </c>
      <c r="B1177" s="236" t="s">
        <v>1202</v>
      </c>
      <c r="C1177" s="236" t="s">
        <v>2</v>
      </c>
      <c r="D1177" s="126">
        <v>0</v>
      </c>
      <c r="E1177" s="236" t="s">
        <v>1234</v>
      </c>
    </row>
    <row r="1178" spans="1:5" x14ac:dyDescent="0.2">
      <c r="A1178" s="235">
        <v>116238</v>
      </c>
      <c r="B1178" s="236" t="s">
        <v>1203</v>
      </c>
      <c r="C1178" s="236" t="s">
        <v>2</v>
      </c>
      <c r="D1178" s="126">
        <v>0</v>
      </c>
      <c r="E1178" s="236" t="s">
        <v>1234</v>
      </c>
    </row>
    <row r="1179" spans="1:5" x14ac:dyDescent="0.2">
      <c r="A1179" s="235">
        <v>116315</v>
      </c>
      <c r="B1179" s="236" t="s">
        <v>1204</v>
      </c>
      <c r="C1179" s="236" t="s">
        <v>5</v>
      </c>
      <c r="D1179" s="126">
        <v>0</v>
      </c>
      <c r="E1179" s="236" t="s">
        <v>1234</v>
      </c>
    </row>
    <row r="1180" spans="1:5" x14ac:dyDescent="0.2">
      <c r="A1180" s="235">
        <v>116316</v>
      </c>
      <c r="B1180" s="236" t="s">
        <v>1205</v>
      </c>
      <c r="C1180" s="236" t="s">
        <v>5</v>
      </c>
      <c r="D1180" s="126">
        <v>0</v>
      </c>
      <c r="E1180" s="236" t="s">
        <v>1235</v>
      </c>
    </row>
    <row r="1181" spans="1:5" x14ac:dyDescent="0.2">
      <c r="A1181" s="235">
        <v>116320</v>
      </c>
      <c r="B1181" s="236" t="s">
        <v>1206</v>
      </c>
      <c r="C1181" s="236" t="s">
        <v>5</v>
      </c>
      <c r="D1181" s="126">
        <v>0</v>
      </c>
      <c r="E1181" s="236" t="s">
        <v>1235</v>
      </c>
    </row>
    <row r="1182" spans="1:5" x14ac:dyDescent="0.2">
      <c r="A1182" s="235">
        <v>116321</v>
      </c>
      <c r="B1182" s="236" t="s">
        <v>1207</v>
      </c>
      <c r="C1182" s="236" t="s">
        <v>5</v>
      </c>
      <c r="D1182" s="126">
        <v>0</v>
      </c>
      <c r="E1182" s="236" t="s">
        <v>1234</v>
      </c>
    </row>
    <row r="1183" spans="1:5" x14ac:dyDescent="0.2">
      <c r="A1183" s="235">
        <v>116322</v>
      </c>
      <c r="B1183" s="236" t="s">
        <v>1208</v>
      </c>
      <c r="C1183" s="236" t="s">
        <v>5</v>
      </c>
      <c r="D1183" s="126">
        <v>0</v>
      </c>
      <c r="E1183" s="236" t="s">
        <v>1234</v>
      </c>
    </row>
    <row r="1184" spans="1:5" x14ac:dyDescent="0.2">
      <c r="A1184" s="235">
        <v>116323</v>
      </c>
      <c r="B1184" s="236" t="s">
        <v>1209</v>
      </c>
      <c r="C1184" s="236" t="s">
        <v>5</v>
      </c>
      <c r="D1184" s="126">
        <v>0</v>
      </c>
      <c r="E1184" s="236" t="s">
        <v>1234</v>
      </c>
    </row>
    <row r="1185" spans="1:5" x14ac:dyDescent="0.2">
      <c r="A1185" s="235">
        <v>116326</v>
      </c>
      <c r="B1185" s="236" t="s">
        <v>1210</v>
      </c>
      <c r="C1185" s="236" t="s">
        <v>5</v>
      </c>
      <c r="D1185" s="126">
        <v>0</v>
      </c>
      <c r="E1185" s="236" t="s">
        <v>1234</v>
      </c>
    </row>
    <row r="1186" spans="1:5" x14ac:dyDescent="0.2">
      <c r="A1186" s="235">
        <v>116327</v>
      </c>
      <c r="B1186" s="236" t="s">
        <v>1522</v>
      </c>
      <c r="C1186" s="236" t="s">
        <v>5</v>
      </c>
      <c r="D1186" s="126">
        <v>0</v>
      </c>
      <c r="E1186" s="236" t="s">
        <v>1234</v>
      </c>
    </row>
    <row r="1187" spans="1:5" x14ac:dyDescent="0.2">
      <c r="A1187" s="235">
        <v>116329</v>
      </c>
      <c r="B1187" s="236" t="s">
        <v>1211</v>
      </c>
      <c r="C1187" s="236" t="s">
        <v>5</v>
      </c>
      <c r="D1187" s="126">
        <v>1</v>
      </c>
      <c r="E1187" s="236" t="s">
        <v>1234</v>
      </c>
    </row>
    <row r="1188" spans="1:5" x14ac:dyDescent="0.2">
      <c r="A1188" s="235">
        <v>116330</v>
      </c>
      <c r="B1188" s="236" t="s">
        <v>1212</v>
      </c>
      <c r="C1188" s="236" t="s">
        <v>5</v>
      </c>
      <c r="D1188" s="126">
        <v>0</v>
      </c>
      <c r="E1188" s="236" t="s">
        <v>1235</v>
      </c>
    </row>
    <row r="1189" spans="1:5" x14ac:dyDescent="0.2">
      <c r="A1189" s="235">
        <v>116331</v>
      </c>
      <c r="B1189" s="236" t="s">
        <v>1563</v>
      </c>
      <c r="C1189" s="236" t="s">
        <v>5</v>
      </c>
      <c r="D1189" s="126">
        <v>22</v>
      </c>
      <c r="E1189" s="236" t="s">
        <v>1234</v>
      </c>
    </row>
    <row r="1190" spans="1:5" x14ac:dyDescent="0.2">
      <c r="A1190" s="235">
        <v>116384</v>
      </c>
      <c r="B1190" s="236" t="s">
        <v>1213</v>
      </c>
      <c r="C1190" s="236" t="s">
        <v>5</v>
      </c>
      <c r="D1190" s="126">
        <v>0</v>
      </c>
      <c r="E1190" s="236" t="s">
        <v>1234</v>
      </c>
    </row>
    <row r="1191" spans="1:5" x14ac:dyDescent="0.2">
      <c r="A1191" s="235">
        <v>116385</v>
      </c>
      <c r="B1191" s="236" t="s">
        <v>1214</v>
      </c>
      <c r="C1191" s="236" t="s">
        <v>5</v>
      </c>
      <c r="D1191" s="126">
        <v>0</v>
      </c>
      <c r="E1191" s="236" t="s">
        <v>1235</v>
      </c>
    </row>
    <row r="1192" spans="1:5" x14ac:dyDescent="0.2">
      <c r="A1192" s="235">
        <v>116386</v>
      </c>
      <c r="B1192" s="236" t="s">
        <v>1215</v>
      </c>
      <c r="C1192" s="236" t="s">
        <v>15</v>
      </c>
      <c r="D1192" s="126">
        <v>0</v>
      </c>
      <c r="E1192" s="236" t="s">
        <v>1235</v>
      </c>
    </row>
    <row r="1193" spans="1:5" x14ac:dyDescent="0.2">
      <c r="A1193" s="235">
        <v>116388</v>
      </c>
      <c r="B1193" s="236" t="s">
        <v>1216</v>
      </c>
      <c r="C1193" s="236" t="s">
        <v>282</v>
      </c>
      <c r="D1193" s="126">
        <v>0</v>
      </c>
      <c r="E1193" s="236" t="s">
        <v>1234</v>
      </c>
    </row>
    <row r="1194" spans="1:5" x14ac:dyDescent="0.2">
      <c r="A1194" s="235">
        <v>116389</v>
      </c>
      <c r="B1194" s="236" t="s">
        <v>1217</v>
      </c>
      <c r="C1194" s="236" t="s">
        <v>2</v>
      </c>
      <c r="D1194" s="126">
        <v>0</v>
      </c>
      <c r="E1194" s="236" t="s">
        <v>1234</v>
      </c>
    </row>
    <row r="1195" spans="1:5" x14ac:dyDescent="0.2">
      <c r="A1195" s="235">
        <v>116652</v>
      </c>
      <c r="B1195" s="236" t="s">
        <v>955</v>
      </c>
      <c r="C1195" s="236" t="s">
        <v>956</v>
      </c>
      <c r="D1195" s="126">
        <v>0</v>
      </c>
      <c r="E1195" s="236" t="s">
        <v>1234</v>
      </c>
    </row>
    <row r="1196" spans="1:5" x14ac:dyDescent="0.2">
      <c r="A1196" s="235">
        <v>116653</v>
      </c>
      <c r="B1196" s="236" t="s">
        <v>957</v>
      </c>
      <c r="C1196" s="236" t="s">
        <v>958</v>
      </c>
      <c r="D1196" s="126">
        <v>0</v>
      </c>
      <c r="E1196" s="236" t="s">
        <v>1234</v>
      </c>
    </row>
    <row r="1197" spans="1:5" x14ac:dyDescent="0.2">
      <c r="A1197" s="235">
        <v>116654</v>
      </c>
      <c r="B1197" s="236" t="s">
        <v>959</v>
      </c>
      <c r="C1197" s="236" t="s">
        <v>960</v>
      </c>
      <c r="D1197" s="126">
        <v>0</v>
      </c>
      <c r="E1197" s="236" t="s">
        <v>1234</v>
      </c>
    </row>
    <row r="1198" spans="1:5" x14ac:dyDescent="0.2">
      <c r="A1198" s="235">
        <v>116712</v>
      </c>
      <c r="B1198" s="236" t="s">
        <v>1218</v>
      </c>
      <c r="C1198" s="236" t="s">
        <v>5</v>
      </c>
      <c r="D1198" s="126">
        <v>0</v>
      </c>
      <c r="E1198" s="236" t="s">
        <v>1234</v>
      </c>
    </row>
    <row r="1199" spans="1:5" x14ac:dyDescent="0.2">
      <c r="A1199" s="235">
        <v>116713</v>
      </c>
      <c r="B1199" s="236" t="s">
        <v>1219</v>
      </c>
      <c r="C1199" s="236" t="s">
        <v>2</v>
      </c>
      <c r="D1199" s="126">
        <v>0</v>
      </c>
      <c r="E1199" s="236" t="s">
        <v>1234</v>
      </c>
    </row>
    <row r="1200" spans="1:5" x14ac:dyDescent="0.2">
      <c r="A1200" s="235">
        <v>116716</v>
      </c>
      <c r="B1200" s="236" t="s">
        <v>1220</v>
      </c>
      <c r="C1200" s="236" t="s">
        <v>2</v>
      </c>
      <c r="D1200" s="126">
        <v>0</v>
      </c>
      <c r="E1200" s="236" t="s">
        <v>1234</v>
      </c>
    </row>
    <row r="1201" spans="1:5" x14ac:dyDescent="0.2">
      <c r="A1201" s="235">
        <v>116718</v>
      </c>
      <c r="B1201" s="236" t="s">
        <v>1221</v>
      </c>
      <c r="C1201" s="236" t="s">
        <v>2</v>
      </c>
      <c r="D1201" s="126">
        <v>0</v>
      </c>
      <c r="E1201" s="236" t="s">
        <v>1234</v>
      </c>
    </row>
    <row r="1202" spans="1:5" x14ac:dyDescent="0.2">
      <c r="A1202" s="235">
        <v>116719</v>
      </c>
      <c r="B1202" s="236" t="s">
        <v>1222</v>
      </c>
      <c r="C1202" s="236" t="s">
        <v>2</v>
      </c>
      <c r="D1202" s="126">
        <v>3</v>
      </c>
      <c r="E1202" s="236" t="s">
        <v>1234</v>
      </c>
    </row>
    <row r="1203" spans="1:5" x14ac:dyDescent="0.2">
      <c r="A1203" s="235">
        <v>116720</v>
      </c>
      <c r="B1203" s="236" t="s">
        <v>680</v>
      </c>
      <c r="C1203" s="236" t="s">
        <v>2</v>
      </c>
      <c r="D1203" s="126">
        <v>0</v>
      </c>
      <c r="E1203" s="236" t="s">
        <v>1234</v>
      </c>
    </row>
    <row r="1204" spans="1:5" x14ac:dyDescent="0.2">
      <c r="A1204" s="235">
        <v>116726</v>
      </c>
      <c r="B1204" s="236" t="s">
        <v>1223</v>
      </c>
      <c r="C1204" s="236" t="s">
        <v>2</v>
      </c>
      <c r="D1204" s="126">
        <v>5</v>
      </c>
      <c r="E1204" s="236" t="s">
        <v>1235</v>
      </c>
    </row>
    <row r="1205" spans="1:5" x14ac:dyDescent="0.2">
      <c r="A1205" s="235">
        <v>116728</v>
      </c>
      <c r="B1205" s="236" t="s">
        <v>1224</v>
      </c>
      <c r="C1205" s="236" t="s">
        <v>5</v>
      </c>
      <c r="D1205" s="126">
        <v>2</v>
      </c>
      <c r="E1205" s="236" t="s">
        <v>1234</v>
      </c>
    </row>
    <row r="1206" spans="1:5" x14ac:dyDescent="0.2">
      <c r="A1206" s="235">
        <v>116729</v>
      </c>
      <c r="B1206" s="236" t="s">
        <v>1225</v>
      </c>
      <c r="C1206" s="236" t="s">
        <v>15</v>
      </c>
      <c r="D1206" s="126">
        <v>0</v>
      </c>
      <c r="E1206" s="236" t="s">
        <v>1234</v>
      </c>
    </row>
    <row r="1207" spans="1:5" x14ac:dyDescent="0.2">
      <c r="A1207" s="235">
        <v>116730</v>
      </c>
      <c r="B1207" s="236" t="s">
        <v>1226</v>
      </c>
      <c r="C1207" s="236" t="s">
        <v>15</v>
      </c>
      <c r="D1207" s="126">
        <v>0</v>
      </c>
      <c r="E1207" s="236" t="s">
        <v>1234</v>
      </c>
    </row>
    <row r="1208" spans="1:5" x14ac:dyDescent="0.2">
      <c r="A1208" s="235">
        <v>116731</v>
      </c>
      <c r="B1208" s="236" t="s">
        <v>1227</v>
      </c>
      <c r="C1208" s="236" t="s">
        <v>15</v>
      </c>
      <c r="D1208" s="126">
        <v>0</v>
      </c>
      <c r="E1208" s="236" t="s">
        <v>1234</v>
      </c>
    </row>
    <row r="1209" spans="1:5" x14ac:dyDescent="0.2">
      <c r="A1209" s="235">
        <v>116738</v>
      </c>
      <c r="B1209" s="236" t="s">
        <v>1228</v>
      </c>
      <c r="C1209" s="236" t="s">
        <v>1663</v>
      </c>
      <c r="D1209" s="126">
        <v>0</v>
      </c>
      <c r="E1209" s="236" t="s">
        <v>1234</v>
      </c>
    </row>
    <row r="1210" spans="1:5" x14ac:dyDescent="0.2">
      <c r="A1210" s="235">
        <v>116804</v>
      </c>
      <c r="B1210" s="236" t="s">
        <v>1229</v>
      </c>
      <c r="C1210" s="236" t="s">
        <v>120</v>
      </c>
      <c r="D1210" s="126">
        <v>1</v>
      </c>
      <c r="E1210" s="236" t="s">
        <v>1234</v>
      </c>
    </row>
    <row r="1211" spans="1:5" x14ac:dyDescent="0.2">
      <c r="A1211" s="235">
        <v>116968</v>
      </c>
      <c r="B1211" s="236" t="s">
        <v>1238</v>
      </c>
      <c r="C1211" s="236" t="s">
        <v>5</v>
      </c>
      <c r="D1211" s="126">
        <v>0</v>
      </c>
      <c r="E1211" s="236" t="s">
        <v>1234</v>
      </c>
    </row>
    <row r="1212" spans="1:5" x14ac:dyDescent="0.2">
      <c r="A1212" s="235">
        <v>116969</v>
      </c>
      <c r="B1212" s="236" t="s">
        <v>1239</v>
      </c>
      <c r="C1212" s="236" t="s">
        <v>5</v>
      </c>
      <c r="D1212" s="126">
        <v>0</v>
      </c>
      <c r="E1212" s="236" t="s">
        <v>1234</v>
      </c>
    </row>
    <row r="1213" spans="1:5" x14ac:dyDescent="0.2">
      <c r="A1213" s="235">
        <v>116970</v>
      </c>
      <c r="B1213" s="236" t="s">
        <v>1240</v>
      </c>
      <c r="C1213" s="236" t="s">
        <v>5</v>
      </c>
      <c r="D1213" s="126">
        <v>0</v>
      </c>
      <c r="E1213" s="236" t="s">
        <v>1234</v>
      </c>
    </row>
    <row r="1214" spans="1:5" x14ac:dyDescent="0.2">
      <c r="A1214" s="235">
        <v>116972</v>
      </c>
      <c r="B1214" s="236" t="s">
        <v>1241</v>
      </c>
      <c r="C1214" s="236" t="s">
        <v>5</v>
      </c>
      <c r="D1214" s="126">
        <v>0</v>
      </c>
      <c r="E1214" s="236" t="s">
        <v>1234</v>
      </c>
    </row>
    <row r="1215" spans="1:5" x14ac:dyDescent="0.2">
      <c r="A1215" s="235">
        <v>116973</v>
      </c>
      <c r="B1215" s="236" t="s">
        <v>1242</v>
      </c>
      <c r="C1215" s="236" t="s">
        <v>5</v>
      </c>
      <c r="D1215" s="126">
        <v>2</v>
      </c>
      <c r="E1215" s="236" t="s">
        <v>1234</v>
      </c>
    </row>
    <row r="1216" spans="1:5" x14ac:dyDescent="0.2">
      <c r="A1216" s="235">
        <v>116974</v>
      </c>
      <c r="B1216" s="236" t="s">
        <v>1243</v>
      </c>
      <c r="C1216" s="236" t="s">
        <v>5</v>
      </c>
      <c r="D1216" s="126">
        <v>0</v>
      </c>
      <c r="E1216" s="236" t="s">
        <v>1234</v>
      </c>
    </row>
    <row r="1217" spans="1:5" x14ac:dyDescent="0.2">
      <c r="A1217" s="235">
        <v>116976</v>
      </c>
      <c r="B1217" s="236" t="s">
        <v>1244</v>
      </c>
      <c r="C1217" s="236" t="s">
        <v>5</v>
      </c>
      <c r="D1217" s="126">
        <v>0</v>
      </c>
      <c r="E1217" s="236" t="s">
        <v>1234</v>
      </c>
    </row>
    <row r="1218" spans="1:5" x14ac:dyDescent="0.2">
      <c r="A1218" s="235">
        <v>116977</v>
      </c>
      <c r="B1218" s="236" t="s">
        <v>1245</v>
      </c>
      <c r="C1218" s="236" t="s">
        <v>5</v>
      </c>
      <c r="D1218" s="126">
        <v>0</v>
      </c>
      <c r="E1218" s="236" t="s">
        <v>1234</v>
      </c>
    </row>
    <row r="1219" spans="1:5" x14ac:dyDescent="0.2">
      <c r="A1219" s="235">
        <v>116978</v>
      </c>
      <c r="B1219" s="236" t="s">
        <v>1246</v>
      </c>
      <c r="C1219" s="236" t="s">
        <v>5</v>
      </c>
      <c r="D1219" s="126">
        <v>2</v>
      </c>
      <c r="E1219" s="236" t="s">
        <v>1234</v>
      </c>
    </row>
    <row r="1220" spans="1:5" x14ac:dyDescent="0.2">
      <c r="A1220" s="235">
        <v>116980</v>
      </c>
      <c r="B1220" s="236" t="s">
        <v>1247</v>
      </c>
      <c r="C1220" s="236" t="s">
        <v>15</v>
      </c>
      <c r="D1220" s="126">
        <v>0</v>
      </c>
      <c r="E1220" s="236" t="s">
        <v>1234</v>
      </c>
    </row>
    <row r="1221" spans="1:5" x14ac:dyDescent="0.2">
      <c r="A1221" s="235">
        <v>116981</v>
      </c>
      <c r="B1221" s="236" t="s">
        <v>1248</v>
      </c>
      <c r="C1221" s="236" t="s">
        <v>5</v>
      </c>
      <c r="D1221" s="126">
        <v>0</v>
      </c>
      <c r="E1221" s="236" t="s">
        <v>1234</v>
      </c>
    </row>
    <row r="1222" spans="1:5" x14ac:dyDescent="0.2">
      <c r="A1222" s="235">
        <v>116983</v>
      </c>
      <c r="B1222" s="236" t="s">
        <v>1249</v>
      </c>
      <c r="C1222" s="236" t="s">
        <v>5</v>
      </c>
      <c r="D1222" s="126">
        <v>0</v>
      </c>
      <c r="E1222" s="236" t="s">
        <v>1234</v>
      </c>
    </row>
    <row r="1223" spans="1:5" x14ac:dyDescent="0.2">
      <c r="A1223" s="235">
        <v>116985</v>
      </c>
      <c r="B1223" s="236" t="s">
        <v>1250</v>
      </c>
      <c r="C1223" s="236" t="s">
        <v>5</v>
      </c>
      <c r="D1223" s="126">
        <v>0</v>
      </c>
      <c r="E1223" s="236" t="s">
        <v>1234</v>
      </c>
    </row>
    <row r="1224" spans="1:5" x14ac:dyDescent="0.2">
      <c r="A1224" s="235">
        <v>116988</v>
      </c>
      <c r="B1224" s="236" t="s">
        <v>1251</v>
      </c>
      <c r="C1224" s="236" t="s">
        <v>5</v>
      </c>
      <c r="D1224" s="126">
        <v>3</v>
      </c>
      <c r="E1224" s="236" t="s">
        <v>1234</v>
      </c>
    </row>
    <row r="1225" spans="1:5" x14ac:dyDescent="0.2">
      <c r="A1225" s="235">
        <v>117234</v>
      </c>
      <c r="B1225" s="236" t="s">
        <v>1257</v>
      </c>
      <c r="C1225" s="236" t="s">
        <v>5</v>
      </c>
      <c r="D1225" s="126">
        <v>0</v>
      </c>
      <c r="E1225" s="236" t="s">
        <v>1234</v>
      </c>
    </row>
    <row r="1226" spans="1:5" x14ac:dyDescent="0.2">
      <c r="A1226" s="235">
        <v>117235</v>
      </c>
      <c r="B1226" s="236" t="s">
        <v>1258</v>
      </c>
      <c r="C1226" s="236" t="s">
        <v>5</v>
      </c>
      <c r="D1226" s="126">
        <v>1</v>
      </c>
      <c r="E1226" s="236" t="s">
        <v>1234</v>
      </c>
    </row>
    <row r="1227" spans="1:5" x14ac:dyDescent="0.2">
      <c r="A1227" s="235">
        <v>117236</v>
      </c>
      <c r="B1227" s="236" t="s">
        <v>1259</v>
      </c>
      <c r="C1227" s="236" t="s">
        <v>2</v>
      </c>
      <c r="D1227" s="126">
        <v>0</v>
      </c>
      <c r="E1227" s="236" t="s">
        <v>1234</v>
      </c>
    </row>
    <row r="1228" spans="1:5" x14ac:dyDescent="0.2">
      <c r="A1228" s="235">
        <v>117238</v>
      </c>
      <c r="B1228" s="236" t="s">
        <v>1260</v>
      </c>
      <c r="C1228" s="236" t="s">
        <v>5</v>
      </c>
      <c r="D1228" s="126">
        <v>0</v>
      </c>
      <c r="E1228" s="236" t="s">
        <v>1234</v>
      </c>
    </row>
    <row r="1229" spans="1:5" x14ac:dyDescent="0.2">
      <c r="A1229" s="235">
        <v>117239</v>
      </c>
      <c r="B1229" s="236" t="s">
        <v>1261</v>
      </c>
      <c r="C1229" s="236" t="s">
        <v>5</v>
      </c>
      <c r="D1229" s="126">
        <v>0</v>
      </c>
      <c r="E1229" s="236" t="s">
        <v>1234</v>
      </c>
    </row>
    <row r="1230" spans="1:5" x14ac:dyDescent="0.2">
      <c r="A1230" s="235">
        <v>117240</v>
      </c>
      <c r="B1230" s="236" t="s">
        <v>1262</v>
      </c>
      <c r="C1230" s="236" t="s">
        <v>5</v>
      </c>
      <c r="D1230" s="126">
        <v>0</v>
      </c>
      <c r="E1230" s="236" t="s">
        <v>1234</v>
      </c>
    </row>
    <row r="1231" spans="1:5" x14ac:dyDescent="0.2">
      <c r="A1231" s="235">
        <v>117241</v>
      </c>
      <c r="B1231" s="236" t="s">
        <v>1263</v>
      </c>
      <c r="C1231" s="236" t="s">
        <v>5</v>
      </c>
      <c r="D1231" s="126">
        <v>0</v>
      </c>
      <c r="E1231" s="236" t="s">
        <v>1234</v>
      </c>
    </row>
    <row r="1232" spans="1:5" x14ac:dyDescent="0.2">
      <c r="A1232" s="235">
        <v>117244</v>
      </c>
      <c r="B1232" s="236" t="s">
        <v>1264</v>
      </c>
      <c r="C1232" s="236" t="s">
        <v>5</v>
      </c>
      <c r="D1232" s="126">
        <v>0</v>
      </c>
      <c r="E1232" s="236" t="s">
        <v>1234</v>
      </c>
    </row>
    <row r="1233" spans="1:5" x14ac:dyDescent="0.2">
      <c r="A1233" s="235">
        <v>117245</v>
      </c>
      <c r="B1233" s="236" t="s">
        <v>1080</v>
      </c>
      <c r="C1233" s="236" t="s">
        <v>5</v>
      </c>
      <c r="D1233" s="126">
        <v>0</v>
      </c>
      <c r="E1233" s="236" t="s">
        <v>1234</v>
      </c>
    </row>
    <row r="1234" spans="1:5" x14ac:dyDescent="0.2">
      <c r="A1234" s="235">
        <v>117247</v>
      </c>
      <c r="B1234" s="236" t="s">
        <v>1265</v>
      </c>
      <c r="C1234" s="236" t="s">
        <v>182</v>
      </c>
      <c r="D1234" s="126">
        <v>0</v>
      </c>
      <c r="E1234" s="236" t="s">
        <v>1235</v>
      </c>
    </row>
    <row r="1235" spans="1:5" x14ac:dyDescent="0.2">
      <c r="A1235" s="235">
        <v>117290</v>
      </c>
      <c r="B1235" s="236" t="s">
        <v>1266</v>
      </c>
      <c r="C1235" s="236" t="s">
        <v>932</v>
      </c>
      <c r="D1235" s="126">
        <v>0</v>
      </c>
      <c r="E1235" s="236" t="s">
        <v>1234</v>
      </c>
    </row>
    <row r="1236" spans="1:5" x14ac:dyDescent="0.2">
      <c r="A1236" s="235">
        <v>117358</v>
      </c>
      <c r="B1236" s="236" t="s">
        <v>1268</v>
      </c>
      <c r="C1236" s="236" t="s">
        <v>15</v>
      </c>
      <c r="D1236" s="126">
        <v>0</v>
      </c>
      <c r="E1236" s="236" t="s">
        <v>1234</v>
      </c>
    </row>
    <row r="1237" spans="1:5" x14ac:dyDescent="0.2">
      <c r="A1237" s="235">
        <v>117359</v>
      </c>
      <c r="B1237" s="236" t="s">
        <v>1269</v>
      </c>
      <c r="C1237" s="236" t="s">
        <v>15</v>
      </c>
      <c r="D1237" s="126">
        <v>0</v>
      </c>
      <c r="E1237" s="236" t="s">
        <v>1234</v>
      </c>
    </row>
    <row r="1238" spans="1:5" x14ac:dyDescent="0.2">
      <c r="A1238" s="235">
        <v>117362</v>
      </c>
      <c r="B1238" s="236" t="s">
        <v>1270</v>
      </c>
      <c r="C1238" s="236" t="s">
        <v>282</v>
      </c>
      <c r="D1238" s="126">
        <v>0</v>
      </c>
      <c r="E1238" s="236" t="s">
        <v>1234</v>
      </c>
    </row>
    <row r="1239" spans="1:5" x14ac:dyDescent="0.2">
      <c r="A1239" s="235">
        <v>117398</v>
      </c>
      <c r="B1239" s="236" t="s">
        <v>1273</v>
      </c>
      <c r="C1239" s="236" t="s">
        <v>1271</v>
      </c>
      <c r="D1239" s="126">
        <v>0</v>
      </c>
      <c r="E1239" s="236" t="s">
        <v>1234</v>
      </c>
    </row>
    <row r="1240" spans="1:5" x14ac:dyDescent="0.2">
      <c r="A1240" s="235">
        <v>117406</v>
      </c>
      <c r="B1240" s="236" t="s">
        <v>1274</v>
      </c>
      <c r="C1240" s="236" t="s">
        <v>2</v>
      </c>
      <c r="D1240" s="126">
        <v>0</v>
      </c>
      <c r="E1240" s="236" t="s">
        <v>1234</v>
      </c>
    </row>
    <row r="1241" spans="1:5" x14ac:dyDescent="0.2">
      <c r="A1241" s="235">
        <v>117407</v>
      </c>
      <c r="B1241" s="236" t="s">
        <v>1275</v>
      </c>
      <c r="C1241" s="236" t="s">
        <v>2</v>
      </c>
      <c r="D1241" s="126">
        <v>0</v>
      </c>
      <c r="E1241" s="236" t="s">
        <v>1234</v>
      </c>
    </row>
    <row r="1242" spans="1:5" x14ac:dyDescent="0.2">
      <c r="A1242" s="235">
        <v>117408</v>
      </c>
      <c r="B1242" s="236" t="s">
        <v>1276</v>
      </c>
      <c r="C1242" s="236" t="s">
        <v>2</v>
      </c>
      <c r="D1242" s="126">
        <v>0</v>
      </c>
      <c r="E1242" s="236" t="s">
        <v>1234</v>
      </c>
    </row>
    <row r="1243" spans="1:5" x14ac:dyDescent="0.2">
      <c r="A1243" s="235">
        <v>117409</v>
      </c>
      <c r="B1243" s="236" t="s">
        <v>1277</v>
      </c>
      <c r="C1243" s="236" t="s">
        <v>2</v>
      </c>
      <c r="D1243" s="126">
        <v>0</v>
      </c>
      <c r="E1243" s="236" t="s">
        <v>1234</v>
      </c>
    </row>
    <row r="1244" spans="1:5" x14ac:dyDescent="0.2">
      <c r="A1244" s="235">
        <v>117410</v>
      </c>
      <c r="B1244" s="236" t="s">
        <v>1278</v>
      </c>
      <c r="C1244" s="236" t="s">
        <v>205</v>
      </c>
      <c r="D1244" s="126">
        <v>0</v>
      </c>
      <c r="E1244" s="236" t="s">
        <v>1234</v>
      </c>
    </row>
    <row r="1245" spans="1:5" x14ac:dyDescent="0.2">
      <c r="A1245" s="235">
        <v>117412</v>
      </c>
      <c r="B1245" s="236" t="s">
        <v>1279</v>
      </c>
      <c r="C1245" s="236" t="s">
        <v>2</v>
      </c>
      <c r="D1245" s="126">
        <v>0</v>
      </c>
      <c r="E1245" s="236" t="s">
        <v>1234</v>
      </c>
    </row>
    <row r="1246" spans="1:5" x14ac:dyDescent="0.2">
      <c r="A1246" s="235">
        <v>117414</v>
      </c>
      <c r="B1246" s="236" t="s">
        <v>1280</v>
      </c>
      <c r="C1246" s="236" t="s">
        <v>2</v>
      </c>
      <c r="D1246" s="126">
        <v>0</v>
      </c>
      <c r="E1246" s="236" t="s">
        <v>1234</v>
      </c>
    </row>
    <row r="1247" spans="1:5" x14ac:dyDescent="0.2">
      <c r="A1247" s="235">
        <v>118049</v>
      </c>
      <c r="B1247" s="236" t="s">
        <v>1398</v>
      </c>
      <c r="C1247" s="236" t="s">
        <v>5</v>
      </c>
      <c r="D1247" s="126">
        <v>0</v>
      </c>
      <c r="E1247" s="236" t="s">
        <v>1234</v>
      </c>
    </row>
    <row r="1248" spans="1:5" x14ac:dyDescent="0.2">
      <c r="A1248" s="235">
        <v>118050</v>
      </c>
      <c r="B1248" s="236" t="s">
        <v>1412</v>
      </c>
      <c r="C1248" s="236" t="s">
        <v>5</v>
      </c>
      <c r="D1248" s="126">
        <v>0</v>
      </c>
      <c r="E1248" s="236" t="s">
        <v>1234</v>
      </c>
    </row>
    <row r="1249" spans="1:5" x14ac:dyDescent="0.2">
      <c r="A1249" s="235">
        <v>118051</v>
      </c>
      <c r="B1249" s="236" t="s">
        <v>1405</v>
      </c>
      <c r="C1249" s="236" t="s">
        <v>5</v>
      </c>
      <c r="D1249" s="126">
        <v>0</v>
      </c>
      <c r="E1249" s="236" t="s">
        <v>1234</v>
      </c>
    </row>
    <row r="1250" spans="1:5" x14ac:dyDescent="0.2">
      <c r="A1250" s="235">
        <v>118053</v>
      </c>
      <c r="B1250" s="236" t="s">
        <v>1417</v>
      </c>
      <c r="C1250" s="236" t="s">
        <v>5</v>
      </c>
      <c r="D1250" s="126">
        <v>0</v>
      </c>
      <c r="E1250" s="236" t="s">
        <v>1234</v>
      </c>
    </row>
    <row r="1251" spans="1:5" x14ac:dyDescent="0.2">
      <c r="A1251" s="235">
        <v>118054</v>
      </c>
      <c r="B1251" s="236" t="s">
        <v>1413</v>
      </c>
      <c r="C1251" s="236" t="s">
        <v>5</v>
      </c>
      <c r="D1251" s="126">
        <v>0</v>
      </c>
      <c r="E1251" s="236" t="s">
        <v>1234</v>
      </c>
    </row>
    <row r="1252" spans="1:5" x14ac:dyDescent="0.2">
      <c r="A1252" s="235">
        <v>118055</v>
      </c>
      <c r="B1252" s="236" t="s">
        <v>1414</v>
      </c>
      <c r="C1252" s="236" t="s">
        <v>5</v>
      </c>
      <c r="D1252" s="126">
        <v>1</v>
      </c>
      <c r="E1252" s="236" t="s">
        <v>1235</v>
      </c>
    </row>
    <row r="1253" spans="1:5" x14ac:dyDescent="0.2">
      <c r="A1253" s="235">
        <v>118056</v>
      </c>
      <c r="B1253" s="236" t="s">
        <v>1401</v>
      </c>
      <c r="C1253" s="236" t="s">
        <v>5</v>
      </c>
      <c r="D1253" s="126">
        <v>0</v>
      </c>
      <c r="E1253" s="236" t="s">
        <v>1234</v>
      </c>
    </row>
    <row r="1254" spans="1:5" x14ac:dyDescent="0.2">
      <c r="A1254" s="235">
        <v>118057</v>
      </c>
      <c r="B1254" s="236" t="s">
        <v>1406</v>
      </c>
      <c r="C1254" s="236" t="s">
        <v>5</v>
      </c>
      <c r="D1254" s="126">
        <v>1</v>
      </c>
      <c r="E1254" s="236" t="s">
        <v>1234</v>
      </c>
    </row>
    <row r="1255" spans="1:5" x14ac:dyDescent="0.2">
      <c r="A1255" s="235">
        <v>118058</v>
      </c>
      <c r="B1255" s="236" t="s">
        <v>1408</v>
      </c>
      <c r="C1255" s="236" t="s">
        <v>5</v>
      </c>
      <c r="D1255" s="126">
        <v>0</v>
      </c>
      <c r="E1255" s="236" t="s">
        <v>1234</v>
      </c>
    </row>
    <row r="1256" spans="1:5" x14ac:dyDescent="0.2">
      <c r="A1256" s="235">
        <v>118059</v>
      </c>
      <c r="B1256" s="236" t="s">
        <v>1407</v>
      </c>
      <c r="C1256" s="236" t="s">
        <v>5</v>
      </c>
      <c r="D1256" s="126">
        <v>1</v>
      </c>
      <c r="E1256" s="236" t="s">
        <v>1234</v>
      </c>
    </row>
    <row r="1257" spans="1:5" x14ac:dyDescent="0.2">
      <c r="A1257" s="235">
        <v>118060</v>
      </c>
      <c r="B1257" s="236" t="s">
        <v>1410</v>
      </c>
      <c r="C1257" s="236" t="s">
        <v>5</v>
      </c>
      <c r="D1257" s="126">
        <v>1</v>
      </c>
      <c r="E1257" s="236" t="s">
        <v>1235</v>
      </c>
    </row>
    <row r="1258" spans="1:5" x14ac:dyDescent="0.2">
      <c r="A1258" s="235">
        <v>118633</v>
      </c>
      <c r="B1258" s="236" t="s">
        <v>1400</v>
      </c>
      <c r="C1258" s="236" t="s">
        <v>5</v>
      </c>
      <c r="D1258" s="126">
        <v>0</v>
      </c>
      <c r="E1258" s="236" t="s">
        <v>1234</v>
      </c>
    </row>
    <row r="1259" spans="1:5" x14ac:dyDescent="0.2">
      <c r="A1259" s="235">
        <v>118635</v>
      </c>
      <c r="B1259" s="236" t="s">
        <v>1416</v>
      </c>
      <c r="C1259" s="236" t="s">
        <v>5</v>
      </c>
      <c r="D1259" s="126">
        <v>0</v>
      </c>
      <c r="E1259" s="236" t="s">
        <v>1234</v>
      </c>
    </row>
    <row r="1260" spans="1:5" x14ac:dyDescent="0.2">
      <c r="A1260" s="235">
        <v>118641</v>
      </c>
      <c r="B1260" s="236" t="s">
        <v>1411</v>
      </c>
      <c r="C1260" s="236" t="s">
        <v>5</v>
      </c>
      <c r="D1260" s="126">
        <v>0</v>
      </c>
      <c r="E1260" s="236" t="s">
        <v>1234</v>
      </c>
    </row>
    <row r="1261" spans="1:5" x14ac:dyDescent="0.2">
      <c r="A1261" s="235">
        <v>118642</v>
      </c>
      <c r="B1261" s="236" t="s">
        <v>1415</v>
      </c>
      <c r="C1261" s="236" t="s">
        <v>941</v>
      </c>
      <c r="D1261" s="126">
        <v>0</v>
      </c>
      <c r="E1261" s="236" t="s">
        <v>1234</v>
      </c>
    </row>
    <row r="1262" spans="1:5" x14ac:dyDescent="0.2">
      <c r="A1262" s="235">
        <v>118646</v>
      </c>
      <c r="B1262" s="236" t="s">
        <v>1399</v>
      </c>
      <c r="C1262" s="236" t="s">
        <v>5</v>
      </c>
      <c r="D1262" s="126">
        <v>1</v>
      </c>
      <c r="E1262" s="236" t="s">
        <v>1234</v>
      </c>
    </row>
    <row r="1263" spans="1:5" x14ac:dyDescent="0.2">
      <c r="A1263" s="235">
        <v>118649</v>
      </c>
      <c r="B1263" s="236" t="s">
        <v>1409</v>
      </c>
      <c r="C1263" s="236" t="s">
        <v>5</v>
      </c>
      <c r="D1263" s="126">
        <v>0</v>
      </c>
      <c r="E1263" s="236" t="s">
        <v>1234</v>
      </c>
    </row>
    <row r="1264" spans="1:5" x14ac:dyDescent="0.2">
      <c r="A1264" s="235">
        <v>118650</v>
      </c>
      <c r="B1264" s="236" t="s">
        <v>1402</v>
      </c>
      <c r="C1264" s="236" t="s">
        <v>5</v>
      </c>
      <c r="D1264" s="126">
        <v>0</v>
      </c>
      <c r="E1264" s="236" t="s">
        <v>1234</v>
      </c>
    </row>
    <row r="1265" spans="1:5" x14ac:dyDescent="0.2">
      <c r="A1265" s="235">
        <v>118993</v>
      </c>
      <c r="B1265" s="236" t="s">
        <v>1433</v>
      </c>
      <c r="C1265" s="236" t="s">
        <v>936</v>
      </c>
      <c r="D1265" s="126">
        <v>0</v>
      </c>
      <c r="E1265" s="236" t="s">
        <v>1234</v>
      </c>
    </row>
    <row r="1266" spans="1:5" x14ac:dyDescent="0.2">
      <c r="A1266" s="235">
        <v>118994</v>
      </c>
      <c r="B1266" s="236" t="s">
        <v>1435</v>
      </c>
      <c r="C1266" s="236" t="s">
        <v>15</v>
      </c>
      <c r="D1266" s="126">
        <v>0</v>
      </c>
      <c r="E1266" s="236" t="s">
        <v>1234</v>
      </c>
    </row>
    <row r="1267" spans="1:5" x14ac:dyDescent="0.2">
      <c r="A1267" s="235">
        <v>118995</v>
      </c>
      <c r="B1267" s="236" t="s">
        <v>1434</v>
      </c>
      <c r="C1267" s="236" t="s">
        <v>15</v>
      </c>
      <c r="D1267" s="126">
        <v>0</v>
      </c>
      <c r="E1267" s="236" t="s">
        <v>1234</v>
      </c>
    </row>
    <row r="1268" spans="1:5" x14ac:dyDescent="0.2">
      <c r="A1268" s="235">
        <v>119107</v>
      </c>
      <c r="B1268" s="236" t="s">
        <v>1447</v>
      </c>
      <c r="C1268" s="236" t="s">
        <v>5</v>
      </c>
      <c r="D1268" s="126">
        <v>0</v>
      </c>
      <c r="E1268" s="236" t="s">
        <v>1234</v>
      </c>
    </row>
    <row r="1269" spans="1:5" x14ac:dyDescent="0.2">
      <c r="A1269" s="235">
        <v>119109</v>
      </c>
      <c r="B1269" s="236" t="s">
        <v>1440</v>
      </c>
      <c r="C1269" s="236" t="s">
        <v>5</v>
      </c>
      <c r="D1269" s="126">
        <v>0</v>
      </c>
      <c r="E1269" s="236" t="s">
        <v>1234</v>
      </c>
    </row>
    <row r="1270" spans="1:5" x14ac:dyDescent="0.2">
      <c r="A1270" s="235">
        <v>119110</v>
      </c>
      <c r="B1270" s="236" t="s">
        <v>1453</v>
      </c>
      <c r="C1270" s="236" t="s">
        <v>5</v>
      </c>
      <c r="D1270" s="126">
        <v>0</v>
      </c>
      <c r="E1270" s="236" t="s">
        <v>1235</v>
      </c>
    </row>
    <row r="1271" spans="1:5" x14ac:dyDescent="0.2">
      <c r="A1271" s="235">
        <v>119111</v>
      </c>
      <c r="B1271" s="236" t="s">
        <v>1442</v>
      </c>
      <c r="C1271" s="236" t="s">
        <v>146</v>
      </c>
      <c r="D1271" s="126">
        <v>0</v>
      </c>
      <c r="E1271" s="236" t="s">
        <v>1234</v>
      </c>
    </row>
    <row r="1272" spans="1:5" x14ac:dyDescent="0.2">
      <c r="A1272" s="235">
        <v>119112</v>
      </c>
      <c r="B1272" s="236" t="s">
        <v>1443</v>
      </c>
      <c r="C1272" s="236" t="s">
        <v>5</v>
      </c>
      <c r="D1272" s="126">
        <v>0</v>
      </c>
      <c r="E1272" s="236" t="s">
        <v>1234</v>
      </c>
    </row>
    <row r="1273" spans="1:5" x14ac:dyDescent="0.2">
      <c r="A1273" s="235">
        <v>119113</v>
      </c>
      <c r="B1273" s="236" t="s">
        <v>1441</v>
      </c>
      <c r="C1273" s="236" t="s">
        <v>5</v>
      </c>
      <c r="D1273" s="126">
        <v>0</v>
      </c>
      <c r="E1273" s="236" t="s">
        <v>1234</v>
      </c>
    </row>
    <row r="1274" spans="1:5" x14ac:dyDescent="0.2">
      <c r="A1274" s="235">
        <v>119114</v>
      </c>
      <c r="B1274" s="236" t="s">
        <v>1444</v>
      </c>
      <c r="C1274" s="236" t="s">
        <v>2</v>
      </c>
      <c r="D1274" s="126">
        <v>0</v>
      </c>
      <c r="E1274" s="236" t="s">
        <v>1235</v>
      </c>
    </row>
    <row r="1275" spans="1:5" x14ac:dyDescent="0.2">
      <c r="A1275" s="235">
        <v>119117</v>
      </c>
      <c r="B1275" s="236" t="s">
        <v>1450</v>
      </c>
      <c r="C1275" s="236" t="s">
        <v>5</v>
      </c>
      <c r="D1275" s="126">
        <v>0</v>
      </c>
      <c r="E1275" s="236" t="s">
        <v>1234</v>
      </c>
    </row>
    <row r="1276" spans="1:5" x14ac:dyDescent="0.2">
      <c r="A1276" s="235">
        <v>119118</v>
      </c>
      <c r="B1276" s="236" t="s">
        <v>1451</v>
      </c>
      <c r="C1276" s="236" t="s">
        <v>5</v>
      </c>
      <c r="D1276" s="126">
        <v>0</v>
      </c>
      <c r="E1276" s="236" t="s">
        <v>1235</v>
      </c>
    </row>
    <row r="1277" spans="1:5" x14ac:dyDescent="0.2">
      <c r="A1277" s="235">
        <v>119124</v>
      </c>
      <c r="B1277" s="236" t="s">
        <v>1445</v>
      </c>
      <c r="C1277" s="236" t="s">
        <v>15</v>
      </c>
      <c r="D1277" s="126">
        <v>0</v>
      </c>
      <c r="E1277" s="236" t="s">
        <v>1234</v>
      </c>
    </row>
    <row r="1278" spans="1:5" x14ac:dyDescent="0.2">
      <c r="A1278" s="235">
        <v>119125</v>
      </c>
      <c r="B1278" s="236" t="s">
        <v>1448</v>
      </c>
      <c r="C1278" s="236" t="s">
        <v>15</v>
      </c>
      <c r="D1278" s="126">
        <v>0</v>
      </c>
      <c r="E1278" s="236" t="s">
        <v>1234</v>
      </c>
    </row>
    <row r="1279" spans="1:5" x14ac:dyDescent="0.2">
      <c r="A1279" s="235">
        <v>119126</v>
      </c>
      <c r="B1279" s="236" t="s">
        <v>1446</v>
      </c>
      <c r="C1279" s="236" t="s">
        <v>15</v>
      </c>
      <c r="D1279" s="126">
        <v>0</v>
      </c>
      <c r="E1279" s="236" t="s">
        <v>1234</v>
      </c>
    </row>
    <row r="1280" spans="1:5" x14ac:dyDescent="0.2">
      <c r="A1280" s="235">
        <v>119241</v>
      </c>
      <c r="B1280" s="236" t="s">
        <v>1458</v>
      </c>
      <c r="C1280" s="236" t="s">
        <v>1457</v>
      </c>
      <c r="D1280" s="126">
        <v>0</v>
      </c>
      <c r="E1280" s="236" t="s">
        <v>1234</v>
      </c>
    </row>
    <row r="1281" spans="1:5" x14ac:dyDescent="0.2">
      <c r="A1281" s="235">
        <v>119242</v>
      </c>
      <c r="B1281" s="236" t="s">
        <v>1456</v>
      </c>
      <c r="C1281" s="236" t="s">
        <v>1457</v>
      </c>
      <c r="D1281" s="126">
        <v>0</v>
      </c>
      <c r="E1281" s="236" t="s">
        <v>1234</v>
      </c>
    </row>
    <row r="1282" spans="1:5" x14ac:dyDescent="0.2">
      <c r="A1282" s="235">
        <v>119342</v>
      </c>
      <c r="B1282" s="236" t="s">
        <v>1459</v>
      </c>
      <c r="C1282" s="236" t="s">
        <v>989</v>
      </c>
      <c r="D1282" s="126">
        <v>0</v>
      </c>
      <c r="E1282" s="236" t="s">
        <v>1234</v>
      </c>
    </row>
    <row r="1283" spans="1:5" x14ac:dyDescent="0.2">
      <c r="A1283" s="235">
        <v>119632</v>
      </c>
      <c r="B1283" s="236" t="s">
        <v>1471</v>
      </c>
      <c r="C1283" s="236" t="s">
        <v>15</v>
      </c>
      <c r="D1283" s="126">
        <v>0</v>
      </c>
      <c r="E1283" s="236" t="s">
        <v>1234</v>
      </c>
    </row>
    <row r="1284" spans="1:5" x14ac:dyDescent="0.2">
      <c r="A1284" s="235">
        <v>119641</v>
      </c>
      <c r="B1284" s="236" t="s">
        <v>1473</v>
      </c>
      <c r="C1284" s="236" t="s">
        <v>5</v>
      </c>
      <c r="D1284" s="126">
        <v>0</v>
      </c>
      <c r="E1284" s="236" t="s">
        <v>1234</v>
      </c>
    </row>
    <row r="1285" spans="1:5" x14ac:dyDescent="0.2">
      <c r="A1285" s="235">
        <v>119642</v>
      </c>
      <c r="B1285" s="236" t="s">
        <v>1469</v>
      </c>
      <c r="C1285" s="236" t="s">
        <v>5</v>
      </c>
      <c r="D1285" s="126">
        <v>0</v>
      </c>
      <c r="E1285" s="236" t="s">
        <v>1234</v>
      </c>
    </row>
    <row r="1286" spans="1:5" x14ac:dyDescent="0.2">
      <c r="A1286" s="235">
        <v>119643</v>
      </c>
      <c r="B1286" s="236" t="s">
        <v>1476</v>
      </c>
      <c r="C1286" s="236" t="s">
        <v>5</v>
      </c>
      <c r="D1286" s="126">
        <v>0</v>
      </c>
      <c r="E1286" s="236" t="s">
        <v>1234</v>
      </c>
    </row>
    <row r="1287" spans="1:5" x14ac:dyDescent="0.2">
      <c r="A1287" s="235">
        <v>119644</v>
      </c>
      <c r="B1287" s="236" t="s">
        <v>1462</v>
      </c>
      <c r="C1287" s="236" t="s">
        <v>5</v>
      </c>
      <c r="D1287" s="126">
        <v>0</v>
      </c>
      <c r="E1287" s="236" t="s">
        <v>1234</v>
      </c>
    </row>
    <row r="1288" spans="1:5" x14ac:dyDescent="0.2">
      <c r="A1288" s="235">
        <v>119645</v>
      </c>
      <c r="B1288" s="236" t="s">
        <v>1465</v>
      </c>
      <c r="C1288" s="236" t="s">
        <v>5</v>
      </c>
      <c r="D1288" s="126">
        <v>0</v>
      </c>
      <c r="E1288" s="236" t="s">
        <v>1234</v>
      </c>
    </row>
    <row r="1289" spans="1:5" x14ac:dyDescent="0.2">
      <c r="A1289" s="235">
        <v>119646</v>
      </c>
      <c r="B1289" s="236" t="s">
        <v>1478</v>
      </c>
      <c r="C1289" s="236" t="s">
        <v>5</v>
      </c>
      <c r="D1289" s="126">
        <v>0</v>
      </c>
      <c r="E1289" s="236" t="s">
        <v>1234</v>
      </c>
    </row>
    <row r="1290" spans="1:5" x14ac:dyDescent="0.2">
      <c r="A1290" s="235">
        <v>119647</v>
      </c>
      <c r="B1290" s="236" t="s">
        <v>1474</v>
      </c>
      <c r="C1290" s="236" t="s">
        <v>1663</v>
      </c>
      <c r="D1290" s="126">
        <v>0</v>
      </c>
      <c r="E1290" s="236" t="s">
        <v>1234</v>
      </c>
    </row>
    <row r="1291" spans="1:5" x14ac:dyDescent="0.2">
      <c r="A1291" s="235">
        <v>119649</v>
      </c>
      <c r="B1291" s="236" t="s">
        <v>1467</v>
      </c>
      <c r="C1291" s="236" t="s">
        <v>5</v>
      </c>
      <c r="D1291" s="126">
        <v>1</v>
      </c>
      <c r="E1291" s="236" t="s">
        <v>1234</v>
      </c>
    </row>
    <row r="1292" spans="1:5" x14ac:dyDescent="0.2">
      <c r="A1292" s="235">
        <v>119652</v>
      </c>
      <c r="B1292" s="236" t="s">
        <v>1468</v>
      </c>
      <c r="C1292" s="236" t="s">
        <v>2</v>
      </c>
      <c r="D1292" s="126">
        <v>0</v>
      </c>
      <c r="E1292" s="236" t="s">
        <v>1234</v>
      </c>
    </row>
    <row r="1293" spans="1:5" x14ac:dyDescent="0.2">
      <c r="A1293" s="235">
        <v>119662</v>
      </c>
      <c r="B1293" s="236" t="s">
        <v>1466</v>
      </c>
      <c r="C1293" s="236" t="s">
        <v>15</v>
      </c>
      <c r="D1293" s="126">
        <v>0</v>
      </c>
      <c r="E1293" s="236" t="s">
        <v>1234</v>
      </c>
    </row>
    <row r="1294" spans="1:5" x14ac:dyDescent="0.2">
      <c r="A1294" s="235">
        <v>119665</v>
      </c>
      <c r="B1294" s="236" t="s">
        <v>1470</v>
      </c>
      <c r="C1294" s="236" t="s">
        <v>2</v>
      </c>
      <c r="D1294" s="126">
        <v>0</v>
      </c>
      <c r="E1294" s="236" t="s">
        <v>1234</v>
      </c>
    </row>
    <row r="1295" spans="1:5" x14ac:dyDescent="0.2">
      <c r="A1295" s="235">
        <v>119672</v>
      </c>
      <c r="B1295" s="236" t="s">
        <v>1477</v>
      </c>
      <c r="C1295" s="236" t="s">
        <v>2</v>
      </c>
      <c r="D1295" s="126">
        <v>0</v>
      </c>
      <c r="E1295" s="236" t="s">
        <v>1234</v>
      </c>
    </row>
    <row r="1296" spans="1:5" x14ac:dyDescent="0.2">
      <c r="A1296" s="235">
        <v>119675</v>
      </c>
      <c r="B1296" s="236" t="s">
        <v>1479</v>
      </c>
      <c r="C1296" s="236" t="s">
        <v>5</v>
      </c>
      <c r="D1296" s="126">
        <v>0</v>
      </c>
      <c r="E1296" s="236" t="s">
        <v>1234</v>
      </c>
    </row>
    <row r="1297" spans="1:5" x14ac:dyDescent="0.2">
      <c r="A1297" s="235">
        <v>119678</v>
      </c>
      <c r="B1297" s="236" t="s">
        <v>1482</v>
      </c>
      <c r="C1297" s="236" t="s">
        <v>5</v>
      </c>
      <c r="D1297" s="126">
        <v>0</v>
      </c>
      <c r="E1297" s="236" t="s">
        <v>1234</v>
      </c>
    </row>
    <row r="1298" spans="1:5" x14ac:dyDescent="0.2">
      <c r="A1298" s="235">
        <v>119679</v>
      </c>
      <c r="B1298" s="236" t="s">
        <v>1472</v>
      </c>
      <c r="C1298" s="236" t="s">
        <v>5</v>
      </c>
      <c r="D1298" s="126">
        <v>0</v>
      </c>
      <c r="E1298" s="236" t="s">
        <v>1234</v>
      </c>
    </row>
    <row r="1299" spans="1:5" x14ac:dyDescent="0.2">
      <c r="A1299" s="235">
        <v>119681</v>
      </c>
      <c r="B1299" s="236" t="s">
        <v>1480</v>
      </c>
      <c r="C1299" s="236" t="s">
        <v>5</v>
      </c>
      <c r="D1299" s="126">
        <v>0</v>
      </c>
      <c r="E1299" s="236" t="s">
        <v>1234</v>
      </c>
    </row>
    <row r="1300" spans="1:5" x14ac:dyDescent="0.2">
      <c r="A1300" s="235">
        <v>119742</v>
      </c>
      <c r="B1300" s="236" t="s">
        <v>1166</v>
      </c>
      <c r="C1300" s="236" t="s">
        <v>120</v>
      </c>
      <c r="D1300" s="126">
        <v>0</v>
      </c>
      <c r="E1300" s="236" t="s">
        <v>1234</v>
      </c>
    </row>
    <row r="1301" spans="1:5" x14ac:dyDescent="0.2">
      <c r="A1301" s="235">
        <v>119752</v>
      </c>
      <c r="B1301" s="236" t="s">
        <v>1475</v>
      </c>
      <c r="C1301" s="236" t="s">
        <v>1464</v>
      </c>
      <c r="D1301" s="126">
        <v>0</v>
      </c>
      <c r="E1301" s="236" t="s">
        <v>1234</v>
      </c>
    </row>
    <row r="1302" spans="1:5" x14ac:dyDescent="0.2">
      <c r="A1302" s="235">
        <v>119753</v>
      </c>
      <c r="B1302" s="236" t="s">
        <v>1481</v>
      </c>
      <c r="C1302" s="236" t="s">
        <v>1464</v>
      </c>
      <c r="D1302" s="126">
        <v>0</v>
      </c>
      <c r="E1302" s="236" t="s">
        <v>1234</v>
      </c>
    </row>
    <row r="1303" spans="1:5" x14ac:dyDescent="0.2">
      <c r="A1303" s="235">
        <v>119754</v>
      </c>
      <c r="B1303" s="236" t="s">
        <v>1463</v>
      </c>
      <c r="C1303" s="236" t="s">
        <v>1464</v>
      </c>
      <c r="D1303" s="126">
        <v>0</v>
      </c>
      <c r="E1303" s="236" t="s">
        <v>1234</v>
      </c>
    </row>
    <row r="1304" spans="1:5" x14ac:dyDescent="0.2">
      <c r="A1304" s="235">
        <v>119920</v>
      </c>
      <c r="B1304" s="236" t="s">
        <v>1485</v>
      </c>
      <c r="C1304" s="236" t="s">
        <v>15</v>
      </c>
      <c r="D1304" s="126">
        <v>0</v>
      </c>
      <c r="E1304" s="236" t="s">
        <v>1235</v>
      </c>
    </row>
    <row r="1305" spans="1:5" x14ac:dyDescent="0.2">
      <c r="A1305" s="235">
        <v>119921</v>
      </c>
      <c r="B1305" s="236" t="s">
        <v>1486</v>
      </c>
      <c r="C1305" s="236" t="s">
        <v>5</v>
      </c>
      <c r="D1305" s="126">
        <v>0</v>
      </c>
      <c r="E1305" s="236" t="s">
        <v>1234</v>
      </c>
    </row>
    <row r="1306" spans="1:5" x14ac:dyDescent="0.2">
      <c r="A1306" s="235">
        <v>119922</v>
      </c>
      <c r="B1306" s="236" t="s">
        <v>1487</v>
      </c>
      <c r="C1306" s="236" t="s">
        <v>5</v>
      </c>
      <c r="D1306" s="126">
        <v>1</v>
      </c>
      <c r="E1306" s="236" t="s">
        <v>1235</v>
      </c>
    </row>
    <row r="1307" spans="1:5" x14ac:dyDescent="0.2">
      <c r="A1307" s="235">
        <v>119924</v>
      </c>
      <c r="B1307" s="236" t="s">
        <v>1488</v>
      </c>
      <c r="C1307" s="236" t="s">
        <v>5</v>
      </c>
      <c r="D1307" s="126">
        <v>1</v>
      </c>
      <c r="E1307" s="236" t="s">
        <v>1234</v>
      </c>
    </row>
    <row r="1308" spans="1:5" x14ac:dyDescent="0.2">
      <c r="A1308" s="235">
        <v>119925</v>
      </c>
      <c r="B1308" s="236" t="s">
        <v>1490</v>
      </c>
      <c r="C1308" s="236" t="s">
        <v>5</v>
      </c>
      <c r="D1308" s="126">
        <v>0</v>
      </c>
      <c r="E1308" s="236" t="s">
        <v>1234</v>
      </c>
    </row>
    <row r="1309" spans="1:5" x14ac:dyDescent="0.2">
      <c r="A1309" s="235">
        <v>119928</v>
      </c>
      <c r="B1309" s="236" t="s">
        <v>1491</v>
      </c>
      <c r="C1309" s="236" t="s">
        <v>5</v>
      </c>
      <c r="D1309" s="126">
        <v>0</v>
      </c>
      <c r="E1309" s="236" t="s">
        <v>1235</v>
      </c>
    </row>
    <row r="1310" spans="1:5" x14ac:dyDescent="0.2">
      <c r="A1310" s="235">
        <v>119929</v>
      </c>
      <c r="B1310" s="236" t="s">
        <v>1493</v>
      </c>
      <c r="C1310" s="236" t="s">
        <v>5</v>
      </c>
      <c r="D1310" s="126">
        <v>1</v>
      </c>
      <c r="E1310" s="236" t="s">
        <v>1234</v>
      </c>
    </row>
    <row r="1311" spans="1:5" x14ac:dyDescent="0.2">
      <c r="A1311" s="235">
        <v>119930</v>
      </c>
      <c r="B1311" s="236" t="s">
        <v>1489</v>
      </c>
      <c r="C1311" s="236" t="s">
        <v>5</v>
      </c>
      <c r="D1311" s="126">
        <v>0</v>
      </c>
      <c r="E1311" s="236" t="s">
        <v>1234</v>
      </c>
    </row>
    <row r="1312" spans="1:5" x14ac:dyDescent="0.2">
      <c r="A1312" s="235">
        <v>119933</v>
      </c>
      <c r="B1312" s="236" t="s">
        <v>1492</v>
      </c>
      <c r="C1312" s="236" t="s">
        <v>5</v>
      </c>
      <c r="D1312" s="126">
        <v>0</v>
      </c>
      <c r="E1312" s="236" t="s">
        <v>1234</v>
      </c>
    </row>
    <row r="1313" spans="1:5" x14ac:dyDescent="0.2">
      <c r="A1313" s="235">
        <v>119936</v>
      </c>
      <c r="B1313" s="236" t="s">
        <v>1494</v>
      </c>
      <c r="C1313" s="236" t="s">
        <v>5</v>
      </c>
      <c r="D1313" s="126">
        <v>0</v>
      </c>
      <c r="E1313" s="236" t="s">
        <v>1234</v>
      </c>
    </row>
    <row r="1314" spans="1:5" x14ac:dyDescent="0.2">
      <c r="A1314" s="235">
        <v>120163</v>
      </c>
      <c r="B1314" s="236" t="s">
        <v>1499</v>
      </c>
      <c r="C1314" s="236" t="s">
        <v>39</v>
      </c>
      <c r="D1314" s="126">
        <v>0</v>
      </c>
      <c r="E1314" s="236" t="s">
        <v>1234</v>
      </c>
    </row>
    <row r="1315" spans="1:5" x14ac:dyDescent="0.2">
      <c r="A1315" s="235">
        <v>120172</v>
      </c>
      <c r="B1315" s="236" t="s">
        <v>1501</v>
      </c>
      <c r="C1315" s="236" t="s">
        <v>5</v>
      </c>
      <c r="D1315" s="126">
        <v>0</v>
      </c>
      <c r="E1315" s="236" t="s">
        <v>1234</v>
      </c>
    </row>
    <row r="1316" spans="1:5" x14ac:dyDescent="0.2">
      <c r="A1316" s="235">
        <v>120176</v>
      </c>
      <c r="B1316" s="236" t="s">
        <v>1504</v>
      </c>
      <c r="C1316" s="236" t="s">
        <v>5</v>
      </c>
      <c r="D1316" s="126">
        <v>0</v>
      </c>
      <c r="E1316" s="236" t="s">
        <v>1234</v>
      </c>
    </row>
    <row r="1317" spans="1:5" x14ac:dyDescent="0.2">
      <c r="A1317" s="235">
        <v>120178</v>
      </c>
      <c r="B1317" s="236" t="s">
        <v>1505</v>
      </c>
      <c r="C1317" s="236" t="s">
        <v>5</v>
      </c>
      <c r="D1317" s="126">
        <v>0</v>
      </c>
      <c r="E1317" s="236" t="s">
        <v>1234</v>
      </c>
    </row>
    <row r="1318" spans="1:5" x14ac:dyDescent="0.2">
      <c r="A1318" s="235">
        <v>120180</v>
      </c>
      <c r="B1318" s="236" t="s">
        <v>1503</v>
      </c>
      <c r="C1318" s="236" t="s">
        <v>582</v>
      </c>
      <c r="D1318" s="126">
        <v>0</v>
      </c>
      <c r="E1318" s="236" t="s">
        <v>1234</v>
      </c>
    </row>
    <row r="1319" spans="1:5" x14ac:dyDescent="0.2">
      <c r="A1319" s="235">
        <v>120186</v>
      </c>
      <c r="B1319" s="236" t="s">
        <v>1497</v>
      </c>
      <c r="C1319" s="236" t="s">
        <v>15</v>
      </c>
      <c r="D1319" s="126">
        <v>0</v>
      </c>
      <c r="E1319" s="236" t="s">
        <v>1234</v>
      </c>
    </row>
    <row r="1320" spans="1:5" x14ac:dyDescent="0.2">
      <c r="A1320" s="235">
        <v>120187</v>
      </c>
      <c r="B1320" s="236" t="s">
        <v>1498</v>
      </c>
      <c r="C1320" s="236" t="s">
        <v>5</v>
      </c>
      <c r="D1320" s="126">
        <v>0</v>
      </c>
      <c r="E1320" s="236" t="s">
        <v>1234</v>
      </c>
    </row>
    <row r="1321" spans="1:5" x14ac:dyDescent="0.2">
      <c r="A1321" s="235">
        <v>120188</v>
      </c>
      <c r="B1321" s="236" t="s">
        <v>1507</v>
      </c>
      <c r="C1321" s="236" t="s">
        <v>5</v>
      </c>
      <c r="D1321" s="126">
        <v>0</v>
      </c>
      <c r="E1321" s="236" t="s">
        <v>1234</v>
      </c>
    </row>
    <row r="1322" spans="1:5" x14ac:dyDescent="0.2">
      <c r="A1322" s="235">
        <v>120191</v>
      </c>
      <c r="B1322" s="236" t="s">
        <v>1502</v>
      </c>
      <c r="C1322" s="236" t="s">
        <v>15</v>
      </c>
      <c r="D1322" s="126">
        <v>0</v>
      </c>
      <c r="E1322" s="236" t="s">
        <v>1234</v>
      </c>
    </row>
    <row r="1323" spans="1:5" x14ac:dyDescent="0.2">
      <c r="A1323" s="235">
        <v>120192</v>
      </c>
      <c r="B1323" s="236" t="s">
        <v>1506</v>
      </c>
      <c r="C1323" s="236" t="s">
        <v>5</v>
      </c>
      <c r="D1323" s="126">
        <v>0</v>
      </c>
      <c r="E1323" s="236" t="s">
        <v>1234</v>
      </c>
    </row>
    <row r="1324" spans="1:5" x14ac:dyDescent="0.2">
      <c r="A1324" s="235">
        <v>120355</v>
      </c>
      <c r="B1324" s="236" t="s">
        <v>1514</v>
      </c>
      <c r="C1324" s="236" t="s">
        <v>5</v>
      </c>
      <c r="D1324" s="126">
        <v>0</v>
      </c>
      <c r="E1324" s="236" t="s">
        <v>1234</v>
      </c>
    </row>
    <row r="1325" spans="1:5" x14ac:dyDescent="0.2">
      <c r="A1325" s="235">
        <v>120356</v>
      </c>
      <c r="B1325" s="236" t="s">
        <v>1512</v>
      </c>
      <c r="C1325" s="236" t="s">
        <v>5</v>
      </c>
      <c r="D1325" s="126">
        <v>0</v>
      </c>
      <c r="E1325" s="236" t="s">
        <v>1234</v>
      </c>
    </row>
    <row r="1326" spans="1:5" x14ac:dyDescent="0.2">
      <c r="A1326" s="235">
        <v>120357</v>
      </c>
      <c r="B1326" s="236" t="s">
        <v>1513</v>
      </c>
      <c r="C1326" s="236" t="s">
        <v>5</v>
      </c>
      <c r="D1326" s="126">
        <v>0</v>
      </c>
      <c r="E1326" s="236" t="s">
        <v>1234</v>
      </c>
    </row>
    <row r="1327" spans="1:5" x14ac:dyDescent="0.2">
      <c r="A1327" s="235">
        <v>120623</v>
      </c>
      <c r="B1327" s="236" t="s">
        <v>1517</v>
      </c>
      <c r="C1327" s="236" t="s">
        <v>205</v>
      </c>
      <c r="D1327" s="126">
        <v>0</v>
      </c>
      <c r="E1327" s="236" t="s">
        <v>1234</v>
      </c>
    </row>
    <row r="1328" spans="1:5" x14ac:dyDescent="0.2">
      <c r="A1328" s="235">
        <v>121024</v>
      </c>
      <c r="B1328" s="236" t="s">
        <v>1523</v>
      </c>
      <c r="C1328" s="236" t="s">
        <v>2</v>
      </c>
      <c r="D1328" s="126">
        <v>0</v>
      </c>
      <c r="E1328" s="236" t="s">
        <v>1234</v>
      </c>
    </row>
    <row r="1329" spans="1:5" x14ac:dyDescent="0.2">
      <c r="A1329" s="235">
        <v>121025</v>
      </c>
      <c r="B1329" s="236" t="s">
        <v>1525</v>
      </c>
      <c r="C1329" s="236" t="s">
        <v>2</v>
      </c>
      <c r="D1329" s="126">
        <v>0</v>
      </c>
      <c r="E1329" s="236" t="s">
        <v>1234</v>
      </c>
    </row>
    <row r="1330" spans="1:5" x14ac:dyDescent="0.2">
      <c r="A1330" s="235">
        <v>121028</v>
      </c>
      <c r="B1330" s="236" t="s">
        <v>1527</v>
      </c>
      <c r="C1330" s="236" t="s">
        <v>2</v>
      </c>
      <c r="D1330" s="126">
        <v>0</v>
      </c>
      <c r="E1330" s="236" t="s">
        <v>1234</v>
      </c>
    </row>
    <row r="1331" spans="1:5" x14ac:dyDescent="0.2">
      <c r="A1331" s="235">
        <v>121030</v>
      </c>
      <c r="B1331" s="236" t="s">
        <v>1521</v>
      </c>
      <c r="C1331" s="236" t="s">
        <v>2</v>
      </c>
      <c r="D1331" s="126">
        <v>0</v>
      </c>
      <c r="E1331" s="236" t="s">
        <v>1234</v>
      </c>
    </row>
    <row r="1332" spans="1:5" x14ac:dyDescent="0.2">
      <c r="A1332" s="235">
        <v>121314</v>
      </c>
      <c r="B1332" s="236" t="s">
        <v>1531</v>
      </c>
      <c r="C1332" s="236" t="s">
        <v>5</v>
      </c>
      <c r="D1332" s="126">
        <v>0</v>
      </c>
      <c r="E1332" s="236" t="s">
        <v>1234</v>
      </c>
    </row>
    <row r="1333" spans="1:5" x14ac:dyDescent="0.2">
      <c r="A1333" s="235">
        <v>121315</v>
      </c>
      <c r="B1333" s="236" t="s">
        <v>1543</v>
      </c>
      <c r="C1333" s="236" t="s">
        <v>2</v>
      </c>
      <c r="D1333" s="126">
        <v>0</v>
      </c>
      <c r="E1333" s="236" t="s">
        <v>1234</v>
      </c>
    </row>
    <row r="1334" spans="1:5" x14ac:dyDescent="0.2">
      <c r="A1334" s="235">
        <v>121316</v>
      </c>
      <c r="B1334" s="236" t="s">
        <v>1541</v>
      </c>
      <c r="C1334" s="236" t="s">
        <v>5</v>
      </c>
      <c r="D1334" s="126">
        <v>0</v>
      </c>
      <c r="E1334" s="236" t="s">
        <v>1234</v>
      </c>
    </row>
    <row r="1335" spans="1:5" x14ac:dyDescent="0.2">
      <c r="A1335" s="235">
        <v>121317</v>
      </c>
      <c r="B1335" s="236" t="s">
        <v>1542</v>
      </c>
      <c r="C1335" s="236" t="s">
        <v>5</v>
      </c>
      <c r="D1335" s="126">
        <v>0</v>
      </c>
      <c r="E1335" s="236" t="s">
        <v>1234</v>
      </c>
    </row>
    <row r="1336" spans="1:5" x14ac:dyDescent="0.2">
      <c r="A1336" s="235">
        <v>121318</v>
      </c>
      <c r="B1336" s="236" t="s">
        <v>1547</v>
      </c>
      <c r="C1336" s="236" t="s">
        <v>2</v>
      </c>
      <c r="D1336" s="126">
        <v>0</v>
      </c>
      <c r="E1336" s="236" t="s">
        <v>1234</v>
      </c>
    </row>
    <row r="1337" spans="1:5" x14ac:dyDescent="0.2">
      <c r="A1337" s="235">
        <v>121319</v>
      </c>
      <c r="B1337" s="236" t="s">
        <v>1544</v>
      </c>
      <c r="C1337" s="236" t="s">
        <v>5</v>
      </c>
      <c r="D1337" s="126">
        <v>0</v>
      </c>
      <c r="E1337" s="236" t="s">
        <v>1234</v>
      </c>
    </row>
    <row r="1338" spans="1:5" x14ac:dyDescent="0.2">
      <c r="A1338" s="235">
        <v>121320</v>
      </c>
      <c r="B1338" s="236" t="s">
        <v>1532</v>
      </c>
      <c r="C1338" s="236" t="s">
        <v>2</v>
      </c>
      <c r="D1338" s="126">
        <v>0</v>
      </c>
      <c r="E1338" s="236" t="s">
        <v>1234</v>
      </c>
    </row>
    <row r="1339" spans="1:5" x14ac:dyDescent="0.2">
      <c r="A1339" s="235">
        <v>121321</v>
      </c>
      <c r="B1339" s="236" t="s">
        <v>1539</v>
      </c>
      <c r="C1339" s="236" t="s">
        <v>2</v>
      </c>
      <c r="D1339" s="126">
        <v>0</v>
      </c>
      <c r="E1339" s="236" t="s">
        <v>1234</v>
      </c>
    </row>
    <row r="1340" spans="1:5" x14ac:dyDescent="0.2">
      <c r="A1340" s="235">
        <v>121322</v>
      </c>
      <c r="B1340" s="236" t="s">
        <v>1535</v>
      </c>
      <c r="C1340" s="236" t="s">
        <v>5</v>
      </c>
      <c r="D1340" s="126">
        <v>1</v>
      </c>
      <c r="E1340" s="236" t="s">
        <v>1234</v>
      </c>
    </row>
    <row r="1341" spans="1:5" x14ac:dyDescent="0.2">
      <c r="A1341" s="235">
        <v>121323</v>
      </c>
      <c r="B1341" s="236" t="s">
        <v>1536</v>
      </c>
      <c r="C1341" s="236" t="s">
        <v>5</v>
      </c>
      <c r="D1341" s="126">
        <v>0</v>
      </c>
      <c r="E1341" s="236" t="s">
        <v>1234</v>
      </c>
    </row>
    <row r="1342" spans="1:5" x14ac:dyDescent="0.2">
      <c r="A1342" s="235">
        <v>121324</v>
      </c>
      <c r="B1342" s="236" t="s">
        <v>1548</v>
      </c>
      <c r="C1342" s="236" t="s">
        <v>2</v>
      </c>
      <c r="D1342" s="126">
        <v>0</v>
      </c>
      <c r="E1342" s="236" t="s">
        <v>1234</v>
      </c>
    </row>
    <row r="1343" spans="1:5" x14ac:dyDescent="0.2">
      <c r="A1343" s="235">
        <v>121325</v>
      </c>
      <c r="B1343" s="236" t="s">
        <v>1545</v>
      </c>
      <c r="C1343" s="236" t="s">
        <v>2</v>
      </c>
      <c r="D1343" s="126">
        <v>1</v>
      </c>
      <c r="E1343" s="236" t="s">
        <v>1234</v>
      </c>
    </row>
    <row r="1344" spans="1:5" x14ac:dyDescent="0.2">
      <c r="A1344" s="235">
        <v>121326</v>
      </c>
      <c r="B1344" s="236" t="s">
        <v>1538</v>
      </c>
      <c r="C1344" s="236" t="s">
        <v>5</v>
      </c>
      <c r="D1344" s="126">
        <v>0</v>
      </c>
      <c r="E1344" s="236" t="s">
        <v>1234</v>
      </c>
    </row>
    <row r="1345" spans="1:5" x14ac:dyDescent="0.2">
      <c r="A1345" s="235">
        <v>121327</v>
      </c>
      <c r="B1345" s="236" t="s">
        <v>1546</v>
      </c>
      <c r="C1345" s="236" t="s">
        <v>5</v>
      </c>
      <c r="D1345" s="126">
        <v>0</v>
      </c>
      <c r="E1345" s="236" t="s">
        <v>1234</v>
      </c>
    </row>
    <row r="1346" spans="1:5" x14ac:dyDescent="0.2">
      <c r="A1346" s="235">
        <v>121328</v>
      </c>
      <c r="B1346" s="236" t="s">
        <v>1533</v>
      </c>
      <c r="C1346" s="236" t="s">
        <v>5</v>
      </c>
      <c r="D1346" s="126">
        <v>0</v>
      </c>
      <c r="E1346" s="236" t="s">
        <v>1234</v>
      </c>
    </row>
    <row r="1347" spans="1:5" x14ac:dyDescent="0.2">
      <c r="A1347" s="235">
        <v>121330</v>
      </c>
      <c r="B1347" s="236" t="s">
        <v>1537</v>
      </c>
      <c r="C1347" s="236" t="s">
        <v>2</v>
      </c>
      <c r="D1347" s="126">
        <v>0</v>
      </c>
      <c r="E1347" s="236" t="s">
        <v>1234</v>
      </c>
    </row>
    <row r="1348" spans="1:5" x14ac:dyDescent="0.2">
      <c r="A1348" s="235">
        <v>121403</v>
      </c>
      <c r="B1348" s="236" t="s">
        <v>1553</v>
      </c>
      <c r="C1348" s="236" t="s">
        <v>5</v>
      </c>
      <c r="D1348" s="126">
        <v>0</v>
      </c>
      <c r="E1348" s="236" t="s">
        <v>1234</v>
      </c>
    </row>
    <row r="1349" spans="1:5" x14ac:dyDescent="0.2">
      <c r="A1349" s="235">
        <v>121404</v>
      </c>
      <c r="B1349" s="236" t="s">
        <v>1567</v>
      </c>
      <c r="C1349" s="236" t="s">
        <v>5</v>
      </c>
      <c r="D1349" s="126">
        <v>0</v>
      </c>
      <c r="E1349" s="236" t="s">
        <v>1234</v>
      </c>
    </row>
    <row r="1350" spans="1:5" x14ac:dyDescent="0.2">
      <c r="A1350" s="235">
        <v>121414</v>
      </c>
      <c r="B1350" s="236" t="s">
        <v>1570</v>
      </c>
      <c r="C1350" s="236" t="s">
        <v>5</v>
      </c>
      <c r="D1350" s="126">
        <v>0</v>
      </c>
      <c r="E1350" s="236" t="s">
        <v>1234</v>
      </c>
    </row>
    <row r="1351" spans="1:5" x14ac:dyDescent="0.2">
      <c r="A1351" s="235">
        <v>121428</v>
      </c>
      <c r="B1351" s="236" t="s">
        <v>1566</v>
      </c>
      <c r="C1351" s="236" t="s">
        <v>5</v>
      </c>
      <c r="D1351" s="126">
        <v>0</v>
      </c>
      <c r="E1351" s="236" t="s">
        <v>1234</v>
      </c>
    </row>
    <row r="1352" spans="1:5" x14ac:dyDescent="0.2">
      <c r="A1352" s="235">
        <v>121436</v>
      </c>
      <c r="B1352" s="236" t="s">
        <v>1560</v>
      </c>
      <c r="C1352" s="236" t="s">
        <v>5</v>
      </c>
      <c r="D1352" s="126">
        <v>0</v>
      </c>
      <c r="E1352" s="236" t="s">
        <v>1234</v>
      </c>
    </row>
    <row r="1353" spans="1:5" x14ac:dyDescent="0.2">
      <c r="A1353" s="235">
        <v>121449</v>
      </c>
      <c r="B1353" s="236" t="s">
        <v>1558</v>
      </c>
      <c r="C1353" s="236" t="s">
        <v>5</v>
      </c>
      <c r="D1353" s="126">
        <v>0</v>
      </c>
      <c r="E1353" s="236" t="s">
        <v>1234</v>
      </c>
    </row>
    <row r="1354" spans="1:5" x14ac:dyDescent="0.2">
      <c r="A1354" s="235">
        <v>121458</v>
      </c>
      <c r="B1354" s="236" t="s">
        <v>1579</v>
      </c>
      <c r="C1354" s="236" t="s">
        <v>5</v>
      </c>
      <c r="D1354" s="126">
        <v>0</v>
      </c>
      <c r="E1354" s="236" t="s">
        <v>1234</v>
      </c>
    </row>
    <row r="1355" spans="1:5" x14ac:dyDescent="0.2">
      <c r="A1355" s="235">
        <v>121460</v>
      </c>
      <c r="B1355" s="236" t="s">
        <v>1580</v>
      </c>
      <c r="C1355" s="236" t="s">
        <v>5</v>
      </c>
      <c r="D1355" s="126">
        <v>1</v>
      </c>
      <c r="E1355" s="236" t="s">
        <v>1234</v>
      </c>
    </row>
    <row r="1356" spans="1:5" x14ac:dyDescent="0.2">
      <c r="A1356" s="235">
        <v>121476</v>
      </c>
      <c r="B1356" s="236" t="s">
        <v>1573</v>
      </c>
      <c r="C1356" s="236" t="s">
        <v>5</v>
      </c>
      <c r="D1356" s="126">
        <v>0</v>
      </c>
      <c r="E1356" s="236" t="s">
        <v>1234</v>
      </c>
    </row>
    <row r="1357" spans="1:5" x14ac:dyDescent="0.2">
      <c r="A1357" s="235">
        <v>121480</v>
      </c>
      <c r="B1357" s="236" t="s">
        <v>1581</v>
      </c>
      <c r="C1357" s="236" t="s">
        <v>5</v>
      </c>
      <c r="D1357" s="126">
        <v>0</v>
      </c>
      <c r="E1357" s="236" t="s">
        <v>1234</v>
      </c>
    </row>
    <row r="1358" spans="1:5" x14ac:dyDescent="0.2">
      <c r="A1358" s="235">
        <v>121482</v>
      </c>
      <c r="B1358" s="236" t="s">
        <v>1557</v>
      </c>
      <c r="C1358" s="236" t="s">
        <v>15</v>
      </c>
      <c r="D1358" s="126">
        <v>0</v>
      </c>
      <c r="E1358" s="236" t="s">
        <v>1234</v>
      </c>
    </row>
    <row r="1359" spans="1:5" x14ac:dyDescent="0.2">
      <c r="A1359" s="235">
        <v>121486</v>
      </c>
      <c r="B1359" s="236" t="s">
        <v>1564</v>
      </c>
      <c r="C1359" s="236" t="s">
        <v>15</v>
      </c>
      <c r="D1359" s="126">
        <v>0</v>
      </c>
      <c r="E1359" s="236" t="s">
        <v>1234</v>
      </c>
    </row>
    <row r="1360" spans="1:5" x14ac:dyDescent="0.2">
      <c r="A1360" s="235">
        <v>121525</v>
      </c>
      <c r="B1360" s="236" t="s">
        <v>1568</v>
      </c>
      <c r="C1360" s="236" t="s">
        <v>5</v>
      </c>
      <c r="D1360" s="126">
        <v>1</v>
      </c>
      <c r="E1360" s="236" t="s">
        <v>1234</v>
      </c>
    </row>
    <row r="1361" spans="1:5" x14ac:dyDescent="0.2">
      <c r="A1361" s="235">
        <v>121531</v>
      </c>
      <c r="B1361" s="236" t="s">
        <v>1554</v>
      </c>
      <c r="C1361" s="236" t="s">
        <v>15</v>
      </c>
      <c r="D1361" s="126">
        <v>0</v>
      </c>
      <c r="E1361" s="236" t="s">
        <v>1234</v>
      </c>
    </row>
    <row r="1362" spans="1:5" x14ac:dyDescent="0.2">
      <c r="A1362" s="235">
        <v>121672</v>
      </c>
      <c r="B1362" s="236" t="s">
        <v>1593</v>
      </c>
      <c r="C1362" s="236" t="s">
        <v>5</v>
      </c>
      <c r="D1362" s="126">
        <v>0</v>
      </c>
      <c r="E1362" s="236" t="s">
        <v>1234</v>
      </c>
    </row>
    <row r="1363" spans="1:5" x14ac:dyDescent="0.2">
      <c r="A1363" s="235">
        <v>121673</v>
      </c>
      <c r="B1363" s="236" t="s">
        <v>1594</v>
      </c>
      <c r="C1363" s="236" t="s">
        <v>5</v>
      </c>
      <c r="D1363" s="126">
        <v>0</v>
      </c>
      <c r="E1363" s="236" t="s">
        <v>1285</v>
      </c>
    </row>
    <row r="1364" spans="1:5" x14ac:dyDescent="0.2">
      <c r="A1364" s="235">
        <v>121674</v>
      </c>
      <c r="B1364" s="236" t="s">
        <v>1595</v>
      </c>
      <c r="C1364" s="236" t="s">
        <v>5</v>
      </c>
      <c r="D1364" s="126">
        <v>0</v>
      </c>
      <c r="E1364" s="236" t="s">
        <v>1234</v>
      </c>
    </row>
    <row r="1365" spans="1:5" x14ac:dyDescent="0.2">
      <c r="A1365" s="235">
        <v>121675</v>
      </c>
      <c r="B1365" s="236" t="s">
        <v>1596</v>
      </c>
      <c r="C1365" s="236" t="s">
        <v>5</v>
      </c>
      <c r="D1365" s="126">
        <v>0</v>
      </c>
      <c r="E1365" s="236" t="s">
        <v>1234</v>
      </c>
    </row>
    <row r="1366" spans="1:5" x14ac:dyDescent="0.2">
      <c r="A1366" s="235">
        <v>121677</v>
      </c>
      <c r="B1366" s="236" t="s">
        <v>1597</v>
      </c>
      <c r="C1366" s="236" t="s">
        <v>5</v>
      </c>
      <c r="D1366" s="126">
        <v>0</v>
      </c>
      <c r="E1366" s="236" t="s">
        <v>1234</v>
      </c>
    </row>
    <row r="1367" spans="1:5" x14ac:dyDescent="0.2">
      <c r="A1367" s="235">
        <v>121684</v>
      </c>
      <c r="B1367" s="236" t="s">
        <v>1603</v>
      </c>
      <c r="C1367" s="236" t="s">
        <v>967</v>
      </c>
      <c r="D1367" s="126">
        <v>0</v>
      </c>
      <c r="E1367" s="236" t="s">
        <v>1234</v>
      </c>
    </row>
    <row r="1368" spans="1:5" x14ac:dyDescent="0.2">
      <c r="A1368" s="235">
        <v>121685</v>
      </c>
      <c r="B1368" s="236" t="s">
        <v>1599</v>
      </c>
      <c r="C1368" s="236" t="s">
        <v>5</v>
      </c>
      <c r="D1368" s="126">
        <v>0</v>
      </c>
      <c r="E1368" s="236" t="s">
        <v>1234</v>
      </c>
    </row>
    <row r="1369" spans="1:5" x14ac:dyDescent="0.2">
      <c r="A1369" s="235">
        <v>121686</v>
      </c>
      <c r="B1369" s="236" t="s">
        <v>1602</v>
      </c>
      <c r="C1369" s="236" t="s">
        <v>5</v>
      </c>
      <c r="D1369" s="126">
        <v>4</v>
      </c>
      <c r="E1369" s="236" t="s">
        <v>1234</v>
      </c>
    </row>
    <row r="1370" spans="1:5" x14ac:dyDescent="0.2">
      <c r="A1370" s="235">
        <v>121687</v>
      </c>
      <c r="B1370" s="236" t="s">
        <v>1600</v>
      </c>
      <c r="C1370" s="236" t="s">
        <v>5</v>
      </c>
      <c r="D1370" s="126">
        <v>0</v>
      </c>
      <c r="E1370" s="236" t="s">
        <v>1234</v>
      </c>
    </row>
    <row r="1371" spans="1:5" x14ac:dyDescent="0.2">
      <c r="A1371" s="235">
        <v>121689</v>
      </c>
      <c r="B1371" s="236" t="s">
        <v>1598</v>
      </c>
      <c r="C1371" s="236" t="s">
        <v>5</v>
      </c>
      <c r="D1371" s="126">
        <v>0</v>
      </c>
      <c r="E1371" s="236" t="s">
        <v>1234</v>
      </c>
    </row>
    <row r="1372" spans="1:5" x14ac:dyDescent="0.2">
      <c r="A1372" s="235">
        <v>121690</v>
      </c>
      <c r="B1372" s="236" t="s">
        <v>1601</v>
      </c>
      <c r="C1372" s="236" t="s">
        <v>470</v>
      </c>
      <c r="D1372" s="126">
        <v>0</v>
      </c>
      <c r="E1372" s="236" t="s">
        <v>1234</v>
      </c>
    </row>
    <row r="1373" spans="1:5" x14ac:dyDescent="0.2">
      <c r="A1373" s="235">
        <v>121802</v>
      </c>
      <c r="B1373" s="236" t="s">
        <v>1590</v>
      </c>
      <c r="C1373" s="236" t="s">
        <v>1592</v>
      </c>
      <c r="D1373" s="126">
        <v>0</v>
      </c>
      <c r="E1373" s="236" t="s">
        <v>1234</v>
      </c>
    </row>
    <row r="1374" spans="1:5" x14ac:dyDescent="0.2">
      <c r="A1374" s="235">
        <v>121815</v>
      </c>
      <c r="B1374" s="236" t="s">
        <v>1608</v>
      </c>
      <c r="C1374" s="236" t="s">
        <v>1464</v>
      </c>
      <c r="D1374" s="126">
        <v>0</v>
      </c>
      <c r="E1374" s="236" t="s">
        <v>1234</v>
      </c>
    </row>
    <row r="1375" spans="1:5" x14ac:dyDescent="0.2">
      <c r="A1375" s="235">
        <v>121816</v>
      </c>
      <c r="B1375" s="236" t="s">
        <v>1607</v>
      </c>
      <c r="C1375" s="236" t="s">
        <v>1464</v>
      </c>
      <c r="D1375" s="126">
        <v>0</v>
      </c>
      <c r="E1375" s="236" t="s">
        <v>1234</v>
      </c>
    </row>
    <row r="1376" spans="1:5" x14ac:dyDescent="0.2">
      <c r="A1376" s="235">
        <v>121817</v>
      </c>
      <c r="B1376" s="236" t="s">
        <v>1606</v>
      </c>
      <c r="C1376" s="236" t="s">
        <v>1464</v>
      </c>
      <c r="D1376" s="126">
        <v>0</v>
      </c>
      <c r="E1376" s="236" t="s">
        <v>1234</v>
      </c>
    </row>
    <row r="1377" spans="1:5" x14ac:dyDescent="0.2">
      <c r="A1377" s="235">
        <v>121847</v>
      </c>
      <c r="B1377" s="236" t="s">
        <v>1629</v>
      </c>
      <c r="C1377" s="236" t="s">
        <v>5</v>
      </c>
      <c r="D1377" s="126">
        <v>0</v>
      </c>
      <c r="E1377" s="236" t="s">
        <v>1234</v>
      </c>
    </row>
    <row r="1378" spans="1:5" x14ac:dyDescent="0.2">
      <c r="A1378" s="235">
        <v>121848</v>
      </c>
      <c r="B1378" s="236" t="s">
        <v>1616</v>
      </c>
      <c r="C1378" s="236" t="s">
        <v>5</v>
      </c>
      <c r="D1378" s="126">
        <v>0</v>
      </c>
      <c r="E1378" s="236" t="s">
        <v>1234</v>
      </c>
    </row>
    <row r="1379" spans="1:5" x14ac:dyDescent="0.2">
      <c r="A1379" s="235">
        <v>121849</v>
      </c>
      <c r="B1379" s="236" t="s">
        <v>1613</v>
      </c>
      <c r="C1379" s="236" t="s">
        <v>5</v>
      </c>
      <c r="D1379" s="126">
        <v>1</v>
      </c>
      <c r="E1379" s="236" t="s">
        <v>1234</v>
      </c>
    </row>
    <row r="1380" spans="1:5" x14ac:dyDescent="0.2">
      <c r="A1380" s="235">
        <v>121850</v>
      </c>
      <c r="B1380" s="236" t="s">
        <v>1627</v>
      </c>
      <c r="C1380" s="236" t="s">
        <v>5</v>
      </c>
      <c r="D1380" s="126">
        <v>0</v>
      </c>
      <c r="E1380" s="236" t="s">
        <v>1234</v>
      </c>
    </row>
    <row r="1381" spans="1:5" x14ac:dyDescent="0.2">
      <c r="A1381" s="235">
        <v>121851</v>
      </c>
      <c r="B1381" s="236" t="s">
        <v>1610</v>
      </c>
      <c r="C1381" s="236" t="s">
        <v>5</v>
      </c>
      <c r="D1381" s="126">
        <v>0</v>
      </c>
      <c r="E1381" s="236" t="s">
        <v>1234</v>
      </c>
    </row>
    <row r="1382" spans="1:5" x14ac:dyDescent="0.2">
      <c r="A1382" s="235">
        <v>121853</v>
      </c>
      <c r="B1382" s="236" t="s">
        <v>1631</v>
      </c>
      <c r="C1382" s="236" t="s">
        <v>5</v>
      </c>
      <c r="D1382" s="126">
        <v>7</v>
      </c>
      <c r="E1382" s="236" t="s">
        <v>1234</v>
      </c>
    </row>
    <row r="1383" spans="1:5" x14ac:dyDescent="0.2">
      <c r="A1383" s="235">
        <v>121855</v>
      </c>
      <c r="B1383" s="236" t="s">
        <v>1625</v>
      </c>
      <c r="C1383" s="236" t="s">
        <v>5</v>
      </c>
      <c r="D1383" s="126">
        <v>0</v>
      </c>
      <c r="E1383" s="236" t="s">
        <v>1234</v>
      </c>
    </row>
    <row r="1384" spans="1:5" x14ac:dyDescent="0.2">
      <c r="A1384" s="235">
        <v>121857</v>
      </c>
      <c r="B1384" s="236" t="s">
        <v>1614</v>
      </c>
      <c r="C1384" s="236" t="s">
        <v>5</v>
      </c>
      <c r="D1384" s="126">
        <v>0</v>
      </c>
      <c r="E1384" s="236" t="s">
        <v>1234</v>
      </c>
    </row>
    <row r="1385" spans="1:5" x14ac:dyDescent="0.2">
      <c r="A1385" s="235">
        <v>121939</v>
      </c>
      <c r="B1385" s="236" t="s">
        <v>1622</v>
      </c>
      <c r="C1385" s="236" t="s">
        <v>1464</v>
      </c>
      <c r="D1385" s="126">
        <v>0</v>
      </c>
      <c r="E1385" s="236" t="s">
        <v>1234</v>
      </c>
    </row>
    <row r="1386" spans="1:5" x14ac:dyDescent="0.2">
      <c r="A1386" s="235">
        <v>121941</v>
      </c>
      <c r="B1386" s="236" t="s">
        <v>1611</v>
      </c>
      <c r="C1386" s="236" t="s">
        <v>1464</v>
      </c>
      <c r="D1386" s="126">
        <v>0</v>
      </c>
      <c r="E1386" s="236" t="s">
        <v>1234</v>
      </c>
    </row>
    <row r="1387" spans="1:5" x14ac:dyDescent="0.2">
      <c r="A1387" s="235">
        <v>121946</v>
      </c>
      <c r="B1387" s="236" t="s">
        <v>1626</v>
      </c>
      <c r="C1387" s="236" t="s">
        <v>1464</v>
      </c>
      <c r="D1387" s="126">
        <v>0</v>
      </c>
      <c r="E1387" s="236" t="s">
        <v>1234</v>
      </c>
    </row>
    <row r="1388" spans="1:5" x14ac:dyDescent="0.2">
      <c r="A1388" s="235">
        <v>121947</v>
      </c>
      <c r="B1388" s="236" t="s">
        <v>1615</v>
      </c>
      <c r="C1388" s="236" t="s">
        <v>1464</v>
      </c>
      <c r="D1388" s="126">
        <v>0</v>
      </c>
      <c r="E1388" s="236" t="s">
        <v>1234</v>
      </c>
    </row>
    <row r="1389" spans="1:5" x14ac:dyDescent="0.2">
      <c r="A1389" s="235">
        <v>121948</v>
      </c>
      <c r="B1389" s="236" t="s">
        <v>1617</v>
      </c>
      <c r="C1389" s="236" t="s">
        <v>1464</v>
      </c>
      <c r="D1389" s="126">
        <v>0</v>
      </c>
      <c r="E1389" s="236" t="s">
        <v>1234</v>
      </c>
    </row>
    <row r="1390" spans="1:5" x14ac:dyDescent="0.2">
      <c r="A1390" s="235">
        <v>121949</v>
      </c>
      <c r="B1390" s="236" t="s">
        <v>1623</v>
      </c>
      <c r="C1390" s="236" t="s">
        <v>1464</v>
      </c>
      <c r="D1390" s="126">
        <v>0</v>
      </c>
      <c r="E1390" s="236" t="s">
        <v>1234</v>
      </c>
    </row>
    <row r="1391" spans="1:5" x14ac:dyDescent="0.2">
      <c r="A1391" s="235">
        <v>121950</v>
      </c>
      <c r="B1391" s="236" t="s">
        <v>1619</v>
      </c>
      <c r="C1391" s="236" t="s">
        <v>1464</v>
      </c>
      <c r="D1391" s="126">
        <v>0</v>
      </c>
      <c r="E1391" s="236" t="s">
        <v>1234</v>
      </c>
    </row>
    <row r="1392" spans="1:5" x14ac:dyDescent="0.2">
      <c r="A1392" s="235">
        <v>121951</v>
      </c>
      <c r="B1392" s="236" t="s">
        <v>1628</v>
      </c>
      <c r="C1392" s="236" t="s">
        <v>1464</v>
      </c>
      <c r="D1392" s="126">
        <v>0</v>
      </c>
      <c r="E1392" s="236" t="s">
        <v>1234</v>
      </c>
    </row>
    <row r="1393" spans="1:5" x14ac:dyDescent="0.2">
      <c r="A1393" s="235">
        <v>121952</v>
      </c>
      <c r="B1393" s="236" t="s">
        <v>1630</v>
      </c>
      <c r="C1393" s="236" t="s">
        <v>1464</v>
      </c>
      <c r="D1393" s="126">
        <v>0</v>
      </c>
      <c r="E1393" s="236" t="s">
        <v>1234</v>
      </c>
    </row>
    <row r="1394" spans="1:5" x14ac:dyDescent="0.2">
      <c r="A1394" s="235">
        <v>121953</v>
      </c>
      <c r="B1394" s="236" t="s">
        <v>1620</v>
      </c>
      <c r="C1394" s="236" t="s">
        <v>5</v>
      </c>
      <c r="D1394" s="126">
        <v>0</v>
      </c>
      <c r="E1394" s="236" t="s">
        <v>1234</v>
      </c>
    </row>
    <row r="1395" spans="1:5" x14ac:dyDescent="0.2">
      <c r="A1395" s="235">
        <v>121954</v>
      </c>
      <c r="B1395" s="236" t="s">
        <v>1612</v>
      </c>
      <c r="C1395" s="236" t="s">
        <v>5</v>
      </c>
      <c r="D1395" s="126">
        <v>2</v>
      </c>
      <c r="E1395" s="236" t="s">
        <v>1234</v>
      </c>
    </row>
    <row r="1396" spans="1:5" x14ac:dyDescent="0.2">
      <c r="A1396" s="235">
        <v>121955</v>
      </c>
      <c r="B1396" s="236" t="s">
        <v>1624</v>
      </c>
      <c r="C1396" s="236" t="s">
        <v>5</v>
      </c>
      <c r="D1396" s="126">
        <v>0</v>
      </c>
      <c r="E1396" s="236" t="s">
        <v>1234</v>
      </c>
    </row>
    <row r="1397" spans="1:5" x14ac:dyDescent="0.2">
      <c r="A1397" s="235">
        <v>121956</v>
      </c>
      <c r="B1397" s="236" t="s">
        <v>1618</v>
      </c>
      <c r="C1397" s="236" t="s">
        <v>5</v>
      </c>
      <c r="D1397" s="126">
        <v>0</v>
      </c>
      <c r="E1397" s="236" t="s">
        <v>1234</v>
      </c>
    </row>
    <row r="1398" spans="1:5" x14ac:dyDescent="0.2">
      <c r="A1398" s="235">
        <v>121957</v>
      </c>
      <c r="B1398" s="236" t="s">
        <v>1621</v>
      </c>
      <c r="C1398" s="236" t="s">
        <v>5</v>
      </c>
      <c r="D1398" s="126">
        <v>0</v>
      </c>
      <c r="E1398" s="236" t="s">
        <v>1234</v>
      </c>
    </row>
    <row r="1399" spans="1:5" x14ac:dyDescent="0.2">
      <c r="A1399" s="235">
        <v>122028</v>
      </c>
      <c r="B1399" s="236" t="s">
        <v>1636</v>
      </c>
      <c r="C1399" s="236" t="s">
        <v>120</v>
      </c>
      <c r="D1399" s="126">
        <v>0</v>
      </c>
      <c r="E1399" s="236" t="s">
        <v>1234</v>
      </c>
    </row>
    <row r="1400" spans="1:5" x14ac:dyDescent="0.2">
      <c r="A1400" s="235">
        <v>122029</v>
      </c>
      <c r="B1400" s="236" t="s">
        <v>1648</v>
      </c>
      <c r="C1400" s="236" t="s">
        <v>120</v>
      </c>
      <c r="D1400" s="126">
        <v>0</v>
      </c>
      <c r="E1400" s="236" t="s">
        <v>1234</v>
      </c>
    </row>
    <row r="1401" spans="1:5" x14ac:dyDescent="0.2">
      <c r="A1401" s="235">
        <v>122030</v>
      </c>
      <c r="B1401" s="236" t="s">
        <v>1585</v>
      </c>
      <c r="C1401" s="236" t="s">
        <v>967</v>
      </c>
      <c r="D1401" s="126">
        <v>0</v>
      </c>
      <c r="E1401" s="236" t="s">
        <v>1234</v>
      </c>
    </row>
    <row r="1402" spans="1:5" x14ac:dyDescent="0.2">
      <c r="A1402" s="235">
        <v>122078</v>
      </c>
      <c r="B1402" s="236" t="s">
        <v>1647</v>
      </c>
      <c r="C1402" s="236" t="s">
        <v>5</v>
      </c>
      <c r="D1402" s="126">
        <v>7</v>
      </c>
      <c r="E1402" s="236" t="s">
        <v>1285</v>
      </c>
    </row>
    <row r="1403" spans="1:5" x14ac:dyDescent="0.2">
      <c r="A1403" s="235">
        <v>122079</v>
      </c>
      <c r="B1403" s="236" t="s">
        <v>1640</v>
      </c>
      <c r="C1403" s="236" t="s">
        <v>5</v>
      </c>
      <c r="D1403" s="126">
        <v>0</v>
      </c>
      <c r="E1403" s="236" t="s">
        <v>1234</v>
      </c>
    </row>
    <row r="1404" spans="1:5" x14ac:dyDescent="0.2">
      <c r="A1404" s="235">
        <v>122080</v>
      </c>
      <c r="B1404" s="236" t="s">
        <v>1641</v>
      </c>
      <c r="C1404" s="236" t="s">
        <v>5</v>
      </c>
      <c r="D1404" s="126">
        <v>0</v>
      </c>
      <c r="E1404" s="236" t="s">
        <v>1234</v>
      </c>
    </row>
    <row r="1405" spans="1:5" x14ac:dyDescent="0.2">
      <c r="A1405" s="235">
        <v>122081</v>
      </c>
      <c r="B1405" s="236" t="s">
        <v>1638</v>
      </c>
      <c r="C1405" s="236" t="s">
        <v>5</v>
      </c>
      <c r="D1405" s="126">
        <v>0</v>
      </c>
      <c r="E1405" s="236" t="s">
        <v>1234</v>
      </c>
    </row>
    <row r="1406" spans="1:5" x14ac:dyDescent="0.2">
      <c r="A1406" s="235">
        <v>122082</v>
      </c>
      <c r="B1406" s="236" t="s">
        <v>1644</v>
      </c>
      <c r="C1406" s="236" t="s">
        <v>5</v>
      </c>
      <c r="D1406" s="126">
        <v>0</v>
      </c>
      <c r="E1406" s="236" t="s">
        <v>1234</v>
      </c>
    </row>
    <row r="1407" spans="1:5" x14ac:dyDescent="0.2">
      <c r="A1407" s="235">
        <v>122083</v>
      </c>
      <c r="B1407" s="236" t="s">
        <v>1646</v>
      </c>
      <c r="C1407" s="236" t="s">
        <v>5</v>
      </c>
      <c r="D1407" s="126">
        <v>0</v>
      </c>
      <c r="E1407" s="236" t="s">
        <v>1234</v>
      </c>
    </row>
    <row r="1408" spans="1:5" x14ac:dyDescent="0.2">
      <c r="A1408" s="235">
        <v>122085</v>
      </c>
      <c r="B1408" s="236" t="s">
        <v>1637</v>
      </c>
      <c r="C1408" s="236" t="s">
        <v>5</v>
      </c>
      <c r="D1408" s="126">
        <v>26</v>
      </c>
      <c r="E1408" s="236" t="s">
        <v>1234</v>
      </c>
    </row>
    <row r="1409" spans="1:5" x14ac:dyDescent="0.2">
      <c r="A1409" s="235">
        <v>122086</v>
      </c>
      <c r="B1409" s="236" t="s">
        <v>1645</v>
      </c>
      <c r="C1409" s="236" t="s">
        <v>5</v>
      </c>
      <c r="D1409" s="126">
        <v>0</v>
      </c>
      <c r="E1409" s="236" t="s">
        <v>1234</v>
      </c>
    </row>
    <row r="1410" spans="1:5" x14ac:dyDescent="0.2">
      <c r="A1410" s="235">
        <v>122087</v>
      </c>
      <c r="B1410" s="236" t="s">
        <v>1649</v>
      </c>
      <c r="C1410" s="236" t="s">
        <v>5</v>
      </c>
      <c r="D1410" s="126">
        <v>0</v>
      </c>
      <c r="E1410" s="236" t="s">
        <v>1234</v>
      </c>
    </row>
    <row r="1411" spans="1:5" x14ac:dyDescent="0.2">
      <c r="A1411" s="235">
        <v>122088</v>
      </c>
      <c r="B1411" s="236" t="s">
        <v>1642</v>
      </c>
      <c r="C1411" s="236" t="s">
        <v>5</v>
      </c>
      <c r="D1411" s="126">
        <v>0</v>
      </c>
      <c r="E1411" s="236" t="s">
        <v>1234</v>
      </c>
    </row>
    <row r="1412" spans="1:5" x14ac:dyDescent="0.2">
      <c r="A1412" s="235">
        <v>122089</v>
      </c>
      <c r="B1412" s="236" t="s">
        <v>1639</v>
      </c>
      <c r="C1412" s="236" t="s">
        <v>5</v>
      </c>
      <c r="D1412" s="126">
        <v>0</v>
      </c>
      <c r="E1412" s="236" t="s">
        <v>1234</v>
      </c>
    </row>
    <row r="1413" spans="1:5" x14ac:dyDescent="0.2">
      <c r="A1413" s="235">
        <v>122090</v>
      </c>
      <c r="B1413" s="236" t="s">
        <v>1643</v>
      </c>
      <c r="C1413" s="236" t="s">
        <v>5</v>
      </c>
      <c r="D1413" s="126">
        <v>0</v>
      </c>
      <c r="E1413" s="236" t="s">
        <v>1285</v>
      </c>
    </row>
    <row r="1414" spans="1:5" x14ac:dyDescent="0.2">
      <c r="A1414" s="235">
        <v>122234</v>
      </c>
      <c r="B1414" s="236" t="s">
        <v>1676</v>
      </c>
      <c r="C1414" s="236" t="s">
        <v>15</v>
      </c>
      <c r="D1414" s="126">
        <v>0</v>
      </c>
      <c r="E1414" s="236" t="s">
        <v>1234</v>
      </c>
    </row>
    <row r="1415" spans="1:5" x14ac:dyDescent="0.2">
      <c r="A1415" s="235">
        <v>122235</v>
      </c>
      <c r="B1415" s="236" t="s">
        <v>1669</v>
      </c>
      <c r="C1415" s="236" t="s">
        <v>15</v>
      </c>
      <c r="D1415" s="126">
        <v>0</v>
      </c>
      <c r="E1415" s="236" t="s">
        <v>1234</v>
      </c>
    </row>
    <row r="1416" spans="1:5" x14ac:dyDescent="0.2">
      <c r="A1416" s="235">
        <v>122240</v>
      </c>
      <c r="B1416" s="236" t="s">
        <v>1674</v>
      </c>
      <c r="C1416" s="236" t="s">
        <v>15</v>
      </c>
      <c r="D1416" s="126">
        <v>0</v>
      </c>
      <c r="E1416" s="236" t="s">
        <v>1234</v>
      </c>
    </row>
    <row r="1417" spans="1:5" x14ac:dyDescent="0.2">
      <c r="A1417" s="235">
        <v>122247</v>
      </c>
      <c r="B1417" s="236" t="s">
        <v>1672</v>
      </c>
      <c r="C1417" s="236" t="s">
        <v>5</v>
      </c>
      <c r="D1417" s="126">
        <v>2</v>
      </c>
      <c r="E1417" s="236" t="s">
        <v>1234</v>
      </c>
    </row>
    <row r="1418" spans="1:5" x14ac:dyDescent="0.2">
      <c r="A1418" s="235">
        <v>122250</v>
      </c>
      <c r="B1418" s="236" t="s">
        <v>1671</v>
      </c>
      <c r="C1418" s="236" t="s">
        <v>5</v>
      </c>
      <c r="D1418" s="126">
        <v>10</v>
      </c>
      <c r="E1418" s="236" t="s">
        <v>1234</v>
      </c>
    </row>
    <row r="1419" spans="1:5" x14ac:dyDescent="0.2">
      <c r="A1419" s="235">
        <v>122251</v>
      </c>
      <c r="B1419" s="236" t="s">
        <v>1666</v>
      </c>
      <c r="C1419" s="236" t="s">
        <v>5</v>
      </c>
      <c r="D1419" s="126">
        <v>0</v>
      </c>
      <c r="E1419" s="236" t="s">
        <v>1234</v>
      </c>
    </row>
    <row r="1420" spans="1:5" x14ac:dyDescent="0.2">
      <c r="A1420" s="235">
        <v>122252</v>
      </c>
      <c r="B1420" s="236" t="s">
        <v>1667</v>
      </c>
      <c r="C1420" s="236" t="s">
        <v>5</v>
      </c>
      <c r="D1420" s="126">
        <v>0</v>
      </c>
      <c r="E1420" s="236" t="s">
        <v>1234</v>
      </c>
    </row>
    <row r="1421" spans="1:5" x14ac:dyDescent="0.2">
      <c r="A1421" s="235">
        <v>122254</v>
      </c>
      <c r="B1421" s="236" t="s">
        <v>1670</v>
      </c>
      <c r="C1421" s="236" t="s">
        <v>967</v>
      </c>
      <c r="D1421" s="126">
        <v>0</v>
      </c>
      <c r="E1421" s="236" t="s">
        <v>1234</v>
      </c>
    </row>
    <row r="1422" spans="1:5" x14ac:dyDescent="0.2">
      <c r="A1422" s="235">
        <v>122333</v>
      </c>
      <c r="B1422" s="236" t="s">
        <v>1677</v>
      </c>
      <c r="C1422" s="236" t="s">
        <v>2</v>
      </c>
      <c r="D1422" s="126">
        <v>0</v>
      </c>
      <c r="E1422" s="236" t="s">
        <v>1234</v>
      </c>
    </row>
    <row r="1423" spans="1:5" x14ac:dyDescent="0.2">
      <c r="A1423" s="235">
        <v>122334</v>
      </c>
      <c r="B1423" s="236" t="s">
        <v>1665</v>
      </c>
      <c r="C1423" s="236" t="s">
        <v>15</v>
      </c>
      <c r="D1423" s="126">
        <v>0</v>
      </c>
      <c r="E1423" s="236" t="s">
        <v>1234</v>
      </c>
    </row>
    <row r="1424" spans="1:5" x14ac:dyDescent="0.2">
      <c r="A1424" s="235">
        <v>122343</v>
      </c>
      <c r="B1424" s="236" t="s">
        <v>1664</v>
      </c>
      <c r="C1424" s="236" t="s">
        <v>2</v>
      </c>
      <c r="D1424" s="126">
        <v>0</v>
      </c>
      <c r="E1424" s="236" t="s">
        <v>1234</v>
      </c>
    </row>
    <row r="1425" spans="1:5" x14ac:dyDescent="0.2">
      <c r="A1425" s="235">
        <v>122346</v>
      </c>
      <c r="B1425" s="236" t="s">
        <v>1675</v>
      </c>
      <c r="C1425" s="236" t="s">
        <v>2</v>
      </c>
      <c r="D1425" s="126">
        <v>0</v>
      </c>
      <c r="E1425" s="236" t="s">
        <v>1234</v>
      </c>
    </row>
    <row r="1426" spans="1:5" x14ac:dyDescent="0.2">
      <c r="A1426" s="235">
        <v>122348</v>
      </c>
      <c r="B1426" s="236" t="s">
        <v>1673</v>
      </c>
      <c r="C1426" s="236" t="s">
        <v>2</v>
      </c>
      <c r="D1426" s="126">
        <v>0</v>
      </c>
      <c r="E1426" s="236" t="s">
        <v>1234</v>
      </c>
    </row>
    <row r="1427" spans="1:5" x14ac:dyDescent="0.2">
      <c r="A1427" s="235">
        <v>122403</v>
      </c>
      <c r="B1427" s="236" t="s">
        <v>1713</v>
      </c>
      <c r="C1427" s="236" t="s">
        <v>5</v>
      </c>
      <c r="D1427" s="126">
        <v>0</v>
      </c>
      <c r="E1427" s="236" t="s">
        <v>1234</v>
      </c>
    </row>
    <row r="1428" spans="1:5" x14ac:dyDescent="0.2">
      <c r="A1428" s="235">
        <v>122404</v>
      </c>
      <c r="B1428" s="236" t="s">
        <v>1690</v>
      </c>
      <c r="C1428" s="236" t="s">
        <v>5</v>
      </c>
      <c r="D1428" s="126">
        <v>0</v>
      </c>
      <c r="E1428" s="236" t="s">
        <v>1234</v>
      </c>
    </row>
    <row r="1429" spans="1:5" x14ac:dyDescent="0.2">
      <c r="A1429" s="235">
        <v>122405</v>
      </c>
      <c r="B1429" s="236" t="s">
        <v>1706</v>
      </c>
      <c r="C1429" s="236" t="s">
        <v>15</v>
      </c>
      <c r="D1429" s="126">
        <v>0</v>
      </c>
      <c r="E1429" s="236" t="s">
        <v>1234</v>
      </c>
    </row>
    <row r="1430" spans="1:5" x14ac:dyDescent="0.2">
      <c r="A1430" s="235">
        <v>122406</v>
      </c>
      <c r="B1430" s="236" t="s">
        <v>1714</v>
      </c>
      <c r="C1430" s="236" t="s">
        <v>5</v>
      </c>
      <c r="D1430" s="126">
        <v>0</v>
      </c>
      <c r="E1430" s="236" t="s">
        <v>1234</v>
      </c>
    </row>
    <row r="1431" spans="1:5" x14ac:dyDescent="0.2">
      <c r="A1431" s="235">
        <v>122409</v>
      </c>
      <c r="B1431" s="236" t="s">
        <v>1705</v>
      </c>
      <c r="C1431" s="236" t="s">
        <v>15</v>
      </c>
      <c r="D1431" s="126">
        <v>0</v>
      </c>
      <c r="E1431" s="236" t="s">
        <v>1234</v>
      </c>
    </row>
    <row r="1432" spans="1:5" x14ac:dyDescent="0.2">
      <c r="A1432" s="235">
        <v>122410</v>
      </c>
      <c r="B1432" s="236" t="s">
        <v>1695</v>
      </c>
      <c r="C1432" s="236" t="s">
        <v>5</v>
      </c>
      <c r="D1432" s="126">
        <v>0</v>
      </c>
      <c r="E1432" s="236" t="s">
        <v>1234</v>
      </c>
    </row>
    <row r="1433" spans="1:5" x14ac:dyDescent="0.2">
      <c r="A1433" s="235">
        <v>122411</v>
      </c>
      <c r="B1433" s="236" t="s">
        <v>1691</v>
      </c>
      <c r="C1433" s="236" t="s">
        <v>5</v>
      </c>
      <c r="D1433" s="126">
        <v>0</v>
      </c>
      <c r="E1433" s="236" t="s">
        <v>1234</v>
      </c>
    </row>
    <row r="1434" spans="1:5" x14ac:dyDescent="0.2">
      <c r="A1434" s="235">
        <v>122415</v>
      </c>
      <c r="B1434" s="236" t="s">
        <v>1698</v>
      </c>
      <c r="C1434" s="236" t="s">
        <v>5</v>
      </c>
      <c r="D1434" s="126">
        <v>0</v>
      </c>
      <c r="E1434" s="236" t="s">
        <v>1234</v>
      </c>
    </row>
    <row r="1435" spans="1:5" x14ac:dyDescent="0.2">
      <c r="A1435" s="235">
        <v>122418</v>
      </c>
      <c r="B1435" s="236" t="s">
        <v>1710</v>
      </c>
      <c r="C1435" s="236" t="s">
        <v>15</v>
      </c>
      <c r="D1435" s="126">
        <v>0</v>
      </c>
      <c r="E1435" s="236" t="s">
        <v>1234</v>
      </c>
    </row>
    <row r="1436" spans="1:5" x14ac:dyDescent="0.2">
      <c r="A1436" s="235">
        <v>122424</v>
      </c>
      <c r="B1436" s="236" t="s">
        <v>1712</v>
      </c>
      <c r="C1436" s="236" t="s">
        <v>5</v>
      </c>
      <c r="D1436" s="126">
        <v>3</v>
      </c>
      <c r="E1436" s="236" t="s">
        <v>1234</v>
      </c>
    </row>
    <row r="1437" spans="1:5" x14ac:dyDescent="0.2">
      <c r="A1437" s="235">
        <v>122425</v>
      </c>
      <c r="B1437" s="236" t="s">
        <v>1700</v>
      </c>
      <c r="C1437" s="236" t="s">
        <v>5</v>
      </c>
      <c r="D1437" s="126">
        <v>0</v>
      </c>
      <c r="E1437" s="236" t="s">
        <v>1234</v>
      </c>
    </row>
    <row r="1438" spans="1:5" x14ac:dyDescent="0.2">
      <c r="A1438" s="235">
        <v>122437</v>
      </c>
      <c r="B1438" s="236" t="s">
        <v>1692</v>
      </c>
      <c r="C1438" s="236" t="s">
        <v>5</v>
      </c>
      <c r="D1438" s="126">
        <v>0</v>
      </c>
      <c r="E1438" s="236" t="s">
        <v>1234</v>
      </c>
    </row>
    <row r="1439" spans="1:5" x14ac:dyDescent="0.2">
      <c r="A1439" s="235">
        <v>122438</v>
      </c>
      <c r="B1439" s="236" t="s">
        <v>1694</v>
      </c>
      <c r="C1439" s="236" t="s">
        <v>5</v>
      </c>
      <c r="D1439" s="126">
        <v>0</v>
      </c>
      <c r="E1439" s="236" t="s">
        <v>1234</v>
      </c>
    </row>
    <row r="1440" spans="1:5" x14ac:dyDescent="0.2">
      <c r="A1440" s="235">
        <v>122439</v>
      </c>
      <c r="B1440" s="236" t="s">
        <v>1702</v>
      </c>
      <c r="C1440" s="236" t="s">
        <v>5</v>
      </c>
      <c r="D1440" s="126">
        <v>0</v>
      </c>
      <c r="E1440" s="236" t="s">
        <v>1234</v>
      </c>
    </row>
    <row r="1441" spans="1:5" x14ac:dyDescent="0.2">
      <c r="A1441" s="235">
        <v>122440</v>
      </c>
      <c r="B1441" s="236" t="s">
        <v>1693</v>
      </c>
      <c r="C1441" s="236" t="s">
        <v>5</v>
      </c>
      <c r="D1441" s="126">
        <v>0</v>
      </c>
      <c r="E1441" s="236" t="s">
        <v>1234</v>
      </c>
    </row>
    <row r="1442" spans="1:5" x14ac:dyDescent="0.2">
      <c r="A1442" s="235">
        <v>122553</v>
      </c>
      <c r="B1442" s="236" t="s">
        <v>1717</v>
      </c>
      <c r="C1442" s="236" t="s">
        <v>5</v>
      </c>
      <c r="D1442" s="126">
        <v>0</v>
      </c>
      <c r="E1442" s="236" t="s">
        <v>1234</v>
      </c>
    </row>
    <row r="1443" spans="1:5" x14ac:dyDescent="0.2">
      <c r="A1443" s="235">
        <v>122554</v>
      </c>
      <c r="B1443" s="236" t="s">
        <v>1716</v>
      </c>
      <c r="C1443" s="236" t="s">
        <v>5</v>
      </c>
      <c r="D1443" s="126">
        <v>0</v>
      </c>
      <c r="E1443" s="236" t="s">
        <v>1234</v>
      </c>
    </row>
    <row r="1444" spans="1:5" x14ac:dyDescent="0.2">
      <c r="A1444" s="235">
        <v>122555</v>
      </c>
      <c r="B1444" s="236" t="s">
        <v>1711</v>
      </c>
      <c r="C1444" s="236" t="s">
        <v>5</v>
      </c>
      <c r="D1444" s="126">
        <v>0</v>
      </c>
      <c r="E1444" s="236" t="s">
        <v>1234</v>
      </c>
    </row>
    <row r="1445" spans="1:5" x14ac:dyDescent="0.2">
      <c r="A1445" s="235">
        <v>122559</v>
      </c>
      <c r="B1445" s="236" t="s">
        <v>1701</v>
      </c>
      <c r="C1445" s="236" t="s">
        <v>5</v>
      </c>
      <c r="D1445" s="126">
        <v>0</v>
      </c>
      <c r="E1445" s="236" t="s">
        <v>1234</v>
      </c>
    </row>
    <row r="1446" spans="1:5" x14ac:dyDescent="0.2">
      <c r="A1446" s="235">
        <v>122560</v>
      </c>
      <c r="B1446" s="236" t="s">
        <v>1708</v>
      </c>
      <c r="C1446" s="236" t="s">
        <v>5</v>
      </c>
      <c r="D1446" s="126">
        <v>1</v>
      </c>
      <c r="E1446" s="236" t="s">
        <v>1234</v>
      </c>
    </row>
    <row r="1447" spans="1:5" x14ac:dyDescent="0.2">
      <c r="A1447" s="235">
        <v>122561</v>
      </c>
      <c r="B1447" s="236" t="s">
        <v>1704</v>
      </c>
      <c r="C1447" s="236" t="s">
        <v>5</v>
      </c>
      <c r="D1447" s="126">
        <v>0</v>
      </c>
      <c r="E1447" s="236" t="s">
        <v>1234</v>
      </c>
    </row>
    <row r="1448" spans="1:5" x14ac:dyDescent="0.2">
      <c r="A1448" s="235">
        <v>122570</v>
      </c>
      <c r="B1448" s="236" t="s">
        <v>1699</v>
      </c>
      <c r="C1448" s="236" t="s">
        <v>15</v>
      </c>
      <c r="D1448" s="126">
        <v>0</v>
      </c>
      <c r="E1448" s="236" t="s">
        <v>1234</v>
      </c>
    </row>
    <row r="1449" spans="1:5" x14ac:dyDescent="0.2">
      <c r="A1449" s="235">
        <v>122571</v>
      </c>
      <c r="B1449" s="236" t="s">
        <v>1709</v>
      </c>
      <c r="C1449" s="236" t="s">
        <v>15</v>
      </c>
      <c r="D1449" s="126">
        <v>0</v>
      </c>
      <c r="E1449" s="236" t="s">
        <v>1234</v>
      </c>
    </row>
    <row r="1450" spans="1:5" x14ac:dyDescent="0.2">
      <c r="A1450" s="235">
        <v>122573</v>
      </c>
      <c r="B1450" s="236" t="s">
        <v>1696</v>
      </c>
      <c r="C1450" s="236" t="s">
        <v>15</v>
      </c>
      <c r="D1450" s="126">
        <v>0</v>
      </c>
      <c r="E1450" s="236" t="s">
        <v>1234</v>
      </c>
    </row>
    <row r="1451" spans="1:5" x14ac:dyDescent="0.2">
      <c r="A1451" s="235">
        <v>122574</v>
      </c>
      <c r="B1451" s="236" t="s">
        <v>1697</v>
      </c>
      <c r="C1451" s="236" t="s">
        <v>15</v>
      </c>
      <c r="D1451" s="126">
        <v>0</v>
      </c>
      <c r="E1451" s="236" t="s">
        <v>1234</v>
      </c>
    </row>
    <row r="1452" spans="1:5" x14ac:dyDescent="0.2">
      <c r="A1452" s="235">
        <v>122575</v>
      </c>
      <c r="B1452" s="236" t="s">
        <v>1703</v>
      </c>
      <c r="C1452" s="236" t="s">
        <v>5</v>
      </c>
      <c r="D1452" s="126">
        <v>0</v>
      </c>
      <c r="E1452" s="236" t="s">
        <v>1234</v>
      </c>
    </row>
    <row r="1453" spans="1:5" x14ac:dyDescent="0.2">
      <c r="A1453" s="235">
        <v>122632</v>
      </c>
      <c r="B1453" s="236" t="s">
        <v>1726</v>
      </c>
      <c r="C1453" s="236" t="s">
        <v>15</v>
      </c>
      <c r="D1453" s="126">
        <v>0</v>
      </c>
      <c r="E1453" s="236" t="s">
        <v>1234</v>
      </c>
    </row>
    <row r="1454" spans="1:5" x14ac:dyDescent="0.2">
      <c r="D1454" s="111">
        <f>SUBTOTAL(9,D2:D1453)</f>
        <v>241</v>
      </c>
    </row>
  </sheetData>
  <autoFilter ref="A1:E79" xr:uid="{12A74266-BDC8-400B-B854-5AB35CA0155D}">
    <sortState xmlns:xlrd2="http://schemas.microsoft.com/office/spreadsheetml/2017/richdata2" ref="A2:E79">
      <sortCondition ref="B1:B78"/>
    </sortState>
  </autoFilter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4AD14-36A0-4958-BA96-3259F389FD76}">
  <sheetPr codeName="Planilha3"/>
  <dimension ref="A1:M1409"/>
  <sheetViews>
    <sheetView workbookViewId="0">
      <pane ySplit="1" topLeftCell="A2" activePane="bottomLeft" state="frozen"/>
      <selection pane="bottomLeft" activeCell="A1082" sqref="A1082:XFD1082"/>
    </sheetView>
  </sheetViews>
  <sheetFormatPr defaultColWidth="11.42578125" defaultRowHeight="12.75" customHeight="1" x14ac:dyDescent="0.2"/>
  <cols>
    <col min="1" max="1" width="27.5703125" style="8" bestFit="1" customWidth="1"/>
    <col min="2" max="2" width="11.42578125" style="8"/>
    <col min="3" max="3" width="18.42578125" style="31" bestFit="1" customWidth="1"/>
    <col min="4" max="4" width="31.7109375" style="84" bestFit="1" customWidth="1"/>
    <col min="5" max="5" width="16.42578125" style="8" bestFit="1" customWidth="1"/>
    <col min="6" max="7" width="11.42578125" style="8"/>
    <col min="8" max="8" width="28.85546875" style="31" bestFit="1" customWidth="1"/>
    <col min="9" max="9" width="13.140625" style="31" bestFit="1" customWidth="1"/>
    <col min="10" max="10" width="24.7109375" style="31" bestFit="1" customWidth="1"/>
    <col min="11" max="11" width="28.5703125" style="31" bestFit="1" customWidth="1"/>
    <col min="12" max="12" width="14.85546875" style="31" bestFit="1" customWidth="1"/>
    <col min="13" max="13" width="14.85546875" style="31" customWidth="1"/>
    <col min="14" max="16384" width="11.42578125" style="8"/>
  </cols>
  <sheetData>
    <row r="1" spans="1:13" ht="18.75" customHeight="1" x14ac:dyDescent="0.2">
      <c r="A1" s="79" t="s">
        <v>1418</v>
      </c>
      <c r="B1" s="79" t="s">
        <v>1419</v>
      </c>
      <c r="C1" s="79" t="s">
        <v>1420</v>
      </c>
      <c r="D1" s="79" t="s">
        <v>1421</v>
      </c>
      <c r="E1" s="79" t="s">
        <v>1422</v>
      </c>
      <c r="F1" s="79" t="s">
        <v>1423</v>
      </c>
      <c r="G1" s="79" t="s">
        <v>1424</v>
      </c>
      <c r="H1" s="79" t="s">
        <v>1425</v>
      </c>
      <c r="I1" s="210" t="s">
        <v>1727</v>
      </c>
      <c r="J1" s="79" t="s">
        <v>1426</v>
      </c>
      <c r="K1" s="79" t="s">
        <v>1427</v>
      </c>
      <c r="L1" s="79" t="s">
        <v>1428</v>
      </c>
      <c r="M1" s="79" t="s">
        <v>1429</v>
      </c>
    </row>
    <row r="2" spans="1:13" ht="14.25" customHeight="1" x14ac:dyDescent="0.2">
      <c r="A2" s="231" t="s">
        <v>1591</v>
      </c>
      <c r="B2" s="230">
        <v>112476</v>
      </c>
      <c r="C2" s="230">
        <v>10773</v>
      </c>
      <c r="D2" s="231" t="s">
        <v>204</v>
      </c>
      <c r="E2" s="230">
        <v>14491032</v>
      </c>
      <c r="F2" s="230">
        <v>29386</v>
      </c>
      <c r="G2" s="230">
        <v>1</v>
      </c>
      <c r="H2" s="240">
        <v>359.46</v>
      </c>
      <c r="I2" s="240">
        <f>G2*H2</f>
        <v>359.46</v>
      </c>
      <c r="J2" s="231" t="s">
        <v>1393</v>
      </c>
      <c r="K2" s="231" t="s">
        <v>1394</v>
      </c>
      <c r="L2" s="232">
        <v>45170</v>
      </c>
      <c r="M2" s="232">
        <v>45199</v>
      </c>
    </row>
    <row r="3" spans="1:13" ht="14.25" customHeight="1" x14ac:dyDescent="0.2">
      <c r="A3" s="231" t="s">
        <v>1591</v>
      </c>
      <c r="B3" s="230">
        <v>112876</v>
      </c>
      <c r="C3" s="230">
        <v>10773</v>
      </c>
      <c r="D3" s="231" t="s">
        <v>469</v>
      </c>
      <c r="E3" s="230">
        <v>14491032</v>
      </c>
      <c r="F3" s="230">
        <v>30186</v>
      </c>
      <c r="G3" s="230">
        <v>1</v>
      </c>
      <c r="H3" s="240">
        <v>359.46</v>
      </c>
      <c r="I3" s="240">
        <f t="shared" ref="I3:I66" si="0">G3*H3</f>
        <v>359.46</v>
      </c>
      <c r="J3" s="231" t="s">
        <v>1393</v>
      </c>
      <c r="K3" s="231" t="s">
        <v>1394</v>
      </c>
      <c r="L3" s="232">
        <v>45170</v>
      </c>
      <c r="M3" s="232">
        <v>45199</v>
      </c>
    </row>
    <row r="4" spans="1:13" ht="14.25" customHeight="1" x14ac:dyDescent="0.2">
      <c r="A4" s="231" t="s">
        <v>1591</v>
      </c>
      <c r="B4" s="230">
        <v>113711</v>
      </c>
      <c r="C4" s="230">
        <v>10775</v>
      </c>
      <c r="D4" s="231" t="s">
        <v>929</v>
      </c>
      <c r="E4" s="230">
        <v>14491032</v>
      </c>
      <c r="F4" s="230">
        <v>31856</v>
      </c>
      <c r="G4" s="230">
        <v>1</v>
      </c>
      <c r="H4" s="240">
        <v>359.46</v>
      </c>
      <c r="I4" s="240">
        <f t="shared" si="0"/>
        <v>359.46</v>
      </c>
      <c r="J4" s="231" t="s">
        <v>1393</v>
      </c>
      <c r="K4" s="231" t="s">
        <v>1394</v>
      </c>
      <c r="L4" s="232">
        <v>45170</v>
      </c>
      <c r="M4" s="232">
        <v>45199</v>
      </c>
    </row>
    <row r="5" spans="1:13" ht="14.25" customHeight="1" x14ac:dyDescent="0.2">
      <c r="A5" s="231" t="s">
        <v>1591</v>
      </c>
      <c r="B5" s="230">
        <v>113720</v>
      </c>
      <c r="C5" s="230">
        <v>10775</v>
      </c>
      <c r="D5" s="231" t="s">
        <v>937</v>
      </c>
      <c r="E5" s="230">
        <v>14491032</v>
      </c>
      <c r="F5" s="230">
        <v>31874</v>
      </c>
      <c r="G5" s="230">
        <v>1</v>
      </c>
      <c r="H5" s="240">
        <v>359.46</v>
      </c>
      <c r="I5" s="240">
        <f t="shared" si="0"/>
        <v>359.46</v>
      </c>
      <c r="J5" s="231" t="s">
        <v>1393</v>
      </c>
      <c r="K5" s="231" t="s">
        <v>1394</v>
      </c>
      <c r="L5" s="232">
        <v>45170</v>
      </c>
      <c r="M5" s="232">
        <v>45199</v>
      </c>
    </row>
    <row r="6" spans="1:13" ht="14.25" customHeight="1" x14ac:dyDescent="0.2">
      <c r="A6" s="231" t="s">
        <v>1591</v>
      </c>
      <c r="B6" s="230">
        <v>113739</v>
      </c>
      <c r="C6" s="230">
        <v>10775</v>
      </c>
      <c r="D6" s="231" t="s">
        <v>961</v>
      </c>
      <c r="E6" s="230">
        <v>14491032</v>
      </c>
      <c r="F6" s="230">
        <v>31912</v>
      </c>
      <c r="G6" s="230">
        <v>1</v>
      </c>
      <c r="H6" s="240">
        <v>359.46</v>
      </c>
      <c r="I6" s="240">
        <f t="shared" si="0"/>
        <v>359.46</v>
      </c>
      <c r="J6" s="231" t="s">
        <v>1393</v>
      </c>
      <c r="K6" s="231" t="s">
        <v>1394</v>
      </c>
      <c r="L6" s="232">
        <v>45170</v>
      </c>
      <c r="M6" s="232">
        <v>45199</v>
      </c>
    </row>
    <row r="7" spans="1:13" ht="14.25" customHeight="1" x14ac:dyDescent="0.2">
      <c r="A7" s="231" t="s">
        <v>1591</v>
      </c>
      <c r="B7" s="230">
        <v>113741</v>
      </c>
      <c r="C7" s="230">
        <v>10773</v>
      </c>
      <c r="D7" s="231" t="s">
        <v>963</v>
      </c>
      <c r="E7" s="230">
        <v>14491032</v>
      </c>
      <c r="F7" s="230">
        <v>31916</v>
      </c>
      <c r="G7" s="230">
        <v>1</v>
      </c>
      <c r="H7" s="240">
        <v>359.46</v>
      </c>
      <c r="I7" s="240">
        <f t="shared" si="0"/>
        <v>359.46</v>
      </c>
      <c r="J7" s="231" t="s">
        <v>1393</v>
      </c>
      <c r="K7" s="231" t="s">
        <v>1394</v>
      </c>
      <c r="L7" s="232">
        <v>45170</v>
      </c>
      <c r="M7" s="232">
        <v>45199</v>
      </c>
    </row>
    <row r="8" spans="1:13" ht="14.25" customHeight="1" x14ac:dyDescent="0.2">
      <c r="A8" s="231" t="s">
        <v>1591</v>
      </c>
      <c r="B8" s="230">
        <v>113742</v>
      </c>
      <c r="C8" s="230">
        <v>10776</v>
      </c>
      <c r="D8" s="231" t="s">
        <v>965</v>
      </c>
      <c r="E8" s="230">
        <v>14491032</v>
      </c>
      <c r="F8" s="230">
        <v>31918</v>
      </c>
      <c r="G8" s="230">
        <v>1</v>
      </c>
      <c r="H8" s="240">
        <v>359.46</v>
      </c>
      <c r="I8" s="240">
        <f t="shared" si="0"/>
        <v>359.46</v>
      </c>
      <c r="J8" s="231" t="s">
        <v>1393</v>
      </c>
      <c r="K8" s="231" t="s">
        <v>1394</v>
      </c>
      <c r="L8" s="232">
        <v>45170</v>
      </c>
      <c r="M8" s="232">
        <v>45199</v>
      </c>
    </row>
    <row r="9" spans="1:13" ht="14.25" customHeight="1" x14ac:dyDescent="0.2">
      <c r="A9" s="231" t="s">
        <v>1591</v>
      </c>
      <c r="B9" s="230">
        <v>113743</v>
      </c>
      <c r="C9" s="230">
        <v>10776</v>
      </c>
      <c r="D9" s="231" t="s">
        <v>966</v>
      </c>
      <c r="E9" s="230">
        <v>14491032</v>
      </c>
      <c r="F9" s="230">
        <v>31920</v>
      </c>
      <c r="G9" s="230">
        <v>1</v>
      </c>
      <c r="H9" s="240">
        <v>359.46</v>
      </c>
      <c r="I9" s="240">
        <f t="shared" si="0"/>
        <v>359.46</v>
      </c>
      <c r="J9" s="231" t="s">
        <v>1393</v>
      </c>
      <c r="K9" s="231" t="s">
        <v>1394</v>
      </c>
      <c r="L9" s="232">
        <v>45170</v>
      </c>
      <c r="M9" s="232">
        <v>45199</v>
      </c>
    </row>
    <row r="10" spans="1:13" ht="14.25" customHeight="1" x14ac:dyDescent="0.2">
      <c r="A10" s="231" t="s">
        <v>1591</v>
      </c>
      <c r="B10" s="230">
        <v>113795</v>
      </c>
      <c r="C10" s="230">
        <v>10775</v>
      </c>
      <c r="D10" s="231" t="s">
        <v>985</v>
      </c>
      <c r="E10" s="230">
        <v>14491032</v>
      </c>
      <c r="F10" s="230">
        <v>32042</v>
      </c>
      <c r="G10" s="230">
        <v>1</v>
      </c>
      <c r="H10" s="240">
        <v>359.46</v>
      </c>
      <c r="I10" s="240">
        <f t="shared" si="0"/>
        <v>359.46</v>
      </c>
      <c r="J10" s="231" t="s">
        <v>1393</v>
      </c>
      <c r="K10" s="231" t="s">
        <v>1394</v>
      </c>
      <c r="L10" s="232">
        <v>45170</v>
      </c>
      <c r="M10" s="232">
        <v>45199</v>
      </c>
    </row>
    <row r="11" spans="1:13" ht="14.25" customHeight="1" x14ac:dyDescent="0.2">
      <c r="A11" s="231" t="s">
        <v>1591</v>
      </c>
      <c r="B11" s="230">
        <v>113846</v>
      </c>
      <c r="C11" s="230">
        <v>10774</v>
      </c>
      <c r="D11" s="231" t="s">
        <v>988</v>
      </c>
      <c r="E11" s="230">
        <v>14491032</v>
      </c>
      <c r="F11" s="230">
        <v>33630</v>
      </c>
      <c r="G11" s="230">
        <v>1</v>
      </c>
      <c r="H11" s="240">
        <v>359.46</v>
      </c>
      <c r="I11" s="240">
        <f t="shared" si="0"/>
        <v>359.46</v>
      </c>
      <c r="J11" s="231" t="s">
        <v>1393</v>
      </c>
      <c r="K11" s="231" t="s">
        <v>1394</v>
      </c>
      <c r="L11" s="232">
        <v>45170</v>
      </c>
      <c r="M11" s="232">
        <v>45199</v>
      </c>
    </row>
    <row r="12" spans="1:13" ht="14.25" customHeight="1" x14ac:dyDescent="0.2">
      <c r="A12" s="231" t="s">
        <v>1591</v>
      </c>
      <c r="B12" s="230">
        <v>113930</v>
      </c>
      <c r="C12" s="230">
        <v>10788</v>
      </c>
      <c r="D12" s="231" t="s">
        <v>995</v>
      </c>
      <c r="E12" s="230">
        <v>14491032</v>
      </c>
      <c r="F12" s="230">
        <v>33834</v>
      </c>
      <c r="G12" s="230">
        <v>1</v>
      </c>
      <c r="H12" s="240">
        <v>359.46</v>
      </c>
      <c r="I12" s="240">
        <f t="shared" si="0"/>
        <v>359.46</v>
      </c>
      <c r="J12" s="231" t="s">
        <v>1393</v>
      </c>
      <c r="K12" s="231" t="s">
        <v>1394</v>
      </c>
      <c r="L12" s="232">
        <v>45170</v>
      </c>
      <c r="M12" s="232">
        <v>45199</v>
      </c>
    </row>
    <row r="13" spans="1:13" ht="14.25" customHeight="1" x14ac:dyDescent="0.2">
      <c r="A13" s="231" t="s">
        <v>1591</v>
      </c>
      <c r="B13" s="230">
        <v>119241</v>
      </c>
      <c r="C13" s="230">
        <v>10775</v>
      </c>
      <c r="D13" s="231" t="s">
        <v>1460</v>
      </c>
      <c r="E13" s="230">
        <v>14491032</v>
      </c>
      <c r="F13" s="230">
        <v>48552</v>
      </c>
      <c r="G13" s="230">
        <v>1</v>
      </c>
      <c r="H13" s="240">
        <v>359.46</v>
      </c>
      <c r="I13" s="240">
        <f t="shared" si="0"/>
        <v>359.46</v>
      </c>
      <c r="J13" s="231" t="s">
        <v>1393</v>
      </c>
      <c r="K13" s="231" t="s">
        <v>1394</v>
      </c>
      <c r="L13" s="232">
        <v>45170</v>
      </c>
      <c r="M13" s="232">
        <v>45199</v>
      </c>
    </row>
    <row r="14" spans="1:13" ht="14.25" customHeight="1" x14ac:dyDescent="0.2">
      <c r="A14" s="231" t="s">
        <v>1591</v>
      </c>
      <c r="B14" s="230">
        <v>119242</v>
      </c>
      <c r="C14" s="230">
        <v>10775</v>
      </c>
      <c r="D14" s="231" t="s">
        <v>1456</v>
      </c>
      <c r="E14" s="230">
        <v>14491032</v>
      </c>
      <c r="F14" s="230">
        <v>48554</v>
      </c>
      <c r="G14" s="230">
        <v>1</v>
      </c>
      <c r="H14" s="240">
        <v>359.46</v>
      </c>
      <c r="I14" s="240">
        <f t="shared" si="0"/>
        <v>359.46</v>
      </c>
      <c r="J14" s="231" t="s">
        <v>1393</v>
      </c>
      <c r="K14" s="231" t="s">
        <v>1394</v>
      </c>
      <c r="L14" s="232">
        <v>45170</v>
      </c>
      <c r="M14" s="232">
        <v>45199</v>
      </c>
    </row>
    <row r="15" spans="1:13" ht="14.25" customHeight="1" x14ac:dyDescent="0.2">
      <c r="A15" s="231" t="s">
        <v>1591</v>
      </c>
      <c r="B15" s="230">
        <v>121690</v>
      </c>
      <c r="C15" s="230">
        <v>10773</v>
      </c>
      <c r="D15" s="231" t="s">
        <v>1601</v>
      </c>
      <c r="E15" s="230">
        <v>14491032</v>
      </c>
      <c r="F15" s="230">
        <v>54341</v>
      </c>
      <c r="G15" s="230">
        <v>1</v>
      </c>
      <c r="H15" s="240">
        <v>359.46</v>
      </c>
      <c r="I15" s="240">
        <f t="shared" si="0"/>
        <v>359.46</v>
      </c>
      <c r="J15" s="231" t="s">
        <v>1393</v>
      </c>
      <c r="K15" s="231" t="s">
        <v>1395</v>
      </c>
      <c r="L15" s="232">
        <v>45170</v>
      </c>
      <c r="M15" s="232">
        <v>45199</v>
      </c>
    </row>
    <row r="16" spans="1:13" ht="14.25" customHeight="1" x14ac:dyDescent="0.2">
      <c r="A16" s="231" t="s">
        <v>1591</v>
      </c>
      <c r="B16" s="230">
        <v>121802</v>
      </c>
      <c r="C16" s="230">
        <v>10774</v>
      </c>
      <c r="D16" s="231" t="s">
        <v>1590</v>
      </c>
      <c r="E16" s="230">
        <v>14491032</v>
      </c>
      <c r="F16" s="230">
        <v>54628</v>
      </c>
      <c r="G16" s="230">
        <v>1</v>
      </c>
      <c r="H16" s="240">
        <v>359.46</v>
      </c>
      <c r="I16" s="240">
        <f t="shared" si="0"/>
        <v>359.46</v>
      </c>
      <c r="J16" s="231" t="s">
        <v>1393</v>
      </c>
      <c r="K16" s="231" t="s">
        <v>1394</v>
      </c>
      <c r="L16" s="232">
        <v>45170</v>
      </c>
      <c r="M16" s="232">
        <v>45199</v>
      </c>
    </row>
    <row r="17" spans="1:13" ht="14.25" customHeight="1" x14ac:dyDescent="0.2">
      <c r="A17" s="231" t="s">
        <v>10</v>
      </c>
      <c r="B17" s="230">
        <v>112172</v>
      </c>
      <c r="C17" s="230">
        <v>10771</v>
      </c>
      <c r="D17" s="231" t="s">
        <v>6</v>
      </c>
      <c r="E17" s="230">
        <v>14491032</v>
      </c>
      <c r="F17" s="230">
        <v>28778</v>
      </c>
      <c r="G17" s="230">
        <v>1</v>
      </c>
      <c r="H17" s="240">
        <v>359.46</v>
      </c>
      <c r="I17" s="240">
        <f t="shared" si="0"/>
        <v>359.46</v>
      </c>
      <c r="J17" s="231" t="s">
        <v>1393</v>
      </c>
      <c r="K17" s="231" t="s">
        <v>1394</v>
      </c>
      <c r="L17" s="232">
        <v>45170</v>
      </c>
      <c r="M17" s="232">
        <v>45199</v>
      </c>
    </row>
    <row r="18" spans="1:13" ht="14.25" customHeight="1" x14ac:dyDescent="0.2">
      <c r="A18" s="231" t="s">
        <v>10</v>
      </c>
      <c r="B18" s="230">
        <v>112174</v>
      </c>
      <c r="C18" s="230">
        <v>10760</v>
      </c>
      <c r="D18" s="231" t="s">
        <v>11</v>
      </c>
      <c r="E18" s="230">
        <v>14491032</v>
      </c>
      <c r="F18" s="230">
        <v>28782</v>
      </c>
      <c r="G18" s="230">
        <v>1</v>
      </c>
      <c r="H18" s="240">
        <v>359.46</v>
      </c>
      <c r="I18" s="240">
        <f t="shared" si="0"/>
        <v>359.46</v>
      </c>
      <c r="J18" s="231" t="s">
        <v>1393</v>
      </c>
      <c r="K18" s="231" t="s">
        <v>1394</v>
      </c>
      <c r="L18" s="232">
        <v>45170</v>
      </c>
      <c r="M18" s="232">
        <v>45199</v>
      </c>
    </row>
    <row r="19" spans="1:13" ht="14.25" customHeight="1" x14ac:dyDescent="0.2">
      <c r="A19" s="231" t="s">
        <v>10</v>
      </c>
      <c r="B19" s="230">
        <v>112175</v>
      </c>
      <c r="C19" s="230">
        <v>10745</v>
      </c>
      <c r="D19" s="231" t="s">
        <v>12</v>
      </c>
      <c r="E19" s="230">
        <v>14491032</v>
      </c>
      <c r="F19" s="230">
        <v>28784</v>
      </c>
      <c r="G19" s="230">
        <v>1</v>
      </c>
      <c r="H19" s="240">
        <v>359.46</v>
      </c>
      <c r="I19" s="240">
        <f t="shared" si="0"/>
        <v>359.46</v>
      </c>
      <c r="J19" s="231" t="s">
        <v>1393</v>
      </c>
      <c r="K19" s="231" t="s">
        <v>1394</v>
      </c>
      <c r="L19" s="232">
        <v>45170</v>
      </c>
      <c r="M19" s="232">
        <v>45199</v>
      </c>
    </row>
    <row r="20" spans="1:13" ht="14.25" customHeight="1" x14ac:dyDescent="0.2">
      <c r="A20" s="231" t="s">
        <v>10</v>
      </c>
      <c r="B20" s="230">
        <v>112178</v>
      </c>
      <c r="C20" s="230">
        <v>10757</v>
      </c>
      <c r="D20" s="231" t="s">
        <v>16</v>
      </c>
      <c r="E20" s="230">
        <v>14491032</v>
      </c>
      <c r="F20" s="230">
        <v>28790</v>
      </c>
      <c r="G20" s="230">
        <v>1</v>
      </c>
      <c r="H20" s="240">
        <v>359.46</v>
      </c>
      <c r="I20" s="240">
        <f t="shared" si="0"/>
        <v>359.46</v>
      </c>
      <c r="J20" s="231" t="s">
        <v>1393</v>
      </c>
      <c r="K20" s="231" t="s">
        <v>1394</v>
      </c>
      <c r="L20" s="232">
        <v>45170</v>
      </c>
      <c r="M20" s="232">
        <v>45199</v>
      </c>
    </row>
    <row r="21" spans="1:13" ht="14.25" customHeight="1" x14ac:dyDescent="0.2">
      <c r="A21" s="231" t="s">
        <v>10</v>
      </c>
      <c r="B21" s="230">
        <v>112179</v>
      </c>
      <c r="C21" s="230">
        <v>10757</v>
      </c>
      <c r="D21" s="231" t="s">
        <v>17</v>
      </c>
      <c r="E21" s="230">
        <v>14491032</v>
      </c>
      <c r="F21" s="230">
        <v>28792</v>
      </c>
      <c r="G21" s="230">
        <v>1</v>
      </c>
      <c r="H21" s="240">
        <v>359.46</v>
      </c>
      <c r="I21" s="240">
        <f t="shared" si="0"/>
        <v>359.46</v>
      </c>
      <c r="J21" s="231" t="s">
        <v>1393</v>
      </c>
      <c r="K21" s="231" t="s">
        <v>1394</v>
      </c>
      <c r="L21" s="232">
        <v>45170</v>
      </c>
      <c r="M21" s="232">
        <v>45199</v>
      </c>
    </row>
    <row r="22" spans="1:13" ht="14.25" customHeight="1" x14ac:dyDescent="0.2">
      <c r="A22" s="231" t="s">
        <v>10</v>
      </c>
      <c r="B22" s="230">
        <v>112183</v>
      </c>
      <c r="C22" s="230">
        <v>10757</v>
      </c>
      <c r="D22" s="231" t="s">
        <v>18</v>
      </c>
      <c r="E22" s="230">
        <v>14491032</v>
      </c>
      <c r="F22" s="230">
        <v>28800</v>
      </c>
      <c r="G22" s="230">
        <v>1</v>
      </c>
      <c r="H22" s="240">
        <v>359.46</v>
      </c>
      <c r="I22" s="240">
        <f t="shared" si="0"/>
        <v>359.46</v>
      </c>
      <c r="J22" s="231" t="s">
        <v>1393</v>
      </c>
      <c r="K22" s="231" t="s">
        <v>1394</v>
      </c>
      <c r="L22" s="232">
        <v>45170</v>
      </c>
      <c r="M22" s="232">
        <v>45199</v>
      </c>
    </row>
    <row r="23" spans="1:13" ht="14.25" customHeight="1" x14ac:dyDescent="0.2">
      <c r="A23" s="231" t="s">
        <v>10</v>
      </c>
      <c r="B23" s="230">
        <v>112193</v>
      </c>
      <c r="C23" s="230">
        <v>10763</v>
      </c>
      <c r="D23" s="231" t="s">
        <v>25</v>
      </c>
      <c r="E23" s="230">
        <v>14491032</v>
      </c>
      <c r="F23" s="230">
        <v>28820</v>
      </c>
      <c r="G23" s="230">
        <v>1</v>
      </c>
      <c r="H23" s="240">
        <v>359.46</v>
      </c>
      <c r="I23" s="240">
        <f t="shared" si="0"/>
        <v>359.46</v>
      </c>
      <c r="J23" s="231" t="s">
        <v>1393</v>
      </c>
      <c r="K23" s="231" t="s">
        <v>1394</v>
      </c>
      <c r="L23" s="232">
        <v>45170</v>
      </c>
      <c r="M23" s="232">
        <v>45199</v>
      </c>
    </row>
    <row r="24" spans="1:13" ht="14.25" customHeight="1" x14ac:dyDescent="0.2">
      <c r="A24" s="231" t="s">
        <v>10</v>
      </c>
      <c r="B24" s="230">
        <v>112201</v>
      </c>
      <c r="C24" s="230">
        <v>10745</v>
      </c>
      <c r="D24" s="231" t="s">
        <v>1375</v>
      </c>
      <c r="E24" s="230">
        <v>14491032</v>
      </c>
      <c r="F24" s="230">
        <v>28836</v>
      </c>
      <c r="G24" s="230">
        <v>1</v>
      </c>
      <c r="H24" s="240">
        <v>359.46</v>
      </c>
      <c r="I24" s="240">
        <f t="shared" si="0"/>
        <v>359.46</v>
      </c>
      <c r="J24" s="231" t="s">
        <v>1393</v>
      </c>
      <c r="K24" s="231" t="s">
        <v>1394</v>
      </c>
      <c r="L24" s="232">
        <v>45170</v>
      </c>
      <c r="M24" s="232">
        <v>45199</v>
      </c>
    </row>
    <row r="25" spans="1:13" ht="14.25" customHeight="1" x14ac:dyDescent="0.2">
      <c r="A25" s="231" t="s">
        <v>10</v>
      </c>
      <c r="B25" s="230">
        <v>112204</v>
      </c>
      <c r="C25" s="230">
        <v>10745</v>
      </c>
      <c r="D25" s="231" t="s">
        <v>33</v>
      </c>
      <c r="E25" s="230">
        <v>14491032</v>
      </c>
      <c r="F25" s="230">
        <v>28842</v>
      </c>
      <c r="G25" s="230">
        <v>1</v>
      </c>
      <c r="H25" s="240">
        <v>359.46</v>
      </c>
      <c r="I25" s="240">
        <f t="shared" si="0"/>
        <v>359.46</v>
      </c>
      <c r="J25" s="231" t="s">
        <v>1393</v>
      </c>
      <c r="K25" s="231" t="s">
        <v>1394</v>
      </c>
      <c r="L25" s="232">
        <v>45170</v>
      </c>
      <c r="M25" s="232">
        <v>45199</v>
      </c>
    </row>
    <row r="26" spans="1:13" ht="14.25" customHeight="1" x14ac:dyDescent="0.2">
      <c r="A26" s="231" t="s">
        <v>10</v>
      </c>
      <c r="B26" s="230">
        <v>112208</v>
      </c>
      <c r="C26" s="230">
        <v>10766</v>
      </c>
      <c r="D26" s="231" t="s">
        <v>1354</v>
      </c>
      <c r="E26" s="230">
        <v>14491032</v>
      </c>
      <c r="F26" s="230">
        <v>28850</v>
      </c>
      <c r="G26" s="230">
        <v>1</v>
      </c>
      <c r="H26" s="240">
        <v>359.46</v>
      </c>
      <c r="I26" s="240">
        <f t="shared" si="0"/>
        <v>359.46</v>
      </c>
      <c r="J26" s="231" t="s">
        <v>1393</v>
      </c>
      <c r="K26" s="231" t="s">
        <v>1394</v>
      </c>
      <c r="L26" s="232">
        <v>45170</v>
      </c>
      <c r="M26" s="232">
        <v>45199</v>
      </c>
    </row>
    <row r="27" spans="1:13" ht="14.25" customHeight="1" x14ac:dyDescent="0.2">
      <c r="A27" s="231" t="s">
        <v>10</v>
      </c>
      <c r="B27" s="230">
        <v>112212</v>
      </c>
      <c r="C27" s="230">
        <v>10758</v>
      </c>
      <c r="D27" s="231" t="s">
        <v>37</v>
      </c>
      <c r="E27" s="230">
        <v>14491032</v>
      </c>
      <c r="F27" s="230">
        <v>28858</v>
      </c>
      <c r="G27" s="230">
        <v>1</v>
      </c>
      <c r="H27" s="240">
        <v>359.46</v>
      </c>
      <c r="I27" s="240">
        <f t="shared" si="0"/>
        <v>359.46</v>
      </c>
      <c r="J27" s="231" t="s">
        <v>1393</v>
      </c>
      <c r="K27" s="231" t="s">
        <v>1394</v>
      </c>
      <c r="L27" s="232">
        <v>45170</v>
      </c>
      <c r="M27" s="232">
        <v>45199</v>
      </c>
    </row>
    <row r="28" spans="1:13" ht="14.25" customHeight="1" x14ac:dyDescent="0.2">
      <c r="A28" s="231" t="s">
        <v>10</v>
      </c>
      <c r="B28" s="230">
        <v>112226</v>
      </c>
      <c r="C28" s="230">
        <v>10750</v>
      </c>
      <c r="D28" s="231" t="s">
        <v>48</v>
      </c>
      <c r="E28" s="230">
        <v>14491032</v>
      </c>
      <c r="F28" s="230">
        <v>28886</v>
      </c>
      <c r="G28" s="230">
        <v>1</v>
      </c>
      <c r="H28" s="240">
        <v>359.46</v>
      </c>
      <c r="I28" s="240">
        <f t="shared" si="0"/>
        <v>359.46</v>
      </c>
      <c r="J28" s="231" t="s">
        <v>1393</v>
      </c>
      <c r="K28" s="231" t="s">
        <v>1394</v>
      </c>
      <c r="L28" s="232">
        <v>45170</v>
      </c>
      <c r="M28" s="232">
        <v>45199</v>
      </c>
    </row>
    <row r="29" spans="1:13" ht="14.25" customHeight="1" x14ac:dyDescent="0.2">
      <c r="A29" s="231" t="s">
        <v>10</v>
      </c>
      <c r="B29" s="230">
        <v>112232</v>
      </c>
      <c r="C29" s="230">
        <v>10750</v>
      </c>
      <c r="D29" s="231" t="s">
        <v>53</v>
      </c>
      <c r="E29" s="230">
        <v>14491032</v>
      </c>
      <c r="F29" s="230">
        <v>28898</v>
      </c>
      <c r="G29" s="230">
        <v>1</v>
      </c>
      <c r="H29" s="240">
        <v>359.46</v>
      </c>
      <c r="I29" s="240">
        <f t="shared" si="0"/>
        <v>359.46</v>
      </c>
      <c r="J29" s="231" t="s">
        <v>1393</v>
      </c>
      <c r="K29" s="231" t="s">
        <v>1394</v>
      </c>
      <c r="L29" s="232">
        <v>45170</v>
      </c>
      <c r="M29" s="232">
        <v>45199</v>
      </c>
    </row>
    <row r="30" spans="1:13" ht="14.25" customHeight="1" x14ac:dyDescent="0.2">
      <c r="A30" s="231" t="s">
        <v>10</v>
      </c>
      <c r="B30" s="230">
        <v>112238</v>
      </c>
      <c r="C30" s="230">
        <v>10751</v>
      </c>
      <c r="D30" s="231" t="s">
        <v>44</v>
      </c>
      <c r="E30" s="230">
        <v>14491032</v>
      </c>
      <c r="F30" s="230">
        <v>28910</v>
      </c>
      <c r="G30" s="230">
        <v>1</v>
      </c>
      <c r="H30" s="240">
        <v>359.46</v>
      </c>
      <c r="I30" s="240">
        <f t="shared" si="0"/>
        <v>359.46</v>
      </c>
      <c r="J30" s="231" t="s">
        <v>1393</v>
      </c>
      <c r="K30" s="231" t="s">
        <v>1394</v>
      </c>
      <c r="L30" s="232">
        <v>45170</v>
      </c>
      <c r="M30" s="232">
        <v>45199</v>
      </c>
    </row>
    <row r="31" spans="1:13" ht="14.25" customHeight="1" x14ac:dyDescent="0.2">
      <c r="A31" s="231" t="s">
        <v>10</v>
      </c>
      <c r="B31" s="230">
        <v>112239</v>
      </c>
      <c r="C31" s="230">
        <v>10754</v>
      </c>
      <c r="D31" s="231" t="s">
        <v>57</v>
      </c>
      <c r="E31" s="230">
        <v>14491032</v>
      </c>
      <c r="F31" s="230">
        <v>28912</v>
      </c>
      <c r="G31" s="230">
        <v>1</v>
      </c>
      <c r="H31" s="240">
        <v>359.46</v>
      </c>
      <c r="I31" s="240">
        <f t="shared" si="0"/>
        <v>359.46</v>
      </c>
      <c r="J31" s="231" t="s">
        <v>1393</v>
      </c>
      <c r="K31" s="231" t="s">
        <v>1394</v>
      </c>
      <c r="L31" s="232">
        <v>45170</v>
      </c>
      <c r="M31" s="232">
        <v>45199</v>
      </c>
    </row>
    <row r="32" spans="1:13" ht="14.25" customHeight="1" x14ac:dyDescent="0.2">
      <c r="A32" s="231" t="s">
        <v>10</v>
      </c>
      <c r="B32" s="230">
        <v>112242</v>
      </c>
      <c r="C32" s="230">
        <v>10758</v>
      </c>
      <c r="D32" s="231" t="s">
        <v>59</v>
      </c>
      <c r="E32" s="230">
        <v>14491032</v>
      </c>
      <c r="F32" s="230">
        <v>28918</v>
      </c>
      <c r="G32" s="230">
        <v>1</v>
      </c>
      <c r="H32" s="240">
        <v>359.46</v>
      </c>
      <c r="I32" s="240">
        <f t="shared" si="0"/>
        <v>359.46</v>
      </c>
      <c r="J32" s="231" t="s">
        <v>1393</v>
      </c>
      <c r="K32" s="231" t="s">
        <v>1394</v>
      </c>
      <c r="L32" s="232">
        <v>45170</v>
      </c>
      <c r="M32" s="232">
        <v>45199</v>
      </c>
    </row>
    <row r="33" spans="1:13" ht="14.25" customHeight="1" x14ac:dyDescent="0.2">
      <c r="A33" s="231" t="s">
        <v>10</v>
      </c>
      <c r="B33" s="230">
        <v>112245</v>
      </c>
      <c r="C33" s="230">
        <v>10750</v>
      </c>
      <c r="D33" s="231" t="s">
        <v>60</v>
      </c>
      <c r="E33" s="230">
        <v>14491032</v>
      </c>
      <c r="F33" s="230">
        <v>28924</v>
      </c>
      <c r="G33" s="230">
        <v>1</v>
      </c>
      <c r="H33" s="240">
        <v>359.46</v>
      </c>
      <c r="I33" s="240">
        <f t="shared" si="0"/>
        <v>359.46</v>
      </c>
      <c r="J33" s="231" t="s">
        <v>1393</v>
      </c>
      <c r="K33" s="231" t="s">
        <v>1394</v>
      </c>
      <c r="L33" s="232">
        <v>45170</v>
      </c>
      <c r="M33" s="232">
        <v>45199</v>
      </c>
    </row>
    <row r="34" spans="1:13" ht="14.25" customHeight="1" x14ac:dyDescent="0.2">
      <c r="A34" s="231" t="s">
        <v>10</v>
      </c>
      <c r="B34" s="230">
        <v>112248</v>
      </c>
      <c r="C34" s="230">
        <v>10750</v>
      </c>
      <c r="D34" s="231" t="s">
        <v>61</v>
      </c>
      <c r="E34" s="230">
        <v>14491032</v>
      </c>
      <c r="F34" s="230">
        <v>28930</v>
      </c>
      <c r="G34" s="230">
        <v>1</v>
      </c>
      <c r="H34" s="240">
        <v>359.46</v>
      </c>
      <c r="I34" s="240">
        <f t="shared" si="0"/>
        <v>359.46</v>
      </c>
      <c r="J34" s="231" t="s">
        <v>1393</v>
      </c>
      <c r="K34" s="231" t="s">
        <v>1394</v>
      </c>
      <c r="L34" s="232">
        <v>45170</v>
      </c>
      <c r="M34" s="232">
        <v>45199</v>
      </c>
    </row>
    <row r="35" spans="1:13" ht="14.25" customHeight="1" x14ac:dyDescent="0.2">
      <c r="A35" s="231" t="s">
        <v>10</v>
      </c>
      <c r="B35" s="230">
        <v>112252</v>
      </c>
      <c r="C35" s="230">
        <v>10750</v>
      </c>
      <c r="D35" s="231" t="s">
        <v>63</v>
      </c>
      <c r="E35" s="230">
        <v>14491032</v>
      </c>
      <c r="F35" s="230">
        <v>28938</v>
      </c>
      <c r="G35" s="230">
        <v>1</v>
      </c>
      <c r="H35" s="240">
        <v>359.46</v>
      </c>
      <c r="I35" s="240">
        <f t="shared" si="0"/>
        <v>359.46</v>
      </c>
      <c r="J35" s="231" t="s">
        <v>1393</v>
      </c>
      <c r="K35" s="231" t="s">
        <v>1394</v>
      </c>
      <c r="L35" s="232">
        <v>45170</v>
      </c>
      <c r="M35" s="232">
        <v>45199</v>
      </c>
    </row>
    <row r="36" spans="1:13" ht="14.25" customHeight="1" x14ac:dyDescent="0.2">
      <c r="A36" s="231" t="s">
        <v>10</v>
      </c>
      <c r="B36" s="230">
        <v>112255</v>
      </c>
      <c r="C36" s="230">
        <v>10750</v>
      </c>
      <c r="D36" s="231" t="s">
        <v>66</v>
      </c>
      <c r="E36" s="230">
        <v>14491032</v>
      </c>
      <c r="F36" s="230">
        <v>28944</v>
      </c>
      <c r="G36" s="230">
        <v>1</v>
      </c>
      <c r="H36" s="240">
        <v>359.46</v>
      </c>
      <c r="I36" s="240">
        <f t="shared" si="0"/>
        <v>359.46</v>
      </c>
      <c r="J36" s="231" t="s">
        <v>1393</v>
      </c>
      <c r="K36" s="231" t="s">
        <v>1394</v>
      </c>
      <c r="L36" s="232">
        <v>45170</v>
      </c>
      <c r="M36" s="232">
        <v>45199</v>
      </c>
    </row>
    <row r="37" spans="1:13" ht="14.25" customHeight="1" x14ac:dyDescent="0.2">
      <c r="A37" s="231" t="s">
        <v>10</v>
      </c>
      <c r="B37" s="230">
        <v>112261</v>
      </c>
      <c r="C37" s="230">
        <v>10751</v>
      </c>
      <c r="D37" s="231" t="s">
        <v>71</v>
      </c>
      <c r="E37" s="230">
        <v>14491032</v>
      </c>
      <c r="F37" s="230">
        <v>28956</v>
      </c>
      <c r="G37" s="230">
        <v>1</v>
      </c>
      <c r="H37" s="240">
        <v>359.46</v>
      </c>
      <c r="I37" s="240">
        <f t="shared" si="0"/>
        <v>359.46</v>
      </c>
      <c r="J37" s="231" t="s">
        <v>1393</v>
      </c>
      <c r="K37" s="231" t="s">
        <v>1394</v>
      </c>
      <c r="L37" s="232">
        <v>45170</v>
      </c>
      <c r="M37" s="232">
        <v>45199</v>
      </c>
    </row>
    <row r="38" spans="1:13" ht="14.25" customHeight="1" x14ac:dyDescent="0.2">
      <c r="A38" s="231" t="s">
        <v>10</v>
      </c>
      <c r="B38" s="230">
        <v>112263</v>
      </c>
      <c r="C38" s="230">
        <v>10750</v>
      </c>
      <c r="D38" s="231" t="s">
        <v>73</v>
      </c>
      <c r="E38" s="230">
        <v>14491032</v>
      </c>
      <c r="F38" s="230">
        <v>28960</v>
      </c>
      <c r="G38" s="230">
        <v>1</v>
      </c>
      <c r="H38" s="240">
        <v>359.46</v>
      </c>
      <c r="I38" s="240">
        <f t="shared" si="0"/>
        <v>359.46</v>
      </c>
      <c r="J38" s="231" t="s">
        <v>1393</v>
      </c>
      <c r="K38" s="231" t="s">
        <v>1394</v>
      </c>
      <c r="L38" s="232">
        <v>45170</v>
      </c>
      <c r="M38" s="232">
        <v>45199</v>
      </c>
    </row>
    <row r="39" spans="1:13" ht="14.25" customHeight="1" x14ac:dyDescent="0.2">
      <c r="A39" s="231" t="s">
        <v>10</v>
      </c>
      <c r="B39" s="230">
        <v>112264</v>
      </c>
      <c r="C39" s="230">
        <v>10750</v>
      </c>
      <c r="D39" s="231" t="s">
        <v>1356</v>
      </c>
      <c r="E39" s="230">
        <v>14491032</v>
      </c>
      <c r="F39" s="230">
        <v>28962</v>
      </c>
      <c r="G39" s="230">
        <v>1</v>
      </c>
      <c r="H39" s="240">
        <v>359.46</v>
      </c>
      <c r="I39" s="240">
        <f t="shared" si="0"/>
        <v>359.46</v>
      </c>
      <c r="J39" s="231" t="s">
        <v>1393</v>
      </c>
      <c r="K39" s="231" t="s">
        <v>1394</v>
      </c>
      <c r="L39" s="232">
        <v>45170</v>
      </c>
      <c r="M39" s="232">
        <v>45199</v>
      </c>
    </row>
    <row r="40" spans="1:13" ht="14.25" customHeight="1" x14ac:dyDescent="0.2">
      <c r="A40" s="231" t="s">
        <v>10</v>
      </c>
      <c r="B40" s="230">
        <v>112268</v>
      </c>
      <c r="C40" s="230">
        <v>10750</v>
      </c>
      <c r="D40" s="231" t="s">
        <v>76</v>
      </c>
      <c r="E40" s="230">
        <v>14491032</v>
      </c>
      <c r="F40" s="230">
        <v>28970</v>
      </c>
      <c r="G40" s="230">
        <v>1</v>
      </c>
      <c r="H40" s="240">
        <v>359.46</v>
      </c>
      <c r="I40" s="240">
        <f t="shared" si="0"/>
        <v>359.46</v>
      </c>
      <c r="J40" s="231" t="s">
        <v>1393</v>
      </c>
      <c r="K40" s="231" t="s">
        <v>1394</v>
      </c>
      <c r="L40" s="232">
        <v>45170</v>
      </c>
      <c r="M40" s="232">
        <v>45199</v>
      </c>
    </row>
    <row r="41" spans="1:13" ht="14.25" customHeight="1" x14ac:dyDescent="0.2">
      <c r="A41" s="231" t="s">
        <v>10</v>
      </c>
      <c r="B41" s="230">
        <v>112269</v>
      </c>
      <c r="C41" s="230">
        <v>10751</v>
      </c>
      <c r="D41" s="231" t="s">
        <v>77</v>
      </c>
      <c r="E41" s="230">
        <v>14491032</v>
      </c>
      <c r="F41" s="230">
        <v>28972</v>
      </c>
      <c r="G41" s="230">
        <v>1</v>
      </c>
      <c r="H41" s="240">
        <v>359.46</v>
      </c>
      <c r="I41" s="240">
        <f t="shared" si="0"/>
        <v>359.46</v>
      </c>
      <c r="J41" s="231" t="s">
        <v>1393</v>
      </c>
      <c r="K41" s="231" t="s">
        <v>1394</v>
      </c>
      <c r="L41" s="232">
        <v>45170</v>
      </c>
      <c r="M41" s="232">
        <v>45199</v>
      </c>
    </row>
    <row r="42" spans="1:13" ht="14.25" customHeight="1" x14ac:dyDescent="0.2">
      <c r="A42" s="231" t="s">
        <v>10</v>
      </c>
      <c r="B42" s="230">
        <v>112278</v>
      </c>
      <c r="C42" s="230">
        <v>10750</v>
      </c>
      <c r="D42" s="231" t="s">
        <v>83</v>
      </c>
      <c r="E42" s="230">
        <v>14491032</v>
      </c>
      <c r="F42" s="230">
        <v>28990</v>
      </c>
      <c r="G42" s="230">
        <v>1</v>
      </c>
      <c r="H42" s="240">
        <v>359.46</v>
      </c>
      <c r="I42" s="240">
        <f t="shared" si="0"/>
        <v>359.46</v>
      </c>
      <c r="J42" s="231" t="s">
        <v>1393</v>
      </c>
      <c r="K42" s="231" t="s">
        <v>1394</v>
      </c>
      <c r="L42" s="232">
        <v>45170</v>
      </c>
      <c r="M42" s="232">
        <v>45199</v>
      </c>
    </row>
    <row r="43" spans="1:13" ht="14.25" customHeight="1" x14ac:dyDescent="0.2">
      <c r="A43" s="231" t="s">
        <v>10</v>
      </c>
      <c r="B43" s="230">
        <v>112280</v>
      </c>
      <c r="C43" s="230">
        <v>10750</v>
      </c>
      <c r="D43" s="231" t="s">
        <v>86</v>
      </c>
      <c r="E43" s="230">
        <v>14491032</v>
      </c>
      <c r="F43" s="230">
        <v>28994</v>
      </c>
      <c r="G43" s="230">
        <v>1</v>
      </c>
      <c r="H43" s="240">
        <v>359.46</v>
      </c>
      <c r="I43" s="240">
        <f t="shared" si="0"/>
        <v>359.46</v>
      </c>
      <c r="J43" s="231" t="s">
        <v>1393</v>
      </c>
      <c r="K43" s="231" t="s">
        <v>1394</v>
      </c>
      <c r="L43" s="232">
        <v>45170</v>
      </c>
      <c r="M43" s="232">
        <v>45199</v>
      </c>
    </row>
    <row r="44" spans="1:13" ht="14.25" customHeight="1" x14ac:dyDescent="0.2">
      <c r="A44" s="231" t="s">
        <v>10</v>
      </c>
      <c r="B44" s="230">
        <v>112282</v>
      </c>
      <c r="C44" s="230">
        <v>10750</v>
      </c>
      <c r="D44" s="231" t="s">
        <v>88</v>
      </c>
      <c r="E44" s="230">
        <v>14491032</v>
      </c>
      <c r="F44" s="230">
        <v>28998</v>
      </c>
      <c r="G44" s="230">
        <v>1</v>
      </c>
      <c r="H44" s="240">
        <v>359.46</v>
      </c>
      <c r="I44" s="240">
        <f t="shared" si="0"/>
        <v>359.46</v>
      </c>
      <c r="J44" s="231" t="s">
        <v>1393</v>
      </c>
      <c r="K44" s="231" t="s">
        <v>1394</v>
      </c>
      <c r="L44" s="232">
        <v>45170</v>
      </c>
      <c r="M44" s="232">
        <v>45199</v>
      </c>
    </row>
    <row r="45" spans="1:13" ht="14.25" customHeight="1" x14ac:dyDescent="0.2">
      <c r="A45" s="231" t="s">
        <v>10</v>
      </c>
      <c r="B45" s="230">
        <v>112283</v>
      </c>
      <c r="C45" s="230">
        <v>10750</v>
      </c>
      <c r="D45" s="231" t="s">
        <v>89</v>
      </c>
      <c r="E45" s="230">
        <v>14491032</v>
      </c>
      <c r="F45" s="230">
        <v>29000</v>
      </c>
      <c r="G45" s="230">
        <v>1</v>
      </c>
      <c r="H45" s="240">
        <v>359.46</v>
      </c>
      <c r="I45" s="240">
        <f t="shared" si="0"/>
        <v>359.46</v>
      </c>
      <c r="J45" s="231" t="s">
        <v>1393</v>
      </c>
      <c r="K45" s="231" t="s">
        <v>1394</v>
      </c>
      <c r="L45" s="232">
        <v>45170</v>
      </c>
      <c r="M45" s="232">
        <v>45199</v>
      </c>
    </row>
    <row r="46" spans="1:13" ht="14.25" customHeight="1" x14ac:dyDescent="0.2">
      <c r="A46" s="231" t="s">
        <v>10</v>
      </c>
      <c r="B46" s="230">
        <v>112290</v>
      </c>
      <c r="C46" s="230">
        <v>10751</v>
      </c>
      <c r="D46" s="231" t="s">
        <v>91</v>
      </c>
      <c r="E46" s="230">
        <v>14491032</v>
      </c>
      <c r="F46" s="230">
        <v>29014</v>
      </c>
      <c r="G46" s="230">
        <v>1</v>
      </c>
      <c r="H46" s="240">
        <v>359.46</v>
      </c>
      <c r="I46" s="240">
        <f t="shared" si="0"/>
        <v>359.46</v>
      </c>
      <c r="J46" s="231" t="s">
        <v>1393</v>
      </c>
      <c r="K46" s="231" t="s">
        <v>1394</v>
      </c>
      <c r="L46" s="232">
        <v>45170</v>
      </c>
      <c r="M46" s="232">
        <v>45199</v>
      </c>
    </row>
    <row r="47" spans="1:13" ht="14.25" customHeight="1" x14ac:dyDescent="0.2">
      <c r="A47" s="231" t="s">
        <v>10</v>
      </c>
      <c r="B47" s="230">
        <v>112294</v>
      </c>
      <c r="C47" s="230">
        <v>10750</v>
      </c>
      <c r="D47" s="231" t="s">
        <v>1388</v>
      </c>
      <c r="E47" s="230">
        <v>14491032</v>
      </c>
      <c r="F47" s="230">
        <v>29022</v>
      </c>
      <c r="G47" s="230">
        <v>1</v>
      </c>
      <c r="H47" s="240">
        <v>359.46</v>
      </c>
      <c r="I47" s="240">
        <f t="shared" si="0"/>
        <v>359.46</v>
      </c>
      <c r="J47" s="231" t="s">
        <v>1393</v>
      </c>
      <c r="K47" s="231" t="s">
        <v>1394</v>
      </c>
      <c r="L47" s="232">
        <v>45170</v>
      </c>
      <c r="M47" s="232">
        <v>45199</v>
      </c>
    </row>
    <row r="48" spans="1:13" ht="14.25" customHeight="1" x14ac:dyDescent="0.2">
      <c r="A48" s="231" t="s">
        <v>10</v>
      </c>
      <c r="B48" s="230">
        <v>112298</v>
      </c>
      <c r="C48" s="230">
        <v>10750</v>
      </c>
      <c r="D48" s="231" t="s">
        <v>96</v>
      </c>
      <c r="E48" s="230">
        <v>14491032</v>
      </c>
      <c r="F48" s="230">
        <v>29030</v>
      </c>
      <c r="G48" s="230">
        <v>1</v>
      </c>
      <c r="H48" s="240">
        <v>359.46</v>
      </c>
      <c r="I48" s="240">
        <f t="shared" si="0"/>
        <v>359.46</v>
      </c>
      <c r="J48" s="231" t="s">
        <v>1393</v>
      </c>
      <c r="K48" s="231" t="s">
        <v>1394</v>
      </c>
      <c r="L48" s="232">
        <v>45170</v>
      </c>
      <c r="M48" s="232">
        <v>45199</v>
      </c>
    </row>
    <row r="49" spans="1:13" ht="14.25" customHeight="1" x14ac:dyDescent="0.2">
      <c r="A49" s="231" t="s">
        <v>10</v>
      </c>
      <c r="B49" s="230">
        <v>112303</v>
      </c>
      <c r="C49" s="230">
        <v>10750</v>
      </c>
      <c r="D49" s="231" t="s">
        <v>99</v>
      </c>
      <c r="E49" s="230">
        <v>14491032</v>
      </c>
      <c r="F49" s="230">
        <v>29040</v>
      </c>
      <c r="G49" s="230">
        <v>1</v>
      </c>
      <c r="H49" s="240">
        <v>347.47</v>
      </c>
      <c r="I49" s="240">
        <f t="shared" si="0"/>
        <v>347.47</v>
      </c>
      <c r="J49" s="231" t="s">
        <v>1393</v>
      </c>
      <c r="K49" s="231" t="s">
        <v>1394</v>
      </c>
      <c r="L49" s="232">
        <v>45170</v>
      </c>
      <c r="M49" s="232">
        <v>45199</v>
      </c>
    </row>
    <row r="50" spans="1:13" ht="14.25" customHeight="1" x14ac:dyDescent="0.2">
      <c r="A50" s="231" t="s">
        <v>10</v>
      </c>
      <c r="B50" s="230">
        <v>112306</v>
      </c>
      <c r="C50" s="230">
        <v>10750</v>
      </c>
      <c r="D50" s="231" t="s">
        <v>100</v>
      </c>
      <c r="E50" s="230">
        <v>14491032</v>
      </c>
      <c r="F50" s="230">
        <v>29046</v>
      </c>
      <c r="G50" s="230">
        <v>1</v>
      </c>
      <c r="H50" s="240">
        <v>359.46</v>
      </c>
      <c r="I50" s="240">
        <f t="shared" si="0"/>
        <v>359.46</v>
      </c>
      <c r="J50" s="231" t="s">
        <v>1393</v>
      </c>
      <c r="K50" s="231" t="s">
        <v>1394</v>
      </c>
      <c r="L50" s="232">
        <v>45170</v>
      </c>
      <c r="M50" s="232">
        <v>45199</v>
      </c>
    </row>
    <row r="51" spans="1:13" ht="14.25" customHeight="1" x14ac:dyDescent="0.2">
      <c r="A51" s="231" t="s">
        <v>10</v>
      </c>
      <c r="B51" s="230">
        <v>112320</v>
      </c>
      <c r="C51" s="230">
        <v>10750</v>
      </c>
      <c r="D51" s="231" t="s">
        <v>105</v>
      </c>
      <c r="E51" s="230">
        <v>14491032</v>
      </c>
      <c r="F51" s="230">
        <v>29074</v>
      </c>
      <c r="G51" s="230">
        <v>1</v>
      </c>
      <c r="H51" s="240">
        <v>359.46</v>
      </c>
      <c r="I51" s="240">
        <f t="shared" si="0"/>
        <v>359.46</v>
      </c>
      <c r="J51" s="231" t="s">
        <v>1393</v>
      </c>
      <c r="K51" s="231" t="s">
        <v>1394</v>
      </c>
      <c r="L51" s="232">
        <v>45170</v>
      </c>
      <c r="M51" s="232">
        <v>45199</v>
      </c>
    </row>
    <row r="52" spans="1:13" ht="14.25" customHeight="1" x14ac:dyDescent="0.2">
      <c r="A52" s="231" t="s">
        <v>10</v>
      </c>
      <c r="B52" s="230">
        <v>112328</v>
      </c>
      <c r="C52" s="230">
        <v>10750</v>
      </c>
      <c r="D52" s="231" t="s">
        <v>110</v>
      </c>
      <c r="E52" s="230">
        <v>14491032</v>
      </c>
      <c r="F52" s="230">
        <v>29090</v>
      </c>
      <c r="G52" s="230">
        <v>1</v>
      </c>
      <c r="H52" s="240">
        <v>359.46</v>
      </c>
      <c r="I52" s="240">
        <f t="shared" si="0"/>
        <v>359.46</v>
      </c>
      <c r="J52" s="231" t="s">
        <v>1393</v>
      </c>
      <c r="K52" s="231" t="s">
        <v>1394</v>
      </c>
      <c r="L52" s="232">
        <v>45170</v>
      </c>
      <c r="M52" s="232">
        <v>45199</v>
      </c>
    </row>
    <row r="53" spans="1:13" ht="14.25" customHeight="1" x14ac:dyDescent="0.2">
      <c r="A53" s="231" t="s">
        <v>10</v>
      </c>
      <c r="B53" s="230">
        <v>112329</v>
      </c>
      <c r="C53" s="230">
        <v>10760</v>
      </c>
      <c r="D53" s="231" t="s">
        <v>111</v>
      </c>
      <c r="E53" s="230">
        <v>14491032</v>
      </c>
      <c r="F53" s="230">
        <v>29092</v>
      </c>
      <c r="G53" s="230">
        <v>1</v>
      </c>
      <c r="H53" s="240">
        <v>359.46</v>
      </c>
      <c r="I53" s="240">
        <f t="shared" si="0"/>
        <v>359.46</v>
      </c>
      <c r="J53" s="231" t="s">
        <v>1393</v>
      </c>
      <c r="K53" s="231" t="s">
        <v>1394</v>
      </c>
      <c r="L53" s="232">
        <v>45170</v>
      </c>
      <c r="M53" s="232">
        <v>45199</v>
      </c>
    </row>
    <row r="54" spans="1:13" ht="14.25" customHeight="1" x14ac:dyDescent="0.2">
      <c r="A54" s="231" t="s">
        <v>10</v>
      </c>
      <c r="B54" s="230">
        <v>112330</v>
      </c>
      <c r="C54" s="230">
        <v>10750</v>
      </c>
      <c r="D54" s="231" t="s">
        <v>112</v>
      </c>
      <c r="E54" s="230">
        <v>14491032</v>
      </c>
      <c r="F54" s="230">
        <v>29094</v>
      </c>
      <c r="G54" s="230">
        <v>1</v>
      </c>
      <c r="H54" s="240">
        <v>359.46</v>
      </c>
      <c r="I54" s="240">
        <f t="shared" si="0"/>
        <v>359.46</v>
      </c>
      <c r="J54" s="231" t="s">
        <v>1393</v>
      </c>
      <c r="K54" s="231" t="s">
        <v>1394</v>
      </c>
      <c r="L54" s="232">
        <v>45170</v>
      </c>
      <c r="M54" s="232">
        <v>45199</v>
      </c>
    </row>
    <row r="55" spans="1:13" ht="14.25" customHeight="1" x14ac:dyDescent="0.2">
      <c r="A55" s="231" t="s">
        <v>10</v>
      </c>
      <c r="B55" s="230">
        <v>112331</v>
      </c>
      <c r="C55" s="230">
        <v>10750</v>
      </c>
      <c r="D55" s="231" t="s">
        <v>113</v>
      </c>
      <c r="E55" s="230">
        <v>14491032</v>
      </c>
      <c r="F55" s="230">
        <v>29096</v>
      </c>
      <c r="G55" s="230">
        <v>1</v>
      </c>
      <c r="H55" s="240">
        <v>359.46</v>
      </c>
      <c r="I55" s="240">
        <f t="shared" si="0"/>
        <v>359.46</v>
      </c>
      <c r="J55" s="231" t="s">
        <v>1393</v>
      </c>
      <c r="K55" s="231" t="s">
        <v>1394</v>
      </c>
      <c r="L55" s="232">
        <v>45170</v>
      </c>
      <c r="M55" s="232">
        <v>45199</v>
      </c>
    </row>
    <row r="56" spans="1:13" ht="14.25" customHeight="1" x14ac:dyDescent="0.2">
      <c r="A56" s="231" t="s">
        <v>10</v>
      </c>
      <c r="B56" s="230">
        <v>112332</v>
      </c>
      <c r="C56" s="230">
        <v>10750</v>
      </c>
      <c r="D56" s="231" t="s">
        <v>114</v>
      </c>
      <c r="E56" s="230">
        <v>14491032</v>
      </c>
      <c r="F56" s="230">
        <v>29098</v>
      </c>
      <c r="G56" s="230">
        <v>1</v>
      </c>
      <c r="H56" s="240">
        <v>359.46</v>
      </c>
      <c r="I56" s="240">
        <f t="shared" si="0"/>
        <v>359.46</v>
      </c>
      <c r="J56" s="231" t="s">
        <v>1393</v>
      </c>
      <c r="K56" s="231" t="s">
        <v>1394</v>
      </c>
      <c r="L56" s="232">
        <v>45170</v>
      </c>
      <c r="M56" s="232">
        <v>45199</v>
      </c>
    </row>
    <row r="57" spans="1:13" ht="14.25" customHeight="1" x14ac:dyDescent="0.2">
      <c r="A57" s="231" t="s">
        <v>10</v>
      </c>
      <c r="B57" s="230">
        <v>112337</v>
      </c>
      <c r="C57" s="230">
        <v>10754</v>
      </c>
      <c r="D57" s="231" t="s">
        <v>117</v>
      </c>
      <c r="E57" s="230">
        <v>14491032</v>
      </c>
      <c r="F57" s="230">
        <v>29108</v>
      </c>
      <c r="G57" s="230">
        <v>1</v>
      </c>
      <c r="H57" s="240">
        <v>359.46</v>
      </c>
      <c r="I57" s="240">
        <f t="shared" si="0"/>
        <v>359.46</v>
      </c>
      <c r="J57" s="231" t="s">
        <v>1393</v>
      </c>
      <c r="K57" s="231" t="s">
        <v>1394</v>
      </c>
      <c r="L57" s="232">
        <v>45170</v>
      </c>
      <c r="M57" s="232">
        <v>45199</v>
      </c>
    </row>
    <row r="58" spans="1:13" ht="14.25" customHeight="1" x14ac:dyDescent="0.2">
      <c r="A58" s="231" t="s">
        <v>10</v>
      </c>
      <c r="B58" s="230">
        <v>112345</v>
      </c>
      <c r="C58" s="230">
        <v>10756</v>
      </c>
      <c r="D58" s="231" t="s">
        <v>122</v>
      </c>
      <c r="E58" s="230">
        <v>14491032</v>
      </c>
      <c r="F58" s="230">
        <v>29124</v>
      </c>
      <c r="G58" s="230">
        <v>1</v>
      </c>
      <c r="H58" s="240">
        <v>359.46</v>
      </c>
      <c r="I58" s="240">
        <f t="shared" si="0"/>
        <v>359.46</v>
      </c>
      <c r="J58" s="231" t="s">
        <v>1393</v>
      </c>
      <c r="K58" s="231" t="s">
        <v>1394</v>
      </c>
      <c r="L58" s="232">
        <v>45170</v>
      </c>
      <c r="M58" s="232">
        <v>45199</v>
      </c>
    </row>
    <row r="59" spans="1:13" ht="14.25" customHeight="1" x14ac:dyDescent="0.2">
      <c r="A59" s="231" t="s">
        <v>10</v>
      </c>
      <c r="B59" s="230">
        <v>112354</v>
      </c>
      <c r="C59" s="230">
        <v>10760</v>
      </c>
      <c r="D59" s="231" t="s">
        <v>128</v>
      </c>
      <c r="E59" s="230">
        <v>14491032</v>
      </c>
      <c r="F59" s="230">
        <v>29142</v>
      </c>
      <c r="G59" s="230">
        <v>1</v>
      </c>
      <c r="H59" s="240">
        <v>359.46</v>
      </c>
      <c r="I59" s="240">
        <f t="shared" si="0"/>
        <v>359.46</v>
      </c>
      <c r="J59" s="231" t="s">
        <v>1393</v>
      </c>
      <c r="K59" s="231" t="s">
        <v>1394</v>
      </c>
      <c r="L59" s="232">
        <v>45170</v>
      </c>
      <c r="M59" s="232">
        <v>45199</v>
      </c>
    </row>
    <row r="60" spans="1:13" ht="14.25" customHeight="1" x14ac:dyDescent="0.2">
      <c r="A60" s="231" t="s">
        <v>10</v>
      </c>
      <c r="B60" s="230">
        <v>112355</v>
      </c>
      <c r="C60" s="230">
        <v>10750</v>
      </c>
      <c r="D60" s="231" t="s">
        <v>1289</v>
      </c>
      <c r="E60" s="230">
        <v>14491032</v>
      </c>
      <c r="F60" s="230">
        <v>29144</v>
      </c>
      <c r="G60" s="230">
        <v>1</v>
      </c>
      <c r="H60" s="240">
        <v>359.46</v>
      </c>
      <c r="I60" s="240">
        <f t="shared" si="0"/>
        <v>359.46</v>
      </c>
      <c r="J60" s="231" t="s">
        <v>1393</v>
      </c>
      <c r="K60" s="231" t="s">
        <v>1394</v>
      </c>
      <c r="L60" s="232">
        <v>45170</v>
      </c>
      <c r="M60" s="232">
        <v>45199</v>
      </c>
    </row>
    <row r="61" spans="1:13" ht="14.25" customHeight="1" x14ac:dyDescent="0.2">
      <c r="A61" s="231" t="s">
        <v>10</v>
      </c>
      <c r="B61" s="230">
        <v>112363</v>
      </c>
      <c r="C61" s="230">
        <v>10760</v>
      </c>
      <c r="D61" s="231" t="s">
        <v>131</v>
      </c>
      <c r="E61" s="230">
        <v>14491032</v>
      </c>
      <c r="F61" s="230">
        <v>29160</v>
      </c>
      <c r="G61" s="230">
        <v>1</v>
      </c>
      <c r="H61" s="240">
        <v>359.46</v>
      </c>
      <c r="I61" s="240">
        <f t="shared" si="0"/>
        <v>359.46</v>
      </c>
      <c r="J61" s="231" t="s">
        <v>1393</v>
      </c>
      <c r="K61" s="231" t="s">
        <v>1394</v>
      </c>
      <c r="L61" s="232">
        <v>45170</v>
      </c>
      <c r="M61" s="232">
        <v>45199</v>
      </c>
    </row>
    <row r="62" spans="1:13" ht="14.25" customHeight="1" x14ac:dyDescent="0.2">
      <c r="A62" s="231" t="s">
        <v>10</v>
      </c>
      <c r="B62" s="230">
        <v>112368</v>
      </c>
      <c r="C62" s="230">
        <v>10760</v>
      </c>
      <c r="D62" s="231" t="s">
        <v>134</v>
      </c>
      <c r="E62" s="230">
        <v>14491032</v>
      </c>
      <c r="F62" s="230">
        <v>29170</v>
      </c>
      <c r="G62" s="230">
        <v>1</v>
      </c>
      <c r="H62" s="240">
        <v>359.46</v>
      </c>
      <c r="I62" s="240">
        <f t="shared" si="0"/>
        <v>359.46</v>
      </c>
      <c r="J62" s="231" t="s">
        <v>1393</v>
      </c>
      <c r="K62" s="231" t="s">
        <v>1394</v>
      </c>
      <c r="L62" s="232">
        <v>45170</v>
      </c>
      <c r="M62" s="232">
        <v>45199</v>
      </c>
    </row>
    <row r="63" spans="1:13" ht="14.25" customHeight="1" x14ac:dyDescent="0.2">
      <c r="A63" s="231" t="s">
        <v>10</v>
      </c>
      <c r="B63" s="230">
        <v>112377</v>
      </c>
      <c r="C63" s="230">
        <v>10756</v>
      </c>
      <c r="D63" s="231" t="s">
        <v>140</v>
      </c>
      <c r="E63" s="230">
        <v>14491032</v>
      </c>
      <c r="F63" s="230">
        <v>29188</v>
      </c>
      <c r="G63" s="230">
        <v>1</v>
      </c>
      <c r="H63" s="240">
        <v>359.46</v>
      </c>
      <c r="I63" s="240">
        <f t="shared" si="0"/>
        <v>359.46</v>
      </c>
      <c r="J63" s="231" t="s">
        <v>1393</v>
      </c>
      <c r="K63" s="231" t="s">
        <v>1394</v>
      </c>
      <c r="L63" s="232">
        <v>45170</v>
      </c>
      <c r="M63" s="232">
        <v>45199</v>
      </c>
    </row>
    <row r="64" spans="1:13" ht="14.25" customHeight="1" x14ac:dyDescent="0.2">
      <c r="A64" s="231" t="s">
        <v>10</v>
      </c>
      <c r="B64" s="230">
        <v>112397</v>
      </c>
      <c r="C64" s="230">
        <v>10750</v>
      </c>
      <c r="D64" s="231" t="s">
        <v>153</v>
      </c>
      <c r="E64" s="230">
        <v>14491032</v>
      </c>
      <c r="F64" s="230">
        <v>29228</v>
      </c>
      <c r="G64" s="230">
        <v>1</v>
      </c>
      <c r="H64" s="240">
        <v>359.46</v>
      </c>
      <c r="I64" s="240">
        <f t="shared" si="0"/>
        <v>359.46</v>
      </c>
      <c r="J64" s="231" t="s">
        <v>1393</v>
      </c>
      <c r="K64" s="231" t="s">
        <v>1394</v>
      </c>
      <c r="L64" s="232">
        <v>45170</v>
      </c>
      <c r="M64" s="232">
        <v>45199</v>
      </c>
    </row>
    <row r="65" spans="1:13" ht="14.25" customHeight="1" x14ac:dyDescent="0.2">
      <c r="A65" s="231" t="s">
        <v>10</v>
      </c>
      <c r="B65" s="230">
        <v>112398</v>
      </c>
      <c r="C65" s="230">
        <v>10750</v>
      </c>
      <c r="D65" s="231" t="s">
        <v>154</v>
      </c>
      <c r="E65" s="230">
        <v>14491032</v>
      </c>
      <c r="F65" s="230">
        <v>29230</v>
      </c>
      <c r="G65" s="230">
        <v>1</v>
      </c>
      <c r="H65" s="240">
        <v>359.46</v>
      </c>
      <c r="I65" s="240">
        <f t="shared" si="0"/>
        <v>359.46</v>
      </c>
      <c r="J65" s="231" t="s">
        <v>1393</v>
      </c>
      <c r="K65" s="231" t="s">
        <v>1394</v>
      </c>
      <c r="L65" s="232">
        <v>45170</v>
      </c>
      <c r="M65" s="232">
        <v>45199</v>
      </c>
    </row>
    <row r="66" spans="1:13" ht="14.25" customHeight="1" x14ac:dyDescent="0.2">
      <c r="A66" s="231" t="s">
        <v>10</v>
      </c>
      <c r="B66" s="230">
        <v>112399</v>
      </c>
      <c r="C66" s="230">
        <v>10750</v>
      </c>
      <c r="D66" s="231" t="s">
        <v>155</v>
      </c>
      <c r="E66" s="230">
        <v>14491032</v>
      </c>
      <c r="F66" s="230">
        <v>29232</v>
      </c>
      <c r="G66" s="230">
        <v>1</v>
      </c>
      <c r="H66" s="240">
        <v>359.46</v>
      </c>
      <c r="I66" s="240">
        <f t="shared" si="0"/>
        <v>359.46</v>
      </c>
      <c r="J66" s="231" t="s">
        <v>1393</v>
      </c>
      <c r="K66" s="231" t="s">
        <v>1394</v>
      </c>
      <c r="L66" s="232">
        <v>45170</v>
      </c>
      <c r="M66" s="232">
        <v>45199</v>
      </c>
    </row>
    <row r="67" spans="1:13" ht="14.25" customHeight="1" x14ac:dyDescent="0.2">
      <c r="A67" s="231" t="s">
        <v>10</v>
      </c>
      <c r="B67" s="230">
        <v>112422</v>
      </c>
      <c r="C67" s="230">
        <v>10750</v>
      </c>
      <c r="D67" s="231" t="s">
        <v>171</v>
      </c>
      <c r="E67" s="230">
        <v>14491032</v>
      </c>
      <c r="F67" s="230">
        <v>29278</v>
      </c>
      <c r="G67" s="230">
        <v>1</v>
      </c>
      <c r="H67" s="240">
        <v>359.46</v>
      </c>
      <c r="I67" s="240">
        <f t="shared" ref="I67:I130" si="1">G67*H67</f>
        <v>359.46</v>
      </c>
      <c r="J67" s="231" t="s">
        <v>1393</v>
      </c>
      <c r="K67" s="231" t="s">
        <v>1394</v>
      </c>
      <c r="L67" s="232">
        <v>45170</v>
      </c>
      <c r="M67" s="232">
        <v>45199</v>
      </c>
    </row>
    <row r="68" spans="1:13" ht="14.25" customHeight="1" x14ac:dyDescent="0.2">
      <c r="A68" s="231" t="s">
        <v>10</v>
      </c>
      <c r="B68" s="230">
        <v>112431</v>
      </c>
      <c r="C68" s="230">
        <v>10757</v>
      </c>
      <c r="D68" s="231" t="s">
        <v>174</v>
      </c>
      <c r="E68" s="230">
        <v>14491032</v>
      </c>
      <c r="F68" s="230">
        <v>29296</v>
      </c>
      <c r="G68" s="230">
        <v>1</v>
      </c>
      <c r="H68" s="240">
        <v>359.46</v>
      </c>
      <c r="I68" s="240">
        <f t="shared" si="1"/>
        <v>359.46</v>
      </c>
      <c r="J68" s="231" t="s">
        <v>1393</v>
      </c>
      <c r="K68" s="231" t="s">
        <v>1394</v>
      </c>
      <c r="L68" s="232">
        <v>45170</v>
      </c>
      <c r="M68" s="232">
        <v>45199</v>
      </c>
    </row>
    <row r="69" spans="1:13" ht="14.25" customHeight="1" x14ac:dyDescent="0.2">
      <c r="A69" s="231" t="s">
        <v>10</v>
      </c>
      <c r="B69" s="230">
        <v>112436</v>
      </c>
      <c r="C69" s="230">
        <v>10756</v>
      </c>
      <c r="D69" s="231" t="s">
        <v>178</v>
      </c>
      <c r="E69" s="230">
        <v>14491032</v>
      </c>
      <c r="F69" s="230">
        <v>29306</v>
      </c>
      <c r="G69" s="230">
        <v>1</v>
      </c>
      <c r="H69" s="240">
        <v>359.46</v>
      </c>
      <c r="I69" s="240">
        <f t="shared" si="1"/>
        <v>359.46</v>
      </c>
      <c r="J69" s="231" t="s">
        <v>1393</v>
      </c>
      <c r="K69" s="231" t="s">
        <v>1394</v>
      </c>
      <c r="L69" s="232">
        <v>45170</v>
      </c>
      <c r="M69" s="232">
        <v>45199</v>
      </c>
    </row>
    <row r="70" spans="1:13" ht="14.25" customHeight="1" x14ac:dyDescent="0.2">
      <c r="A70" s="231" t="s">
        <v>10</v>
      </c>
      <c r="B70" s="230">
        <v>112445</v>
      </c>
      <c r="C70" s="230">
        <v>10754</v>
      </c>
      <c r="D70" s="231" t="s">
        <v>186</v>
      </c>
      <c r="E70" s="230">
        <v>14491032</v>
      </c>
      <c r="F70" s="230">
        <v>29324</v>
      </c>
      <c r="G70" s="230">
        <v>1</v>
      </c>
      <c r="H70" s="240">
        <v>359.46</v>
      </c>
      <c r="I70" s="240">
        <f t="shared" si="1"/>
        <v>359.46</v>
      </c>
      <c r="J70" s="231" t="s">
        <v>1393</v>
      </c>
      <c r="K70" s="231" t="s">
        <v>1394</v>
      </c>
      <c r="L70" s="232">
        <v>45170</v>
      </c>
      <c r="M70" s="232">
        <v>45199</v>
      </c>
    </row>
    <row r="71" spans="1:13" ht="14.25" customHeight="1" x14ac:dyDescent="0.2">
      <c r="A71" s="231" t="s">
        <v>10</v>
      </c>
      <c r="B71" s="230">
        <v>112461</v>
      </c>
      <c r="C71" s="230">
        <v>10756</v>
      </c>
      <c r="D71" s="231" t="s">
        <v>196</v>
      </c>
      <c r="E71" s="230">
        <v>14491032</v>
      </c>
      <c r="F71" s="230">
        <v>29356</v>
      </c>
      <c r="G71" s="230">
        <v>1</v>
      </c>
      <c r="H71" s="240">
        <v>359.46</v>
      </c>
      <c r="I71" s="240">
        <f t="shared" si="1"/>
        <v>359.46</v>
      </c>
      <c r="J71" s="231" t="s">
        <v>1393</v>
      </c>
      <c r="K71" s="231" t="s">
        <v>1394</v>
      </c>
      <c r="L71" s="232">
        <v>45170</v>
      </c>
      <c r="M71" s="232">
        <v>45199</v>
      </c>
    </row>
    <row r="72" spans="1:13" ht="14.25" customHeight="1" x14ac:dyDescent="0.2">
      <c r="A72" s="231" t="s">
        <v>10</v>
      </c>
      <c r="B72" s="230">
        <v>112469</v>
      </c>
      <c r="C72" s="230">
        <v>10750</v>
      </c>
      <c r="D72" s="231" t="s">
        <v>198</v>
      </c>
      <c r="E72" s="230">
        <v>14491032</v>
      </c>
      <c r="F72" s="230">
        <v>29372</v>
      </c>
      <c r="G72" s="230">
        <v>1</v>
      </c>
      <c r="H72" s="240">
        <v>359.46</v>
      </c>
      <c r="I72" s="240">
        <f t="shared" si="1"/>
        <v>359.46</v>
      </c>
      <c r="J72" s="231" t="s">
        <v>1393</v>
      </c>
      <c r="K72" s="231" t="s">
        <v>1394</v>
      </c>
      <c r="L72" s="232">
        <v>45170</v>
      </c>
      <c r="M72" s="232">
        <v>45199</v>
      </c>
    </row>
    <row r="73" spans="1:13" ht="14.25" customHeight="1" x14ac:dyDescent="0.2">
      <c r="A73" s="231" t="s">
        <v>10</v>
      </c>
      <c r="B73" s="230">
        <v>112497</v>
      </c>
      <c r="C73" s="230">
        <v>10763</v>
      </c>
      <c r="D73" s="231" t="s">
        <v>1378</v>
      </c>
      <c r="E73" s="230">
        <v>14491032</v>
      </c>
      <c r="F73" s="230">
        <v>29428</v>
      </c>
      <c r="G73" s="230">
        <v>1</v>
      </c>
      <c r="H73" s="240">
        <v>359.46</v>
      </c>
      <c r="I73" s="240">
        <f t="shared" si="1"/>
        <v>359.46</v>
      </c>
      <c r="J73" s="231" t="s">
        <v>1393</v>
      </c>
      <c r="K73" s="231" t="s">
        <v>1394</v>
      </c>
      <c r="L73" s="232">
        <v>45170</v>
      </c>
      <c r="M73" s="232">
        <v>45199</v>
      </c>
    </row>
    <row r="74" spans="1:13" ht="14.25" customHeight="1" x14ac:dyDescent="0.2">
      <c r="A74" s="231" t="s">
        <v>10</v>
      </c>
      <c r="B74" s="230">
        <v>112510</v>
      </c>
      <c r="C74" s="230">
        <v>10757</v>
      </c>
      <c r="D74" s="231" t="s">
        <v>227</v>
      </c>
      <c r="E74" s="230">
        <v>14491032</v>
      </c>
      <c r="F74" s="230">
        <v>29454</v>
      </c>
      <c r="G74" s="230">
        <v>1</v>
      </c>
      <c r="H74" s="240">
        <v>359.46</v>
      </c>
      <c r="I74" s="240">
        <f t="shared" si="1"/>
        <v>359.46</v>
      </c>
      <c r="J74" s="231" t="s">
        <v>1393</v>
      </c>
      <c r="K74" s="231" t="s">
        <v>1394</v>
      </c>
      <c r="L74" s="232">
        <v>45170</v>
      </c>
      <c r="M74" s="232">
        <v>45199</v>
      </c>
    </row>
    <row r="75" spans="1:13" ht="14.25" customHeight="1" x14ac:dyDescent="0.2">
      <c r="A75" s="231" t="s">
        <v>10</v>
      </c>
      <c r="B75" s="230">
        <v>112522</v>
      </c>
      <c r="C75" s="230">
        <v>10751</v>
      </c>
      <c r="D75" s="231" t="s">
        <v>237</v>
      </c>
      <c r="E75" s="230">
        <v>14491032</v>
      </c>
      <c r="F75" s="230">
        <v>29478</v>
      </c>
      <c r="G75" s="230">
        <v>1</v>
      </c>
      <c r="H75" s="240">
        <v>359.46</v>
      </c>
      <c r="I75" s="240">
        <f t="shared" si="1"/>
        <v>359.46</v>
      </c>
      <c r="J75" s="231" t="s">
        <v>1393</v>
      </c>
      <c r="K75" s="231" t="s">
        <v>1394</v>
      </c>
      <c r="L75" s="232">
        <v>45170</v>
      </c>
      <c r="M75" s="232">
        <v>45199</v>
      </c>
    </row>
    <row r="76" spans="1:13" ht="14.25" customHeight="1" x14ac:dyDescent="0.2">
      <c r="A76" s="231" t="s">
        <v>10</v>
      </c>
      <c r="B76" s="230">
        <v>112532</v>
      </c>
      <c r="C76" s="230">
        <v>10750</v>
      </c>
      <c r="D76" s="231" t="s">
        <v>244</v>
      </c>
      <c r="E76" s="230">
        <v>14491032</v>
      </c>
      <c r="F76" s="230">
        <v>29498</v>
      </c>
      <c r="G76" s="230">
        <v>1</v>
      </c>
      <c r="H76" s="240">
        <v>359.46</v>
      </c>
      <c r="I76" s="240">
        <f t="shared" si="1"/>
        <v>359.46</v>
      </c>
      <c r="J76" s="231" t="s">
        <v>1393</v>
      </c>
      <c r="K76" s="231" t="s">
        <v>1394</v>
      </c>
      <c r="L76" s="232">
        <v>45170</v>
      </c>
      <c r="M76" s="232">
        <v>45199</v>
      </c>
    </row>
    <row r="77" spans="1:13" ht="14.25" customHeight="1" x14ac:dyDescent="0.2">
      <c r="A77" s="231" t="s">
        <v>10</v>
      </c>
      <c r="B77" s="230">
        <v>112537</v>
      </c>
      <c r="C77" s="230">
        <v>10766</v>
      </c>
      <c r="D77" s="231" t="s">
        <v>248</v>
      </c>
      <c r="E77" s="230">
        <v>14491032</v>
      </c>
      <c r="F77" s="230">
        <v>29508</v>
      </c>
      <c r="G77" s="230">
        <v>1</v>
      </c>
      <c r="H77" s="240">
        <v>359.46</v>
      </c>
      <c r="I77" s="240">
        <f t="shared" si="1"/>
        <v>359.46</v>
      </c>
      <c r="J77" s="231" t="s">
        <v>1393</v>
      </c>
      <c r="K77" s="231" t="s">
        <v>1394</v>
      </c>
      <c r="L77" s="232">
        <v>45170</v>
      </c>
      <c r="M77" s="232">
        <v>45199</v>
      </c>
    </row>
    <row r="78" spans="1:13" ht="14.25" customHeight="1" x14ac:dyDescent="0.2">
      <c r="A78" s="231" t="s">
        <v>10</v>
      </c>
      <c r="B78" s="230">
        <v>112538</v>
      </c>
      <c r="C78" s="230">
        <v>10750</v>
      </c>
      <c r="D78" s="231" t="s">
        <v>249</v>
      </c>
      <c r="E78" s="230">
        <v>14491032</v>
      </c>
      <c r="F78" s="230">
        <v>29510</v>
      </c>
      <c r="G78" s="230">
        <v>1</v>
      </c>
      <c r="H78" s="240">
        <v>359.46</v>
      </c>
      <c r="I78" s="240">
        <f t="shared" si="1"/>
        <v>359.46</v>
      </c>
      <c r="J78" s="231" t="s">
        <v>1393</v>
      </c>
      <c r="K78" s="231" t="s">
        <v>1394</v>
      </c>
      <c r="L78" s="232">
        <v>45170</v>
      </c>
      <c r="M78" s="232">
        <v>45199</v>
      </c>
    </row>
    <row r="79" spans="1:13" ht="14.25" customHeight="1" x14ac:dyDescent="0.2">
      <c r="A79" s="231" t="s">
        <v>10</v>
      </c>
      <c r="B79" s="230">
        <v>112547</v>
      </c>
      <c r="C79" s="230">
        <v>10750</v>
      </c>
      <c r="D79" s="231" t="s">
        <v>257</v>
      </c>
      <c r="E79" s="230">
        <v>14491032</v>
      </c>
      <c r="F79" s="230">
        <v>29528</v>
      </c>
      <c r="G79" s="230">
        <v>1</v>
      </c>
      <c r="H79" s="240">
        <v>359.46</v>
      </c>
      <c r="I79" s="240">
        <f t="shared" si="1"/>
        <v>359.46</v>
      </c>
      <c r="J79" s="231" t="s">
        <v>1393</v>
      </c>
      <c r="K79" s="231" t="s">
        <v>1394</v>
      </c>
      <c r="L79" s="232">
        <v>45170</v>
      </c>
      <c r="M79" s="232">
        <v>45199</v>
      </c>
    </row>
    <row r="80" spans="1:13" ht="14.25" customHeight="1" x14ac:dyDescent="0.2">
      <c r="A80" s="231" t="s">
        <v>10</v>
      </c>
      <c r="B80" s="230">
        <v>112549</v>
      </c>
      <c r="C80" s="230">
        <v>10750</v>
      </c>
      <c r="D80" s="231" t="s">
        <v>259</v>
      </c>
      <c r="E80" s="230">
        <v>14491032</v>
      </c>
      <c r="F80" s="230">
        <v>29532</v>
      </c>
      <c r="G80" s="230">
        <v>1</v>
      </c>
      <c r="H80" s="240">
        <v>359.46</v>
      </c>
      <c r="I80" s="240">
        <f t="shared" si="1"/>
        <v>359.46</v>
      </c>
      <c r="J80" s="231" t="s">
        <v>1393</v>
      </c>
      <c r="K80" s="231" t="s">
        <v>1394</v>
      </c>
      <c r="L80" s="232">
        <v>45170</v>
      </c>
      <c r="M80" s="232">
        <v>45199</v>
      </c>
    </row>
    <row r="81" spans="1:13" ht="14.25" customHeight="1" x14ac:dyDescent="0.2">
      <c r="A81" s="231" t="s">
        <v>10</v>
      </c>
      <c r="B81" s="230">
        <v>112561</v>
      </c>
      <c r="C81" s="230">
        <v>10750</v>
      </c>
      <c r="D81" s="231" t="s">
        <v>266</v>
      </c>
      <c r="E81" s="230">
        <v>14491032</v>
      </c>
      <c r="F81" s="230">
        <v>29556</v>
      </c>
      <c r="G81" s="230">
        <v>1</v>
      </c>
      <c r="H81" s="240">
        <v>359.46</v>
      </c>
      <c r="I81" s="240">
        <f t="shared" si="1"/>
        <v>359.46</v>
      </c>
      <c r="J81" s="231" t="s">
        <v>1393</v>
      </c>
      <c r="K81" s="231" t="s">
        <v>1394</v>
      </c>
      <c r="L81" s="232">
        <v>45170</v>
      </c>
      <c r="M81" s="232">
        <v>45199</v>
      </c>
    </row>
    <row r="82" spans="1:13" ht="14.25" customHeight="1" x14ac:dyDescent="0.2">
      <c r="A82" s="231" t="s">
        <v>10</v>
      </c>
      <c r="B82" s="230">
        <v>112586</v>
      </c>
      <c r="C82" s="230">
        <v>10751</v>
      </c>
      <c r="D82" s="231" t="s">
        <v>279</v>
      </c>
      <c r="E82" s="230">
        <v>14491032</v>
      </c>
      <c r="F82" s="230">
        <v>29606</v>
      </c>
      <c r="G82" s="230">
        <v>1</v>
      </c>
      <c r="H82" s="240">
        <v>359.46</v>
      </c>
      <c r="I82" s="240">
        <f t="shared" si="1"/>
        <v>359.46</v>
      </c>
      <c r="J82" s="231" t="s">
        <v>1393</v>
      </c>
      <c r="K82" s="231" t="s">
        <v>1394</v>
      </c>
      <c r="L82" s="232">
        <v>45170</v>
      </c>
      <c r="M82" s="232">
        <v>45199</v>
      </c>
    </row>
    <row r="83" spans="1:13" ht="14.25" customHeight="1" x14ac:dyDescent="0.2">
      <c r="A83" s="231" t="s">
        <v>10</v>
      </c>
      <c r="B83" s="230">
        <v>112612</v>
      </c>
      <c r="C83" s="230">
        <v>10763</v>
      </c>
      <c r="D83" s="231" t="s">
        <v>297</v>
      </c>
      <c r="E83" s="230">
        <v>14491032</v>
      </c>
      <c r="F83" s="230">
        <v>29658</v>
      </c>
      <c r="G83" s="230">
        <v>1</v>
      </c>
      <c r="H83" s="240">
        <v>359.46</v>
      </c>
      <c r="I83" s="240">
        <f t="shared" si="1"/>
        <v>359.46</v>
      </c>
      <c r="J83" s="231" t="s">
        <v>1393</v>
      </c>
      <c r="K83" s="231" t="s">
        <v>1394</v>
      </c>
      <c r="L83" s="232">
        <v>45170</v>
      </c>
      <c r="M83" s="232">
        <v>45199</v>
      </c>
    </row>
    <row r="84" spans="1:13" ht="14.25" customHeight="1" x14ac:dyDescent="0.2">
      <c r="A84" s="231" t="s">
        <v>10</v>
      </c>
      <c r="B84" s="230">
        <v>112620</v>
      </c>
      <c r="C84" s="230">
        <v>10763</v>
      </c>
      <c r="D84" s="231" t="s">
        <v>304</v>
      </c>
      <c r="E84" s="230">
        <v>14491032</v>
      </c>
      <c r="F84" s="230">
        <v>29674</v>
      </c>
      <c r="G84" s="230">
        <v>1</v>
      </c>
      <c r="H84" s="240">
        <v>359.46</v>
      </c>
      <c r="I84" s="240">
        <f t="shared" si="1"/>
        <v>359.46</v>
      </c>
      <c r="J84" s="231" t="s">
        <v>1393</v>
      </c>
      <c r="K84" s="231" t="s">
        <v>1394</v>
      </c>
      <c r="L84" s="232">
        <v>45170</v>
      </c>
      <c r="M84" s="232">
        <v>45199</v>
      </c>
    </row>
    <row r="85" spans="1:13" ht="14.25" customHeight="1" x14ac:dyDescent="0.2">
      <c r="A85" s="231" t="s">
        <v>10</v>
      </c>
      <c r="B85" s="230">
        <v>112632</v>
      </c>
      <c r="C85" s="230">
        <v>10750</v>
      </c>
      <c r="D85" s="231" t="s">
        <v>311</v>
      </c>
      <c r="E85" s="230">
        <v>14491032</v>
      </c>
      <c r="F85" s="230">
        <v>29698</v>
      </c>
      <c r="G85" s="230">
        <v>1</v>
      </c>
      <c r="H85" s="240">
        <v>359.46</v>
      </c>
      <c r="I85" s="240">
        <f t="shared" si="1"/>
        <v>359.46</v>
      </c>
      <c r="J85" s="231" t="s">
        <v>1393</v>
      </c>
      <c r="K85" s="231" t="s">
        <v>1394</v>
      </c>
      <c r="L85" s="232">
        <v>45170</v>
      </c>
      <c r="M85" s="232">
        <v>45199</v>
      </c>
    </row>
    <row r="86" spans="1:13" ht="14.25" customHeight="1" x14ac:dyDescent="0.2">
      <c r="A86" s="231" t="s">
        <v>10</v>
      </c>
      <c r="B86" s="230">
        <v>112641</v>
      </c>
      <c r="C86" s="230">
        <v>10750</v>
      </c>
      <c r="D86" s="231" t="s">
        <v>316</v>
      </c>
      <c r="E86" s="230">
        <v>14491032</v>
      </c>
      <c r="F86" s="230">
        <v>29716</v>
      </c>
      <c r="G86" s="230">
        <v>1</v>
      </c>
      <c r="H86" s="240">
        <v>359.46</v>
      </c>
      <c r="I86" s="240">
        <f t="shared" si="1"/>
        <v>359.46</v>
      </c>
      <c r="J86" s="231" t="s">
        <v>1393</v>
      </c>
      <c r="K86" s="231" t="s">
        <v>1394</v>
      </c>
      <c r="L86" s="232">
        <v>45170</v>
      </c>
      <c r="M86" s="232">
        <v>45199</v>
      </c>
    </row>
    <row r="87" spans="1:13" ht="14.25" customHeight="1" x14ac:dyDescent="0.2">
      <c r="A87" s="231" t="s">
        <v>10</v>
      </c>
      <c r="B87" s="230">
        <v>112659</v>
      </c>
      <c r="C87" s="230">
        <v>10750</v>
      </c>
      <c r="D87" s="231" t="s">
        <v>325</v>
      </c>
      <c r="E87" s="230">
        <v>14491032</v>
      </c>
      <c r="F87" s="230">
        <v>29752</v>
      </c>
      <c r="G87" s="230">
        <v>1</v>
      </c>
      <c r="H87" s="240">
        <v>359.46</v>
      </c>
      <c r="I87" s="240">
        <f t="shared" si="1"/>
        <v>359.46</v>
      </c>
      <c r="J87" s="231" t="s">
        <v>1393</v>
      </c>
      <c r="K87" s="231" t="s">
        <v>1394</v>
      </c>
      <c r="L87" s="232">
        <v>45170</v>
      </c>
      <c r="M87" s="232">
        <v>45199</v>
      </c>
    </row>
    <row r="88" spans="1:13" ht="14.25" customHeight="1" x14ac:dyDescent="0.2">
      <c r="A88" s="231" t="s">
        <v>10</v>
      </c>
      <c r="B88" s="230">
        <v>112675</v>
      </c>
      <c r="C88" s="230">
        <v>10750</v>
      </c>
      <c r="D88" s="231" t="s">
        <v>333</v>
      </c>
      <c r="E88" s="230">
        <v>14491032</v>
      </c>
      <c r="F88" s="230">
        <v>29784</v>
      </c>
      <c r="G88" s="230">
        <v>1</v>
      </c>
      <c r="H88" s="240">
        <v>359.46</v>
      </c>
      <c r="I88" s="240">
        <f t="shared" si="1"/>
        <v>359.46</v>
      </c>
      <c r="J88" s="231" t="s">
        <v>1393</v>
      </c>
      <c r="K88" s="231" t="s">
        <v>1394</v>
      </c>
      <c r="L88" s="232">
        <v>45170</v>
      </c>
      <c r="M88" s="232">
        <v>45199</v>
      </c>
    </row>
    <row r="89" spans="1:13" ht="14.25" customHeight="1" x14ac:dyDescent="0.2">
      <c r="A89" s="231" t="s">
        <v>10</v>
      </c>
      <c r="B89" s="230">
        <v>112681</v>
      </c>
      <c r="C89" s="230">
        <v>10750</v>
      </c>
      <c r="D89" s="231" t="s">
        <v>337</v>
      </c>
      <c r="E89" s="230">
        <v>14491032</v>
      </c>
      <c r="F89" s="230">
        <v>29796</v>
      </c>
      <c r="G89" s="230">
        <v>1</v>
      </c>
      <c r="H89" s="240">
        <v>359.46</v>
      </c>
      <c r="I89" s="240">
        <f t="shared" si="1"/>
        <v>359.46</v>
      </c>
      <c r="J89" s="231" t="s">
        <v>1393</v>
      </c>
      <c r="K89" s="231" t="s">
        <v>1394</v>
      </c>
      <c r="L89" s="232">
        <v>45170</v>
      </c>
      <c r="M89" s="232">
        <v>45199</v>
      </c>
    </row>
    <row r="90" spans="1:13" ht="14.25" customHeight="1" x14ac:dyDescent="0.2">
      <c r="A90" s="231" t="s">
        <v>10</v>
      </c>
      <c r="B90" s="230">
        <v>112684</v>
      </c>
      <c r="C90" s="230">
        <v>10750</v>
      </c>
      <c r="D90" s="231" t="s">
        <v>340</v>
      </c>
      <c r="E90" s="230">
        <v>14491032</v>
      </c>
      <c r="F90" s="230">
        <v>29802</v>
      </c>
      <c r="G90" s="230">
        <v>1</v>
      </c>
      <c r="H90" s="240">
        <v>359.46</v>
      </c>
      <c r="I90" s="240">
        <f t="shared" si="1"/>
        <v>359.46</v>
      </c>
      <c r="J90" s="231" t="s">
        <v>1393</v>
      </c>
      <c r="K90" s="231" t="s">
        <v>1394</v>
      </c>
      <c r="L90" s="232">
        <v>45170</v>
      </c>
      <c r="M90" s="232">
        <v>45199</v>
      </c>
    </row>
    <row r="91" spans="1:13" ht="14.25" customHeight="1" x14ac:dyDescent="0.2">
      <c r="A91" s="231" t="s">
        <v>10</v>
      </c>
      <c r="B91" s="230">
        <v>112685</v>
      </c>
      <c r="C91" s="230">
        <v>10763</v>
      </c>
      <c r="D91" s="231" t="s">
        <v>341</v>
      </c>
      <c r="E91" s="230">
        <v>14491032</v>
      </c>
      <c r="F91" s="230">
        <v>29804</v>
      </c>
      <c r="G91" s="230">
        <v>1</v>
      </c>
      <c r="H91" s="240">
        <v>359.46</v>
      </c>
      <c r="I91" s="240">
        <f t="shared" si="1"/>
        <v>359.46</v>
      </c>
      <c r="J91" s="231" t="s">
        <v>1393</v>
      </c>
      <c r="K91" s="231" t="s">
        <v>1394</v>
      </c>
      <c r="L91" s="232">
        <v>45170</v>
      </c>
      <c r="M91" s="232">
        <v>45199</v>
      </c>
    </row>
    <row r="92" spans="1:13" ht="14.25" customHeight="1" x14ac:dyDescent="0.2">
      <c r="A92" s="231" t="s">
        <v>10</v>
      </c>
      <c r="B92" s="230">
        <v>112690</v>
      </c>
      <c r="C92" s="230">
        <v>10757</v>
      </c>
      <c r="D92" s="231" t="s">
        <v>1552</v>
      </c>
      <c r="E92" s="230">
        <v>14491032</v>
      </c>
      <c r="F92" s="230">
        <v>29814</v>
      </c>
      <c r="G92" s="230">
        <v>1</v>
      </c>
      <c r="H92" s="240">
        <v>359.46</v>
      </c>
      <c r="I92" s="240">
        <f t="shared" si="1"/>
        <v>359.46</v>
      </c>
      <c r="J92" s="231" t="s">
        <v>1393</v>
      </c>
      <c r="K92" s="231" t="s">
        <v>1394</v>
      </c>
      <c r="L92" s="232">
        <v>45170</v>
      </c>
      <c r="M92" s="232">
        <v>45199</v>
      </c>
    </row>
    <row r="93" spans="1:13" ht="14.25" customHeight="1" x14ac:dyDescent="0.2">
      <c r="A93" s="231" t="s">
        <v>10</v>
      </c>
      <c r="B93" s="230">
        <v>112703</v>
      </c>
      <c r="C93" s="230">
        <v>10750</v>
      </c>
      <c r="D93" s="231" t="s">
        <v>353</v>
      </c>
      <c r="E93" s="230">
        <v>14491032</v>
      </c>
      <c r="F93" s="230">
        <v>29840</v>
      </c>
      <c r="G93" s="230">
        <v>1</v>
      </c>
      <c r="H93" s="240">
        <v>359.46</v>
      </c>
      <c r="I93" s="240">
        <f t="shared" si="1"/>
        <v>359.46</v>
      </c>
      <c r="J93" s="231" t="s">
        <v>1393</v>
      </c>
      <c r="K93" s="231" t="s">
        <v>1394</v>
      </c>
      <c r="L93" s="232">
        <v>45170</v>
      </c>
      <c r="M93" s="232">
        <v>45199</v>
      </c>
    </row>
    <row r="94" spans="1:13" ht="14.25" customHeight="1" x14ac:dyDescent="0.2">
      <c r="A94" s="231" t="s">
        <v>10</v>
      </c>
      <c r="B94" s="230">
        <v>112716</v>
      </c>
      <c r="C94" s="230">
        <v>10751</v>
      </c>
      <c r="D94" s="231" t="s">
        <v>360</v>
      </c>
      <c r="E94" s="230">
        <v>14491032</v>
      </c>
      <c r="F94" s="230">
        <v>29866</v>
      </c>
      <c r="G94" s="230">
        <v>1</v>
      </c>
      <c r="H94" s="240">
        <v>359.46</v>
      </c>
      <c r="I94" s="240">
        <f t="shared" si="1"/>
        <v>359.46</v>
      </c>
      <c r="J94" s="231" t="s">
        <v>1393</v>
      </c>
      <c r="K94" s="231" t="s">
        <v>1394</v>
      </c>
      <c r="L94" s="232">
        <v>45170</v>
      </c>
      <c r="M94" s="232">
        <v>45199</v>
      </c>
    </row>
    <row r="95" spans="1:13" ht="14.25" customHeight="1" x14ac:dyDescent="0.2">
      <c r="A95" s="231" t="s">
        <v>10</v>
      </c>
      <c r="B95" s="230">
        <v>112744</v>
      </c>
      <c r="C95" s="230">
        <v>10756</v>
      </c>
      <c r="D95" s="231" t="s">
        <v>1382</v>
      </c>
      <c r="E95" s="230">
        <v>14491032</v>
      </c>
      <c r="F95" s="230">
        <v>29922</v>
      </c>
      <c r="G95" s="230">
        <v>1</v>
      </c>
      <c r="H95" s="240">
        <v>359.46</v>
      </c>
      <c r="I95" s="240">
        <f t="shared" si="1"/>
        <v>359.46</v>
      </c>
      <c r="J95" s="231" t="s">
        <v>1393</v>
      </c>
      <c r="K95" s="231" t="s">
        <v>1394</v>
      </c>
      <c r="L95" s="232">
        <v>45170</v>
      </c>
      <c r="M95" s="232">
        <v>45199</v>
      </c>
    </row>
    <row r="96" spans="1:13" ht="14.25" customHeight="1" x14ac:dyDescent="0.2">
      <c r="A96" s="231" t="s">
        <v>10</v>
      </c>
      <c r="B96" s="230">
        <v>112748</v>
      </c>
      <c r="C96" s="230">
        <v>10757</v>
      </c>
      <c r="D96" s="231" t="s">
        <v>382</v>
      </c>
      <c r="E96" s="230">
        <v>14491032</v>
      </c>
      <c r="F96" s="230">
        <v>29930</v>
      </c>
      <c r="G96" s="230">
        <v>1</v>
      </c>
      <c r="H96" s="240">
        <v>359.46</v>
      </c>
      <c r="I96" s="240">
        <f t="shared" si="1"/>
        <v>359.46</v>
      </c>
      <c r="J96" s="231" t="s">
        <v>1393</v>
      </c>
      <c r="K96" s="231" t="s">
        <v>1394</v>
      </c>
      <c r="L96" s="232">
        <v>45170</v>
      </c>
      <c r="M96" s="232">
        <v>45199</v>
      </c>
    </row>
    <row r="97" spans="1:13" s="39" customFormat="1" ht="14.25" customHeight="1" x14ac:dyDescent="0.2">
      <c r="A97" s="231" t="s">
        <v>10</v>
      </c>
      <c r="B97" s="230">
        <v>112761</v>
      </c>
      <c r="C97" s="230">
        <v>10750</v>
      </c>
      <c r="D97" s="231" t="s">
        <v>389</v>
      </c>
      <c r="E97" s="230">
        <v>14491032</v>
      </c>
      <c r="F97" s="230">
        <v>29956</v>
      </c>
      <c r="G97" s="230">
        <v>1</v>
      </c>
      <c r="H97" s="240">
        <v>359.46</v>
      </c>
      <c r="I97" s="240">
        <f t="shared" si="1"/>
        <v>359.46</v>
      </c>
      <c r="J97" s="231" t="s">
        <v>1393</v>
      </c>
      <c r="K97" s="231" t="s">
        <v>1394</v>
      </c>
      <c r="L97" s="232">
        <v>45170</v>
      </c>
      <c r="M97" s="232">
        <v>45199</v>
      </c>
    </row>
    <row r="98" spans="1:13" ht="14.25" customHeight="1" x14ac:dyDescent="0.2">
      <c r="A98" s="231" t="s">
        <v>10</v>
      </c>
      <c r="B98" s="230">
        <v>112785</v>
      </c>
      <c r="C98" s="230">
        <v>10750</v>
      </c>
      <c r="D98" s="231" t="s">
        <v>408</v>
      </c>
      <c r="E98" s="230">
        <v>14491032</v>
      </c>
      <c r="F98" s="230">
        <v>30004</v>
      </c>
      <c r="G98" s="230">
        <v>1</v>
      </c>
      <c r="H98" s="240">
        <v>359.46</v>
      </c>
      <c r="I98" s="240">
        <f t="shared" si="1"/>
        <v>359.46</v>
      </c>
      <c r="J98" s="231" t="s">
        <v>1393</v>
      </c>
      <c r="K98" s="231" t="s">
        <v>1394</v>
      </c>
      <c r="L98" s="232">
        <v>45170</v>
      </c>
      <c r="M98" s="232">
        <v>45199</v>
      </c>
    </row>
    <row r="99" spans="1:13" ht="14.25" customHeight="1" x14ac:dyDescent="0.2">
      <c r="A99" s="231" t="s">
        <v>10</v>
      </c>
      <c r="B99" s="230">
        <v>112793</v>
      </c>
      <c r="C99" s="230">
        <v>10751</v>
      </c>
      <c r="D99" s="231" t="s">
        <v>414</v>
      </c>
      <c r="E99" s="230">
        <v>14491032</v>
      </c>
      <c r="F99" s="230">
        <v>30020</v>
      </c>
      <c r="G99" s="230">
        <v>1</v>
      </c>
      <c r="H99" s="240">
        <v>359.46</v>
      </c>
      <c r="I99" s="240">
        <f t="shared" si="1"/>
        <v>359.46</v>
      </c>
      <c r="J99" s="231" t="s">
        <v>1393</v>
      </c>
      <c r="K99" s="231" t="s">
        <v>1394</v>
      </c>
      <c r="L99" s="232">
        <v>45170</v>
      </c>
      <c r="M99" s="232">
        <v>45199</v>
      </c>
    </row>
    <row r="100" spans="1:13" ht="14.25" customHeight="1" x14ac:dyDescent="0.2">
      <c r="A100" s="231" t="s">
        <v>10</v>
      </c>
      <c r="B100" s="230">
        <v>112813</v>
      </c>
      <c r="C100" s="230">
        <v>10763</v>
      </c>
      <c r="D100" s="231" t="s">
        <v>394</v>
      </c>
      <c r="E100" s="230">
        <v>14491032</v>
      </c>
      <c r="F100" s="230">
        <v>30060</v>
      </c>
      <c r="G100" s="230">
        <v>1</v>
      </c>
      <c r="H100" s="240">
        <v>359.46</v>
      </c>
      <c r="I100" s="240">
        <f t="shared" si="1"/>
        <v>359.46</v>
      </c>
      <c r="J100" s="231" t="s">
        <v>1393</v>
      </c>
      <c r="K100" s="231" t="s">
        <v>1394</v>
      </c>
      <c r="L100" s="232">
        <v>45170</v>
      </c>
      <c r="M100" s="232">
        <v>45199</v>
      </c>
    </row>
    <row r="101" spans="1:13" ht="14.25" customHeight="1" x14ac:dyDescent="0.2">
      <c r="A101" s="231" t="s">
        <v>10</v>
      </c>
      <c r="B101" s="230">
        <v>112815</v>
      </c>
      <c r="C101" s="230">
        <v>10760</v>
      </c>
      <c r="D101" s="231" t="s">
        <v>431</v>
      </c>
      <c r="E101" s="230">
        <v>14491032</v>
      </c>
      <c r="F101" s="230">
        <v>30064</v>
      </c>
      <c r="G101" s="230">
        <v>1</v>
      </c>
      <c r="H101" s="240">
        <v>359.46</v>
      </c>
      <c r="I101" s="240">
        <f t="shared" si="1"/>
        <v>359.46</v>
      </c>
      <c r="J101" s="231" t="s">
        <v>1393</v>
      </c>
      <c r="K101" s="231" t="s">
        <v>1394</v>
      </c>
      <c r="L101" s="232">
        <v>45170</v>
      </c>
      <c r="M101" s="232">
        <v>45199</v>
      </c>
    </row>
    <row r="102" spans="1:13" ht="14.25" customHeight="1" x14ac:dyDescent="0.2">
      <c r="A102" s="231" t="s">
        <v>10</v>
      </c>
      <c r="B102" s="230">
        <v>112818</v>
      </c>
      <c r="C102" s="230">
        <v>10771</v>
      </c>
      <c r="D102" s="231" t="s">
        <v>433</v>
      </c>
      <c r="E102" s="230">
        <v>14491032</v>
      </c>
      <c r="F102" s="230">
        <v>30070</v>
      </c>
      <c r="G102" s="230">
        <v>1</v>
      </c>
      <c r="H102" s="240">
        <v>359.46</v>
      </c>
      <c r="I102" s="240">
        <f t="shared" si="1"/>
        <v>359.46</v>
      </c>
      <c r="J102" s="231" t="s">
        <v>1393</v>
      </c>
      <c r="K102" s="231" t="s">
        <v>1394</v>
      </c>
      <c r="L102" s="232">
        <v>45170</v>
      </c>
      <c r="M102" s="232">
        <v>45199</v>
      </c>
    </row>
    <row r="103" spans="1:13" ht="14.25" customHeight="1" x14ac:dyDescent="0.2">
      <c r="A103" s="231" t="s">
        <v>10</v>
      </c>
      <c r="B103" s="230">
        <v>112824</v>
      </c>
      <c r="C103" s="230">
        <v>10750</v>
      </c>
      <c r="D103" s="231" t="s">
        <v>438</v>
      </c>
      <c r="E103" s="230">
        <v>14491032</v>
      </c>
      <c r="F103" s="230">
        <v>30082</v>
      </c>
      <c r="G103" s="230">
        <v>1</v>
      </c>
      <c r="H103" s="240">
        <v>359.46</v>
      </c>
      <c r="I103" s="240">
        <f t="shared" si="1"/>
        <v>359.46</v>
      </c>
      <c r="J103" s="231" t="s">
        <v>1393</v>
      </c>
      <c r="K103" s="231" t="s">
        <v>1394</v>
      </c>
      <c r="L103" s="232">
        <v>45170</v>
      </c>
      <c r="M103" s="232">
        <v>45199</v>
      </c>
    </row>
    <row r="104" spans="1:13" ht="14.25" customHeight="1" x14ac:dyDescent="0.2">
      <c r="A104" s="231" t="s">
        <v>10</v>
      </c>
      <c r="B104" s="230">
        <v>112830</v>
      </c>
      <c r="C104" s="230">
        <v>10760</v>
      </c>
      <c r="D104" s="231" t="s">
        <v>442</v>
      </c>
      <c r="E104" s="230">
        <v>14491032</v>
      </c>
      <c r="F104" s="230">
        <v>30094</v>
      </c>
      <c r="G104" s="230">
        <v>1</v>
      </c>
      <c r="H104" s="240">
        <v>359.46</v>
      </c>
      <c r="I104" s="240">
        <f t="shared" si="1"/>
        <v>359.46</v>
      </c>
      <c r="J104" s="231" t="s">
        <v>1393</v>
      </c>
      <c r="K104" s="231" t="s">
        <v>1394</v>
      </c>
      <c r="L104" s="232">
        <v>45170</v>
      </c>
      <c r="M104" s="232">
        <v>45199</v>
      </c>
    </row>
    <row r="105" spans="1:13" ht="14.25" customHeight="1" x14ac:dyDescent="0.2">
      <c r="A105" s="231" t="s">
        <v>10</v>
      </c>
      <c r="B105" s="230">
        <v>112847</v>
      </c>
      <c r="C105" s="230">
        <v>10756</v>
      </c>
      <c r="D105" s="231" t="s">
        <v>451</v>
      </c>
      <c r="E105" s="230">
        <v>14491032</v>
      </c>
      <c r="F105" s="230">
        <v>30128</v>
      </c>
      <c r="G105" s="230">
        <v>1</v>
      </c>
      <c r="H105" s="240">
        <v>359.46</v>
      </c>
      <c r="I105" s="240">
        <f t="shared" si="1"/>
        <v>359.46</v>
      </c>
      <c r="J105" s="231" t="s">
        <v>1393</v>
      </c>
      <c r="K105" s="231" t="s">
        <v>1394</v>
      </c>
      <c r="L105" s="232">
        <v>45170</v>
      </c>
      <c r="M105" s="232">
        <v>45199</v>
      </c>
    </row>
    <row r="106" spans="1:13" ht="14.25" customHeight="1" x14ac:dyDescent="0.2">
      <c r="A106" s="231" t="s">
        <v>10</v>
      </c>
      <c r="B106" s="230">
        <v>112870</v>
      </c>
      <c r="C106" s="230">
        <v>10750</v>
      </c>
      <c r="D106" s="231" t="s">
        <v>1344</v>
      </c>
      <c r="E106" s="230">
        <v>14491032</v>
      </c>
      <c r="F106" s="230">
        <v>30174</v>
      </c>
      <c r="G106" s="230">
        <v>1</v>
      </c>
      <c r="H106" s="240">
        <v>359.46</v>
      </c>
      <c r="I106" s="240">
        <f t="shared" si="1"/>
        <v>359.46</v>
      </c>
      <c r="J106" s="231" t="s">
        <v>1393</v>
      </c>
      <c r="K106" s="231" t="s">
        <v>1394</v>
      </c>
      <c r="L106" s="232">
        <v>45170</v>
      </c>
      <c r="M106" s="232">
        <v>45199</v>
      </c>
    </row>
    <row r="107" spans="1:13" ht="14.25" customHeight="1" x14ac:dyDescent="0.2">
      <c r="A107" s="231" t="s">
        <v>10</v>
      </c>
      <c r="B107" s="230">
        <v>112900</v>
      </c>
      <c r="C107" s="230">
        <v>10760</v>
      </c>
      <c r="D107" s="231" t="s">
        <v>487</v>
      </c>
      <c r="E107" s="230">
        <v>14491032</v>
      </c>
      <c r="F107" s="230">
        <v>30234</v>
      </c>
      <c r="G107" s="230">
        <v>1</v>
      </c>
      <c r="H107" s="240">
        <v>359.46</v>
      </c>
      <c r="I107" s="240">
        <f t="shared" si="1"/>
        <v>359.46</v>
      </c>
      <c r="J107" s="231" t="s">
        <v>1393</v>
      </c>
      <c r="K107" s="231" t="s">
        <v>1394</v>
      </c>
      <c r="L107" s="232">
        <v>45170</v>
      </c>
      <c r="M107" s="232">
        <v>45199</v>
      </c>
    </row>
    <row r="108" spans="1:13" ht="14.25" customHeight="1" x14ac:dyDescent="0.2">
      <c r="A108" s="231" t="s">
        <v>10</v>
      </c>
      <c r="B108" s="230">
        <v>112908</v>
      </c>
      <c r="C108" s="230">
        <v>10763</v>
      </c>
      <c r="D108" s="231" t="s">
        <v>492</v>
      </c>
      <c r="E108" s="230">
        <v>14491032</v>
      </c>
      <c r="F108" s="230">
        <v>30250</v>
      </c>
      <c r="G108" s="230">
        <v>1</v>
      </c>
      <c r="H108" s="240">
        <v>359.46</v>
      </c>
      <c r="I108" s="240">
        <f t="shared" si="1"/>
        <v>359.46</v>
      </c>
      <c r="J108" s="231" t="s">
        <v>1393</v>
      </c>
      <c r="K108" s="231" t="s">
        <v>1394</v>
      </c>
      <c r="L108" s="232">
        <v>45170</v>
      </c>
      <c r="M108" s="232">
        <v>45199</v>
      </c>
    </row>
    <row r="109" spans="1:13" ht="14.25" customHeight="1" x14ac:dyDescent="0.2">
      <c r="A109" s="231" t="s">
        <v>10</v>
      </c>
      <c r="B109" s="230">
        <v>113043</v>
      </c>
      <c r="C109" s="230">
        <v>10763</v>
      </c>
      <c r="D109" s="231" t="s">
        <v>559</v>
      </c>
      <c r="E109" s="230">
        <v>14491032</v>
      </c>
      <c r="F109" s="230">
        <v>30520</v>
      </c>
      <c r="G109" s="230">
        <v>1</v>
      </c>
      <c r="H109" s="240">
        <v>359.46</v>
      </c>
      <c r="I109" s="240">
        <f t="shared" si="1"/>
        <v>359.46</v>
      </c>
      <c r="J109" s="231" t="s">
        <v>1393</v>
      </c>
      <c r="K109" s="231" t="s">
        <v>1394</v>
      </c>
      <c r="L109" s="232">
        <v>45170</v>
      </c>
      <c r="M109" s="232">
        <v>45199</v>
      </c>
    </row>
    <row r="110" spans="1:13" ht="14.25" customHeight="1" x14ac:dyDescent="0.2">
      <c r="A110" s="231" t="s">
        <v>10</v>
      </c>
      <c r="B110" s="230">
        <v>113095</v>
      </c>
      <c r="C110" s="230">
        <v>10771</v>
      </c>
      <c r="D110" s="231" t="s">
        <v>585</v>
      </c>
      <c r="E110" s="230">
        <v>14491032</v>
      </c>
      <c r="F110" s="230">
        <v>30624</v>
      </c>
      <c r="G110" s="230">
        <v>1</v>
      </c>
      <c r="H110" s="240">
        <v>359.46</v>
      </c>
      <c r="I110" s="240">
        <f t="shared" si="1"/>
        <v>359.46</v>
      </c>
      <c r="J110" s="231" t="s">
        <v>1393</v>
      </c>
      <c r="K110" s="231" t="s">
        <v>1394</v>
      </c>
      <c r="L110" s="232">
        <v>45170</v>
      </c>
      <c r="M110" s="232">
        <v>45199</v>
      </c>
    </row>
    <row r="111" spans="1:13" ht="14.25" customHeight="1" x14ac:dyDescent="0.2">
      <c r="A111" s="231" t="s">
        <v>10</v>
      </c>
      <c r="B111" s="230">
        <v>113116</v>
      </c>
      <c r="C111" s="230">
        <v>10750</v>
      </c>
      <c r="D111" s="231" t="s">
        <v>594</v>
      </c>
      <c r="E111" s="230">
        <v>14491032</v>
      </c>
      <c r="F111" s="230">
        <v>30666</v>
      </c>
      <c r="G111" s="230">
        <v>1</v>
      </c>
      <c r="H111" s="240">
        <v>359.46</v>
      </c>
      <c r="I111" s="240">
        <f t="shared" si="1"/>
        <v>359.46</v>
      </c>
      <c r="J111" s="231" t="s">
        <v>1393</v>
      </c>
      <c r="K111" s="231" t="s">
        <v>1394</v>
      </c>
      <c r="L111" s="232">
        <v>45170</v>
      </c>
      <c r="M111" s="232">
        <v>45199</v>
      </c>
    </row>
    <row r="112" spans="1:13" ht="14.25" customHeight="1" x14ac:dyDescent="0.2">
      <c r="A112" s="231" t="s">
        <v>10</v>
      </c>
      <c r="B112" s="230">
        <v>113120</v>
      </c>
      <c r="C112" s="230">
        <v>10756</v>
      </c>
      <c r="D112" s="231" t="s">
        <v>598</v>
      </c>
      <c r="E112" s="230">
        <v>14491032</v>
      </c>
      <c r="F112" s="230">
        <v>30674</v>
      </c>
      <c r="G112" s="230">
        <v>1</v>
      </c>
      <c r="H112" s="240">
        <v>359.46</v>
      </c>
      <c r="I112" s="240">
        <f t="shared" si="1"/>
        <v>359.46</v>
      </c>
      <c r="J112" s="231" t="s">
        <v>1393</v>
      </c>
      <c r="K112" s="231" t="s">
        <v>1394</v>
      </c>
      <c r="L112" s="232">
        <v>45170</v>
      </c>
      <c r="M112" s="232">
        <v>45199</v>
      </c>
    </row>
    <row r="113" spans="1:13" ht="14.25" customHeight="1" x14ac:dyDescent="0.2">
      <c r="A113" s="231" t="s">
        <v>10</v>
      </c>
      <c r="B113" s="230">
        <v>113127</v>
      </c>
      <c r="C113" s="230">
        <v>10750</v>
      </c>
      <c r="D113" s="231" t="s">
        <v>1366</v>
      </c>
      <c r="E113" s="230">
        <v>14491032</v>
      </c>
      <c r="F113" s="230">
        <v>30688</v>
      </c>
      <c r="G113" s="230">
        <v>1</v>
      </c>
      <c r="H113" s="240">
        <v>359.46</v>
      </c>
      <c r="I113" s="240">
        <f t="shared" si="1"/>
        <v>359.46</v>
      </c>
      <c r="J113" s="231" t="s">
        <v>1393</v>
      </c>
      <c r="K113" s="231" t="s">
        <v>1394</v>
      </c>
      <c r="L113" s="232">
        <v>45170</v>
      </c>
      <c r="M113" s="232">
        <v>45199</v>
      </c>
    </row>
    <row r="114" spans="1:13" ht="14.25" customHeight="1" x14ac:dyDescent="0.2">
      <c r="A114" s="231" t="s">
        <v>10</v>
      </c>
      <c r="B114" s="230">
        <v>113139</v>
      </c>
      <c r="C114" s="230">
        <v>10750</v>
      </c>
      <c r="D114" s="231" t="s">
        <v>608</v>
      </c>
      <c r="E114" s="230">
        <v>14491032</v>
      </c>
      <c r="F114" s="230">
        <v>30712</v>
      </c>
      <c r="G114" s="230">
        <v>1</v>
      </c>
      <c r="H114" s="240">
        <v>359.46</v>
      </c>
      <c r="I114" s="240">
        <f t="shared" si="1"/>
        <v>359.46</v>
      </c>
      <c r="J114" s="231" t="s">
        <v>1393</v>
      </c>
      <c r="K114" s="231" t="s">
        <v>1394</v>
      </c>
      <c r="L114" s="232">
        <v>45170</v>
      </c>
      <c r="M114" s="232">
        <v>45199</v>
      </c>
    </row>
    <row r="115" spans="1:13" ht="14.25" customHeight="1" x14ac:dyDescent="0.2">
      <c r="A115" s="231" t="s">
        <v>10</v>
      </c>
      <c r="B115" s="230">
        <v>113141</v>
      </c>
      <c r="C115" s="230">
        <v>10754</v>
      </c>
      <c r="D115" s="231" t="s">
        <v>610</v>
      </c>
      <c r="E115" s="230">
        <v>14491032</v>
      </c>
      <c r="F115" s="230">
        <v>30716</v>
      </c>
      <c r="G115" s="230">
        <v>1</v>
      </c>
      <c r="H115" s="240">
        <v>359.46</v>
      </c>
      <c r="I115" s="240">
        <f t="shared" si="1"/>
        <v>359.46</v>
      </c>
      <c r="J115" s="231" t="s">
        <v>1393</v>
      </c>
      <c r="K115" s="231" t="s">
        <v>1394</v>
      </c>
      <c r="L115" s="232">
        <v>45170</v>
      </c>
      <c r="M115" s="232">
        <v>45199</v>
      </c>
    </row>
    <row r="116" spans="1:13" ht="14.25" customHeight="1" x14ac:dyDescent="0.2">
      <c r="A116" s="231" t="s">
        <v>10</v>
      </c>
      <c r="B116" s="230">
        <v>113146</v>
      </c>
      <c r="C116" s="230">
        <v>10750</v>
      </c>
      <c r="D116" s="231" t="s">
        <v>612</v>
      </c>
      <c r="E116" s="230">
        <v>14491032</v>
      </c>
      <c r="F116" s="230">
        <v>30726</v>
      </c>
      <c r="G116" s="230">
        <v>1</v>
      </c>
      <c r="H116" s="240">
        <v>359.46</v>
      </c>
      <c r="I116" s="240">
        <f t="shared" si="1"/>
        <v>359.46</v>
      </c>
      <c r="J116" s="231" t="s">
        <v>1393</v>
      </c>
      <c r="K116" s="231" t="s">
        <v>1394</v>
      </c>
      <c r="L116" s="232">
        <v>45170</v>
      </c>
      <c r="M116" s="232">
        <v>45199</v>
      </c>
    </row>
    <row r="117" spans="1:13" ht="14.25" customHeight="1" x14ac:dyDescent="0.2">
      <c r="A117" s="231" t="s">
        <v>10</v>
      </c>
      <c r="B117" s="230">
        <v>113153</v>
      </c>
      <c r="C117" s="230">
        <v>10766</v>
      </c>
      <c r="D117" s="231" t="s">
        <v>616</v>
      </c>
      <c r="E117" s="230">
        <v>14491032</v>
      </c>
      <c r="F117" s="230">
        <v>30740</v>
      </c>
      <c r="G117" s="230">
        <v>1</v>
      </c>
      <c r="H117" s="240">
        <v>359.46</v>
      </c>
      <c r="I117" s="240">
        <f t="shared" si="1"/>
        <v>359.46</v>
      </c>
      <c r="J117" s="231" t="s">
        <v>1393</v>
      </c>
      <c r="K117" s="231" t="s">
        <v>1394</v>
      </c>
      <c r="L117" s="232">
        <v>45170</v>
      </c>
      <c r="M117" s="232">
        <v>45199</v>
      </c>
    </row>
    <row r="118" spans="1:13" ht="14.25" customHeight="1" x14ac:dyDescent="0.2">
      <c r="A118" s="231" t="s">
        <v>10</v>
      </c>
      <c r="B118" s="230">
        <v>113177</v>
      </c>
      <c r="C118" s="230">
        <v>10750</v>
      </c>
      <c r="D118" s="231" t="s">
        <v>631</v>
      </c>
      <c r="E118" s="230">
        <v>14491032</v>
      </c>
      <c r="F118" s="230">
        <v>30788</v>
      </c>
      <c r="G118" s="230">
        <v>1</v>
      </c>
      <c r="H118" s="240">
        <v>359.46</v>
      </c>
      <c r="I118" s="240">
        <f t="shared" si="1"/>
        <v>359.46</v>
      </c>
      <c r="J118" s="231" t="s">
        <v>1393</v>
      </c>
      <c r="K118" s="231" t="s">
        <v>1394</v>
      </c>
      <c r="L118" s="232">
        <v>45170</v>
      </c>
      <c r="M118" s="232">
        <v>45199</v>
      </c>
    </row>
    <row r="119" spans="1:13" ht="14.25" customHeight="1" x14ac:dyDescent="0.2">
      <c r="A119" s="231" t="s">
        <v>10</v>
      </c>
      <c r="B119" s="230">
        <v>113206</v>
      </c>
      <c r="C119" s="230">
        <v>10750</v>
      </c>
      <c r="D119" s="231" t="s">
        <v>649</v>
      </c>
      <c r="E119" s="230">
        <v>14491032</v>
      </c>
      <c r="F119" s="230">
        <v>30846</v>
      </c>
      <c r="G119" s="230">
        <v>1</v>
      </c>
      <c r="H119" s="240">
        <v>359.46</v>
      </c>
      <c r="I119" s="240">
        <f t="shared" si="1"/>
        <v>359.46</v>
      </c>
      <c r="J119" s="231" t="s">
        <v>1393</v>
      </c>
      <c r="K119" s="231" t="s">
        <v>1394</v>
      </c>
      <c r="L119" s="232">
        <v>45170</v>
      </c>
      <c r="M119" s="232">
        <v>45199</v>
      </c>
    </row>
    <row r="120" spans="1:13" ht="14.25" customHeight="1" x14ac:dyDescent="0.2">
      <c r="A120" s="231" t="s">
        <v>10</v>
      </c>
      <c r="B120" s="230">
        <v>113217</v>
      </c>
      <c r="C120" s="230">
        <v>10745</v>
      </c>
      <c r="D120" s="231" t="s">
        <v>653</v>
      </c>
      <c r="E120" s="230">
        <v>14491032</v>
      </c>
      <c r="F120" s="230">
        <v>30868</v>
      </c>
      <c r="G120" s="230">
        <v>1</v>
      </c>
      <c r="H120" s="240">
        <v>347.47</v>
      </c>
      <c r="I120" s="240">
        <f t="shared" si="1"/>
        <v>347.47</v>
      </c>
      <c r="J120" s="231" t="s">
        <v>1393</v>
      </c>
      <c r="K120" s="231" t="s">
        <v>1394</v>
      </c>
      <c r="L120" s="232">
        <v>45170</v>
      </c>
      <c r="M120" s="232">
        <v>45199</v>
      </c>
    </row>
    <row r="121" spans="1:13" ht="14.25" customHeight="1" x14ac:dyDescent="0.2">
      <c r="A121" s="231" t="s">
        <v>10</v>
      </c>
      <c r="B121" s="230">
        <v>113237</v>
      </c>
      <c r="C121" s="230">
        <v>10750</v>
      </c>
      <c r="D121" s="231" t="s">
        <v>665</v>
      </c>
      <c r="E121" s="230">
        <v>14491032</v>
      </c>
      <c r="F121" s="230">
        <v>30908</v>
      </c>
      <c r="G121" s="230">
        <v>1</v>
      </c>
      <c r="H121" s="240">
        <v>359.46</v>
      </c>
      <c r="I121" s="240">
        <f t="shared" si="1"/>
        <v>359.46</v>
      </c>
      <c r="J121" s="231" t="s">
        <v>1393</v>
      </c>
      <c r="K121" s="231" t="s">
        <v>1394</v>
      </c>
      <c r="L121" s="232">
        <v>45170</v>
      </c>
      <c r="M121" s="232">
        <v>45199</v>
      </c>
    </row>
    <row r="122" spans="1:13" ht="14.25" customHeight="1" x14ac:dyDescent="0.2">
      <c r="A122" s="231" t="s">
        <v>10</v>
      </c>
      <c r="B122" s="230">
        <v>113250</v>
      </c>
      <c r="C122" s="230">
        <v>10760</v>
      </c>
      <c r="D122" s="231" t="s">
        <v>670</v>
      </c>
      <c r="E122" s="230">
        <v>14491032</v>
      </c>
      <c r="F122" s="230">
        <v>30934</v>
      </c>
      <c r="G122" s="230">
        <v>1</v>
      </c>
      <c r="H122" s="240">
        <v>359.46</v>
      </c>
      <c r="I122" s="240">
        <f t="shared" si="1"/>
        <v>359.46</v>
      </c>
      <c r="J122" s="231" t="s">
        <v>1393</v>
      </c>
      <c r="K122" s="231" t="s">
        <v>1394</v>
      </c>
      <c r="L122" s="232">
        <v>45170</v>
      </c>
      <c r="M122" s="232">
        <v>45199</v>
      </c>
    </row>
    <row r="123" spans="1:13" ht="14.25" customHeight="1" x14ac:dyDescent="0.2">
      <c r="A123" s="231" t="s">
        <v>10</v>
      </c>
      <c r="B123" s="230">
        <v>113262</v>
      </c>
      <c r="C123" s="230">
        <v>10750</v>
      </c>
      <c r="D123" s="231" t="s">
        <v>676</v>
      </c>
      <c r="E123" s="230">
        <v>14491032</v>
      </c>
      <c r="F123" s="230">
        <v>30958</v>
      </c>
      <c r="G123" s="230">
        <v>1</v>
      </c>
      <c r="H123" s="240">
        <v>359.46</v>
      </c>
      <c r="I123" s="240">
        <f t="shared" si="1"/>
        <v>359.46</v>
      </c>
      <c r="J123" s="231" t="s">
        <v>1393</v>
      </c>
      <c r="K123" s="231" t="s">
        <v>1394</v>
      </c>
      <c r="L123" s="232">
        <v>45170</v>
      </c>
      <c r="M123" s="232">
        <v>45199</v>
      </c>
    </row>
    <row r="124" spans="1:13" ht="14.25" customHeight="1" x14ac:dyDescent="0.2">
      <c r="A124" s="231" t="s">
        <v>10</v>
      </c>
      <c r="B124" s="230">
        <v>113263</v>
      </c>
      <c r="C124" s="230">
        <v>10754</v>
      </c>
      <c r="D124" s="231" t="s">
        <v>1371</v>
      </c>
      <c r="E124" s="230">
        <v>14491032</v>
      </c>
      <c r="F124" s="230">
        <v>30960</v>
      </c>
      <c r="G124" s="230">
        <v>1</v>
      </c>
      <c r="H124" s="240">
        <v>359.46</v>
      </c>
      <c r="I124" s="240">
        <f t="shared" si="1"/>
        <v>359.46</v>
      </c>
      <c r="J124" s="231" t="s">
        <v>1393</v>
      </c>
      <c r="K124" s="231" t="s">
        <v>1394</v>
      </c>
      <c r="L124" s="232">
        <v>45170</v>
      </c>
      <c r="M124" s="232">
        <v>45199</v>
      </c>
    </row>
    <row r="125" spans="1:13" ht="14.25" customHeight="1" x14ac:dyDescent="0.2">
      <c r="A125" s="231" t="s">
        <v>10</v>
      </c>
      <c r="B125" s="230">
        <v>113276</v>
      </c>
      <c r="C125" s="230">
        <v>10745</v>
      </c>
      <c r="D125" s="231" t="s">
        <v>684</v>
      </c>
      <c r="E125" s="230">
        <v>14491032</v>
      </c>
      <c r="F125" s="230">
        <v>30986</v>
      </c>
      <c r="G125" s="230">
        <v>1</v>
      </c>
      <c r="H125" s="240">
        <v>359.46</v>
      </c>
      <c r="I125" s="240">
        <f t="shared" si="1"/>
        <v>359.46</v>
      </c>
      <c r="J125" s="231" t="s">
        <v>1393</v>
      </c>
      <c r="K125" s="231" t="s">
        <v>1394</v>
      </c>
      <c r="L125" s="232">
        <v>45170</v>
      </c>
      <c r="M125" s="232">
        <v>45199</v>
      </c>
    </row>
    <row r="126" spans="1:13" ht="14.25" customHeight="1" x14ac:dyDescent="0.2">
      <c r="A126" s="231" t="s">
        <v>10</v>
      </c>
      <c r="B126" s="230">
        <v>113278</v>
      </c>
      <c r="C126" s="230">
        <v>10763</v>
      </c>
      <c r="D126" s="231" t="s">
        <v>685</v>
      </c>
      <c r="E126" s="230">
        <v>14491032</v>
      </c>
      <c r="F126" s="230">
        <v>30990</v>
      </c>
      <c r="G126" s="230">
        <v>1</v>
      </c>
      <c r="H126" s="240">
        <v>359.46</v>
      </c>
      <c r="I126" s="240">
        <f t="shared" si="1"/>
        <v>359.46</v>
      </c>
      <c r="J126" s="231" t="s">
        <v>1393</v>
      </c>
      <c r="K126" s="231" t="s">
        <v>1394</v>
      </c>
      <c r="L126" s="232">
        <v>45170</v>
      </c>
      <c r="M126" s="232">
        <v>45199</v>
      </c>
    </row>
    <row r="127" spans="1:13" ht="14.25" customHeight="1" x14ac:dyDescent="0.2">
      <c r="A127" s="231" t="s">
        <v>10</v>
      </c>
      <c r="B127" s="230">
        <v>113289</v>
      </c>
      <c r="C127" s="230">
        <v>10750</v>
      </c>
      <c r="D127" s="231" t="s">
        <v>692</v>
      </c>
      <c r="E127" s="230">
        <v>14491032</v>
      </c>
      <c r="F127" s="230">
        <v>31012</v>
      </c>
      <c r="G127" s="230">
        <v>1</v>
      </c>
      <c r="H127" s="240">
        <v>359.46</v>
      </c>
      <c r="I127" s="240">
        <f t="shared" si="1"/>
        <v>359.46</v>
      </c>
      <c r="J127" s="231" t="s">
        <v>1393</v>
      </c>
      <c r="K127" s="231" t="s">
        <v>1394</v>
      </c>
      <c r="L127" s="232">
        <v>45170</v>
      </c>
      <c r="M127" s="232">
        <v>45199</v>
      </c>
    </row>
    <row r="128" spans="1:13" ht="14.25" customHeight="1" x14ac:dyDescent="0.2">
      <c r="A128" s="231" t="s">
        <v>10</v>
      </c>
      <c r="B128" s="230">
        <v>113323</v>
      </c>
      <c r="C128" s="230">
        <v>10766</v>
      </c>
      <c r="D128" s="231" t="s">
        <v>707</v>
      </c>
      <c r="E128" s="230">
        <v>14491032</v>
      </c>
      <c r="F128" s="230">
        <v>31080</v>
      </c>
      <c r="G128" s="230">
        <v>1</v>
      </c>
      <c r="H128" s="240">
        <v>359.46</v>
      </c>
      <c r="I128" s="240">
        <f t="shared" si="1"/>
        <v>359.46</v>
      </c>
      <c r="J128" s="231" t="s">
        <v>1393</v>
      </c>
      <c r="K128" s="231" t="s">
        <v>1394</v>
      </c>
      <c r="L128" s="232">
        <v>45170</v>
      </c>
      <c r="M128" s="232">
        <v>45199</v>
      </c>
    </row>
    <row r="129" spans="1:13" ht="14.25" customHeight="1" x14ac:dyDescent="0.2">
      <c r="A129" s="231" t="s">
        <v>10</v>
      </c>
      <c r="B129" s="230">
        <v>113337</v>
      </c>
      <c r="C129" s="230">
        <v>10760</v>
      </c>
      <c r="D129" s="231" t="s">
        <v>716</v>
      </c>
      <c r="E129" s="230">
        <v>14491032</v>
      </c>
      <c r="F129" s="230">
        <v>31108</v>
      </c>
      <c r="G129" s="230">
        <v>1</v>
      </c>
      <c r="H129" s="240">
        <v>359.46</v>
      </c>
      <c r="I129" s="240">
        <f t="shared" si="1"/>
        <v>359.46</v>
      </c>
      <c r="J129" s="231" t="s">
        <v>1393</v>
      </c>
      <c r="K129" s="231" t="s">
        <v>1394</v>
      </c>
      <c r="L129" s="232">
        <v>45170</v>
      </c>
      <c r="M129" s="232">
        <v>45199</v>
      </c>
    </row>
    <row r="130" spans="1:13" ht="14.25" customHeight="1" x14ac:dyDescent="0.2">
      <c r="A130" s="231" t="s">
        <v>10</v>
      </c>
      <c r="B130" s="230">
        <v>113342</v>
      </c>
      <c r="C130" s="230">
        <v>10755</v>
      </c>
      <c r="D130" s="231" t="s">
        <v>719</v>
      </c>
      <c r="E130" s="230">
        <v>14491032</v>
      </c>
      <c r="F130" s="230">
        <v>31118</v>
      </c>
      <c r="G130" s="230">
        <v>1</v>
      </c>
      <c r="H130" s="240">
        <v>359.46</v>
      </c>
      <c r="I130" s="240">
        <f t="shared" si="1"/>
        <v>359.46</v>
      </c>
      <c r="J130" s="231" t="s">
        <v>1393</v>
      </c>
      <c r="K130" s="231" t="s">
        <v>1394</v>
      </c>
      <c r="L130" s="232">
        <v>45170</v>
      </c>
      <c r="M130" s="232">
        <v>45199</v>
      </c>
    </row>
    <row r="131" spans="1:13" ht="14.25" customHeight="1" x14ac:dyDescent="0.2">
      <c r="A131" s="231" t="s">
        <v>10</v>
      </c>
      <c r="B131" s="230">
        <v>113369</v>
      </c>
      <c r="C131" s="230">
        <v>10750</v>
      </c>
      <c r="D131" s="231" t="s">
        <v>736</v>
      </c>
      <c r="E131" s="230">
        <v>14491032</v>
      </c>
      <c r="F131" s="230">
        <v>31172</v>
      </c>
      <c r="G131" s="230">
        <v>1</v>
      </c>
      <c r="H131" s="240">
        <v>359.46</v>
      </c>
      <c r="I131" s="240">
        <f t="shared" ref="I131:I194" si="2">G131*H131</f>
        <v>359.46</v>
      </c>
      <c r="J131" s="231" t="s">
        <v>1393</v>
      </c>
      <c r="K131" s="231" t="s">
        <v>1394</v>
      </c>
      <c r="L131" s="232">
        <v>45170</v>
      </c>
      <c r="M131" s="232">
        <v>45199</v>
      </c>
    </row>
    <row r="132" spans="1:13" ht="14.25" customHeight="1" x14ac:dyDescent="0.2">
      <c r="A132" s="231" t="s">
        <v>10</v>
      </c>
      <c r="B132" s="230">
        <v>113390</v>
      </c>
      <c r="C132" s="230">
        <v>10773</v>
      </c>
      <c r="D132" s="231" t="s">
        <v>1334</v>
      </c>
      <c r="E132" s="230">
        <v>14491032</v>
      </c>
      <c r="F132" s="230">
        <v>31214</v>
      </c>
      <c r="G132" s="230">
        <v>1</v>
      </c>
      <c r="H132" s="240">
        <v>359.46</v>
      </c>
      <c r="I132" s="240">
        <f t="shared" si="2"/>
        <v>359.46</v>
      </c>
      <c r="J132" s="231" t="s">
        <v>1393</v>
      </c>
      <c r="K132" s="231" t="s">
        <v>1394</v>
      </c>
      <c r="L132" s="232">
        <v>45170</v>
      </c>
      <c r="M132" s="232">
        <v>45199</v>
      </c>
    </row>
    <row r="133" spans="1:13" ht="14.25" customHeight="1" x14ac:dyDescent="0.2">
      <c r="A133" s="231" t="s">
        <v>10</v>
      </c>
      <c r="B133" s="230">
        <v>113392</v>
      </c>
      <c r="C133" s="230">
        <v>10750</v>
      </c>
      <c r="D133" s="231" t="s">
        <v>752</v>
      </c>
      <c r="E133" s="230">
        <v>14491032</v>
      </c>
      <c r="F133" s="230">
        <v>31218</v>
      </c>
      <c r="G133" s="230">
        <v>1</v>
      </c>
      <c r="H133" s="240">
        <v>359.46</v>
      </c>
      <c r="I133" s="240">
        <f t="shared" si="2"/>
        <v>359.46</v>
      </c>
      <c r="J133" s="231" t="s">
        <v>1393</v>
      </c>
      <c r="K133" s="231" t="s">
        <v>1394</v>
      </c>
      <c r="L133" s="232">
        <v>45170</v>
      </c>
      <c r="M133" s="232">
        <v>45199</v>
      </c>
    </row>
    <row r="134" spans="1:13" ht="14.25" customHeight="1" x14ac:dyDescent="0.2">
      <c r="A134" s="231" t="s">
        <v>10</v>
      </c>
      <c r="B134" s="230">
        <v>113436</v>
      </c>
      <c r="C134" s="230">
        <v>10750</v>
      </c>
      <c r="D134" s="231" t="s">
        <v>780</v>
      </c>
      <c r="E134" s="230">
        <v>14491032</v>
      </c>
      <c r="F134" s="230">
        <v>31306</v>
      </c>
      <c r="G134" s="230">
        <v>1</v>
      </c>
      <c r="H134" s="240">
        <v>359.46</v>
      </c>
      <c r="I134" s="240">
        <f t="shared" si="2"/>
        <v>359.46</v>
      </c>
      <c r="J134" s="231" t="s">
        <v>1393</v>
      </c>
      <c r="K134" s="231" t="s">
        <v>1394</v>
      </c>
      <c r="L134" s="232">
        <v>45170</v>
      </c>
      <c r="M134" s="232">
        <v>45199</v>
      </c>
    </row>
    <row r="135" spans="1:13" ht="14.25" customHeight="1" x14ac:dyDescent="0.2">
      <c r="A135" s="231" t="s">
        <v>10</v>
      </c>
      <c r="B135" s="230">
        <v>113464</v>
      </c>
      <c r="C135" s="230">
        <v>10756</v>
      </c>
      <c r="D135" s="231" t="s">
        <v>796</v>
      </c>
      <c r="E135" s="230">
        <v>14491032</v>
      </c>
      <c r="F135" s="230">
        <v>31362</v>
      </c>
      <c r="G135" s="230">
        <v>1</v>
      </c>
      <c r="H135" s="240">
        <v>359.46</v>
      </c>
      <c r="I135" s="240">
        <f t="shared" si="2"/>
        <v>359.46</v>
      </c>
      <c r="J135" s="231" t="s">
        <v>1393</v>
      </c>
      <c r="K135" s="231" t="s">
        <v>1394</v>
      </c>
      <c r="L135" s="232">
        <v>45170</v>
      </c>
      <c r="M135" s="232">
        <v>45199</v>
      </c>
    </row>
    <row r="136" spans="1:13" ht="14.25" customHeight="1" x14ac:dyDescent="0.2">
      <c r="A136" s="231" t="s">
        <v>10</v>
      </c>
      <c r="B136" s="230">
        <v>113471</v>
      </c>
      <c r="C136" s="230">
        <v>10766</v>
      </c>
      <c r="D136" s="231" t="s">
        <v>800</v>
      </c>
      <c r="E136" s="230">
        <v>14491032</v>
      </c>
      <c r="F136" s="230">
        <v>31376</v>
      </c>
      <c r="G136" s="230">
        <v>1</v>
      </c>
      <c r="H136" s="240">
        <v>359.46</v>
      </c>
      <c r="I136" s="240">
        <f t="shared" si="2"/>
        <v>359.46</v>
      </c>
      <c r="J136" s="231" t="s">
        <v>1393</v>
      </c>
      <c r="K136" s="231" t="s">
        <v>1394</v>
      </c>
      <c r="L136" s="232">
        <v>45170</v>
      </c>
      <c r="M136" s="232">
        <v>45199</v>
      </c>
    </row>
    <row r="137" spans="1:13" ht="14.25" customHeight="1" x14ac:dyDescent="0.2">
      <c r="A137" s="231" t="s">
        <v>10</v>
      </c>
      <c r="B137" s="230">
        <v>113477</v>
      </c>
      <c r="C137" s="230">
        <v>10766</v>
      </c>
      <c r="D137" s="231" t="s">
        <v>802</v>
      </c>
      <c r="E137" s="230">
        <v>14491032</v>
      </c>
      <c r="F137" s="230">
        <v>31388</v>
      </c>
      <c r="G137" s="230">
        <v>1</v>
      </c>
      <c r="H137" s="240">
        <v>359.46</v>
      </c>
      <c r="I137" s="240">
        <f t="shared" si="2"/>
        <v>359.46</v>
      </c>
      <c r="J137" s="231" t="s">
        <v>1393</v>
      </c>
      <c r="K137" s="231" t="s">
        <v>1394</v>
      </c>
      <c r="L137" s="232">
        <v>45170</v>
      </c>
      <c r="M137" s="232">
        <v>45199</v>
      </c>
    </row>
    <row r="138" spans="1:13" ht="14.25" customHeight="1" x14ac:dyDescent="0.2">
      <c r="A138" s="231" t="s">
        <v>10</v>
      </c>
      <c r="B138" s="230">
        <v>113480</v>
      </c>
      <c r="C138" s="230">
        <v>10750</v>
      </c>
      <c r="D138" s="231" t="s">
        <v>804</v>
      </c>
      <c r="E138" s="230">
        <v>14491032</v>
      </c>
      <c r="F138" s="230">
        <v>31394</v>
      </c>
      <c r="G138" s="230">
        <v>1</v>
      </c>
      <c r="H138" s="240">
        <v>359.46</v>
      </c>
      <c r="I138" s="240">
        <f t="shared" si="2"/>
        <v>359.46</v>
      </c>
      <c r="J138" s="231" t="s">
        <v>1393</v>
      </c>
      <c r="K138" s="231" t="s">
        <v>1394</v>
      </c>
      <c r="L138" s="232">
        <v>45170</v>
      </c>
      <c r="M138" s="232">
        <v>45199</v>
      </c>
    </row>
    <row r="139" spans="1:13" ht="14.25" customHeight="1" x14ac:dyDescent="0.2">
      <c r="A139" s="231" t="s">
        <v>10</v>
      </c>
      <c r="B139" s="230">
        <v>113496</v>
      </c>
      <c r="C139" s="230">
        <v>10750</v>
      </c>
      <c r="D139" s="231" t="s">
        <v>812</v>
      </c>
      <c r="E139" s="230">
        <v>14491032</v>
      </c>
      <c r="F139" s="230">
        <v>31426</v>
      </c>
      <c r="G139" s="230">
        <v>1</v>
      </c>
      <c r="H139" s="240">
        <v>359.46</v>
      </c>
      <c r="I139" s="240">
        <f t="shared" si="2"/>
        <v>359.46</v>
      </c>
      <c r="J139" s="231" t="s">
        <v>1393</v>
      </c>
      <c r="K139" s="231" t="s">
        <v>1394</v>
      </c>
      <c r="L139" s="232">
        <v>45170</v>
      </c>
      <c r="M139" s="232">
        <v>45199</v>
      </c>
    </row>
    <row r="140" spans="1:13" ht="14.25" customHeight="1" x14ac:dyDescent="0.2">
      <c r="A140" s="231" t="s">
        <v>10</v>
      </c>
      <c r="B140" s="230">
        <v>113515</v>
      </c>
      <c r="C140" s="230">
        <v>10750</v>
      </c>
      <c r="D140" s="231" t="s">
        <v>821</v>
      </c>
      <c r="E140" s="230">
        <v>14491032</v>
      </c>
      <c r="F140" s="230">
        <v>31464</v>
      </c>
      <c r="G140" s="230">
        <v>1</v>
      </c>
      <c r="H140" s="240">
        <v>359.46</v>
      </c>
      <c r="I140" s="240">
        <f t="shared" si="2"/>
        <v>359.46</v>
      </c>
      <c r="J140" s="231" t="s">
        <v>1393</v>
      </c>
      <c r="K140" s="231" t="s">
        <v>1394</v>
      </c>
      <c r="L140" s="232">
        <v>45170</v>
      </c>
      <c r="M140" s="232">
        <v>45199</v>
      </c>
    </row>
    <row r="141" spans="1:13" ht="14.25" customHeight="1" x14ac:dyDescent="0.2">
      <c r="A141" s="231" t="s">
        <v>10</v>
      </c>
      <c r="B141" s="230">
        <v>113516</v>
      </c>
      <c r="C141" s="230">
        <v>10750</v>
      </c>
      <c r="D141" s="231" t="s">
        <v>822</v>
      </c>
      <c r="E141" s="230">
        <v>14491032</v>
      </c>
      <c r="F141" s="230">
        <v>31466</v>
      </c>
      <c r="G141" s="230">
        <v>1</v>
      </c>
      <c r="H141" s="240">
        <v>359.46</v>
      </c>
      <c r="I141" s="240">
        <f t="shared" si="2"/>
        <v>359.46</v>
      </c>
      <c r="J141" s="231" t="s">
        <v>1393</v>
      </c>
      <c r="K141" s="231" t="s">
        <v>1394</v>
      </c>
      <c r="L141" s="232">
        <v>45170</v>
      </c>
      <c r="M141" s="232">
        <v>45199</v>
      </c>
    </row>
    <row r="142" spans="1:13" ht="14.25" customHeight="1" x14ac:dyDescent="0.2">
      <c r="A142" s="231" t="s">
        <v>10</v>
      </c>
      <c r="B142" s="230">
        <v>113531</v>
      </c>
      <c r="C142" s="230">
        <v>10750</v>
      </c>
      <c r="D142" s="231" t="s">
        <v>1383</v>
      </c>
      <c r="E142" s="230">
        <v>14491032</v>
      </c>
      <c r="F142" s="230">
        <v>31496</v>
      </c>
      <c r="G142" s="230">
        <v>1</v>
      </c>
      <c r="H142" s="240">
        <v>359.46</v>
      </c>
      <c r="I142" s="240">
        <f t="shared" si="2"/>
        <v>359.46</v>
      </c>
      <c r="J142" s="231" t="s">
        <v>1393</v>
      </c>
      <c r="K142" s="231" t="s">
        <v>1394</v>
      </c>
      <c r="L142" s="232">
        <v>45170</v>
      </c>
      <c r="M142" s="232">
        <v>45199</v>
      </c>
    </row>
    <row r="143" spans="1:13" ht="14.25" customHeight="1" x14ac:dyDescent="0.2">
      <c r="A143" s="231" t="s">
        <v>10</v>
      </c>
      <c r="B143" s="230">
        <v>113532</v>
      </c>
      <c r="C143" s="230">
        <v>10758</v>
      </c>
      <c r="D143" s="231" t="s">
        <v>831</v>
      </c>
      <c r="E143" s="230">
        <v>14491032</v>
      </c>
      <c r="F143" s="230">
        <v>31498</v>
      </c>
      <c r="G143" s="230">
        <v>1</v>
      </c>
      <c r="H143" s="240">
        <v>359.46</v>
      </c>
      <c r="I143" s="240">
        <f t="shared" si="2"/>
        <v>359.46</v>
      </c>
      <c r="J143" s="231" t="s">
        <v>1393</v>
      </c>
      <c r="K143" s="231" t="s">
        <v>1394</v>
      </c>
      <c r="L143" s="232">
        <v>45170</v>
      </c>
      <c r="M143" s="232">
        <v>45199</v>
      </c>
    </row>
    <row r="144" spans="1:13" ht="14.25" customHeight="1" x14ac:dyDescent="0.2">
      <c r="A144" s="231" t="s">
        <v>10</v>
      </c>
      <c r="B144" s="230">
        <v>113533</v>
      </c>
      <c r="C144" s="230">
        <v>10750</v>
      </c>
      <c r="D144" s="231" t="s">
        <v>832</v>
      </c>
      <c r="E144" s="230">
        <v>14491032</v>
      </c>
      <c r="F144" s="230">
        <v>31500</v>
      </c>
      <c r="G144" s="230">
        <v>1</v>
      </c>
      <c r="H144" s="240">
        <v>359.46</v>
      </c>
      <c r="I144" s="240">
        <f t="shared" si="2"/>
        <v>359.46</v>
      </c>
      <c r="J144" s="231" t="s">
        <v>1393</v>
      </c>
      <c r="K144" s="231" t="s">
        <v>1394</v>
      </c>
      <c r="L144" s="232">
        <v>45170</v>
      </c>
      <c r="M144" s="232">
        <v>45199</v>
      </c>
    </row>
    <row r="145" spans="1:13" ht="14.25" customHeight="1" x14ac:dyDescent="0.2">
      <c r="A145" s="231" t="s">
        <v>10</v>
      </c>
      <c r="B145" s="230">
        <v>113536</v>
      </c>
      <c r="C145" s="230">
        <v>10754</v>
      </c>
      <c r="D145" s="231" t="s">
        <v>834</v>
      </c>
      <c r="E145" s="230">
        <v>14491032</v>
      </c>
      <c r="F145" s="230">
        <v>31506</v>
      </c>
      <c r="G145" s="230">
        <v>1</v>
      </c>
      <c r="H145" s="240">
        <v>359.46</v>
      </c>
      <c r="I145" s="240">
        <f t="shared" si="2"/>
        <v>359.46</v>
      </c>
      <c r="J145" s="231" t="s">
        <v>1393</v>
      </c>
      <c r="K145" s="231" t="s">
        <v>1394</v>
      </c>
      <c r="L145" s="232">
        <v>45170</v>
      </c>
      <c r="M145" s="232">
        <v>45199</v>
      </c>
    </row>
    <row r="146" spans="1:13" ht="14.25" customHeight="1" x14ac:dyDescent="0.2">
      <c r="A146" s="231" t="s">
        <v>10</v>
      </c>
      <c r="B146" s="230">
        <v>113550</v>
      </c>
      <c r="C146" s="230">
        <v>10760</v>
      </c>
      <c r="D146" s="231" t="s">
        <v>844</v>
      </c>
      <c r="E146" s="230">
        <v>14491032</v>
      </c>
      <c r="F146" s="230">
        <v>31534</v>
      </c>
      <c r="G146" s="230">
        <v>1</v>
      </c>
      <c r="H146" s="240">
        <v>359.46</v>
      </c>
      <c r="I146" s="240">
        <f t="shared" si="2"/>
        <v>359.46</v>
      </c>
      <c r="J146" s="231" t="s">
        <v>1393</v>
      </c>
      <c r="K146" s="231" t="s">
        <v>1394</v>
      </c>
      <c r="L146" s="232">
        <v>45170</v>
      </c>
      <c r="M146" s="232">
        <v>45199</v>
      </c>
    </row>
    <row r="147" spans="1:13" ht="14.25" customHeight="1" x14ac:dyDescent="0.2">
      <c r="A147" s="231" t="s">
        <v>10</v>
      </c>
      <c r="B147" s="230">
        <v>113560</v>
      </c>
      <c r="C147" s="230">
        <v>10760</v>
      </c>
      <c r="D147" s="231" t="s">
        <v>851</v>
      </c>
      <c r="E147" s="230">
        <v>14491032</v>
      </c>
      <c r="F147" s="230">
        <v>31554</v>
      </c>
      <c r="G147" s="230">
        <v>1</v>
      </c>
      <c r="H147" s="240">
        <v>359.46</v>
      </c>
      <c r="I147" s="240">
        <f t="shared" si="2"/>
        <v>359.46</v>
      </c>
      <c r="J147" s="231" t="s">
        <v>1393</v>
      </c>
      <c r="K147" s="231" t="s">
        <v>1394</v>
      </c>
      <c r="L147" s="232">
        <v>45170</v>
      </c>
      <c r="M147" s="232">
        <v>45199</v>
      </c>
    </row>
    <row r="148" spans="1:13" ht="14.25" customHeight="1" x14ac:dyDescent="0.2">
      <c r="A148" s="231" t="s">
        <v>10</v>
      </c>
      <c r="B148" s="230">
        <v>113561</v>
      </c>
      <c r="C148" s="230">
        <v>10750</v>
      </c>
      <c r="D148" s="231" t="s">
        <v>852</v>
      </c>
      <c r="E148" s="230">
        <v>14491032</v>
      </c>
      <c r="F148" s="230">
        <v>31556</v>
      </c>
      <c r="G148" s="230">
        <v>1</v>
      </c>
      <c r="H148" s="240">
        <v>359.46</v>
      </c>
      <c r="I148" s="240">
        <f t="shared" si="2"/>
        <v>359.46</v>
      </c>
      <c r="J148" s="231" t="s">
        <v>1393</v>
      </c>
      <c r="K148" s="231" t="s">
        <v>1394</v>
      </c>
      <c r="L148" s="232">
        <v>45170</v>
      </c>
      <c r="M148" s="232">
        <v>45199</v>
      </c>
    </row>
    <row r="149" spans="1:13" ht="14.25" customHeight="1" x14ac:dyDescent="0.2">
      <c r="A149" s="231" t="s">
        <v>10</v>
      </c>
      <c r="B149" s="230">
        <v>113586</v>
      </c>
      <c r="C149" s="230">
        <v>10750</v>
      </c>
      <c r="D149" s="231" t="s">
        <v>862</v>
      </c>
      <c r="E149" s="230">
        <v>14491032</v>
      </c>
      <c r="F149" s="230">
        <v>31606</v>
      </c>
      <c r="G149" s="230">
        <v>1</v>
      </c>
      <c r="H149" s="240">
        <v>359.46</v>
      </c>
      <c r="I149" s="240">
        <f t="shared" si="2"/>
        <v>359.46</v>
      </c>
      <c r="J149" s="231" t="s">
        <v>1393</v>
      </c>
      <c r="K149" s="231" t="s">
        <v>1394</v>
      </c>
      <c r="L149" s="232">
        <v>45170</v>
      </c>
      <c r="M149" s="232">
        <v>45199</v>
      </c>
    </row>
    <row r="150" spans="1:13" ht="14.25" customHeight="1" x14ac:dyDescent="0.2">
      <c r="A150" s="231" t="s">
        <v>10</v>
      </c>
      <c r="B150" s="230">
        <v>113589</v>
      </c>
      <c r="C150" s="230">
        <v>10760</v>
      </c>
      <c r="D150" s="231" t="s">
        <v>1404</v>
      </c>
      <c r="E150" s="230">
        <v>14491032</v>
      </c>
      <c r="F150" s="230">
        <v>31612</v>
      </c>
      <c r="G150" s="230">
        <v>1</v>
      </c>
      <c r="H150" s="240">
        <v>359.46</v>
      </c>
      <c r="I150" s="240">
        <f t="shared" si="2"/>
        <v>359.46</v>
      </c>
      <c r="J150" s="231" t="s">
        <v>1393</v>
      </c>
      <c r="K150" s="231" t="s">
        <v>1394</v>
      </c>
      <c r="L150" s="232">
        <v>45170</v>
      </c>
      <c r="M150" s="232">
        <v>45199</v>
      </c>
    </row>
    <row r="151" spans="1:13" ht="14.25" customHeight="1" x14ac:dyDescent="0.2">
      <c r="A151" s="231" t="s">
        <v>10</v>
      </c>
      <c r="B151" s="230">
        <v>113590</v>
      </c>
      <c r="C151" s="230">
        <v>10757</v>
      </c>
      <c r="D151" s="231" t="s">
        <v>865</v>
      </c>
      <c r="E151" s="230">
        <v>14491032</v>
      </c>
      <c r="F151" s="230">
        <v>31614</v>
      </c>
      <c r="G151" s="230">
        <v>1</v>
      </c>
      <c r="H151" s="240">
        <v>359.46</v>
      </c>
      <c r="I151" s="240">
        <f t="shared" si="2"/>
        <v>359.46</v>
      </c>
      <c r="J151" s="231" t="s">
        <v>1393</v>
      </c>
      <c r="K151" s="231" t="s">
        <v>1394</v>
      </c>
      <c r="L151" s="232">
        <v>45170</v>
      </c>
      <c r="M151" s="232">
        <v>45199</v>
      </c>
    </row>
    <row r="152" spans="1:13" ht="14.25" customHeight="1" x14ac:dyDescent="0.2">
      <c r="A152" s="231" t="s">
        <v>10</v>
      </c>
      <c r="B152" s="230">
        <v>113609</v>
      </c>
      <c r="C152" s="230">
        <v>10760</v>
      </c>
      <c r="D152" s="231" t="s">
        <v>874</v>
      </c>
      <c r="E152" s="230">
        <v>14491032</v>
      </c>
      <c r="F152" s="230">
        <v>31652</v>
      </c>
      <c r="G152" s="230">
        <v>1</v>
      </c>
      <c r="H152" s="240">
        <v>359.46</v>
      </c>
      <c r="I152" s="240">
        <f t="shared" si="2"/>
        <v>359.46</v>
      </c>
      <c r="J152" s="231" t="s">
        <v>1393</v>
      </c>
      <c r="K152" s="231" t="s">
        <v>1394</v>
      </c>
      <c r="L152" s="232">
        <v>45170</v>
      </c>
      <c r="M152" s="232">
        <v>45199</v>
      </c>
    </row>
    <row r="153" spans="1:13" ht="14.25" customHeight="1" x14ac:dyDescent="0.2">
      <c r="A153" s="231" t="s">
        <v>10</v>
      </c>
      <c r="B153" s="230">
        <v>113627</v>
      </c>
      <c r="C153" s="230">
        <v>10757</v>
      </c>
      <c r="D153" s="231" t="s">
        <v>883</v>
      </c>
      <c r="E153" s="230">
        <v>14491032</v>
      </c>
      <c r="F153" s="230">
        <v>31688</v>
      </c>
      <c r="G153" s="230">
        <v>1</v>
      </c>
      <c r="H153" s="240">
        <v>359.46</v>
      </c>
      <c r="I153" s="240">
        <f t="shared" si="2"/>
        <v>359.46</v>
      </c>
      <c r="J153" s="231" t="s">
        <v>1393</v>
      </c>
      <c r="K153" s="231" t="s">
        <v>1394</v>
      </c>
      <c r="L153" s="232">
        <v>45170</v>
      </c>
      <c r="M153" s="232">
        <v>45199</v>
      </c>
    </row>
    <row r="154" spans="1:13" ht="14.25" customHeight="1" x14ac:dyDescent="0.2">
      <c r="A154" s="231" t="s">
        <v>10</v>
      </c>
      <c r="B154" s="230">
        <v>113631</v>
      </c>
      <c r="C154" s="230">
        <v>10750</v>
      </c>
      <c r="D154" s="231" t="s">
        <v>886</v>
      </c>
      <c r="E154" s="230">
        <v>14491032</v>
      </c>
      <c r="F154" s="230">
        <v>31696</v>
      </c>
      <c r="G154" s="230">
        <v>1</v>
      </c>
      <c r="H154" s="240">
        <v>359.46</v>
      </c>
      <c r="I154" s="240">
        <f t="shared" si="2"/>
        <v>359.46</v>
      </c>
      <c r="J154" s="231" t="s">
        <v>1393</v>
      </c>
      <c r="K154" s="231" t="s">
        <v>1394</v>
      </c>
      <c r="L154" s="232">
        <v>45170</v>
      </c>
      <c r="M154" s="232">
        <v>45199</v>
      </c>
    </row>
    <row r="155" spans="1:13" ht="14.25" customHeight="1" x14ac:dyDescent="0.2">
      <c r="A155" s="231" t="s">
        <v>10</v>
      </c>
      <c r="B155" s="230">
        <v>113658</v>
      </c>
      <c r="C155" s="230">
        <v>10771</v>
      </c>
      <c r="D155" s="231" t="s">
        <v>902</v>
      </c>
      <c r="E155" s="230">
        <v>14491032</v>
      </c>
      <c r="F155" s="230">
        <v>31750</v>
      </c>
      <c r="G155" s="230">
        <v>1</v>
      </c>
      <c r="H155" s="240">
        <v>359.46</v>
      </c>
      <c r="I155" s="240">
        <f t="shared" si="2"/>
        <v>359.46</v>
      </c>
      <c r="J155" s="231" t="s">
        <v>1393</v>
      </c>
      <c r="K155" s="231" t="s">
        <v>1394</v>
      </c>
      <c r="L155" s="232">
        <v>45170</v>
      </c>
      <c r="M155" s="232">
        <v>45199</v>
      </c>
    </row>
    <row r="156" spans="1:13" ht="14.25" customHeight="1" x14ac:dyDescent="0.2">
      <c r="A156" s="231" t="s">
        <v>10</v>
      </c>
      <c r="B156" s="230">
        <v>113677</v>
      </c>
      <c r="C156" s="230">
        <v>10750</v>
      </c>
      <c r="D156" s="231" t="s">
        <v>913</v>
      </c>
      <c r="E156" s="230">
        <v>14491032</v>
      </c>
      <c r="F156" s="230">
        <v>31788</v>
      </c>
      <c r="G156" s="230">
        <v>1</v>
      </c>
      <c r="H156" s="240">
        <v>359.46</v>
      </c>
      <c r="I156" s="240">
        <f t="shared" si="2"/>
        <v>359.46</v>
      </c>
      <c r="J156" s="231" t="s">
        <v>1393</v>
      </c>
      <c r="K156" s="231" t="s">
        <v>1394</v>
      </c>
      <c r="L156" s="232">
        <v>45170</v>
      </c>
      <c r="M156" s="232">
        <v>45199</v>
      </c>
    </row>
    <row r="157" spans="1:13" ht="14.25" customHeight="1" x14ac:dyDescent="0.2">
      <c r="A157" s="231" t="s">
        <v>10</v>
      </c>
      <c r="B157" s="230">
        <v>113712</v>
      </c>
      <c r="C157" s="230">
        <v>10763</v>
      </c>
      <c r="D157" s="231" t="s">
        <v>931</v>
      </c>
      <c r="E157" s="230">
        <v>14491032</v>
      </c>
      <c r="F157" s="230">
        <v>31858</v>
      </c>
      <c r="G157" s="230">
        <v>1</v>
      </c>
      <c r="H157" s="240">
        <v>359.46</v>
      </c>
      <c r="I157" s="240">
        <f t="shared" si="2"/>
        <v>359.46</v>
      </c>
      <c r="J157" s="231" t="s">
        <v>1393</v>
      </c>
      <c r="K157" s="231" t="s">
        <v>1394</v>
      </c>
      <c r="L157" s="232">
        <v>45170</v>
      </c>
      <c r="M157" s="232">
        <v>45199</v>
      </c>
    </row>
    <row r="158" spans="1:13" ht="14.25" customHeight="1" x14ac:dyDescent="0.2">
      <c r="A158" s="231" t="s">
        <v>10</v>
      </c>
      <c r="B158" s="230">
        <v>113722</v>
      </c>
      <c r="C158" s="230">
        <v>10763</v>
      </c>
      <c r="D158" s="231" t="s">
        <v>939</v>
      </c>
      <c r="E158" s="230">
        <v>14491032</v>
      </c>
      <c r="F158" s="230">
        <v>31878</v>
      </c>
      <c r="G158" s="230">
        <v>1</v>
      </c>
      <c r="H158" s="240">
        <v>359.46</v>
      </c>
      <c r="I158" s="240">
        <f t="shared" si="2"/>
        <v>359.46</v>
      </c>
      <c r="J158" s="231" t="s">
        <v>1393</v>
      </c>
      <c r="K158" s="231" t="s">
        <v>1394</v>
      </c>
      <c r="L158" s="232">
        <v>45170</v>
      </c>
      <c r="M158" s="232">
        <v>45199</v>
      </c>
    </row>
    <row r="159" spans="1:13" ht="14.25" customHeight="1" x14ac:dyDescent="0.2">
      <c r="A159" s="231" t="s">
        <v>10</v>
      </c>
      <c r="B159" s="230">
        <v>113774</v>
      </c>
      <c r="C159" s="230">
        <v>10771</v>
      </c>
      <c r="D159" s="231" t="s">
        <v>975</v>
      </c>
      <c r="E159" s="230">
        <v>14491032</v>
      </c>
      <c r="F159" s="230">
        <v>31995</v>
      </c>
      <c r="G159" s="230">
        <v>1</v>
      </c>
      <c r="H159" s="240">
        <v>359.46</v>
      </c>
      <c r="I159" s="240">
        <f t="shared" si="2"/>
        <v>359.46</v>
      </c>
      <c r="J159" s="231" t="s">
        <v>1393</v>
      </c>
      <c r="K159" s="231" t="s">
        <v>1394</v>
      </c>
      <c r="L159" s="232">
        <v>45170</v>
      </c>
      <c r="M159" s="232">
        <v>45199</v>
      </c>
    </row>
    <row r="160" spans="1:13" ht="14.25" customHeight="1" x14ac:dyDescent="0.2">
      <c r="A160" s="231" t="s">
        <v>10</v>
      </c>
      <c r="B160" s="230">
        <v>114031</v>
      </c>
      <c r="C160" s="230">
        <v>10771</v>
      </c>
      <c r="D160" s="231" t="s">
        <v>1000</v>
      </c>
      <c r="E160" s="230">
        <v>14491032</v>
      </c>
      <c r="F160" s="230">
        <v>34126</v>
      </c>
      <c r="G160" s="230">
        <v>1</v>
      </c>
      <c r="H160" s="240">
        <v>359.46</v>
      </c>
      <c r="I160" s="240">
        <f t="shared" si="2"/>
        <v>359.46</v>
      </c>
      <c r="J160" s="231" t="s">
        <v>1393</v>
      </c>
      <c r="K160" s="231" t="s">
        <v>1394</v>
      </c>
      <c r="L160" s="232">
        <v>45170</v>
      </c>
      <c r="M160" s="232">
        <v>45199</v>
      </c>
    </row>
    <row r="161" spans="1:13" ht="14.25" customHeight="1" x14ac:dyDescent="0.2">
      <c r="A161" s="231" t="s">
        <v>10</v>
      </c>
      <c r="B161" s="230">
        <v>114034</v>
      </c>
      <c r="C161" s="230">
        <v>10771</v>
      </c>
      <c r="D161" s="231" t="s">
        <v>1001</v>
      </c>
      <c r="E161" s="230">
        <v>14491032</v>
      </c>
      <c r="F161" s="230">
        <v>34132</v>
      </c>
      <c r="G161" s="230">
        <v>1</v>
      </c>
      <c r="H161" s="240">
        <v>359.46</v>
      </c>
      <c r="I161" s="240">
        <f t="shared" si="2"/>
        <v>359.46</v>
      </c>
      <c r="J161" s="231" t="s">
        <v>1393</v>
      </c>
      <c r="K161" s="231" t="s">
        <v>1394</v>
      </c>
      <c r="L161" s="232">
        <v>45170</v>
      </c>
      <c r="M161" s="232">
        <v>45199</v>
      </c>
    </row>
    <row r="162" spans="1:13" ht="14.25" customHeight="1" x14ac:dyDescent="0.2">
      <c r="A162" s="231" t="s">
        <v>10</v>
      </c>
      <c r="B162" s="230">
        <v>114106</v>
      </c>
      <c r="C162" s="230">
        <v>10757</v>
      </c>
      <c r="D162" s="231" t="s">
        <v>1010</v>
      </c>
      <c r="E162" s="230">
        <v>14491032</v>
      </c>
      <c r="F162" s="230">
        <v>34361</v>
      </c>
      <c r="G162" s="230">
        <v>1</v>
      </c>
      <c r="H162" s="240">
        <v>359.46</v>
      </c>
      <c r="I162" s="240">
        <f t="shared" si="2"/>
        <v>359.46</v>
      </c>
      <c r="J162" s="231" t="s">
        <v>1393</v>
      </c>
      <c r="K162" s="231" t="s">
        <v>1394</v>
      </c>
      <c r="L162" s="232">
        <v>45170</v>
      </c>
      <c r="M162" s="232">
        <v>45199</v>
      </c>
    </row>
    <row r="163" spans="1:13" ht="14.25" customHeight="1" x14ac:dyDescent="0.2">
      <c r="A163" s="231" t="s">
        <v>10</v>
      </c>
      <c r="B163" s="230">
        <v>114272</v>
      </c>
      <c r="C163" s="230">
        <v>10750</v>
      </c>
      <c r="D163" s="231" t="s">
        <v>1033</v>
      </c>
      <c r="E163" s="230">
        <v>14491032</v>
      </c>
      <c r="F163" s="230">
        <v>35823</v>
      </c>
      <c r="G163" s="230">
        <v>1</v>
      </c>
      <c r="H163" s="240">
        <v>359.46</v>
      </c>
      <c r="I163" s="240">
        <f t="shared" si="2"/>
        <v>359.46</v>
      </c>
      <c r="J163" s="231" t="s">
        <v>1393</v>
      </c>
      <c r="K163" s="231" t="s">
        <v>1394</v>
      </c>
      <c r="L163" s="232">
        <v>45170</v>
      </c>
      <c r="M163" s="232">
        <v>45199</v>
      </c>
    </row>
    <row r="164" spans="1:13" ht="14.25" customHeight="1" x14ac:dyDescent="0.2">
      <c r="A164" s="231" t="s">
        <v>10</v>
      </c>
      <c r="B164" s="230">
        <v>114541</v>
      </c>
      <c r="C164" s="230">
        <v>10757</v>
      </c>
      <c r="D164" s="231" t="s">
        <v>1056</v>
      </c>
      <c r="E164" s="230">
        <v>14491032</v>
      </c>
      <c r="F164" s="230">
        <v>36357</v>
      </c>
      <c r="G164" s="230">
        <v>1</v>
      </c>
      <c r="H164" s="240">
        <v>347.47</v>
      </c>
      <c r="I164" s="240">
        <f t="shared" si="2"/>
        <v>347.47</v>
      </c>
      <c r="J164" s="231" t="s">
        <v>1393</v>
      </c>
      <c r="K164" s="231" t="s">
        <v>1394</v>
      </c>
      <c r="L164" s="232">
        <v>45170</v>
      </c>
      <c r="M164" s="232">
        <v>45199</v>
      </c>
    </row>
    <row r="165" spans="1:13" ht="14.25" customHeight="1" x14ac:dyDescent="0.2">
      <c r="A165" s="231" t="s">
        <v>10</v>
      </c>
      <c r="B165" s="230">
        <v>114679</v>
      </c>
      <c r="C165" s="230">
        <v>10751</v>
      </c>
      <c r="D165" s="231" t="s">
        <v>1066</v>
      </c>
      <c r="E165" s="230">
        <v>14491032</v>
      </c>
      <c r="F165" s="230">
        <v>36797</v>
      </c>
      <c r="G165" s="230">
        <v>1</v>
      </c>
      <c r="H165" s="240">
        <v>359.46</v>
      </c>
      <c r="I165" s="240">
        <f t="shared" si="2"/>
        <v>359.46</v>
      </c>
      <c r="J165" s="231" t="s">
        <v>1393</v>
      </c>
      <c r="K165" s="231" t="s">
        <v>1394</v>
      </c>
      <c r="L165" s="232">
        <v>45170</v>
      </c>
      <c r="M165" s="232">
        <v>45199</v>
      </c>
    </row>
    <row r="166" spans="1:13" ht="14.25" customHeight="1" x14ac:dyDescent="0.2">
      <c r="A166" s="231" t="s">
        <v>10</v>
      </c>
      <c r="B166" s="230">
        <v>114682</v>
      </c>
      <c r="C166" s="230">
        <v>10758</v>
      </c>
      <c r="D166" s="231" t="s">
        <v>1067</v>
      </c>
      <c r="E166" s="230">
        <v>14491032</v>
      </c>
      <c r="F166" s="230">
        <v>36811</v>
      </c>
      <c r="G166" s="230">
        <v>1</v>
      </c>
      <c r="H166" s="240">
        <v>359.46</v>
      </c>
      <c r="I166" s="240">
        <f t="shared" si="2"/>
        <v>359.46</v>
      </c>
      <c r="J166" s="231" t="s">
        <v>1393</v>
      </c>
      <c r="K166" s="231" t="s">
        <v>1394</v>
      </c>
      <c r="L166" s="232">
        <v>45170</v>
      </c>
      <c r="M166" s="232">
        <v>45199</v>
      </c>
    </row>
    <row r="167" spans="1:13" ht="14.25" customHeight="1" x14ac:dyDescent="0.2">
      <c r="A167" s="231" t="s">
        <v>10</v>
      </c>
      <c r="B167" s="230">
        <v>114685</v>
      </c>
      <c r="C167" s="230">
        <v>10754</v>
      </c>
      <c r="D167" s="231" t="s">
        <v>1070</v>
      </c>
      <c r="E167" s="230">
        <v>14491032</v>
      </c>
      <c r="F167" s="230">
        <v>36817</v>
      </c>
      <c r="G167" s="230">
        <v>1</v>
      </c>
      <c r="H167" s="240">
        <v>359.46</v>
      </c>
      <c r="I167" s="240">
        <f t="shared" si="2"/>
        <v>359.46</v>
      </c>
      <c r="J167" s="231" t="s">
        <v>1393</v>
      </c>
      <c r="K167" s="231" t="s">
        <v>1394</v>
      </c>
      <c r="L167" s="232">
        <v>45170</v>
      </c>
      <c r="M167" s="232">
        <v>45199</v>
      </c>
    </row>
    <row r="168" spans="1:13" ht="14.25" customHeight="1" x14ac:dyDescent="0.2">
      <c r="A168" s="231" t="s">
        <v>10</v>
      </c>
      <c r="B168" s="230">
        <v>114702</v>
      </c>
      <c r="C168" s="230">
        <v>10750</v>
      </c>
      <c r="D168" s="231" t="s">
        <v>1079</v>
      </c>
      <c r="E168" s="230">
        <v>14491032</v>
      </c>
      <c r="F168" s="230">
        <v>36852</v>
      </c>
      <c r="G168" s="230">
        <v>1</v>
      </c>
      <c r="H168" s="240">
        <v>347.47</v>
      </c>
      <c r="I168" s="240">
        <f t="shared" si="2"/>
        <v>347.47</v>
      </c>
      <c r="J168" s="231" t="s">
        <v>1393</v>
      </c>
      <c r="K168" s="231" t="s">
        <v>1394</v>
      </c>
      <c r="L168" s="232">
        <v>45170</v>
      </c>
      <c r="M168" s="232">
        <v>45199</v>
      </c>
    </row>
    <row r="169" spans="1:13" ht="14.25" customHeight="1" x14ac:dyDescent="0.2">
      <c r="A169" s="231" t="s">
        <v>10</v>
      </c>
      <c r="B169" s="230">
        <v>114711</v>
      </c>
      <c r="C169" s="230">
        <v>10758</v>
      </c>
      <c r="D169" s="231" t="s">
        <v>1081</v>
      </c>
      <c r="E169" s="230">
        <v>14491032</v>
      </c>
      <c r="F169" s="230">
        <v>36870</v>
      </c>
      <c r="G169" s="230">
        <v>1</v>
      </c>
      <c r="H169" s="240">
        <v>359.46</v>
      </c>
      <c r="I169" s="240">
        <f t="shared" si="2"/>
        <v>359.46</v>
      </c>
      <c r="J169" s="231" t="s">
        <v>1393</v>
      </c>
      <c r="K169" s="231" t="s">
        <v>1394</v>
      </c>
      <c r="L169" s="232">
        <v>45170</v>
      </c>
      <c r="M169" s="232">
        <v>45199</v>
      </c>
    </row>
    <row r="170" spans="1:13" ht="14.25" customHeight="1" x14ac:dyDescent="0.2">
      <c r="A170" s="231" t="s">
        <v>10</v>
      </c>
      <c r="B170" s="230">
        <v>114712</v>
      </c>
      <c r="C170" s="230">
        <v>10750</v>
      </c>
      <c r="D170" s="231" t="s">
        <v>1082</v>
      </c>
      <c r="E170" s="230">
        <v>14491032</v>
      </c>
      <c r="F170" s="230">
        <v>36872</v>
      </c>
      <c r="G170" s="230">
        <v>1</v>
      </c>
      <c r="H170" s="240">
        <v>359.46</v>
      </c>
      <c r="I170" s="240">
        <f t="shared" si="2"/>
        <v>359.46</v>
      </c>
      <c r="J170" s="231" t="s">
        <v>1393</v>
      </c>
      <c r="K170" s="231" t="s">
        <v>1394</v>
      </c>
      <c r="L170" s="232">
        <v>45170</v>
      </c>
      <c r="M170" s="232">
        <v>45199</v>
      </c>
    </row>
    <row r="171" spans="1:13" ht="14.25" customHeight="1" x14ac:dyDescent="0.2">
      <c r="A171" s="231" t="s">
        <v>10</v>
      </c>
      <c r="B171" s="230">
        <v>114749</v>
      </c>
      <c r="C171" s="230">
        <v>10758</v>
      </c>
      <c r="D171" s="231" t="s">
        <v>1094</v>
      </c>
      <c r="E171" s="230">
        <v>14491032</v>
      </c>
      <c r="F171" s="230">
        <v>36946</v>
      </c>
      <c r="G171" s="230">
        <v>1</v>
      </c>
      <c r="H171" s="240">
        <v>359.46</v>
      </c>
      <c r="I171" s="240">
        <f t="shared" si="2"/>
        <v>359.46</v>
      </c>
      <c r="J171" s="231" t="s">
        <v>1393</v>
      </c>
      <c r="K171" s="231" t="s">
        <v>1394</v>
      </c>
      <c r="L171" s="232">
        <v>45170</v>
      </c>
      <c r="M171" s="232">
        <v>45199</v>
      </c>
    </row>
    <row r="172" spans="1:13" ht="14.25" customHeight="1" x14ac:dyDescent="0.2">
      <c r="A172" s="231" t="s">
        <v>10</v>
      </c>
      <c r="B172" s="230">
        <v>114930</v>
      </c>
      <c r="C172" s="230">
        <v>10757</v>
      </c>
      <c r="D172" s="231" t="s">
        <v>1381</v>
      </c>
      <c r="E172" s="230">
        <v>14491032</v>
      </c>
      <c r="F172" s="230">
        <v>37638</v>
      </c>
      <c r="G172" s="230">
        <v>1</v>
      </c>
      <c r="H172" s="240">
        <v>359.46</v>
      </c>
      <c r="I172" s="240">
        <f t="shared" si="2"/>
        <v>359.46</v>
      </c>
      <c r="J172" s="231" t="s">
        <v>1393</v>
      </c>
      <c r="K172" s="231" t="s">
        <v>1394</v>
      </c>
      <c r="L172" s="232">
        <v>45170</v>
      </c>
      <c r="M172" s="232">
        <v>45199</v>
      </c>
    </row>
    <row r="173" spans="1:13" ht="14.25" customHeight="1" x14ac:dyDescent="0.2">
      <c r="A173" s="231" t="s">
        <v>10</v>
      </c>
      <c r="B173" s="230">
        <v>115223</v>
      </c>
      <c r="C173" s="230">
        <v>10755</v>
      </c>
      <c r="D173" s="231" t="s">
        <v>1149</v>
      </c>
      <c r="E173" s="230">
        <v>14491032</v>
      </c>
      <c r="F173" s="230">
        <v>38496</v>
      </c>
      <c r="G173" s="230">
        <v>1</v>
      </c>
      <c r="H173" s="240">
        <v>359.46</v>
      </c>
      <c r="I173" s="240">
        <f t="shared" si="2"/>
        <v>359.46</v>
      </c>
      <c r="J173" s="231" t="s">
        <v>1393</v>
      </c>
      <c r="K173" s="231" t="s">
        <v>1394</v>
      </c>
      <c r="L173" s="232">
        <v>45170</v>
      </c>
      <c r="M173" s="232">
        <v>45199</v>
      </c>
    </row>
    <row r="174" spans="1:13" ht="14.25" customHeight="1" x14ac:dyDescent="0.2">
      <c r="A174" s="231" t="s">
        <v>10</v>
      </c>
      <c r="B174" s="230">
        <v>116021</v>
      </c>
      <c r="C174" s="230">
        <v>10766</v>
      </c>
      <c r="D174" s="231" t="s">
        <v>1178</v>
      </c>
      <c r="E174" s="230">
        <v>14491032</v>
      </c>
      <c r="F174" s="230">
        <v>40901</v>
      </c>
      <c r="G174" s="230">
        <v>1</v>
      </c>
      <c r="H174" s="240">
        <v>347.47</v>
      </c>
      <c r="I174" s="240">
        <f t="shared" si="2"/>
        <v>347.47</v>
      </c>
      <c r="J174" s="231" t="s">
        <v>1393</v>
      </c>
      <c r="K174" s="231" t="s">
        <v>1394</v>
      </c>
      <c r="L174" s="232">
        <v>45170</v>
      </c>
      <c r="M174" s="232">
        <v>45199</v>
      </c>
    </row>
    <row r="175" spans="1:13" ht="14.25" customHeight="1" x14ac:dyDescent="0.2">
      <c r="A175" s="231" t="s">
        <v>10</v>
      </c>
      <c r="B175" s="230">
        <v>116024</v>
      </c>
      <c r="C175" s="230">
        <v>10760</v>
      </c>
      <c r="D175" s="231" t="s">
        <v>1179</v>
      </c>
      <c r="E175" s="230">
        <v>14491032</v>
      </c>
      <c r="F175" s="230">
        <v>40908</v>
      </c>
      <c r="G175" s="230">
        <v>1</v>
      </c>
      <c r="H175" s="240">
        <v>359.46</v>
      </c>
      <c r="I175" s="240">
        <f t="shared" si="2"/>
        <v>359.46</v>
      </c>
      <c r="J175" s="231" t="s">
        <v>1393</v>
      </c>
      <c r="K175" s="231" t="s">
        <v>1394</v>
      </c>
      <c r="L175" s="232">
        <v>45170</v>
      </c>
      <c r="M175" s="232">
        <v>45199</v>
      </c>
    </row>
    <row r="176" spans="1:13" ht="14.25" customHeight="1" x14ac:dyDescent="0.2">
      <c r="A176" s="231" t="s">
        <v>10</v>
      </c>
      <c r="B176" s="230">
        <v>116027</v>
      </c>
      <c r="C176" s="230">
        <v>10757</v>
      </c>
      <c r="D176" s="231" t="s">
        <v>1181</v>
      </c>
      <c r="E176" s="230">
        <v>14491032</v>
      </c>
      <c r="F176" s="230">
        <v>40914</v>
      </c>
      <c r="G176" s="230">
        <v>1</v>
      </c>
      <c r="H176" s="240">
        <v>335.49</v>
      </c>
      <c r="I176" s="240">
        <f t="shared" si="2"/>
        <v>335.49</v>
      </c>
      <c r="J176" s="231" t="s">
        <v>1393</v>
      </c>
      <c r="K176" s="231" t="s">
        <v>1394</v>
      </c>
      <c r="L176" s="232">
        <v>45170</v>
      </c>
      <c r="M176" s="232">
        <v>45199</v>
      </c>
    </row>
    <row r="177" spans="1:13" ht="14.25" customHeight="1" x14ac:dyDescent="0.2">
      <c r="A177" s="231" t="s">
        <v>10</v>
      </c>
      <c r="B177" s="230">
        <v>116316</v>
      </c>
      <c r="C177" s="230">
        <v>10757</v>
      </c>
      <c r="D177" s="231" t="s">
        <v>1205</v>
      </c>
      <c r="E177" s="230">
        <v>14491032</v>
      </c>
      <c r="F177" s="230">
        <v>41846</v>
      </c>
      <c r="G177" s="230">
        <v>1</v>
      </c>
      <c r="H177" s="240">
        <v>359.46</v>
      </c>
      <c r="I177" s="240">
        <f t="shared" si="2"/>
        <v>359.46</v>
      </c>
      <c r="J177" s="231" t="s">
        <v>1393</v>
      </c>
      <c r="K177" s="231" t="s">
        <v>1394</v>
      </c>
      <c r="L177" s="232">
        <v>45170</v>
      </c>
      <c r="M177" s="232">
        <v>45199</v>
      </c>
    </row>
    <row r="178" spans="1:13" ht="14.25" customHeight="1" x14ac:dyDescent="0.2">
      <c r="A178" s="231" t="s">
        <v>10</v>
      </c>
      <c r="B178" s="230">
        <v>116320</v>
      </c>
      <c r="C178" s="230">
        <v>10766</v>
      </c>
      <c r="D178" s="231" t="s">
        <v>1206</v>
      </c>
      <c r="E178" s="230">
        <v>14491032</v>
      </c>
      <c r="F178" s="230">
        <v>41852</v>
      </c>
      <c r="G178" s="230">
        <v>1</v>
      </c>
      <c r="H178" s="240">
        <v>359.46</v>
      </c>
      <c r="I178" s="240">
        <f t="shared" si="2"/>
        <v>359.46</v>
      </c>
      <c r="J178" s="231" t="s">
        <v>1393</v>
      </c>
      <c r="K178" s="231" t="s">
        <v>1394</v>
      </c>
      <c r="L178" s="232">
        <v>45170</v>
      </c>
      <c r="M178" s="232">
        <v>45199</v>
      </c>
    </row>
    <row r="179" spans="1:13" ht="14.25" customHeight="1" x14ac:dyDescent="0.2">
      <c r="A179" s="231" t="s">
        <v>10</v>
      </c>
      <c r="B179" s="230">
        <v>116326</v>
      </c>
      <c r="C179" s="230">
        <v>10766</v>
      </c>
      <c r="D179" s="231" t="s">
        <v>1210</v>
      </c>
      <c r="E179" s="230">
        <v>14491032</v>
      </c>
      <c r="F179" s="230">
        <v>41862</v>
      </c>
      <c r="G179" s="230">
        <v>1</v>
      </c>
      <c r="H179" s="240">
        <v>359.46</v>
      </c>
      <c r="I179" s="240">
        <f t="shared" si="2"/>
        <v>359.46</v>
      </c>
      <c r="J179" s="231" t="s">
        <v>1393</v>
      </c>
      <c r="K179" s="231" t="s">
        <v>1394</v>
      </c>
      <c r="L179" s="232">
        <v>45170</v>
      </c>
      <c r="M179" s="232">
        <v>45199</v>
      </c>
    </row>
    <row r="180" spans="1:13" ht="14.25" customHeight="1" x14ac:dyDescent="0.2">
      <c r="A180" s="231" t="s">
        <v>10</v>
      </c>
      <c r="B180" s="230">
        <v>116712</v>
      </c>
      <c r="C180" s="230">
        <v>10760</v>
      </c>
      <c r="D180" s="231" t="s">
        <v>1218</v>
      </c>
      <c r="E180" s="230">
        <v>14491032</v>
      </c>
      <c r="F180" s="230">
        <v>42809</v>
      </c>
      <c r="G180" s="230">
        <v>1</v>
      </c>
      <c r="H180" s="240">
        <v>359.46</v>
      </c>
      <c r="I180" s="240">
        <f t="shared" si="2"/>
        <v>359.46</v>
      </c>
      <c r="J180" s="231" t="s">
        <v>1393</v>
      </c>
      <c r="K180" s="231" t="s">
        <v>1394</v>
      </c>
      <c r="L180" s="232">
        <v>45170</v>
      </c>
      <c r="M180" s="232">
        <v>45199</v>
      </c>
    </row>
    <row r="181" spans="1:13" ht="14.25" customHeight="1" x14ac:dyDescent="0.2">
      <c r="A181" s="231" t="s">
        <v>10</v>
      </c>
      <c r="B181" s="230">
        <v>116720</v>
      </c>
      <c r="C181" s="230">
        <v>10754</v>
      </c>
      <c r="D181" s="231" t="s">
        <v>680</v>
      </c>
      <c r="E181" s="230">
        <v>14491032</v>
      </c>
      <c r="F181" s="230">
        <v>42825</v>
      </c>
      <c r="G181" s="230">
        <v>1</v>
      </c>
      <c r="H181" s="240">
        <v>359.46</v>
      </c>
      <c r="I181" s="240">
        <f t="shared" si="2"/>
        <v>359.46</v>
      </c>
      <c r="J181" s="231" t="s">
        <v>1393</v>
      </c>
      <c r="K181" s="231" t="s">
        <v>1394</v>
      </c>
      <c r="L181" s="232">
        <v>45170</v>
      </c>
      <c r="M181" s="232">
        <v>45199</v>
      </c>
    </row>
    <row r="182" spans="1:13" ht="14.25" customHeight="1" x14ac:dyDescent="0.2">
      <c r="A182" s="231" t="s">
        <v>10</v>
      </c>
      <c r="B182" s="230">
        <v>116974</v>
      </c>
      <c r="C182" s="230">
        <v>10766</v>
      </c>
      <c r="D182" s="231" t="s">
        <v>1333</v>
      </c>
      <c r="E182" s="230">
        <v>14491032</v>
      </c>
      <c r="F182" s="230">
        <v>43458</v>
      </c>
      <c r="G182" s="230">
        <v>1</v>
      </c>
      <c r="H182" s="240">
        <v>359.46</v>
      </c>
      <c r="I182" s="240">
        <f t="shared" si="2"/>
        <v>359.46</v>
      </c>
      <c r="J182" s="231" t="s">
        <v>1393</v>
      </c>
      <c r="K182" s="231" t="s">
        <v>1394</v>
      </c>
      <c r="L182" s="232">
        <v>45170</v>
      </c>
      <c r="M182" s="232">
        <v>45199</v>
      </c>
    </row>
    <row r="183" spans="1:13" ht="14.25" customHeight="1" x14ac:dyDescent="0.2">
      <c r="A183" s="231" t="s">
        <v>10</v>
      </c>
      <c r="B183" s="230">
        <v>116978</v>
      </c>
      <c r="C183" s="230">
        <v>10745</v>
      </c>
      <c r="D183" s="231" t="s">
        <v>1246</v>
      </c>
      <c r="E183" s="230">
        <v>14491032</v>
      </c>
      <c r="F183" s="230">
        <v>43466</v>
      </c>
      <c r="G183" s="230">
        <v>1</v>
      </c>
      <c r="H183" s="240">
        <v>335.49</v>
      </c>
      <c r="I183" s="240">
        <f t="shared" si="2"/>
        <v>335.49</v>
      </c>
      <c r="J183" s="231" t="s">
        <v>1393</v>
      </c>
      <c r="K183" s="231" t="s">
        <v>1394</v>
      </c>
      <c r="L183" s="232">
        <v>45170</v>
      </c>
      <c r="M183" s="232">
        <v>45199</v>
      </c>
    </row>
    <row r="184" spans="1:13" ht="14.25" customHeight="1" x14ac:dyDescent="0.2">
      <c r="A184" s="231" t="s">
        <v>10</v>
      </c>
      <c r="B184" s="230">
        <v>117247</v>
      </c>
      <c r="C184" s="230">
        <v>10771</v>
      </c>
      <c r="D184" s="231" t="s">
        <v>1265</v>
      </c>
      <c r="E184" s="230">
        <v>14491032</v>
      </c>
      <c r="F184" s="230">
        <v>44110</v>
      </c>
      <c r="G184" s="230">
        <v>1</v>
      </c>
      <c r="H184" s="240">
        <v>359.46</v>
      </c>
      <c r="I184" s="240">
        <f t="shared" si="2"/>
        <v>359.46</v>
      </c>
      <c r="J184" s="231" t="s">
        <v>1393</v>
      </c>
      <c r="K184" s="231" t="s">
        <v>1394</v>
      </c>
      <c r="L184" s="232">
        <v>45170</v>
      </c>
      <c r="M184" s="232">
        <v>45199</v>
      </c>
    </row>
    <row r="185" spans="1:13" ht="14.25" customHeight="1" x14ac:dyDescent="0.2">
      <c r="A185" s="231" t="s">
        <v>10</v>
      </c>
      <c r="B185" s="230">
        <v>117406</v>
      </c>
      <c r="C185" s="230">
        <v>10750</v>
      </c>
      <c r="D185" s="231" t="s">
        <v>1274</v>
      </c>
      <c r="E185" s="230">
        <v>14491032</v>
      </c>
      <c r="F185" s="230">
        <v>44514</v>
      </c>
      <c r="G185" s="230">
        <v>1</v>
      </c>
      <c r="H185" s="240">
        <v>359.46</v>
      </c>
      <c r="I185" s="240">
        <f t="shared" si="2"/>
        <v>359.46</v>
      </c>
      <c r="J185" s="231" t="s">
        <v>1393</v>
      </c>
      <c r="K185" s="231" t="s">
        <v>1394</v>
      </c>
      <c r="L185" s="232">
        <v>45170</v>
      </c>
      <c r="M185" s="232">
        <v>45199</v>
      </c>
    </row>
    <row r="186" spans="1:13" ht="14.25" customHeight="1" x14ac:dyDescent="0.2">
      <c r="A186" s="231" t="s">
        <v>10</v>
      </c>
      <c r="B186" s="230">
        <v>117414</v>
      </c>
      <c r="C186" s="230">
        <v>10750</v>
      </c>
      <c r="D186" s="231" t="s">
        <v>1280</v>
      </c>
      <c r="E186" s="230">
        <v>14491032</v>
      </c>
      <c r="F186" s="230">
        <v>44528</v>
      </c>
      <c r="G186" s="230">
        <v>1</v>
      </c>
      <c r="H186" s="240">
        <v>359.46</v>
      </c>
      <c r="I186" s="240">
        <f t="shared" si="2"/>
        <v>359.46</v>
      </c>
      <c r="J186" s="231" t="s">
        <v>1393</v>
      </c>
      <c r="K186" s="231" t="s">
        <v>1394</v>
      </c>
      <c r="L186" s="232">
        <v>45170</v>
      </c>
      <c r="M186" s="232">
        <v>45199</v>
      </c>
    </row>
    <row r="187" spans="1:13" ht="14.25" customHeight="1" x14ac:dyDescent="0.2">
      <c r="A187" s="231" t="s">
        <v>10</v>
      </c>
      <c r="B187" s="230">
        <v>118053</v>
      </c>
      <c r="C187" s="230">
        <v>10757</v>
      </c>
      <c r="D187" s="231" t="s">
        <v>1417</v>
      </c>
      <c r="E187" s="230">
        <v>14491032</v>
      </c>
      <c r="F187" s="230">
        <v>45894</v>
      </c>
      <c r="G187" s="230">
        <v>1</v>
      </c>
      <c r="H187" s="240">
        <v>359.46</v>
      </c>
      <c r="I187" s="240">
        <f t="shared" si="2"/>
        <v>359.46</v>
      </c>
      <c r="J187" s="231" t="s">
        <v>1393</v>
      </c>
      <c r="K187" s="231" t="s">
        <v>1394</v>
      </c>
      <c r="L187" s="232">
        <v>45170</v>
      </c>
      <c r="M187" s="232">
        <v>45199</v>
      </c>
    </row>
    <row r="188" spans="1:13" ht="14.25" customHeight="1" x14ac:dyDescent="0.2">
      <c r="A188" s="231" t="s">
        <v>10</v>
      </c>
      <c r="B188" s="230">
        <v>118054</v>
      </c>
      <c r="C188" s="230">
        <v>10758</v>
      </c>
      <c r="D188" s="231" t="s">
        <v>1430</v>
      </c>
      <c r="E188" s="230">
        <v>14491032</v>
      </c>
      <c r="F188" s="230">
        <v>45896</v>
      </c>
      <c r="G188" s="230">
        <v>1</v>
      </c>
      <c r="H188" s="240">
        <v>359.46</v>
      </c>
      <c r="I188" s="240">
        <f t="shared" si="2"/>
        <v>359.46</v>
      </c>
      <c r="J188" s="231" t="s">
        <v>1393</v>
      </c>
      <c r="K188" s="231" t="s">
        <v>1394</v>
      </c>
      <c r="L188" s="232">
        <v>45170</v>
      </c>
      <c r="M188" s="232">
        <v>45199</v>
      </c>
    </row>
    <row r="189" spans="1:13" ht="14.25" customHeight="1" x14ac:dyDescent="0.2">
      <c r="A189" s="231" t="s">
        <v>10</v>
      </c>
      <c r="B189" s="230">
        <v>119665</v>
      </c>
      <c r="C189" s="230">
        <v>10751</v>
      </c>
      <c r="D189" s="231" t="s">
        <v>1470</v>
      </c>
      <c r="E189" s="230">
        <v>14491032</v>
      </c>
      <c r="F189" s="230">
        <v>49657</v>
      </c>
      <c r="G189" s="230">
        <v>1</v>
      </c>
      <c r="H189" s="240">
        <v>359.46</v>
      </c>
      <c r="I189" s="240">
        <f t="shared" si="2"/>
        <v>359.46</v>
      </c>
      <c r="J189" s="231" t="s">
        <v>1393</v>
      </c>
      <c r="K189" s="231" t="s">
        <v>1394</v>
      </c>
      <c r="L189" s="232">
        <v>45170</v>
      </c>
      <c r="M189" s="232">
        <v>45199</v>
      </c>
    </row>
    <row r="190" spans="1:13" ht="14.25" customHeight="1" x14ac:dyDescent="0.2">
      <c r="A190" s="231" t="s">
        <v>10</v>
      </c>
      <c r="B190" s="230">
        <v>119681</v>
      </c>
      <c r="C190" s="230">
        <v>10760</v>
      </c>
      <c r="D190" s="231" t="s">
        <v>1480</v>
      </c>
      <c r="E190" s="230">
        <v>14491032</v>
      </c>
      <c r="F190" s="230">
        <v>49691</v>
      </c>
      <c r="G190" s="230">
        <v>1</v>
      </c>
      <c r="H190" s="240">
        <v>359.46</v>
      </c>
      <c r="I190" s="240">
        <f t="shared" si="2"/>
        <v>359.46</v>
      </c>
      <c r="J190" s="231" t="s">
        <v>1393</v>
      </c>
      <c r="K190" s="231" t="s">
        <v>1394</v>
      </c>
      <c r="L190" s="232">
        <v>45170</v>
      </c>
      <c r="M190" s="232">
        <v>45199</v>
      </c>
    </row>
    <row r="191" spans="1:13" ht="14.25" customHeight="1" x14ac:dyDescent="0.2">
      <c r="A191" s="231" t="s">
        <v>10</v>
      </c>
      <c r="B191" s="230">
        <v>120357</v>
      </c>
      <c r="C191" s="230">
        <v>10757</v>
      </c>
      <c r="D191" s="231" t="s">
        <v>1513</v>
      </c>
      <c r="E191" s="230">
        <v>14491032</v>
      </c>
      <c r="F191" s="230">
        <v>51395</v>
      </c>
      <c r="G191" s="230">
        <v>1</v>
      </c>
      <c r="H191" s="240">
        <v>359.46</v>
      </c>
      <c r="I191" s="240">
        <f t="shared" si="2"/>
        <v>359.46</v>
      </c>
      <c r="J191" s="231" t="s">
        <v>1393</v>
      </c>
      <c r="K191" s="231" t="s">
        <v>1394</v>
      </c>
      <c r="L191" s="232">
        <v>45170</v>
      </c>
      <c r="M191" s="232">
        <v>45199</v>
      </c>
    </row>
    <row r="192" spans="1:13" ht="14.25" customHeight="1" x14ac:dyDescent="0.2">
      <c r="A192" s="231" t="s">
        <v>10</v>
      </c>
      <c r="B192" s="230">
        <v>121030</v>
      </c>
      <c r="C192" s="230">
        <v>10750</v>
      </c>
      <c r="D192" s="231" t="s">
        <v>1529</v>
      </c>
      <c r="E192" s="230">
        <v>14491032</v>
      </c>
      <c r="F192" s="230">
        <v>52805</v>
      </c>
      <c r="G192" s="230">
        <v>1</v>
      </c>
      <c r="H192" s="240">
        <v>359.46</v>
      </c>
      <c r="I192" s="240">
        <f t="shared" si="2"/>
        <v>359.46</v>
      </c>
      <c r="J192" s="231" t="s">
        <v>1393</v>
      </c>
      <c r="K192" s="231" t="s">
        <v>1394</v>
      </c>
      <c r="L192" s="232">
        <v>45170</v>
      </c>
      <c r="M192" s="232">
        <v>45199</v>
      </c>
    </row>
    <row r="193" spans="1:13" ht="14.25" customHeight="1" x14ac:dyDescent="0.2">
      <c r="A193" s="231" t="s">
        <v>10</v>
      </c>
      <c r="B193" s="230">
        <v>121314</v>
      </c>
      <c r="C193" s="230">
        <v>10757</v>
      </c>
      <c r="D193" s="231" t="s">
        <v>1531</v>
      </c>
      <c r="E193" s="230">
        <v>14491032</v>
      </c>
      <c r="F193" s="230">
        <v>53482</v>
      </c>
      <c r="G193" s="230">
        <v>1</v>
      </c>
      <c r="H193" s="240">
        <v>359.46</v>
      </c>
      <c r="I193" s="240">
        <f t="shared" si="2"/>
        <v>359.46</v>
      </c>
      <c r="J193" s="231" t="s">
        <v>1393</v>
      </c>
      <c r="K193" s="231" t="s">
        <v>1394</v>
      </c>
      <c r="L193" s="232">
        <v>45170</v>
      </c>
      <c r="M193" s="232">
        <v>45199</v>
      </c>
    </row>
    <row r="194" spans="1:13" ht="14.25" customHeight="1" x14ac:dyDescent="0.2">
      <c r="A194" s="231" t="s">
        <v>10</v>
      </c>
      <c r="B194" s="230">
        <v>121317</v>
      </c>
      <c r="C194" s="230">
        <v>10757</v>
      </c>
      <c r="D194" s="231" t="s">
        <v>1542</v>
      </c>
      <c r="E194" s="230">
        <v>14491032</v>
      </c>
      <c r="F194" s="230">
        <v>53488</v>
      </c>
      <c r="G194" s="230">
        <v>1</v>
      </c>
      <c r="H194" s="240">
        <v>359.46</v>
      </c>
      <c r="I194" s="240">
        <f t="shared" si="2"/>
        <v>359.46</v>
      </c>
      <c r="J194" s="231" t="s">
        <v>1393</v>
      </c>
      <c r="K194" s="231" t="s">
        <v>1394</v>
      </c>
      <c r="L194" s="232">
        <v>45170</v>
      </c>
      <c r="M194" s="232">
        <v>45199</v>
      </c>
    </row>
    <row r="195" spans="1:13" ht="14.25" customHeight="1" x14ac:dyDescent="0.2">
      <c r="A195" s="231" t="s">
        <v>10</v>
      </c>
      <c r="B195" s="230">
        <v>121318</v>
      </c>
      <c r="C195" s="230">
        <v>10750</v>
      </c>
      <c r="D195" s="231" t="s">
        <v>1547</v>
      </c>
      <c r="E195" s="230">
        <v>14491032</v>
      </c>
      <c r="F195" s="230">
        <v>53490</v>
      </c>
      <c r="G195" s="230">
        <v>1</v>
      </c>
      <c r="H195" s="240">
        <v>359.46</v>
      </c>
      <c r="I195" s="240">
        <f t="shared" ref="I195:I258" si="3">G195*H195</f>
        <v>359.46</v>
      </c>
      <c r="J195" s="231" t="s">
        <v>1393</v>
      </c>
      <c r="K195" s="231" t="s">
        <v>1394</v>
      </c>
      <c r="L195" s="232">
        <v>45170</v>
      </c>
      <c r="M195" s="232">
        <v>45199</v>
      </c>
    </row>
    <row r="196" spans="1:13" ht="14.25" customHeight="1" x14ac:dyDescent="0.2">
      <c r="A196" s="231" t="s">
        <v>10</v>
      </c>
      <c r="B196" s="230">
        <v>121320</v>
      </c>
      <c r="C196" s="230">
        <v>10750</v>
      </c>
      <c r="D196" s="231" t="s">
        <v>1532</v>
      </c>
      <c r="E196" s="230">
        <v>14491032</v>
      </c>
      <c r="F196" s="230">
        <v>53494</v>
      </c>
      <c r="G196" s="230">
        <v>1</v>
      </c>
      <c r="H196" s="240">
        <v>359.46</v>
      </c>
      <c r="I196" s="240">
        <f t="shared" si="3"/>
        <v>359.46</v>
      </c>
      <c r="J196" s="231" t="s">
        <v>1393</v>
      </c>
      <c r="K196" s="231" t="s">
        <v>1394</v>
      </c>
      <c r="L196" s="232">
        <v>45170</v>
      </c>
      <c r="M196" s="232">
        <v>45199</v>
      </c>
    </row>
    <row r="197" spans="1:13" ht="14.25" customHeight="1" x14ac:dyDescent="0.2">
      <c r="A197" s="231" t="s">
        <v>10</v>
      </c>
      <c r="B197" s="230">
        <v>121675</v>
      </c>
      <c r="C197" s="230">
        <v>10757</v>
      </c>
      <c r="D197" s="231" t="s">
        <v>1596</v>
      </c>
      <c r="E197" s="230">
        <v>14491032</v>
      </c>
      <c r="F197" s="230">
        <v>54314</v>
      </c>
      <c r="G197" s="230">
        <v>1</v>
      </c>
      <c r="H197" s="240">
        <v>359.46</v>
      </c>
      <c r="I197" s="240">
        <f t="shared" si="3"/>
        <v>359.46</v>
      </c>
      <c r="J197" s="231" t="s">
        <v>1393</v>
      </c>
      <c r="K197" s="231" t="s">
        <v>1394</v>
      </c>
      <c r="L197" s="232">
        <v>45170</v>
      </c>
      <c r="M197" s="232">
        <v>45199</v>
      </c>
    </row>
    <row r="198" spans="1:13" ht="14.25" customHeight="1" x14ac:dyDescent="0.2">
      <c r="A198" s="231" t="s">
        <v>10</v>
      </c>
      <c r="B198" s="230">
        <v>121686</v>
      </c>
      <c r="C198" s="230">
        <v>10755</v>
      </c>
      <c r="D198" s="231" t="s">
        <v>1602</v>
      </c>
      <c r="E198" s="230">
        <v>14491032</v>
      </c>
      <c r="F198" s="230">
        <v>54335</v>
      </c>
      <c r="G198" s="230">
        <v>1</v>
      </c>
      <c r="H198" s="240">
        <v>311.52999999999997</v>
      </c>
      <c r="I198" s="240">
        <f t="shared" si="3"/>
        <v>311.52999999999997</v>
      </c>
      <c r="J198" s="231" t="s">
        <v>1393</v>
      </c>
      <c r="K198" s="231" t="s">
        <v>1394</v>
      </c>
      <c r="L198" s="232">
        <v>45170</v>
      </c>
      <c r="M198" s="232">
        <v>45199</v>
      </c>
    </row>
    <row r="199" spans="1:13" ht="14.25" customHeight="1" x14ac:dyDescent="0.2">
      <c r="A199" s="231" t="s">
        <v>10</v>
      </c>
      <c r="B199" s="230">
        <v>121687</v>
      </c>
      <c r="C199" s="230">
        <v>10758</v>
      </c>
      <c r="D199" s="231" t="s">
        <v>1600</v>
      </c>
      <c r="E199" s="230">
        <v>14491032</v>
      </c>
      <c r="F199" s="230">
        <v>54337</v>
      </c>
      <c r="G199" s="230">
        <v>1</v>
      </c>
      <c r="H199" s="240">
        <v>359.46</v>
      </c>
      <c r="I199" s="240">
        <f t="shared" si="3"/>
        <v>359.46</v>
      </c>
      <c r="J199" s="231" t="s">
        <v>1393</v>
      </c>
      <c r="K199" s="231" t="s">
        <v>1394</v>
      </c>
      <c r="L199" s="232">
        <v>45170</v>
      </c>
      <c r="M199" s="232">
        <v>45199</v>
      </c>
    </row>
    <row r="200" spans="1:13" ht="14.25" customHeight="1" x14ac:dyDescent="0.2">
      <c r="A200" s="231" t="s">
        <v>10</v>
      </c>
      <c r="B200" s="230">
        <v>121855</v>
      </c>
      <c r="C200" s="230">
        <v>10766</v>
      </c>
      <c r="D200" s="231" t="s">
        <v>1625</v>
      </c>
      <c r="E200" s="230">
        <v>14491032</v>
      </c>
      <c r="F200" s="230">
        <v>54727</v>
      </c>
      <c r="G200" s="230">
        <v>1</v>
      </c>
      <c r="H200" s="240">
        <v>359.46</v>
      </c>
      <c r="I200" s="240">
        <f t="shared" si="3"/>
        <v>359.46</v>
      </c>
      <c r="J200" s="231" t="s">
        <v>1393</v>
      </c>
      <c r="K200" s="231" t="s">
        <v>1394</v>
      </c>
      <c r="L200" s="232">
        <v>45170</v>
      </c>
      <c r="M200" s="232">
        <v>45199</v>
      </c>
    </row>
    <row r="201" spans="1:13" ht="14.25" customHeight="1" x14ac:dyDescent="0.2">
      <c r="A201" s="231" t="s">
        <v>10</v>
      </c>
      <c r="B201" s="230">
        <v>122081</v>
      </c>
      <c r="C201" s="230">
        <v>10758</v>
      </c>
      <c r="D201" s="231" t="s">
        <v>1651</v>
      </c>
      <c r="E201" s="230">
        <v>14491032</v>
      </c>
      <c r="F201" s="230">
        <v>55278</v>
      </c>
      <c r="G201" s="230">
        <v>1</v>
      </c>
      <c r="H201" s="240">
        <v>359.46</v>
      </c>
      <c r="I201" s="240">
        <f t="shared" si="3"/>
        <v>359.46</v>
      </c>
      <c r="J201" s="231" t="s">
        <v>1393</v>
      </c>
      <c r="K201" s="231" t="s">
        <v>1394</v>
      </c>
      <c r="L201" s="232">
        <v>45170</v>
      </c>
      <c r="M201" s="232">
        <v>45199</v>
      </c>
    </row>
    <row r="202" spans="1:13" ht="14.25" customHeight="1" x14ac:dyDescent="0.2">
      <c r="A202" s="231" t="s">
        <v>8</v>
      </c>
      <c r="B202" s="230">
        <v>112173</v>
      </c>
      <c r="C202" s="230">
        <v>10758</v>
      </c>
      <c r="D202" s="231" t="s">
        <v>9</v>
      </c>
      <c r="E202" s="230">
        <v>14491032</v>
      </c>
      <c r="F202" s="230">
        <v>28780</v>
      </c>
      <c r="G202" s="230">
        <v>1</v>
      </c>
      <c r="H202" s="240">
        <v>359.46</v>
      </c>
      <c r="I202" s="240">
        <f t="shared" si="3"/>
        <v>359.46</v>
      </c>
      <c r="J202" s="231" t="s">
        <v>1393</v>
      </c>
      <c r="K202" s="231" t="s">
        <v>1394</v>
      </c>
      <c r="L202" s="232">
        <v>45170</v>
      </c>
      <c r="M202" s="232">
        <v>45199</v>
      </c>
    </row>
    <row r="203" spans="1:13" ht="14.25" customHeight="1" x14ac:dyDescent="0.2">
      <c r="A203" s="231" t="s">
        <v>8</v>
      </c>
      <c r="B203" s="230">
        <v>112209</v>
      </c>
      <c r="C203" s="230">
        <v>10750</v>
      </c>
      <c r="D203" s="231" t="s">
        <v>36</v>
      </c>
      <c r="E203" s="230">
        <v>14491032</v>
      </c>
      <c r="F203" s="230">
        <v>28852</v>
      </c>
      <c r="G203" s="230">
        <v>1</v>
      </c>
      <c r="H203" s="240">
        <v>359.46</v>
      </c>
      <c r="I203" s="240">
        <f t="shared" si="3"/>
        <v>359.46</v>
      </c>
      <c r="J203" s="231" t="s">
        <v>1393</v>
      </c>
      <c r="K203" s="231" t="s">
        <v>1394</v>
      </c>
      <c r="L203" s="232">
        <v>45170</v>
      </c>
      <c r="M203" s="232">
        <v>45199</v>
      </c>
    </row>
    <row r="204" spans="1:13" ht="14.25" customHeight="1" x14ac:dyDescent="0.2">
      <c r="A204" s="231" t="s">
        <v>8</v>
      </c>
      <c r="B204" s="230">
        <v>112222</v>
      </c>
      <c r="C204" s="230">
        <v>10750</v>
      </c>
      <c r="D204" s="231" t="s">
        <v>43</v>
      </c>
      <c r="E204" s="230">
        <v>14491032</v>
      </c>
      <c r="F204" s="230">
        <v>28878</v>
      </c>
      <c r="G204" s="230">
        <v>1</v>
      </c>
      <c r="H204" s="240">
        <v>359.46</v>
      </c>
      <c r="I204" s="240">
        <f t="shared" si="3"/>
        <v>359.46</v>
      </c>
      <c r="J204" s="231" t="s">
        <v>1393</v>
      </c>
      <c r="K204" s="231" t="s">
        <v>1394</v>
      </c>
      <c r="L204" s="232">
        <v>45170</v>
      </c>
      <c r="M204" s="232">
        <v>45199</v>
      </c>
    </row>
    <row r="205" spans="1:13" ht="14.25" customHeight="1" x14ac:dyDescent="0.2">
      <c r="A205" s="231" t="s">
        <v>8</v>
      </c>
      <c r="B205" s="230">
        <v>112258</v>
      </c>
      <c r="C205" s="230">
        <v>10750</v>
      </c>
      <c r="D205" s="231" t="s">
        <v>69</v>
      </c>
      <c r="E205" s="230">
        <v>14491032</v>
      </c>
      <c r="F205" s="230">
        <v>28950</v>
      </c>
      <c r="G205" s="230">
        <v>1</v>
      </c>
      <c r="H205" s="240">
        <v>359.46</v>
      </c>
      <c r="I205" s="240">
        <f t="shared" si="3"/>
        <v>359.46</v>
      </c>
      <c r="J205" s="231" t="s">
        <v>1393</v>
      </c>
      <c r="K205" s="231" t="s">
        <v>1394</v>
      </c>
      <c r="L205" s="232">
        <v>45170</v>
      </c>
      <c r="M205" s="232">
        <v>45199</v>
      </c>
    </row>
    <row r="206" spans="1:13" ht="14.25" customHeight="1" x14ac:dyDescent="0.2">
      <c r="A206" s="231" t="s">
        <v>8</v>
      </c>
      <c r="B206" s="230">
        <v>112259</v>
      </c>
      <c r="C206" s="230">
        <v>10750</v>
      </c>
      <c r="D206" s="231" t="s">
        <v>70</v>
      </c>
      <c r="E206" s="230">
        <v>14491032</v>
      </c>
      <c r="F206" s="230">
        <v>28952</v>
      </c>
      <c r="G206" s="230">
        <v>1</v>
      </c>
      <c r="H206" s="240">
        <v>359.46</v>
      </c>
      <c r="I206" s="240">
        <f t="shared" si="3"/>
        <v>359.46</v>
      </c>
      <c r="J206" s="231" t="s">
        <v>1393</v>
      </c>
      <c r="K206" s="231" t="s">
        <v>1394</v>
      </c>
      <c r="L206" s="232">
        <v>45170</v>
      </c>
      <c r="M206" s="232">
        <v>45199</v>
      </c>
    </row>
    <row r="207" spans="1:13" ht="14.25" customHeight="1" x14ac:dyDescent="0.2">
      <c r="A207" s="231" t="s">
        <v>8</v>
      </c>
      <c r="B207" s="230">
        <v>112277</v>
      </c>
      <c r="C207" s="230">
        <v>10757</v>
      </c>
      <c r="D207" s="231" t="s">
        <v>82</v>
      </c>
      <c r="E207" s="230">
        <v>14491032</v>
      </c>
      <c r="F207" s="230">
        <v>28988</v>
      </c>
      <c r="G207" s="230">
        <v>1</v>
      </c>
      <c r="H207" s="240">
        <v>359.46</v>
      </c>
      <c r="I207" s="240">
        <f t="shared" si="3"/>
        <v>359.46</v>
      </c>
      <c r="J207" s="231" t="s">
        <v>1393</v>
      </c>
      <c r="K207" s="231" t="s">
        <v>1394</v>
      </c>
      <c r="L207" s="232">
        <v>45170</v>
      </c>
      <c r="M207" s="232">
        <v>45199</v>
      </c>
    </row>
    <row r="208" spans="1:13" ht="14.25" customHeight="1" x14ac:dyDescent="0.2">
      <c r="A208" s="231" t="s">
        <v>8</v>
      </c>
      <c r="B208" s="230">
        <v>112299</v>
      </c>
      <c r="C208" s="230">
        <v>10750</v>
      </c>
      <c r="D208" s="231" t="s">
        <v>97</v>
      </c>
      <c r="E208" s="230">
        <v>14491032</v>
      </c>
      <c r="F208" s="230">
        <v>29032</v>
      </c>
      <c r="G208" s="230">
        <v>1</v>
      </c>
      <c r="H208" s="240">
        <v>359.46</v>
      </c>
      <c r="I208" s="240">
        <f t="shared" si="3"/>
        <v>359.46</v>
      </c>
      <c r="J208" s="231" t="s">
        <v>1393</v>
      </c>
      <c r="K208" s="231" t="s">
        <v>1394</v>
      </c>
      <c r="L208" s="232">
        <v>45170</v>
      </c>
      <c r="M208" s="232">
        <v>45199</v>
      </c>
    </row>
    <row r="209" spans="1:13" ht="14.25" customHeight="1" x14ac:dyDescent="0.2">
      <c r="A209" s="231" t="s">
        <v>8</v>
      </c>
      <c r="B209" s="230">
        <v>112318</v>
      </c>
      <c r="C209" s="230">
        <v>10750</v>
      </c>
      <c r="D209" s="231" t="s">
        <v>104</v>
      </c>
      <c r="E209" s="230">
        <v>14491032</v>
      </c>
      <c r="F209" s="230">
        <v>29070</v>
      </c>
      <c r="G209" s="230">
        <v>1</v>
      </c>
      <c r="H209" s="240">
        <v>359.46</v>
      </c>
      <c r="I209" s="240">
        <f t="shared" si="3"/>
        <v>359.46</v>
      </c>
      <c r="J209" s="231" t="s">
        <v>1393</v>
      </c>
      <c r="K209" s="231" t="s">
        <v>1394</v>
      </c>
      <c r="L209" s="232">
        <v>45170</v>
      </c>
      <c r="M209" s="232">
        <v>45199</v>
      </c>
    </row>
    <row r="210" spans="1:13" ht="14.25" customHeight="1" x14ac:dyDescent="0.2">
      <c r="A210" s="231" t="s">
        <v>8</v>
      </c>
      <c r="B210" s="230">
        <v>112333</v>
      </c>
      <c r="C210" s="230">
        <v>10750</v>
      </c>
      <c r="D210" s="231" t="s">
        <v>115</v>
      </c>
      <c r="E210" s="230">
        <v>14491032</v>
      </c>
      <c r="F210" s="230">
        <v>29100</v>
      </c>
      <c r="G210" s="230">
        <v>1</v>
      </c>
      <c r="H210" s="240">
        <v>359.46</v>
      </c>
      <c r="I210" s="240">
        <f t="shared" si="3"/>
        <v>359.46</v>
      </c>
      <c r="J210" s="231" t="s">
        <v>1393</v>
      </c>
      <c r="K210" s="231" t="s">
        <v>1394</v>
      </c>
      <c r="L210" s="232">
        <v>45170</v>
      </c>
      <c r="M210" s="232">
        <v>45199</v>
      </c>
    </row>
    <row r="211" spans="1:13" ht="14.25" customHeight="1" x14ac:dyDescent="0.2">
      <c r="A211" s="231" t="s">
        <v>8</v>
      </c>
      <c r="B211" s="230">
        <v>112338</v>
      </c>
      <c r="C211" s="230">
        <v>10757</v>
      </c>
      <c r="D211" s="231" t="s">
        <v>118</v>
      </c>
      <c r="E211" s="230">
        <v>14491032</v>
      </c>
      <c r="F211" s="230">
        <v>29110</v>
      </c>
      <c r="G211" s="230">
        <v>1</v>
      </c>
      <c r="H211" s="240">
        <v>359.46</v>
      </c>
      <c r="I211" s="240">
        <f t="shared" si="3"/>
        <v>359.46</v>
      </c>
      <c r="J211" s="231" t="s">
        <v>1393</v>
      </c>
      <c r="K211" s="231" t="s">
        <v>1394</v>
      </c>
      <c r="L211" s="232">
        <v>45170</v>
      </c>
      <c r="M211" s="232">
        <v>45199</v>
      </c>
    </row>
    <row r="212" spans="1:13" ht="14.25" customHeight="1" x14ac:dyDescent="0.2">
      <c r="A212" s="231" t="s">
        <v>8</v>
      </c>
      <c r="B212" s="230">
        <v>112341</v>
      </c>
      <c r="C212" s="230">
        <v>10757</v>
      </c>
      <c r="D212" s="231" t="s">
        <v>121</v>
      </c>
      <c r="E212" s="230">
        <v>14491032</v>
      </c>
      <c r="F212" s="230">
        <v>29116</v>
      </c>
      <c r="G212" s="230">
        <v>1</v>
      </c>
      <c r="H212" s="240">
        <v>359.46</v>
      </c>
      <c r="I212" s="240">
        <f t="shared" si="3"/>
        <v>359.46</v>
      </c>
      <c r="J212" s="231" t="s">
        <v>1393</v>
      </c>
      <c r="K212" s="231" t="s">
        <v>1394</v>
      </c>
      <c r="L212" s="232">
        <v>45170</v>
      </c>
      <c r="M212" s="232">
        <v>45199</v>
      </c>
    </row>
    <row r="213" spans="1:13" ht="14.25" customHeight="1" x14ac:dyDescent="0.2">
      <c r="A213" s="231" t="s">
        <v>8</v>
      </c>
      <c r="B213" s="230">
        <v>112346</v>
      </c>
      <c r="C213" s="230">
        <v>10757</v>
      </c>
      <c r="D213" s="231" t="s">
        <v>123</v>
      </c>
      <c r="E213" s="230">
        <v>14491032</v>
      </c>
      <c r="F213" s="230">
        <v>29126</v>
      </c>
      <c r="G213" s="230">
        <v>1</v>
      </c>
      <c r="H213" s="240">
        <v>359.46</v>
      </c>
      <c r="I213" s="240">
        <f t="shared" si="3"/>
        <v>359.46</v>
      </c>
      <c r="J213" s="231" t="s">
        <v>1393</v>
      </c>
      <c r="K213" s="231" t="s">
        <v>1394</v>
      </c>
      <c r="L213" s="232">
        <v>45170</v>
      </c>
      <c r="M213" s="232">
        <v>45199</v>
      </c>
    </row>
    <row r="214" spans="1:13" ht="14.25" customHeight="1" x14ac:dyDescent="0.2">
      <c r="A214" s="231" t="s">
        <v>8</v>
      </c>
      <c r="B214" s="230">
        <v>112348</v>
      </c>
      <c r="C214" s="230">
        <v>10754</v>
      </c>
      <c r="D214" s="231" t="s">
        <v>124</v>
      </c>
      <c r="E214" s="230">
        <v>14491032</v>
      </c>
      <c r="F214" s="230">
        <v>29130</v>
      </c>
      <c r="G214" s="230">
        <v>1</v>
      </c>
      <c r="H214" s="240">
        <v>359.46</v>
      </c>
      <c r="I214" s="240">
        <f t="shared" si="3"/>
        <v>359.46</v>
      </c>
      <c r="J214" s="231" t="s">
        <v>1393</v>
      </c>
      <c r="K214" s="231" t="s">
        <v>1394</v>
      </c>
      <c r="L214" s="232">
        <v>45170</v>
      </c>
      <c r="M214" s="232">
        <v>45199</v>
      </c>
    </row>
    <row r="215" spans="1:13" ht="14.25" customHeight="1" x14ac:dyDescent="0.2">
      <c r="A215" s="231" t="s">
        <v>8</v>
      </c>
      <c r="B215" s="230">
        <v>112349</v>
      </c>
      <c r="C215" s="230">
        <v>10757</v>
      </c>
      <c r="D215" s="231" t="s">
        <v>125</v>
      </c>
      <c r="E215" s="230">
        <v>14491032</v>
      </c>
      <c r="F215" s="230">
        <v>29132</v>
      </c>
      <c r="G215" s="230">
        <v>1</v>
      </c>
      <c r="H215" s="240">
        <v>359.46</v>
      </c>
      <c r="I215" s="240">
        <f t="shared" si="3"/>
        <v>359.46</v>
      </c>
      <c r="J215" s="231" t="s">
        <v>1393</v>
      </c>
      <c r="K215" s="231" t="s">
        <v>1394</v>
      </c>
      <c r="L215" s="232">
        <v>45170</v>
      </c>
      <c r="M215" s="232">
        <v>45199</v>
      </c>
    </row>
    <row r="216" spans="1:13" ht="14.25" customHeight="1" x14ac:dyDescent="0.2">
      <c r="A216" s="231" t="s">
        <v>8</v>
      </c>
      <c r="B216" s="230">
        <v>112352</v>
      </c>
      <c r="C216" s="230">
        <v>10755</v>
      </c>
      <c r="D216" s="231" t="s">
        <v>126</v>
      </c>
      <c r="E216" s="230">
        <v>14491032</v>
      </c>
      <c r="F216" s="230">
        <v>29138</v>
      </c>
      <c r="G216" s="230">
        <v>1</v>
      </c>
      <c r="H216" s="240">
        <v>359.46</v>
      </c>
      <c r="I216" s="240">
        <f t="shared" si="3"/>
        <v>359.46</v>
      </c>
      <c r="J216" s="231" t="s">
        <v>1393</v>
      </c>
      <c r="K216" s="231" t="s">
        <v>1394</v>
      </c>
      <c r="L216" s="232">
        <v>45170</v>
      </c>
      <c r="M216" s="232">
        <v>45199</v>
      </c>
    </row>
    <row r="217" spans="1:13" ht="14.25" customHeight="1" x14ac:dyDescent="0.2">
      <c r="A217" s="231" t="s">
        <v>8</v>
      </c>
      <c r="B217" s="230">
        <v>112383</v>
      </c>
      <c r="C217" s="230">
        <v>10750</v>
      </c>
      <c r="D217" s="231" t="s">
        <v>147</v>
      </c>
      <c r="E217" s="230">
        <v>14491032</v>
      </c>
      <c r="F217" s="230">
        <v>29200</v>
      </c>
      <c r="G217" s="230">
        <v>1</v>
      </c>
      <c r="H217" s="240">
        <v>359.46</v>
      </c>
      <c r="I217" s="240">
        <f t="shared" si="3"/>
        <v>359.46</v>
      </c>
      <c r="J217" s="231" t="s">
        <v>1393</v>
      </c>
      <c r="K217" s="231" t="s">
        <v>1394</v>
      </c>
      <c r="L217" s="232">
        <v>45170</v>
      </c>
      <c r="M217" s="232">
        <v>45199</v>
      </c>
    </row>
    <row r="218" spans="1:13" ht="14.25" customHeight="1" x14ac:dyDescent="0.2">
      <c r="A218" s="231" t="s">
        <v>8</v>
      </c>
      <c r="B218" s="230">
        <v>112389</v>
      </c>
      <c r="C218" s="230">
        <v>10754</v>
      </c>
      <c r="D218" s="231" t="s">
        <v>149</v>
      </c>
      <c r="E218" s="230">
        <v>14491032</v>
      </c>
      <c r="F218" s="230">
        <v>29212</v>
      </c>
      <c r="G218" s="230">
        <v>1</v>
      </c>
      <c r="H218" s="240">
        <v>359.46</v>
      </c>
      <c r="I218" s="240">
        <f t="shared" si="3"/>
        <v>359.46</v>
      </c>
      <c r="J218" s="231" t="s">
        <v>1393</v>
      </c>
      <c r="K218" s="231" t="s">
        <v>1394</v>
      </c>
      <c r="L218" s="232">
        <v>45170</v>
      </c>
      <c r="M218" s="232">
        <v>45199</v>
      </c>
    </row>
    <row r="219" spans="1:13" ht="14.25" customHeight="1" x14ac:dyDescent="0.2">
      <c r="A219" s="231" t="s">
        <v>8</v>
      </c>
      <c r="B219" s="230">
        <v>112405</v>
      </c>
      <c r="C219" s="230">
        <v>10750</v>
      </c>
      <c r="D219" s="231" t="s">
        <v>160</v>
      </c>
      <c r="E219" s="230">
        <v>14491032</v>
      </c>
      <c r="F219" s="230">
        <v>29244</v>
      </c>
      <c r="G219" s="230">
        <v>1</v>
      </c>
      <c r="H219" s="240">
        <v>359.46</v>
      </c>
      <c r="I219" s="240">
        <f t="shared" si="3"/>
        <v>359.46</v>
      </c>
      <c r="J219" s="231" t="s">
        <v>1393</v>
      </c>
      <c r="K219" s="231" t="s">
        <v>1394</v>
      </c>
      <c r="L219" s="232">
        <v>45170</v>
      </c>
      <c r="M219" s="232">
        <v>45199</v>
      </c>
    </row>
    <row r="220" spans="1:13" ht="14.25" customHeight="1" x14ac:dyDescent="0.2">
      <c r="A220" s="231" t="s">
        <v>8</v>
      </c>
      <c r="B220" s="230">
        <v>112408</v>
      </c>
      <c r="C220" s="230">
        <v>10757</v>
      </c>
      <c r="D220" s="231" t="s">
        <v>161</v>
      </c>
      <c r="E220" s="230">
        <v>14491032</v>
      </c>
      <c r="F220" s="230">
        <v>29250</v>
      </c>
      <c r="G220" s="230">
        <v>1</v>
      </c>
      <c r="H220" s="240">
        <v>359.46</v>
      </c>
      <c r="I220" s="240">
        <f t="shared" si="3"/>
        <v>359.46</v>
      </c>
      <c r="J220" s="231" t="s">
        <v>1393</v>
      </c>
      <c r="K220" s="231" t="s">
        <v>1394</v>
      </c>
      <c r="L220" s="232">
        <v>45170</v>
      </c>
      <c r="M220" s="232">
        <v>45199</v>
      </c>
    </row>
    <row r="221" spans="1:13" ht="14.25" customHeight="1" x14ac:dyDescent="0.2">
      <c r="A221" s="231" t="s">
        <v>8</v>
      </c>
      <c r="B221" s="230">
        <v>112409</v>
      </c>
      <c r="C221" s="230">
        <v>10750</v>
      </c>
      <c r="D221" s="231" t="s">
        <v>162</v>
      </c>
      <c r="E221" s="230">
        <v>14491032</v>
      </c>
      <c r="F221" s="230">
        <v>29252</v>
      </c>
      <c r="G221" s="230">
        <v>1</v>
      </c>
      <c r="H221" s="240">
        <v>359.46</v>
      </c>
      <c r="I221" s="240">
        <f t="shared" si="3"/>
        <v>359.46</v>
      </c>
      <c r="J221" s="231" t="s">
        <v>1393</v>
      </c>
      <c r="K221" s="231" t="s">
        <v>1394</v>
      </c>
      <c r="L221" s="232">
        <v>45170</v>
      </c>
      <c r="M221" s="232">
        <v>45199</v>
      </c>
    </row>
    <row r="222" spans="1:13" ht="14.25" customHeight="1" x14ac:dyDescent="0.2">
      <c r="A222" s="231" t="s">
        <v>8</v>
      </c>
      <c r="B222" s="230">
        <v>112421</v>
      </c>
      <c r="C222" s="230">
        <v>10763</v>
      </c>
      <c r="D222" s="231" t="s">
        <v>170</v>
      </c>
      <c r="E222" s="230">
        <v>14491032</v>
      </c>
      <c r="F222" s="230">
        <v>29276</v>
      </c>
      <c r="G222" s="230">
        <v>1</v>
      </c>
      <c r="H222" s="240">
        <v>359.46</v>
      </c>
      <c r="I222" s="240">
        <f t="shared" si="3"/>
        <v>359.46</v>
      </c>
      <c r="J222" s="231" t="s">
        <v>1393</v>
      </c>
      <c r="K222" s="231" t="s">
        <v>1394</v>
      </c>
      <c r="L222" s="232">
        <v>45170</v>
      </c>
      <c r="M222" s="232">
        <v>45199</v>
      </c>
    </row>
    <row r="223" spans="1:13" ht="14.25" customHeight="1" x14ac:dyDescent="0.2">
      <c r="A223" s="231" t="s">
        <v>8</v>
      </c>
      <c r="B223" s="230">
        <v>112428</v>
      </c>
      <c r="C223" s="230">
        <v>10750</v>
      </c>
      <c r="D223" s="231" t="s">
        <v>172</v>
      </c>
      <c r="E223" s="230">
        <v>14491032</v>
      </c>
      <c r="F223" s="230">
        <v>29290</v>
      </c>
      <c r="G223" s="230">
        <v>1</v>
      </c>
      <c r="H223" s="240">
        <v>359.46</v>
      </c>
      <c r="I223" s="240">
        <f t="shared" si="3"/>
        <v>359.46</v>
      </c>
      <c r="J223" s="231" t="s">
        <v>1393</v>
      </c>
      <c r="K223" s="231" t="s">
        <v>1394</v>
      </c>
      <c r="L223" s="232">
        <v>45170</v>
      </c>
      <c r="M223" s="232">
        <v>45199</v>
      </c>
    </row>
    <row r="224" spans="1:13" ht="14.25" customHeight="1" x14ac:dyDescent="0.2">
      <c r="A224" s="231" t="s">
        <v>8</v>
      </c>
      <c r="B224" s="230">
        <v>112432</v>
      </c>
      <c r="C224" s="230">
        <v>10757</v>
      </c>
      <c r="D224" s="231" t="s">
        <v>1387</v>
      </c>
      <c r="E224" s="230">
        <v>14491032</v>
      </c>
      <c r="F224" s="230">
        <v>29298</v>
      </c>
      <c r="G224" s="230">
        <v>1</v>
      </c>
      <c r="H224" s="240">
        <v>359.46</v>
      </c>
      <c r="I224" s="240">
        <f t="shared" si="3"/>
        <v>359.46</v>
      </c>
      <c r="J224" s="231" t="s">
        <v>1393</v>
      </c>
      <c r="K224" s="231" t="s">
        <v>1394</v>
      </c>
      <c r="L224" s="232">
        <v>45170</v>
      </c>
      <c r="M224" s="232">
        <v>45199</v>
      </c>
    </row>
    <row r="225" spans="1:13" ht="14.25" customHeight="1" x14ac:dyDescent="0.2">
      <c r="A225" s="231" t="s">
        <v>8</v>
      </c>
      <c r="B225" s="230">
        <v>112434</v>
      </c>
      <c r="C225" s="230">
        <v>10751</v>
      </c>
      <c r="D225" s="231" t="s">
        <v>177</v>
      </c>
      <c r="E225" s="230">
        <v>14491032</v>
      </c>
      <c r="F225" s="230">
        <v>29302</v>
      </c>
      <c r="G225" s="230">
        <v>1</v>
      </c>
      <c r="H225" s="240">
        <v>359.46</v>
      </c>
      <c r="I225" s="240">
        <f t="shared" si="3"/>
        <v>359.46</v>
      </c>
      <c r="J225" s="231" t="s">
        <v>1393</v>
      </c>
      <c r="K225" s="231" t="s">
        <v>1394</v>
      </c>
      <c r="L225" s="232">
        <v>45170</v>
      </c>
      <c r="M225" s="232">
        <v>45199</v>
      </c>
    </row>
    <row r="226" spans="1:13" ht="14.25" customHeight="1" x14ac:dyDescent="0.2">
      <c r="A226" s="231" t="s">
        <v>8</v>
      </c>
      <c r="B226" s="230">
        <v>112442</v>
      </c>
      <c r="C226" s="230">
        <v>10757</v>
      </c>
      <c r="D226" s="231" t="s">
        <v>183</v>
      </c>
      <c r="E226" s="230">
        <v>14491032</v>
      </c>
      <c r="F226" s="230">
        <v>29318</v>
      </c>
      <c r="G226" s="230">
        <v>1</v>
      </c>
      <c r="H226" s="240">
        <v>359.46</v>
      </c>
      <c r="I226" s="240">
        <f t="shared" si="3"/>
        <v>359.46</v>
      </c>
      <c r="J226" s="231" t="s">
        <v>1393</v>
      </c>
      <c r="K226" s="231" t="s">
        <v>1394</v>
      </c>
      <c r="L226" s="232">
        <v>45170</v>
      </c>
      <c r="M226" s="232">
        <v>45199</v>
      </c>
    </row>
    <row r="227" spans="1:13" ht="14.25" customHeight="1" x14ac:dyDescent="0.2">
      <c r="A227" s="231" t="s">
        <v>8</v>
      </c>
      <c r="B227" s="230">
        <v>112444</v>
      </c>
      <c r="C227" s="230">
        <v>10757</v>
      </c>
      <c r="D227" s="231" t="s">
        <v>185</v>
      </c>
      <c r="E227" s="230">
        <v>14491032</v>
      </c>
      <c r="F227" s="230">
        <v>29322</v>
      </c>
      <c r="G227" s="230">
        <v>1</v>
      </c>
      <c r="H227" s="240">
        <v>359.46</v>
      </c>
      <c r="I227" s="240">
        <f t="shared" si="3"/>
        <v>359.46</v>
      </c>
      <c r="J227" s="231" t="s">
        <v>1393</v>
      </c>
      <c r="K227" s="231" t="s">
        <v>1394</v>
      </c>
      <c r="L227" s="232">
        <v>45170</v>
      </c>
      <c r="M227" s="232">
        <v>45199</v>
      </c>
    </row>
    <row r="228" spans="1:13" ht="14.25" customHeight="1" x14ac:dyDescent="0.2">
      <c r="A228" s="231" t="s">
        <v>8</v>
      </c>
      <c r="B228" s="230">
        <v>112451</v>
      </c>
      <c r="C228" s="230">
        <v>10766</v>
      </c>
      <c r="D228" s="231" t="s">
        <v>189</v>
      </c>
      <c r="E228" s="230">
        <v>14491032</v>
      </c>
      <c r="F228" s="230">
        <v>29336</v>
      </c>
      <c r="G228" s="230">
        <v>1</v>
      </c>
      <c r="H228" s="240">
        <v>347.47</v>
      </c>
      <c r="I228" s="240">
        <f t="shared" si="3"/>
        <v>347.47</v>
      </c>
      <c r="J228" s="231" t="s">
        <v>1393</v>
      </c>
      <c r="K228" s="231" t="s">
        <v>1394</v>
      </c>
      <c r="L228" s="232">
        <v>45170</v>
      </c>
      <c r="M228" s="232">
        <v>45199</v>
      </c>
    </row>
    <row r="229" spans="1:13" ht="14.25" customHeight="1" x14ac:dyDescent="0.2">
      <c r="A229" s="231" t="s">
        <v>8</v>
      </c>
      <c r="B229" s="230">
        <v>112457</v>
      </c>
      <c r="C229" s="230">
        <v>10750</v>
      </c>
      <c r="D229" s="231" t="s">
        <v>193</v>
      </c>
      <c r="E229" s="230">
        <v>14491032</v>
      </c>
      <c r="F229" s="230">
        <v>29348</v>
      </c>
      <c r="G229" s="230">
        <v>1</v>
      </c>
      <c r="H229" s="240">
        <v>359.46</v>
      </c>
      <c r="I229" s="240">
        <f t="shared" si="3"/>
        <v>359.46</v>
      </c>
      <c r="J229" s="231" t="s">
        <v>1393</v>
      </c>
      <c r="K229" s="231" t="s">
        <v>1394</v>
      </c>
      <c r="L229" s="232">
        <v>45170</v>
      </c>
      <c r="M229" s="232">
        <v>45199</v>
      </c>
    </row>
    <row r="230" spans="1:13" ht="14.25" customHeight="1" x14ac:dyDescent="0.2">
      <c r="A230" s="231" t="s">
        <v>8</v>
      </c>
      <c r="B230" s="230">
        <v>112465</v>
      </c>
      <c r="C230" s="230">
        <v>10750</v>
      </c>
      <c r="D230" s="231" t="s">
        <v>197</v>
      </c>
      <c r="E230" s="230">
        <v>14491032</v>
      </c>
      <c r="F230" s="230">
        <v>29364</v>
      </c>
      <c r="G230" s="230">
        <v>1</v>
      </c>
      <c r="H230" s="240">
        <v>359.46</v>
      </c>
      <c r="I230" s="240">
        <f t="shared" si="3"/>
        <v>359.46</v>
      </c>
      <c r="J230" s="231" t="s">
        <v>1393</v>
      </c>
      <c r="K230" s="231" t="s">
        <v>1394</v>
      </c>
      <c r="L230" s="232">
        <v>45170</v>
      </c>
      <c r="M230" s="232">
        <v>45199</v>
      </c>
    </row>
    <row r="231" spans="1:13" ht="14.25" customHeight="1" x14ac:dyDescent="0.2">
      <c r="A231" s="231" t="s">
        <v>8</v>
      </c>
      <c r="B231" s="230">
        <v>112471</v>
      </c>
      <c r="C231" s="230">
        <v>10757</v>
      </c>
      <c r="D231" s="231" t="s">
        <v>200</v>
      </c>
      <c r="E231" s="230">
        <v>14491032</v>
      </c>
      <c r="F231" s="230">
        <v>29376</v>
      </c>
      <c r="G231" s="230">
        <v>1</v>
      </c>
      <c r="H231" s="240">
        <v>359.46</v>
      </c>
      <c r="I231" s="240">
        <f t="shared" si="3"/>
        <v>359.46</v>
      </c>
      <c r="J231" s="231" t="s">
        <v>1393</v>
      </c>
      <c r="K231" s="231" t="s">
        <v>1394</v>
      </c>
      <c r="L231" s="232">
        <v>45170</v>
      </c>
      <c r="M231" s="232">
        <v>45199</v>
      </c>
    </row>
    <row r="232" spans="1:13" ht="14.25" customHeight="1" x14ac:dyDescent="0.2">
      <c r="A232" s="231" t="s">
        <v>8</v>
      </c>
      <c r="B232" s="230">
        <v>112472</v>
      </c>
      <c r="C232" s="230">
        <v>10760</v>
      </c>
      <c r="D232" s="231" t="s">
        <v>201</v>
      </c>
      <c r="E232" s="230">
        <v>14491032</v>
      </c>
      <c r="F232" s="230">
        <v>29378</v>
      </c>
      <c r="G232" s="230">
        <v>1</v>
      </c>
      <c r="H232" s="240">
        <v>359.46</v>
      </c>
      <c r="I232" s="240">
        <f t="shared" si="3"/>
        <v>359.46</v>
      </c>
      <c r="J232" s="231" t="s">
        <v>1393</v>
      </c>
      <c r="K232" s="231" t="s">
        <v>1394</v>
      </c>
      <c r="L232" s="232">
        <v>45170</v>
      </c>
      <c r="M232" s="232">
        <v>45199</v>
      </c>
    </row>
    <row r="233" spans="1:13" ht="14.25" customHeight="1" x14ac:dyDescent="0.2">
      <c r="A233" s="231" t="s">
        <v>8</v>
      </c>
      <c r="B233" s="230">
        <v>112475</v>
      </c>
      <c r="C233" s="230">
        <v>10750</v>
      </c>
      <c r="D233" s="231" t="s">
        <v>203</v>
      </c>
      <c r="E233" s="230">
        <v>14491032</v>
      </c>
      <c r="F233" s="230">
        <v>29384</v>
      </c>
      <c r="G233" s="230">
        <v>1</v>
      </c>
      <c r="H233" s="240">
        <v>359.46</v>
      </c>
      <c r="I233" s="240">
        <f t="shared" si="3"/>
        <v>359.46</v>
      </c>
      <c r="J233" s="231" t="s">
        <v>1393</v>
      </c>
      <c r="K233" s="231" t="s">
        <v>1394</v>
      </c>
      <c r="L233" s="232">
        <v>45170</v>
      </c>
      <c r="M233" s="232">
        <v>45199</v>
      </c>
    </row>
    <row r="234" spans="1:13" ht="14.25" customHeight="1" x14ac:dyDescent="0.2">
      <c r="A234" s="231" t="s">
        <v>8</v>
      </c>
      <c r="B234" s="230">
        <v>112483</v>
      </c>
      <c r="C234" s="230">
        <v>10756</v>
      </c>
      <c r="D234" s="231" t="s">
        <v>208</v>
      </c>
      <c r="E234" s="230">
        <v>14491032</v>
      </c>
      <c r="F234" s="230">
        <v>29400</v>
      </c>
      <c r="G234" s="230">
        <v>1</v>
      </c>
      <c r="H234" s="240">
        <v>359.46</v>
      </c>
      <c r="I234" s="240">
        <f t="shared" si="3"/>
        <v>359.46</v>
      </c>
      <c r="J234" s="231" t="s">
        <v>1393</v>
      </c>
      <c r="K234" s="231" t="s">
        <v>1394</v>
      </c>
      <c r="L234" s="232">
        <v>45170</v>
      </c>
      <c r="M234" s="232">
        <v>45199</v>
      </c>
    </row>
    <row r="235" spans="1:13" ht="14.25" customHeight="1" x14ac:dyDescent="0.2">
      <c r="A235" s="231" t="s">
        <v>8</v>
      </c>
      <c r="B235" s="230">
        <v>112485</v>
      </c>
      <c r="C235" s="230">
        <v>10750</v>
      </c>
      <c r="D235" s="231" t="s">
        <v>209</v>
      </c>
      <c r="E235" s="230">
        <v>14491032</v>
      </c>
      <c r="F235" s="230">
        <v>29404</v>
      </c>
      <c r="G235" s="230">
        <v>1</v>
      </c>
      <c r="H235" s="240">
        <v>347.47</v>
      </c>
      <c r="I235" s="240">
        <f t="shared" si="3"/>
        <v>347.47</v>
      </c>
      <c r="J235" s="231" t="s">
        <v>1393</v>
      </c>
      <c r="K235" s="231" t="s">
        <v>1394</v>
      </c>
      <c r="L235" s="232">
        <v>45170</v>
      </c>
      <c r="M235" s="232">
        <v>45199</v>
      </c>
    </row>
    <row r="236" spans="1:13" ht="14.25" customHeight="1" x14ac:dyDescent="0.2">
      <c r="A236" s="231" t="s">
        <v>8</v>
      </c>
      <c r="B236" s="230">
        <v>112492</v>
      </c>
      <c r="C236" s="230">
        <v>10750</v>
      </c>
      <c r="D236" s="231" t="s">
        <v>213</v>
      </c>
      <c r="E236" s="230">
        <v>14491032</v>
      </c>
      <c r="F236" s="230">
        <v>29418</v>
      </c>
      <c r="G236" s="230">
        <v>1</v>
      </c>
      <c r="H236" s="240">
        <v>359.46</v>
      </c>
      <c r="I236" s="240">
        <f t="shared" si="3"/>
        <v>359.46</v>
      </c>
      <c r="J236" s="231" t="s">
        <v>1393</v>
      </c>
      <c r="K236" s="231" t="s">
        <v>1394</v>
      </c>
      <c r="L236" s="232">
        <v>45170</v>
      </c>
      <c r="M236" s="232">
        <v>45199</v>
      </c>
    </row>
    <row r="237" spans="1:13" ht="14.25" customHeight="1" x14ac:dyDescent="0.2">
      <c r="A237" s="231" t="s">
        <v>8</v>
      </c>
      <c r="B237" s="230">
        <v>112498</v>
      </c>
      <c r="C237" s="230">
        <v>10754</v>
      </c>
      <c r="D237" s="231" t="s">
        <v>217</v>
      </c>
      <c r="E237" s="230">
        <v>14491032</v>
      </c>
      <c r="F237" s="230">
        <v>29430</v>
      </c>
      <c r="G237" s="230">
        <v>1</v>
      </c>
      <c r="H237" s="240">
        <v>359.46</v>
      </c>
      <c r="I237" s="240">
        <f t="shared" si="3"/>
        <v>359.46</v>
      </c>
      <c r="J237" s="231" t="s">
        <v>1393</v>
      </c>
      <c r="K237" s="231" t="s">
        <v>1394</v>
      </c>
      <c r="L237" s="232">
        <v>45170</v>
      </c>
      <c r="M237" s="232">
        <v>45199</v>
      </c>
    </row>
    <row r="238" spans="1:13" ht="14.25" customHeight="1" x14ac:dyDescent="0.2">
      <c r="A238" s="231" t="s">
        <v>8</v>
      </c>
      <c r="B238" s="230">
        <v>112503</v>
      </c>
      <c r="C238" s="230">
        <v>10766</v>
      </c>
      <c r="D238" s="231" t="s">
        <v>221</v>
      </c>
      <c r="E238" s="230">
        <v>14491032</v>
      </c>
      <c r="F238" s="230">
        <v>29440</v>
      </c>
      <c r="G238" s="230">
        <v>1</v>
      </c>
      <c r="H238" s="240">
        <v>359.46</v>
      </c>
      <c r="I238" s="240">
        <f t="shared" si="3"/>
        <v>359.46</v>
      </c>
      <c r="J238" s="231" t="s">
        <v>1393</v>
      </c>
      <c r="K238" s="231" t="s">
        <v>1394</v>
      </c>
      <c r="L238" s="232">
        <v>45170</v>
      </c>
      <c r="M238" s="232">
        <v>45199</v>
      </c>
    </row>
    <row r="239" spans="1:13" ht="14.25" customHeight="1" x14ac:dyDescent="0.2">
      <c r="A239" s="231" t="s">
        <v>8</v>
      </c>
      <c r="B239" s="230">
        <v>112504</v>
      </c>
      <c r="C239" s="230">
        <v>10750</v>
      </c>
      <c r="D239" s="231" t="s">
        <v>222</v>
      </c>
      <c r="E239" s="230">
        <v>14491032</v>
      </c>
      <c r="F239" s="230">
        <v>29442</v>
      </c>
      <c r="G239" s="230">
        <v>1</v>
      </c>
      <c r="H239" s="240">
        <v>359.46</v>
      </c>
      <c r="I239" s="240">
        <f t="shared" si="3"/>
        <v>359.46</v>
      </c>
      <c r="J239" s="231" t="s">
        <v>1393</v>
      </c>
      <c r="K239" s="231" t="s">
        <v>1394</v>
      </c>
      <c r="L239" s="232">
        <v>45170</v>
      </c>
      <c r="M239" s="232">
        <v>45199</v>
      </c>
    </row>
    <row r="240" spans="1:13" ht="14.25" customHeight="1" x14ac:dyDescent="0.2">
      <c r="A240" s="231" t="s">
        <v>8</v>
      </c>
      <c r="B240" s="230">
        <v>112507</v>
      </c>
      <c r="C240" s="230">
        <v>10750</v>
      </c>
      <c r="D240" s="231" t="s">
        <v>225</v>
      </c>
      <c r="E240" s="230">
        <v>14491032</v>
      </c>
      <c r="F240" s="230">
        <v>29448</v>
      </c>
      <c r="G240" s="230">
        <v>1</v>
      </c>
      <c r="H240" s="240">
        <v>359.46</v>
      </c>
      <c r="I240" s="240">
        <f t="shared" si="3"/>
        <v>359.46</v>
      </c>
      <c r="J240" s="231" t="s">
        <v>1393</v>
      </c>
      <c r="K240" s="231" t="s">
        <v>1394</v>
      </c>
      <c r="L240" s="232">
        <v>45170</v>
      </c>
      <c r="M240" s="232">
        <v>45199</v>
      </c>
    </row>
    <row r="241" spans="1:13" ht="14.25" customHeight="1" x14ac:dyDescent="0.2">
      <c r="A241" s="231" t="s">
        <v>8</v>
      </c>
      <c r="B241" s="230">
        <v>112508</v>
      </c>
      <c r="C241" s="230">
        <v>10756</v>
      </c>
      <c r="D241" s="231" t="s">
        <v>226</v>
      </c>
      <c r="E241" s="230">
        <v>14491032</v>
      </c>
      <c r="F241" s="230">
        <v>29450</v>
      </c>
      <c r="G241" s="230">
        <v>1</v>
      </c>
      <c r="H241" s="240">
        <v>359.46</v>
      </c>
      <c r="I241" s="240">
        <f t="shared" si="3"/>
        <v>359.46</v>
      </c>
      <c r="J241" s="231" t="s">
        <v>1393</v>
      </c>
      <c r="K241" s="231" t="s">
        <v>1394</v>
      </c>
      <c r="L241" s="232">
        <v>45170</v>
      </c>
      <c r="M241" s="232">
        <v>45199</v>
      </c>
    </row>
    <row r="242" spans="1:13" ht="14.25" customHeight="1" x14ac:dyDescent="0.2">
      <c r="A242" s="231" t="s">
        <v>8</v>
      </c>
      <c r="B242" s="230">
        <v>112512</v>
      </c>
      <c r="C242" s="230">
        <v>10755</v>
      </c>
      <c r="D242" s="231" t="s">
        <v>229</v>
      </c>
      <c r="E242" s="230">
        <v>14491032</v>
      </c>
      <c r="F242" s="230">
        <v>29458</v>
      </c>
      <c r="G242" s="230">
        <v>1</v>
      </c>
      <c r="H242" s="240">
        <v>359.46</v>
      </c>
      <c r="I242" s="240">
        <f t="shared" si="3"/>
        <v>359.46</v>
      </c>
      <c r="J242" s="231" t="s">
        <v>1393</v>
      </c>
      <c r="K242" s="231" t="s">
        <v>1394</v>
      </c>
      <c r="L242" s="232">
        <v>45170</v>
      </c>
      <c r="M242" s="232">
        <v>45199</v>
      </c>
    </row>
    <row r="243" spans="1:13" ht="14.25" customHeight="1" x14ac:dyDescent="0.2">
      <c r="A243" s="231" t="s">
        <v>8</v>
      </c>
      <c r="B243" s="230">
        <v>112513</v>
      </c>
      <c r="C243" s="230">
        <v>10771</v>
      </c>
      <c r="D243" s="231" t="s">
        <v>230</v>
      </c>
      <c r="E243" s="230">
        <v>14491032</v>
      </c>
      <c r="F243" s="230">
        <v>29460</v>
      </c>
      <c r="G243" s="230">
        <v>1</v>
      </c>
      <c r="H243" s="240">
        <v>359.46</v>
      </c>
      <c r="I243" s="240">
        <f t="shared" si="3"/>
        <v>359.46</v>
      </c>
      <c r="J243" s="231" t="s">
        <v>1393</v>
      </c>
      <c r="K243" s="231" t="s">
        <v>1394</v>
      </c>
      <c r="L243" s="232">
        <v>45170</v>
      </c>
      <c r="M243" s="232">
        <v>45199</v>
      </c>
    </row>
    <row r="244" spans="1:13" ht="14.25" customHeight="1" x14ac:dyDescent="0.2">
      <c r="A244" s="231" t="s">
        <v>8</v>
      </c>
      <c r="B244" s="230">
        <v>112514</v>
      </c>
      <c r="C244" s="230">
        <v>10756</v>
      </c>
      <c r="D244" s="231" t="s">
        <v>231</v>
      </c>
      <c r="E244" s="230">
        <v>14491032</v>
      </c>
      <c r="F244" s="230">
        <v>29462</v>
      </c>
      <c r="G244" s="230">
        <v>1</v>
      </c>
      <c r="H244" s="240">
        <v>359.46</v>
      </c>
      <c r="I244" s="240">
        <f t="shared" si="3"/>
        <v>359.46</v>
      </c>
      <c r="J244" s="231" t="s">
        <v>1393</v>
      </c>
      <c r="K244" s="231" t="s">
        <v>1394</v>
      </c>
      <c r="L244" s="232">
        <v>45170</v>
      </c>
      <c r="M244" s="232">
        <v>45199</v>
      </c>
    </row>
    <row r="245" spans="1:13" ht="14.25" customHeight="1" x14ac:dyDescent="0.2">
      <c r="A245" s="231" t="s">
        <v>8</v>
      </c>
      <c r="B245" s="230">
        <v>112515</v>
      </c>
      <c r="C245" s="230">
        <v>10771</v>
      </c>
      <c r="D245" s="231" t="s">
        <v>232</v>
      </c>
      <c r="E245" s="230">
        <v>14491032</v>
      </c>
      <c r="F245" s="230">
        <v>29464</v>
      </c>
      <c r="G245" s="230">
        <v>1</v>
      </c>
      <c r="H245" s="240">
        <v>359.46</v>
      </c>
      <c r="I245" s="240">
        <f t="shared" si="3"/>
        <v>359.46</v>
      </c>
      <c r="J245" s="231" t="s">
        <v>1393</v>
      </c>
      <c r="K245" s="231" t="s">
        <v>1394</v>
      </c>
      <c r="L245" s="232">
        <v>45170</v>
      </c>
      <c r="M245" s="232">
        <v>45199</v>
      </c>
    </row>
    <row r="246" spans="1:13" ht="14.25" customHeight="1" x14ac:dyDescent="0.2">
      <c r="A246" s="231" t="s">
        <v>8</v>
      </c>
      <c r="B246" s="230">
        <v>112517</v>
      </c>
      <c r="C246" s="230">
        <v>10751</v>
      </c>
      <c r="D246" s="231" t="s">
        <v>233</v>
      </c>
      <c r="E246" s="230">
        <v>14491032</v>
      </c>
      <c r="F246" s="230">
        <v>29468</v>
      </c>
      <c r="G246" s="230">
        <v>1</v>
      </c>
      <c r="H246" s="240">
        <v>359.46</v>
      </c>
      <c r="I246" s="240">
        <f t="shared" si="3"/>
        <v>359.46</v>
      </c>
      <c r="J246" s="231" t="s">
        <v>1393</v>
      </c>
      <c r="K246" s="231" t="s">
        <v>1394</v>
      </c>
      <c r="L246" s="232">
        <v>45170</v>
      </c>
      <c r="M246" s="232">
        <v>45199</v>
      </c>
    </row>
    <row r="247" spans="1:13" ht="14.25" customHeight="1" x14ac:dyDescent="0.2">
      <c r="A247" s="231" t="s">
        <v>8</v>
      </c>
      <c r="B247" s="230">
        <v>112521</v>
      </c>
      <c r="C247" s="230">
        <v>10751</v>
      </c>
      <c r="D247" s="231" t="s">
        <v>236</v>
      </c>
      <c r="E247" s="230">
        <v>14491032</v>
      </c>
      <c r="F247" s="230">
        <v>29476</v>
      </c>
      <c r="G247" s="230">
        <v>1</v>
      </c>
      <c r="H247" s="240">
        <v>359.46</v>
      </c>
      <c r="I247" s="240">
        <f t="shared" si="3"/>
        <v>359.46</v>
      </c>
      <c r="J247" s="231" t="s">
        <v>1393</v>
      </c>
      <c r="K247" s="231" t="s">
        <v>1394</v>
      </c>
      <c r="L247" s="232">
        <v>45170</v>
      </c>
      <c r="M247" s="232">
        <v>45199</v>
      </c>
    </row>
    <row r="248" spans="1:13" ht="14.25" customHeight="1" x14ac:dyDescent="0.2">
      <c r="A248" s="231" t="s">
        <v>8</v>
      </c>
      <c r="B248" s="230">
        <v>112526</v>
      </c>
      <c r="C248" s="230">
        <v>10750</v>
      </c>
      <c r="D248" s="231" t="s">
        <v>239</v>
      </c>
      <c r="E248" s="230">
        <v>14491032</v>
      </c>
      <c r="F248" s="230">
        <v>29486</v>
      </c>
      <c r="G248" s="230">
        <v>1</v>
      </c>
      <c r="H248" s="240">
        <v>359.46</v>
      </c>
      <c r="I248" s="240">
        <f t="shared" si="3"/>
        <v>359.46</v>
      </c>
      <c r="J248" s="231" t="s">
        <v>1393</v>
      </c>
      <c r="K248" s="231" t="s">
        <v>1394</v>
      </c>
      <c r="L248" s="232">
        <v>45170</v>
      </c>
      <c r="M248" s="232">
        <v>45199</v>
      </c>
    </row>
    <row r="249" spans="1:13" ht="14.25" customHeight="1" x14ac:dyDescent="0.2">
      <c r="A249" s="231" t="s">
        <v>8</v>
      </c>
      <c r="B249" s="230">
        <v>112529</v>
      </c>
      <c r="C249" s="230">
        <v>10750</v>
      </c>
      <c r="D249" s="231" t="s">
        <v>241</v>
      </c>
      <c r="E249" s="230">
        <v>14491032</v>
      </c>
      <c r="F249" s="230">
        <v>29492</v>
      </c>
      <c r="G249" s="230">
        <v>1</v>
      </c>
      <c r="H249" s="240">
        <v>359.46</v>
      </c>
      <c r="I249" s="240">
        <f t="shared" si="3"/>
        <v>359.46</v>
      </c>
      <c r="J249" s="231" t="s">
        <v>1393</v>
      </c>
      <c r="K249" s="231" t="s">
        <v>1394</v>
      </c>
      <c r="L249" s="232">
        <v>45170</v>
      </c>
      <c r="M249" s="232">
        <v>45199</v>
      </c>
    </row>
    <row r="250" spans="1:13" ht="14.25" customHeight="1" x14ac:dyDescent="0.2">
      <c r="A250" s="231" t="s">
        <v>8</v>
      </c>
      <c r="B250" s="230">
        <v>112535</v>
      </c>
      <c r="C250" s="230">
        <v>10754</v>
      </c>
      <c r="D250" s="231" t="s">
        <v>247</v>
      </c>
      <c r="E250" s="230">
        <v>14491032</v>
      </c>
      <c r="F250" s="230">
        <v>29504</v>
      </c>
      <c r="G250" s="230">
        <v>1</v>
      </c>
      <c r="H250" s="240">
        <v>359.46</v>
      </c>
      <c r="I250" s="240">
        <f t="shared" si="3"/>
        <v>359.46</v>
      </c>
      <c r="J250" s="231" t="s">
        <v>1393</v>
      </c>
      <c r="K250" s="231" t="s">
        <v>1394</v>
      </c>
      <c r="L250" s="232">
        <v>45170</v>
      </c>
      <c r="M250" s="232">
        <v>45199</v>
      </c>
    </row>
    <row r="251" spans="1:13" ht="14.25" customHeight="1" x14ac:dyDescent="0.2">
      <c r="A251" s="231" t="s">
        <v>8</v>
      </c>
      <c r="B251" s="230">
        <v>112553</v>
      </c>
      <c r="C251" s="230">
        <v>10754</v>
      </c>
      <c r="D251" s="231" t="s">
        <v>261</v>
      </c>
      <c r="E251" s="230">
        <v>14491032</v>
      </c>
      <c r="F251" s="230">
        <v>29540</v>
      </c>
      <c r="G251" s="230">
        <v>1</v>
      </c>
      <c r="H251" s="240">
        <v>359.46</v>
      </c>
      <c r="I251" s="240">
        <f t="shared" si="3"/>
        <v>359.46</v>
      </c>
      <c r="J251" s="231" t="s">
        <v>1393</v>
      </c>
      <c r="K251" s="231" t="s">
        <v>1394</v>
      </c>
      <c r="L251" s="232">
        <v>45170</v>
      </c>
      <c r="M251" s="232">
        <v>45199</v>
      </c>
    </row>
    <row r="252" spans="1:13" ht="14.25" customHeight="1" x14ac:dyDescent="0.2">
      <c r="A252" s="231" t="s">
        <v>8</v>
      </c>
      <c r="B252" s="230">
        <v>112555</v>
      </c>
      <c r="C252" s="230">
        <v>10754</v>
      </c>
      <c r="D252" s="231" t="s">
        <v>262</v>
      </c>
      <c r="E252" s="230">
        <v>14491032</v>
      </c>
      <c r="F252" s="230">
        <v>29544</v>
      </c>
      <c r="G252" s="230">
        <v>1</v>
      </c>
      <c r="H252" s="240">
        <v>359.46</v>
      </c>
      <c r="I252" s="240">
        <f t="shared" si="3"/>
        <v>359.46</v>
      </c>
      <c r="J252" s="231" t="s">
        <v>1393</v>
      </c>
      <c r="K252" s="231" t="s">
        <v>1394</v>
      </c>
      <c r="L252" s="232">
        <v>45170</v>
      </c>
      <c r="M252" s="232">
        <v>45199</v>
      </c>
    </row>
    <row r="253" spans="1:13" ht="14.25" customHeight="1" x14ac:dyDescent="0.2">
      <c r="A253" s="231" t="s">
        <v>8</v>
      </c>
      <c r="B253" s="230">
        <v>112566</v>
      </c>
      <c r="C253" s="230">
        <v>10750</v>
      </c>
      <c r="D253" s="231" t="s">
        <v>268</v>
      </c>
      <c r="E253" s="230">
        <v>14491032</v>
      </c>
      <c r="F253" s="230">
        <v>29566</v>
      </c>
      <c r="G253" s="230">
        <v>1</v>
      </c>
      <c r="H253" s="240">
        <v>359.46</v>
      </c>
      <c r="I253" s="240">
        <f t="shared" si="3"/>
        <v>359.46</v>
      </c>
      <c r="J253" s="231" t="s">
        <v>1393</v>
      </c>
      <c r="K253" s="231" t="s">
        <v>1394</v>
      </c>
      <c r="L253" s="232">
        <v>45170</v>
      </c>
      <c r="M253" s="232">
        <v>45199</v>
      </c>
    </row>
    <row r="254" spans="1:13" ht="14.25" customHeight="1" x14ac:dyDescent="0.2">
      <c r="A254" s="231" t="s">
        <v>8</v>
      </c>
      <c r="B254" s="230">
        <v>112567</v>
      </c>
      <c r="C254" s="230">
        <v>10757</v>
      </c>
      <c r="D254" s="231" t="s">
        <v>269</v>
      </c>
      <c r="E254" s="230">
        <v>14491032</v>
      </c>
      <c r="F254" s="230">
        <v>29568</v>
      </c>
      <c r="G254" s="230">
        <v>1</v>
      </c>
      <c r="H254" s="240">
        <v>359.46</v>
      </c>
      <c r="I254" s="240">
        <f t="shared" si="3"/>
        <v>359.46</v>
      </c>
      <c r="J254" s="231" t="s">
        <v>1393</v>
      </c>
      <c r="K254" s="231" t="s">
        <v>1394</v>
      </c>
      <c r="L254" s="232">
        <v>45170</v>
      </c>
      <c r="M254" s="232">
        <v>45199</v>
      </c>
    </row>
    <row r="255" spans="1:13" ht="14.25" customHeight="1" x14ac:dyDescent="0.2">
      <c r="A255" s="231" t="s">
        <v>8</v>
      </c>
      <c r="B255" s="230">
        <v>112569</v>
      </c>
      <c r="C255" s="230">
        <v>10750</v>
      </c>
      <c r="D255" s="231" t="s">
        <v>271</v>
      </c>
      <c r="E255" s="230">
        <v>14491032</v>
      </c>
      <c r="F255" s="230">
        <v>29572</v>
      </c>
      <c r="G255" s="230">
        <v>1</v>
      </c>
      <c r="H255" s="240">
        <v>359.46</v>
      </c>
      <c r="I255" s="240">
        <f t="shared" si="3"/>
        <v>359.46</v>
      </c>
      <c r="J255" s="231" t="s">
        <v>1393</v>
      </c>
      <c r="K255" s="231" t="s">
        <v>1394</v>
      </c>
      <c r="L255" s="232">
        <v>45170</v>
      </c>
      <c r="M255" s="232">
        <v>45199</v>
      </c>
    </row>
    <row r="256" spans="1:13" ht="14.25" customHeight="1" x14ac:dyDescent="0.2">
      <c r="A256" s="231" t="s">
        <v>8</v>
      </c>
      <c r="B256" s="230">
        <v>112576</v>
      </c>
      <c r="C256" s="230">
        <v>10754</v>
      </c>
      <c r="D256" s="231" t="s">
        <v>273</v>
      </c>
      <c r="E256" s="230">
        <v>14491032</v>
      </c>
      <c r="F256" s="230">
        <v>29586</v>
      </c>
      <c r="G256" s="230">
        <v>1</v>
      </c>
      <c r="H256" s="240">
        <v>359.46</v>
      </c>
      <c r="I256" s="240">
        <f t="shared" si="3"/>
        <v>359.46</v>
      </c>
      <c r="J256" s="231" t="s">
        <v>1393</v>
      </c>
      <c r="K256" s="231" t="s">
        <v>1394</v>
      </c>
      <c r="L256" s="232">
        <v>45170</v>
      </c>
      <c r="M256" s="232">
        <v>45199</v>
      </c>
    </row>
    <row r="257" spans="1:13" ht="14.25" customHeight="1" x14ac:dyDescent="0.2">
      <c r="A257" s="231" t="s">
        <v>8</v>
      </c>
      <c r="B257" s="230">
        <v>112597</v>
      </c>
      <c r="C257" s="230">
        <v>10750</v>
      </c>
      <c r="D257" s="231" t="s">
        <v>286</v>
      </c>
      <c r="E257" s="230">
        <v>14491032</v>
      </c>
      <c r="F257" s="230">
        <v>29628</v>
      </c>
      <c r="G257" s="230">
        <v>1</v>
      </c>
      <c r="H257" s="240">
        <v>359.46</v>
      </c>
      <c r="I257" s="240">
        <f t="shared" si="3"/>
        <v>359.46</v>
      </c>
      <c r="J257" s="231" t="s">
        <v>1393</v>
      </c>
      <c r="K257" s="231" t="s">
        <v>1394</v>
      </c>
      <c r="L257" s="232">
        <v>45170</v>
      </c>
      <c r="M257" s="232">
        <v>45199</v>
      </c>
    </row>
    <row r="258" spans="1:13" ht="14.25" customHeight="1" x14ac:dyDescent="0.2">
      <c r="A258" s="231" t="s">
        <v>8</v>
      </c>
      <c r="B258" s="230">
        <v>112602</v>
      </c>
      <c r="C258" s="230">
        <v>10771</v>
      </c>
      <c r="D258" s="231" t="s">
        <v>289</v>
      </c>
      <c r="E258" s="230">
        <v>14491032</v>
      </c>
      <c r="F258" s="230">
        <v>29638</v>
      </c>
      <c r="G258" s="230">
        <v>1</v>
      </c>
      <c r="H258" s="240">
        <v>359.46</v>
      </c>
      <c r="I258" s="240">
        <f t="shared" si="3"/>
        <v>359.46</v>
      </c>
      <c r="J258" s="231" t="s">
        <v>1393</v>
      </c>
      <c r="K258" s="231" t="s">
        <v>1394</v>
      </c>
      <c r="L258" s="232">
        <v>45170</v>
      </c>
      <c r="M258" s="232">
        <v>45199</v>
      </c>
    </row>
    <row r="259" spans="1:13" ht="14.25" customHeight="1" x14ac:dyDescent="0.2">
      <c r="A259" s="231" t="s">
        <v>8</v>
      </c>
      <c r="B259" s="230">
        <v>112607</v>
      </c>
      <c r="C259" s="230">
        <v>10760</v>
      </c>
      <c r="D259" s="231" t="s">
        <v>1391</v>
      </c>
      <c r="E259" s="230">
        <v>14491032</v>
      </c>
      <c r="F259" s="230">
        <v>29648</v>
      </c>
      <c r="G259" s="230">
        <v>1</v>
      </c>
      <c r="H259" s="240">
        <v>359.46</v>
      </c>
      <c r="I259" s="240">
        <f t="shared" ref="I259:I322" si="4">G259*H259</f>
        <v>359.46</v>
      </c>
      <c r="J259" s="231" t="s">
        <v>1393</v>
      </c>
      <c r="K259" s="231" t="s">
        <v>1394</v>
      </c>
      <c r="L259" s="232">
        <v>45170</v>
      </c>
      <c r="M259" s="232">
        <v>45199</v>
      </c>
    </row>
    <row r="260" spans="1:13" ht="14.25" customHeight="1" x14ac:dyDescent="0.2">
      <c r="A260" s="231" t="s">
        <v>8</v>
      </c>
      <c r="B260" s="230">
        <v>112609</v>
      </c>
      <c r="C260" s="230">
        <v>10751</v>
      </c>
      <c r="D260" s="231" t="s">
        <v>294</v>
      </c>
      <c r="E260" s="230">
        <v>14491032</v>
      </c>
      <c r="F260" s="230">
        <v>29652</v>
      </c>
      <c r="G260" s="230">
        <v>1</v>
      </c>
      <c r="H260" s="240">
        <v>359.46</v>
      </c>
      <c r="I260" s="240">
        <f t="shared" si="4"/>
        <v>359.46</v>
      </c>
      <c r="J260" s="231" t="s">
        <v>1393</v>
      </c>
      <c r="K260" s="231" t="s">
        <v>1394</v>
      </c>
      <c r="L260" s="232">
        <v>45170</v>
      </c>
      <c r="M260" s="232">
        <v>45199</v>
      </c>
    </row>
    <row r="261" spans="1:13" ht="14.25" customHeight="1" x14ac:dyDescent="0.2">
      <c r="A261" s="231" t="s">
        <v>8</v>
      </c>
      <c r="B261" s="230">
        <v>112613</v>
      </c>
      <c r="C261" s="230">
        <v>10757</v>
      </c>
      <c r="D261" s="231" t="s">
        <v>298</v>
      </c>
      <c r="E261" s="230">
        <v>14491032</v>
      </c>
      <c r="F261" s="230">
        <v>29660</v>
      </c>
      <c r="G261" s="230">
        <v>1</v>
      </c>
      <c r="H261" s="240">
        <v>359.46</v>
      </c>
      <c r="I261" s="240">
        <f t="shared" si="4"/>
        <v>359.46</v>
      </c>
      <c r="J261" s="231" t="s">
        <v>1393</v>
      </c>
      <c r="K261" s="231" t="s">
        <v>1394</v>
      </c>
      <c r="L261" s="232">
        <v>45170</v>
      </c>
      <c r="M261" s="232">
        <v>45199</v>
      </c>
    </row>
    <row r="262" spans="1:13" ht="14.25" customHeight="1" x14ac:dyDescent="0.2">
      <c r="A262" s="231" t="s">
        <v>8</v>
      </c>
      <c r="B262" s="230">
        <v>112614</v>
      </c>
      <c r="C262" s="230">
        <v>10763</v>
      </c>
      <c r="D262" s="231" t="s">
        <v>299</v>
      </c>
      <c r="E262" s="230">
        <v>14491032</v>
      </c>
      <c r="F262" s="230">
        <v>29662</v>
      </c>
      <c r="G262" s="230">
        <v>1</v>
      </c>
      <c r="H262" s="240">
        <v>347.47</v>
      </c>
      <c r="I262" s="240">
        <f t="shared" si="4"/>
        <v>347.47</v>
      </c>
      <c r="J262" s="231" t="s">
        <v>1393</v>
      </c>
      <c r="K262" s="231" t="s">
        <v>1394</v>
      </c>
      <c r="L262" s="232">
        <v>45170</v>
      </c>
      <c r="M262" s="232">
        <v>45199</v>
      </c>
    </row>
    <row r="263" spans="1:13" ht="14.25" customHeight="1" x14ac:dyDescent="0.2">
      <c r="A263" s="231" t="s">
        <v>8</v>
      </c>
      <c r="B263" s="230">
        <v>112615</v>
      </c>
      <c r="C263" s="230">
        <v>10754</v>
      </c>
      <c r="D263" s="231" t="s">
        <v>300</v>
      </c>
      <c r="E263" s="230">
        <v>14491032</v>
      </c>
      <c r="F263" s="230">
        <v>29664</v>
      </c>
      <c r="G263" s="230">
        <v>1</v>
      </c>
      <c r="H263" s="240">
        <v>359.46</v>
      </c>
      <c r="I263" s="240">
        <f t="shared" si="4"/>
        <v>359.46</v>
      </c>
      <c r="J263" s="231" t="s">
        <v>1393</v>
      </c>
      <c r="K263" s="231" t="s">
        <v>1394</v>
      </c>
      <c r="L263" s="232">
        <v>45170</v>
      </c>
      <c r="M263" s="232">
        <v>45199</v>
      </c>
    </row>
    <row r="264" spans="1:13" ht="14.25" customHeight="1" x14ac:dyDescent="0.2">
      <c r="A264" s="231" t="s">
        <v>8</v>
      </c>
      <c r="B264" s="230">
        <v>112618</v>
      </c>
      <c r="C264" s="230">
        <v>10771</v>
      </c>
      <c r="D264" s="231" t="s">
        <v>302</v>
      </c>
      <c r="E264" s="230">
        <v>14491032</v>
      </c>
      <c r="F264" s="230">
        <v>29670</v>
      </c>
      <c r="G264" s="230">
        <v>1</v>
      </c>
      <c r="H264" s="240">
        <v>359.46</v>
      </c>
      <c r="I264" s="240">
        <f t="shared" si="4"/>
        <v>359.46</v>
      </c>
      <c r="J264" s="231" t="s">
        <v>1393</v>
      </c>
      <c r="K264" s="231" t="s">
        <v>1394</v>
      </c>
      <c r="L264" s="232">
        <v>45170</v>
      </c>
      <c r="M264" s="232">
        <v>45199</v>
      </c>
    </row>
    <row r="265" spans="1:13" ht="14.25" customHeight="1" x14ac:dyDescent="0.2">
      <c r="A265" s="231" t="s">
        <v>8</v>
      </c>
      <c r="B265" s="230">
        <v>112619</v>
      </c>
      <c r="C265" s="230">
        <v>10760</v>
      </c>
      <c r="D265" s="231" t="s">
        <v>303</v>
      </c>
      <c r="E265" s="230">
        <v>14491032</v>
      </c>
      <c r="F265" s="230">
        <v>29672</v>
      </c>
      <c r="G265" s="230">
        <v>1</v>
      </c>
      <c r="H265" s="240">
        <v>359.46</v>
      </c>
      <c r="I265" s="240">
        <f t="shared" si="4"/>
        <v>359.46</v>
      </c>
      <c r="J265" s="231" t="s">
        <v>1393</v>
      </c>
      <c r="K265" s="231" t="s">
        <v>1394</v>
      </c>
      <c r="L265" s="232">
        <v>45170</v>
      </c>
      <c r="M265" s="232">
        <v>45199</v>
      </c>
    </row>
    <row r="266" spans="1:13" ht="14.25" customHeight="1" x14ac:dyDescent="0.2">
      <c r="A266" s="231" t="s">
        <v>8</v>
      </c>
      <c r="B266" s="230">
        <v>112626</v>
      </c>
      <c r="C266" s="230">
        <v>10755</v>
      </c>
      <c r="D266" s="231" t="s">
        <v>307</v>
      </c>
      <c r="E266" s="230">
        <v>14491032</v>
      </c>
      <c r="F266" s="230">
        <v>29686</v>
      </c>
      <c r="G266" s="230">
        <v>1</v>
      </c>
      <c r="H266" s="240">
        <v>359.46</v>
      </c>
      <c r="I266" s="240">
        <f t="shared" si="4"/>
        <v>359.46</v>
      </c>
      <c r="J266" s="231" t="s">
        <v>1393</v>
      </c>
      <c r="K266" s="231" t="s">
        <v>1394</v>
      </c>
      <c r="L266" s="232">
        <v>45170</v>
      </c>
      <c r="M266" s="232">
        <v>45199</v>
      </c>
    </row>
    <row r="267" spans="1:13" ht="14.25" customHeight="1" x14ac:dyDescent="0.2">
      <c r="A267" s="231" t="s">
        <v>8</v>
      </c>
      <c r="B267" s="230">
        <v>112628</v>
      </c>
      <c r="C267" s="230">
        <v>10760</v>
      </c>
      <c r="D267" s="231" t="s">
        <v>308</v>
      </c>
      <c r="E267" s="230">
        <v>14491032</v>
      </c>
      <c r="F267" s="230">
        <v>29690</v>
      </c>
      <c r="G267" s="230">
        <v>1</v>
      </c>
      <c r="H267" s="240">
        <v>359.46</v>
      </c>
      <c r="I267" s="240">
        <f t="shared" si="4"/>
        <v>359.46</v>
      </c>
      <c r="J267" s="231" t="s">
        <v>1393</v>
      </c>
      <c r="K267" s="231" t="s">
        <v>1394</v>
      </c>
      <c r="L267" s="232">
        <v>45170</v>
      </c>
      <c r="M267" s="232">
        <v>45199</v>
      </c>
    </row>
    <row r="268" spans="1:13" ht="14.25" customHeight="1" x14ac:dyDescent="0.2">
      <c r="A268" s="231" t="s">
        <v>8</v>
      </c>
      <c r="B268" s="230">
        <v>112635</v>
      </c>
      <c r="C268" s="230">
        <v>10750</v>
      </c>
      <c r="D268" s="231" t="s">
        <v>313</v>
      </c>
      <c r="E268" s="230">
        <v>14491032</v>
      </c>
      <c r="F268" s="230">
        <v>29704</v>
      </c>
      <c r="G268" s="230">
        <v>1</v>
      </c>
      <c r="H268" s="240">
        <v>359.46</v>
      </c>
      <c r="I268" s="240">
        <f t="shared" si="4"/>
        <v>359.46</v>
      </c>
      <c r="J268" s="231" t="s">
        <v>1393</v>
      </c>
      <c r="K268" s="231" t="s">
        <v>1394</v>
      </c>
      <c r="L268" s="232">
        <v>45170</v>
      </c>
      <c r="M268" s="232">
        <v>45199</v>
      </c>
    </row>
    <row r="269" spans="1:13" ht="14.25" customHeight="1" x14ac:dyDescent="0.2">
      <c r="A269" s="231" t="s">
        <v>8</v>
      </c>
      <c r="B269" s="230">
        <v>112638</v>
      </c>
      <c r="C269" s="230">
        <v>10757</v>
      </c>
      <c r="D269" s="231" t="s">
        <v>314</v>
      </c>
      <c r="E269" s="230">
        <v>14491032</v>
      </c>
      <c r="F269" s="230">
        <v>29710</v>
      </c>
      <c r="G269" s="230">
        <v>1</v>
      </c>
      <c r="H269" s="240">
        <v>359.46</v>
      </c>
      <c r="I269" s="240">
        <f t="shared" si="4"/>
        <v>359.46</v>
      </c>
      <c r="J269" s="231" t="s">
        <v>1393</v>
      </c>
      <c r="K269" s="231" t="s">
        <v>1394</v>
      </c>
      <c r="L269" s="232">
        <v>45170</v>
      </c>
      <c r="M269" s="232">
        <v>45199</v>
      </c>
    </row>
    <row r="270" spans="1:13" ht="14.25" customHeight="1" x14ac:dyDescent="0.2">
      <c r="A270" s="231" t="s">
        <v>8</v>
      </c>
      <c r="B270" s="230">
        <v>112649</v>
      </c>
      <c r="C270" s="230">
        <v>10750</v>
      </c>
      <c r="D270" s="231" t="s">
        <v>319</v>
      </c>
      <c r="E270" s="230">
        <v>14491032</v>
      </c>
      <c r="F270" s="230">
        <v>29732</v>
      </c>
      <c r="G270" s="230">
        <v>1</v>
      </c>
      <c r="H270" s="240">
        <v>359.46</v>
      </c>
      <c r="I270" s="240">
        <f t="shared" si="4"/>
        <v>359.46</v>
      </c>
      <c r="J270" s="231" t="s">
        <v>1393</v>
      </c>
      <c r="K270" s="231" t="s">
        <v>1394</v>
      </c>
      <c r="L270" s="232">
        <v>45170</v>
      </c>
      <c r="M270" s="232">
        <v>45199</v>
      </c>
    </row>
    <row r="271" spans="1:13" ht="14.25" customHeight="1" x14ac:dyDescent="0.2">
      <c r="A271" s="231" t="s">
        <v>8</v>
      </c>
      <c r="B271" s="230">
        <v>112650</v>
      </c>
      <c r="C271" s="230">
        <v>10750</v>
      </c>
      <c r="D271" s="231" t="s">
        <v>1340</v>
      </c>
      <c r="E271" s="230">
        <v>14491032</v>
      </c>
      <c r="F271" s="230">
        <v>29734</v>
      </c>
      <c r="G271" s="230">
        <v>1</v>
      </c>
      <c r="H271" s="240">
        <v>359.46</v>
      </c>
      <c r="I271" s="240">
        <f t="shared" si="4"/>
        <v>359.46</v>
      </c>
      <c r="J271" s="231" t="s">
        <v>1393</v>
      </c>
      <c r="K271" s="231" t="s">
        <v>1394</v>
      </c>
      <c r="L271" s="232">
        <v>45170</v>
      </c>
      <c r="M271" s="232">
        <v>45199</v>
      </c>
    </row>
    <row r="272" spans="1:13" ht="14.25" customHeight="1" x14ac:dyDescent="0.2">
      <c r="A272" s="231" t="s">
        <v>8</v>
      </c>
      <c r="B272" s="230">
        <v>112682</v>
      </c>
      <c r="C272" s="230">
        <v>10766</v>
      </c>
      <c r="D272" s="231" t="s">
        <v>338</v>
      </c>
      <c r="E272" s="230">
        <v>14491032</v>
      </c>
      <c r="F272" s="230">
        <v>29798</v>
      </c>
      <c r="G272" s="230">
        <v>1</v>
      </c>
      <c r="H272" s="240">
        <v>359.46</v>
      </c>
      <c r="I272" s="240">
        <f t="shared" si="4"/>
        <v>359.46</v>
      </c>
      <c r="J272" s="231" t="s">
        <v>1393</v>
      </c>
      <c r="K272" s="231" t="s">
        <v>1394</v>
      </c>
      <c r="L272" s="232">
        <v>45170</v>
      </c>
      <c r="M272" s="232">
        <v>45199</v>
      </c>
    </row>
    <row r="273" spans="1:13" ht="14.25" customHeight="1" x14ac:dyDescent="0.2">
      <c r="A273" s="231" t="s">
        <v>8</v>
      </c>
      <c r="B273" s="230">
        <v>112697</v>
      </c>
      <c r="C273" s="230">
        <v>10750</v>
      </c>
      <c r="D273" s="231" t="s">
        <v>348</v>
      </c>
      <c r="E273" s="230">
        <v>14491032</v>
      </c>
      <c r="F273" s="230">
        <v>29828</v>
      </c>
      <c r="G273" s="230">
        <v>1</v>
      </c>
      <c r="H273" s="240">
        <v>359.46</v>
      </c>
      <c r="I273" s="240">
        <f t="shared" si="4"/>
        <v>359.46</v>
      </c>
      <c r="J273" s="231" t="s">
        <v>1393</v>
      </c>
      <c r="K273" s="231" t="s">
        <v>1394</v>
      </c>
      <c r="L273" s="232">
        <v>45170</v>
      </c>
      <c r="M273" s="232">
        <v>45199</v>
      </c>
    </row>
    <row r="274" spans="1:13" ht="14.25" customHeight="1" x14ac:dyDescent="0.2">
      <c r="A274" s="231" t="s">
        <v>8</v>
      </c>
      <c r="B274" s="230">
        <v>112700</v>
      </c>
      <c r="C274" s="230">
        <v>10754</v>
      </c>
      <c r="D274" s="231" t="s">
        <v>352</v>
      </c>
      <c r="E274" s="230">
        <v>14491032</v>
      </c>
      <c r="F274" s="230">
        <v>29834</v>
      </c>
      <c r="G274" s="230">
        <v>1</v>
      </c>
      <c r="H274" s="240">
        <v>359.46</v>
      </c>
      <c r="I274" s="240">
        <f t="shared" si="4"/>
        <v>359.46</v>
      </c>
      <c r="J274" s="231" t="s">
        <v>1393</v>
      </c>
      <c r="K274" s="231" t="s">
        <v>1394</v>
      </c>
      <c r="L274" s="232">
        <v>45170</v>
      </c>
      <c r="M274" s="232">
        <v>45199</v>
      </c>
    </row>
    <row r="275" spans="1:13" ht="14.25" customHeight="1" x14ac:dyDescent="0.2">
      <c r="A275" s="231" t="s">
        <v>8</v>
      </c>
      <c r="B275" s="230">
        <v>112718</v>
      </c>
      <c r="C275" s="230">
        <v>10750</v>
      </c>
      <c r="D275" s="231" t="s">
        <v>362</v>
      </c>
      <c r="E275" s="230">
        <v>14491032</v>
      </c>
      <c r="F275" s="230">
        <v>29870</v>
      </c>
      <c r="G275" s="230">
        <v>1</v>
      </c>
      <c r="H275" s="240">
        <v>359.46</v>
      </c>
      <c r="I275" s="240">
        <f t="shared" si="4"/>
        <v>359.46</v>
      </c>
      <c r="J275" s="231" t="s">
        <v>1393</v>
      </c>
      <c r="K275" s="231" t="s">
        <v>1394</v>
      </c>
      <c r="L275" s="232">
        <v>45170</v>
      </c>
      <c r="M275" s="232">
        <v>45199</v>
      </c>
    </row>
    <row r="276" spans="1:13" ht="14.25" customHeight="1" x14ac:dyDescent="0.2">
      <c r="A276" s="231" t="s">
        <v>8</v>
      </c>
      <c r="B276" s="230">
        <v>112731</v>
      </c>
      <c r="C276" s="230">
        <v>10750</v>
      </c>
      <c r="D276" s="231" t="s">
        <v>371</v>
      </c>
      <c r="E276" s="230">
        <v>14491032</v>
      </c>
      <c r="F276" s="230">
        <v>29896</v>
      </c>
      <c r="G276" s="230">
        <v>1</v>
      </c>
      <c r="H276" s="240">
        <v>359.46</v>
      </c>
      <c r="I276" s="240">
        <f t="shared" si="4"/>
        <v>359.46</v>
      </c>
      <c r="J276" s="231" t="s">
        <v>1393</v>
      </c>
      <c r="K276" s="231" t="s">
        <v>1394</v>
      </c>
      <c r="L276" s="232">
        <v>45170</v>
      </c>
      <c r="M276" s="232">
        <v>45199</v>
      </c>
    </row>
    <row r="277" spans="1:13" ht="14.25" customHeight="1" x14ac:dyDescent="0.2">
      <c r="A277" s="231" t="s">
        <v>8</v>
      </c>
      <c r="B277" s="230">
        <v>112741</v>
      </c>
      <c r="C277" s="230">
        <v>10754</v>
      </c>
      <c r="D277" s="231" t="s">
        <v>376</v>
      </c>
      <c r="E277" s="230">
        <v>14491032</v>
      </c>
      <c r="F277" s="230">
        <v>29916</v>
      </c>
      <c r="G277" s="230">
        <v>1</v>
      </c>
      <c r="H277" s="240">
        <v>359.46</v>
      </c>
      <c r="I277" s="240">
        <f t="shared" si="4"/>
        <v>359.46</v>
      </c>
      <c r="J277" s="231" t="s">
        <v>1393</v>
      </c>
      <c r="K277" s="231" t="s">
        <v>1394</v>
      </c>
      <c r="L277" s="232">
        <v>45170</v>
      </c>
      <c r="M277" s="232">
        <v>45199</v>
      </c>
    </row>
    <row r="278" spans="1:13" ht="14.25" customHeight="1" x14ac:dyDescent="0.2">
      <c r="A278" s="231" t="s">
        <v>8</v>
      </c>
      <c r="B278" s="230">
        <v>112754</v>
      </c>
      <c r="C278" s="230">
        <v>10751</v>
      </c>
      <c r="D278" s="231" t="s">
        <v>386</v>
      </c>
      <c r="E278" s="230">
        <v>14491032</v>
      </c>
      <c r="F278" s="230">
        <v>29942</v>
      </c>
      <c r="G278" s="230">
        <v>1</v>
      </c>
      <c r="H278" s="240">
        <v>359.46</v>
      </c>
      <c r="I278" s="240">
        <f t="shared" si="4"/>
        <v>359.46</v>
      </c>
      <c r="J278" s="231" t="s">
        <v>1393</v>
      </c>
      <c r="K278" s="231" t="s">
        <v>1394</v>
      </c>
      <c r="L278" s="232">
        <v>45170</v>
      </c>
      <c r="M278" s="232">
        <v>45199</v>
      </c>
    </row>
    <row r="279" spans="1:13" ht="14.25" customHeight="1" x14ac:dyDescent="0.2">
      <c r="A279" s="231" t="s">
        <v>8</v>
      </c>
      <c r="B279" s="230">
        <v>112766</v>
      </c>
      <c r="C279" s="230">
        <v>10757</v>
      </c>
      <c r="D279" s="231" t="s">
        <v>393</v>
      </c>
      <c r="E279" s="230">
        <v>14491032</v>
      </c>
      <c r="F279" s="230">
        <v>29966</v>
      </c>
      <c r="G279" s="230">
        <v>1</v>
      </c>
      <c r="H279" s="240">
        <v>347.47</v>
      </c>
      <c r="I279" s="240">
        <f t="shared" si="4"/>
        <v>347.47</v>
      </c>
      <c r="J279" s="231" t="s">
        <v>1393</v>
      </c>
      <c r="K279" s="231" t="s">
        <v>1394</v>
      </c>
      <c r="L279" s="232">
        <v>45170</v>
      </c>
      <c r="M279" s="232">
        <v>45199</v>
      </c>
    </row>
    <row r="280" spans="1:13" ht="14.25" customHeight="1" x14ac:dyDescent="0.2">
      <c r="A280" s="231" t="s">
        <v>8</v>
      </c>
      <c r="B280" s="230">
        <v>112774</v>
      </c>
      <c r="C280" s="230">
        <v>10754</v>
      </c>
      <c r="D280" s="231" t="s">
        <v>399</v>
      </c>
      <c r="E280" s="230">
        <v>14491032</v>
      </c>
      <c r="F280" s="230">
        <v>29982</v>
      </c>
      <c r="G280" s="230">
        <v>1</v>
      </c>
      <c r="H280" s="240">
        <v>359.46</v>
      </c>
      <c r="I280" s="240">
        <f t="shared" si="4"/>
        <v>359.46</v>
      </c>
      <c r="J280" s="231" t="s">
        <v>1393</v>
      </c>
      <c r="K280" s="231" t="s">
        <v>1394</v>
      </c>
      <c r="L280" s="232">
        <v>45170</v>
      </c>
      <c r="M280" s="232">
        <v>45199</v>
      </c>
    </row>
    <row r="281" spans="1:13" ht="14.25" customHeight="1" x14ac:dyDescent="0.2">
      <c r="A281" s="231" t="s">
        <v>8</v>
      </c>
      <c r="B281" s="230">
        <v>112778</v>
      </c>
      <c r="C281" s="230">
        <v>10750</v>
      </c>
      <c r="D281" s="231" t="s">
        <v>402</v>
      </c>
      <c r="E281" s="230">
        <v>14491032</v>
      </c>
      <c r="F281" s="230">
        <v>29990</v>
      </c>
      <c r="G281" s="230">
        <v>1</v>
      </c>
      <c r="H281" s="240">
        <v>359.46</v>
      </c>
      <c r="I281" s="240">
        <f t="shared" si="4"/>
        <v>359.46</v>
      </c>
      <c r="J281" s="231" t="s">
        <v>1393</v>
      </c>
      <c r="K281" s="231" t="s">
        <v>1394</v>
      </c>
      <c r="L281" s="232">
        <v>45170</v>
      </c>
      <c r="M281" s="232">
        <v>45199</v>
      </c>
    </row>
    <row r="282" spans="1:13" ht="14.25" customHeight="1" x14ac:dyDescent="0.2">
      <c r="A282" s="231" t="s">
        <v>8</v>
      </c>
      <c r="B282" s="230">
        <v>112780</v>
      </c>
      <c r="C282" s="230">
        <v>10750</v>
      </c>
      <c r="D282" s="231" t="s">
        <v>404</v>
      </c>
      <c r="E282" s="230">
        <v>14491032</v>
      </c>
      <c r="F282" s="230">
        <v>29994</v>
      </c>
      <c r="G282" s="230">
        <v>1</v>
      </c>
      <c r="H282" s="240">
        <v>359.46</v>
      </c>
      <c r="I282" s="240">
        <f t="shared" si="4"/>
        <v>359.46</v>
      </c>
      <c r="J282" s="231" t="s">
        <v>1393</v>
      </c>
      <c r="K282" s="231" t="s">
        <v>1394</v>
      </c>
      <c r="L282" s="232">
        <v>45170</v>
      </c>
      <c r="M282" s="232">
        <v>45199</v>
      </c>
    </row>
    <row r="283" spans="1:13" ht="14.25" customHeight="1" x14ac:dyDescent="0.2">
      <c r="A283" s="231" t="s">
        <v>8</v>
      </c>
      <c r="B283" s="230">
        <v>112789</v>
      </c>
      <c r="C283" s="230">
        <v>10750</v>
      </c>
      <c r="D283" s="231" t="s">
        <v>412</v>
      </c>
      <c r="E283" s="230">
        <v>14491032</v>
      </c>
      <c r="F283" s="230">
        <v>30012</v>
      </c>
      <c r="G283" s="230">
        <v>1</v>
      </c>
      <c r="H283" s="240">
        <v>359.46</v>
      </c>
      <c r="I283" s="240">
        <f t="shared" si="4"/>
        <v>359.46</v>
      </c>
      <c r="J283" s="231" t="s">
        <v>1393</v>
      </c>
      <c r="K283" s="231" t="s">
        <v>1394</v>
      </c>
      <c r="L283" s="232">
        <v>45170</v>
      </c>
      <c r="M283" s="232">
        <v>45199</v>
      </c>
    </row>
    <row r="284" spans="1:13" ht="14.25" customHeight="1" x14ac:dyDescent="0.2">
      <c r="A284" s="231" t="s">
        <v>8</v>
      </c>
      <c r="B284" s="230">
        <v>112798</v>
      </c>
      <c r="C284" s="230">
        <v>10751</v>
      </c>
      <c r="D284" s="231" t="s">
        <v>418</v>
      </c>
      <c r="E284" s="230">
        <v>14491032</v>
      </c>
      <c r="F284" s="230">
        <v>30030</v>
      </c>
      <c r="G284" s="230">
        <v>1</v>
      </c>
      <c r="H284" s="240">
        <v>359.46</v>
      </c>
      <c r="I284" s="240">
        <f t="shared" si="4"/>
        <v>359.46</v>
      </c>
      <c r="J284" s="231" t="s">
        <v>1393</v>
      </c>
      <c r="K284" s="231" t="s">
        <v>1394</v>
      </c>
      <c r="L284" s="232">
        <v>45170</v>
      </c>
      <c r="M284" s="232">
        <v>45199</v>
      </c>
    </row>
    <row r="285" spans="1:13" ht="14.25" customHeight="1" x14ac:dyDescent="0.2">
      <c r="A285" s="231" t="s">
        <v>8</v>
      </c>
      <c r="B285" s="230">
        <v>112809</v>
      </c>
      <c r="C285" s="230">
        <v>10757</v>
      </c>
      <c r="D285" s="231" t="s">
        <v>426</v>
      </c>
      <c r="E285" s="230">
        <v>14491032</v>
      </c>
      <c r="F285" s="230">
        <v>30052</v>
      </c>
      <c r="G285" s="230">
        <v>1</v>
      </c>
      <c r="H285" s="240">
        <v>359.46</v>
      </c>
      <c r="I285" s="240">
        <f t="shared" si="4"/>
        <v>359.46</v>
      </c>
      <c r="J285" s="231" t="s">
        <v>1393</v>
      </c>
      <c r="K285" s="231" t="s">
        <v>1394</v>
      </c>
      <c r="L285" s="232">
        <v>45170</v>
      </c>
      <c r="M285" s="232">
        <v>45199</v>
      </c>
    </row>
    <row r="286" spans="1:13" ht="14.25" customHeight="1" x14ac:dyDescent="0.2">
      <c r="A286" s="231" t="s">
        <v>8</v>
      </c>
      <c r="B286" s="230">
        <v>112833</v>
      </c>
      <c r="C286" s="230">
        <v>10750</v>
      </c>
      <c r="D286" s="231" t="s">
        <v>444</v>
      </c>
      <c r="E286" s="230">
        <v>14491032</v>
      </c>
      <c r="F286" s="230">
        <v>30100</v>
      </c>
      <c r="G286" s="230">
        <v>1</v>
      </c>
      <c r="H286" s="240">
        <v>359.46</v>
      </c>
      <c r="I286" s="240">
        <f t="shared" si="4"/>
        <v>359.46</v>
      </c>
      <c r="J286" s="231" t="s">
        <v>1393</v>
      </c>
      <c r="K286" s="231" t="s">
        <v>1394</v>
      </c>
      <c r="L286" s="232">
        <v>45170</v>
      </c>
      <c r="M286" s="232">
        <v>45199</v>
      </c>
    </row>
    <row r="287" spans="1:13" ht="14.25" customHeight="1" x14ac:dyDescent="0.2">
      <c r="A287" s="231" t="s">
        <v>8</v>
      </c>
      <c r="B287" s="230">
        <v>112834</v>
      </c>
      <c r="C287" s="230">
        <v>10751</v>
      </c>
      <c r="D287" s="231" t="s">
        <v>445</v>
      </c>
      <c r="E287" s="230">
        <v>14491032</v>
      </c>
      <c r="F287" s="230">
        <v>30102</v>
      </c>
      <c r="G287" s="230">
        <v>1</v>
      </c>
      <c r="H287" s="240">
        <v>359.46</v>
      </c>
      <c r="I287" s="240">
        <f t="shared" si="4"/>
        <v>359.46</v>
      </c>
      <c r="J287" s="231" t="s">
        <v>1393</v>
      </c>
      <c r="K287" s="231" t="s">
        <v>1394</v>
      </c>
      <c r="L287" s="232">
        <v>45170</v>
      </c>
      <c r="M287" s="232">
        <v>45199</v>
      </c>
    </row>
    <row r="288" spans="1:13" ht="14.25" customHeight="1" x14ac:dyDescent="0.2">
      <c r="A288" s="231" t="s">
        <v>8</v>
      </c>
      <c r="B288" s="230">
        <v>112840</v>
      </c>
      <c r="C288" s="230">
        <v>10750</v>
      </c>
      <c r="D288" s="231" t="s">
        <v>448</v>
      </c>
      <c r="E288" s="230">
        <v>14491032</v>
      </c>
      <c r="F288" s="230">
        <v>30114</v>
      </c>
      <c r="G288" s="230">
        <v>1</v>
      </c>
      <c r="H288" s="240">
        <v>359.46</v>
      </c>
      <c r="I288" s="240">
        <f t="shared" si="4"/>
        <v>359.46</v>
      </c>
      <c r="J288" s="231" t="s">
        <v>1393</v>
      </c>
      <c r="K288" s="231" t="s">
        <v>1394</v>
      </c>
      <c r="L288" s="232">
        <v>45170</v>
      </c>
      <c r="M288" s="232">
        <v>45199</v>
      </c>
    </row>
    <row r="289" spans="1:13" ht="14.25" customHeight="1" x14ac:dyDescent="0.2">
      <c r="A289" s="231" t="s">
        <v>8</v>
      </c>
      <c r="B289" s="230">
        <v>112849</v>
      </c>
      <c r="C289" s="230">
        <v>10750</v>
      </c>
      <c r="D289" s="231" t="s">
        <v>452</v>
      </c>
      <c r="E289" s="230">
        <v>14491032</v>
      </c>
      <c r="F289" s="230">
        <v>30132</v>
      </c>
      <c r="G289" s="230">
        <v>1</v>
      </c>
      <c r="H289" s="240">
        <v>359.46</v>
      </c>
      <c r="I289" s="240">
        <f t="shared" si="4"/>
        <v>359.46</v>
      </c>
      <c r="J289" s="231" t="s">
        <v>1393</v>
      </c>
      <c r="K289" s="231" t="s">
        <v>1394</v>
      </c>
      <c r="L289" s="232">
        <v>45170</v>
      </c>
      <c r="M289" s="232">
        <v>45199</v>
      </c>
    </row>
    <row r="290" spans="1:13" ht="14.25" customHeight="1" x14ac:dyDescent="0.2">
      <c r="A290" s="231" t="s">
        <v>8</v>
      </c>
      <c r="B290" s="230">
        <v>112851</v>
      </c>
      <c r="C290" s="230">
        <v>10757</v>
      </c>
      <c r="D290" s="231" t="s">
        <v>454</v>
      </c>
      <c r="E290" s="230">
        <v>14491032</v>
      </c>
      <c r="F290" s="230">
        <v>30136</v>
      </c>
      <c r="G290" s="230">
        <v>1</v>
      </c>
      <c r="H290" s="240">
        <v>359.46</v>
      </c>
      <c r="I290" s="240">
        <f t="shared" si="4"/>
        <v>359.46</v>
      </c>
      <c r="J290" s="231" t="s">
        <v>1393</v>
      </c>
      <c r="K290" s="231" t="s">
        <v>1394</v>
      </c>
      <c r="L290" s="232">
        <v>45170</v>
      </c>
      <c r="M290" s="232">
        <v>45199</v>
      </c>
    </row>
    <row r="291" spans="1:13" ht="14.25" customHeight="1" x14ac:dyDescent="0.2">
      <c r="A291" s="231" t="s">
        <v>8</v>
      </c>
      <c r="B291" s="230">
        <v>112866</v>
      </c>
      <c r="C291" s="230">
        <v>10751</v>
      </c>
      <c r="D291" s="231" t="s">
        <v>462</v>
      </c>
      <c r="E291" s="230">
        <v>14491032</v>
      </c>
      <c r="F291" s="230">
        <v>30166</v>
      </c>
      <c r="G291" s="230">
        <v>1</v>
      </c>
      <c r="H291" s="240">
        <v>359.46</v>
      </c>
      <c r="I291" s="240">
        <f t="shared" si="4"/>
        <v>359.46</v>
      </c>
      <c r="J291" s="231" t="s">
        <v>1393</v>
      </c>
      <c r="K291" s="231" t="s">
        <v>1394</v>
      </c>
      <c r="L291" s="232">
        <v>45170</v>
      </c>
      <c r="M291" s="232">
        <v>45199</v>
      </c>
    </row>
    <row r="292" spans="1:13" ht="14.25" customHeight="1" x14ac:dyDescent="0.2">
      <c r="A292" s="231" t="s">
        <v>8</v>
      </c>
      <c r="B292" s="230">
        <v>112867</v>
      </c>
      <c r="C292" s="230">
        <v>10750</v>
      </c>
      <c r="D292" s="231" t="s">
        <v>463</v>
      </c>
      <c r="E292" s="230">
        <v>14491032</v>
      </c>
      <c r="F292" s="230">
        <v>30168</v>
      </c>
      <c r="G292" s="230">
        <v>1</v>
      </c>
      <c r="H292" s="240">
        <v>359.46</v>
      </c>
      <c r="I292" s="240">
        <f t="shared" si="4"/>
        <v>359.46</v>
      </c>
      <c r="J292" s="231" t="s">
        <v>1393</v>
      </c>
      <c r="K292" s="231" t="s">
        <v>1394</v>
      </c>
      <c r="L292" s="232">
        <v>45170</v>
      </c>
      <c r="M292" s="232">
        <v>45199</v>
      </c>
    </row>
    <row r="293" spans="1:13" ht="14.25" customHeight="1" x14ac:dyDescent="0.2">
      <c r="A293" s="231" t="s">
        <v>8</v>
      </c>
      <c r="B293" s="230">
        <v>112871</v>
      </c>
      <c r="C293" s="230">
        <v>10750</v>
      </c>
      <c r="D293" s="231" t="s">
        <v>465</v>
      </c>
      <c r="E293" s="230">
        <v>14491032</v>
      </c>
      <c r="F293" s="230">
        <v>30176</v>
      </c>
      <c r="G293" s="230">
        <v>1</v>
      </c>
      <c r="H293" s="240">
        <v>359.46</v>
      </c>
      <c r="I293" s="240">
        <f t="shared" si="4"/>
        <v>359.46</v>
      </c>
      <c r="J293" s="231" t="s">
        <v>1393</v>
      </c>
      <c r="K293" s="231" t="s">
        <v>1394</v>
      </c>
      <c r="L293" s="232">
        <v>45170</v>
      </c>
      <c r="M293" s="232">
        <v>45199</v>
      </c>
    </row>
    <row r="294" spans="1:13" ht="14.25" customHeight="1" x14ac:dyDescent="0.2">
      <c r="A294" s="231" t="s">
        <v>8</v>
      </c>
      <c r="B294" s="230">
        <v>112886</v>
      </c>
      <c r="C294" s="230">
        <v>10751</v>
      </c>
      <c r="D294" s="231" t="s">
        <v>1345</v>
      </c>
      <c r="E294" s="230">
        <v>14491032</v>
      </c>
      <c r="F294" s="230">
        <v>30206</v>
      </c>
      <c r="G294" s="230">
        <v>1</v>
      </c>
      <c r="H294" s="240">
        <v>359.46</v>
      </c>
      <c r="I294" s="240">
        <f t="shared" si="4"/>
        <v>359.46</v>
      </c>
      <c r="J294" s="231" t="s">
        <v>1393</v>
      </c>
      <c r="K294" s="231" t="s">
        <v>1394</v>
      </c>
      <c r="L294" s="232">
        <v>45170</v>
      </c>
      <c r="M294" s="232">
        <v>45199</v>
      </c>
    </row>
    <row r="295" spans="1:13" ht="14.25" customHeight="1" x14ac:dyDescent="0.2">
      <c r="A295" s="231" t="s">
        <v>8</v>
      </c>
      <c r="B295" s="230">
        <v>112887</v>
      </c>
      <c r="C295" s="230">
        <v>10750</v>
      </c>
      <c r="D295" s="231" t="s">
        <v>477</v>
      </c>
      <c r="E295" s="230">
        <v>14491032</v>
      </c>
      <c r="F295" s="230">
        <v>30208</v>
      </c>
      <c r="G295" s="230">
        <v>1</v>
      </c>
      <c r="H295" s="240">
        <v>359.46</v>
      </c>
      <c r="I295" s="240">
        <f t="shared" si="4"/>
        <v>359.46</v>
      </c>
      <c r="J295" s="231" t="s">
        <v>1393</v>
      </c>
      <c r="K295" s="231" t="s">
        <v>1394</v>
      </c>
      <c r="L295" s="232">
        <v>45170</v>
      </c>
      <c r="M295" s="232">
        <v>45199</v>
      </c>
    </row>
    <row r="296" spans="1:13" ht="14.25" customHeight="1" x14ac:dyDescent="0.2">
      <c r="A296" s="231" t="s">
        <v>8</v>
      </c>
      <c r="B296" s="230">
        <v>112897</v>
      </c>
      <c r="C296" s="230">
        <v>10750</v>
      </c>
      <c r="D296" s="231" t="s">
        <v>485</v>
      </c>
      <c r="E296" s="230">
        <v>14491032</v>
      </c>
      <c r="F296" s="230">
        <v>30228</v>
      </c>
      <c r="G296" s="230">
        <v>1</v>
      </c>
      <c r="H296" s="240">
        <v>359.46</v>
      </c>
      <c r="I296" s="240">
        <f t="shared" si="4"/>
        <v>359.46</v>
      </c>
      <c r="J296" s="231" t="s">
        <v>1393</v>
      </c>
      <c r="K296" s="231" t="s">
        <v>1394</v>
      </c>
      <c r="L296" s="232">
        <v>45170</v>
      </c>
      <c r="M296" s="232">
        <v>45199</v>
      </c>
    </row>
    <row r="297" spans="1:13" ht="14.25" customHeight="1" x14ac:dyDescent="0.2">
      <c r="A297" s="231" t="s">
        <v>8</v>
      </c>
      <c r="B297" s="230">
        <v>112902</v>
      </c>
      <c r="C297" s="230">
        <v>10757</v>
      </c>
      <c r="D297" s="231" t="s">
        <v>488</v>
      </c>
      <c r="E297" s="230">
        <v>14491032</v>
      </c>
      <c r="F297" s="230">
        <v>30238</v>
      </c>
      <c r="G297" s="230">
        <v>1</v>
      </c>
      <c r="H297" s="240">
        <v>359.46</v>
      </c>
      <c r="I297" s="240">
        <f t="shared" si="4"/>
        <v>359.46</v>
      </c>
      <c r="J297" s="231" t="s">
        <v>1393</v>
      </c>
      <c r="K297" s="231" t="s">
        <v>1394</v>
      </c>
      <c r="L297" s="232">
        <v>45170</v>
      </c>
      <c r="M297" s="232">
        <v>45199</v>
      </c>
    </row>
    <row r="298" spans="1:13" ht="14.25" customHeight="1" x14ac:dyDescent="0.2">
      <c r="A298" s="231" t="s">
        <v>8</v>
      </c>
      <c r="B298" s="230">
        <v>112909</v>
      </c>
      <c r="C298" s="230">
        <v>10750</v>
      </c>
      <c r="D298" s="231" t="s">
        <v>493</v>
      </c>
      <c r="E298" s="230">
        <v>14491032</v>
      </c>
      <c r="F298" s="230">
        <v>30252</v>
      </c>
      <c r="G298" s="230">
        <v>1</v>
      </c>
      <c r="H298" s="240">
        <v>359.46</v>
      </c>
      <c r="I298" s="240">
        <f t="shared" si="4"/>
        <v>359.46</v>
      </c>
      <c r="J298" s="231" t="s">
        <v>1393</v>
      </c>
      <c r="K298" s="231" t="s">
        <v>1394</v>
      </c>
      <c r="L298" s="232">
        <v>45170</v>
      </c>
      <c r="M298" s="232">
        <v>45199</v>
      </c>
    </row>
    <row r="299" spans="1:13" ht="14.25" customHeight="1" x14ac:dyDescent="0.2">
      <c r="A299" s="231" t="s">
        <v>8</v>
      </c>
      <c r="B299" s="230">
        <v>112917</v>
      </c>
      <c r="C299" s="230">
        <v>10751</v>
      </c>
      <c r="D299" s="231" t="s">
        <v>350</v>
      </c>
      <c r="E299" s="230">
        <v>14491032</v>
      </c>
      <c r="F299" s="230">
        <v>30268</v>
      </c>
      <c r="G299" s="230">
        <v>1</v>
      </c>
      <c r="H299" s="240">
        <v>359.46</v>
      </c>
      <c r="I299" s="240">
        <f t="shared" si="4"/>
        <v>359.46</v>
      </c>
      <c r="J299" s="231" t="s">
        <v>1393</v>
      </c>
      <c r="K299" s="231" t="s">
        <v>1394</v>
      </c>
      <c r="L299" s="232">
        <v>45170</v>
      </c>
      <c r="M299" s="232">
        <v>45199</v>
      </c>
    </row>
    <row r="300" spans="1:13" ht="14.25" customHeight="1" x14ac:dyDescent="0.2">
      <c r="A300" s="231" t="s">
        <v>8</v>
      </c>
      <c r="B300" s="230">
        <v>112924</v>
      </c>
      <c r="C300" s="230">
        <v>10750</v>
      </c>
      <c r="D300" s="231" t="s">
        <v>501</v>
      </c>
      <c r="E300" s="230">
        <v>14491032</v>
      </c>
      <c r="F300" s="230">
        <v>30282</v>
      </c>
      <c r="G300" s="230">
        <v>1</v>
      </c>
      <c r="H300" s="240">
        <v>359.46</v>
      </c>
      <c r="I300" s="240">
        <f t="shared" si="4"/>
        <v>359.46</v>
      </c>
      <c r="J300" s="231" t="s">
        <v>1393</v>
      </c>
      <c r="K300" s="231" t="s">
        <v>1394</v>
      </c>
      <c r="L300" s="232">
        <v>45170</v>
      </c>
      <c r="M300" s="232">
        <v>45199</v>
      </c>
    </row>
    <row r="301" spans="1:13" ht="14.25" customHeight="1" x14ac:dyDescent="0.2">
      <c r="A301" s="231" t="s">
        <v>8</v>
      </c>
      <c r="B301" s="230">
        <v>112926</v>
      </c>
      <c r="C301" s="230">
        <v>10754</v>
      </c>
      <c r="D301" s="231" t="s">
        <v>502</v>
      </c>
      <c r="E301" s="230">
        <v>14491032</v>
      </c>
      <c r="F301" s="230">
        <v>30286</v>
      </c>
      <c r="G301" s="230">
        <v>1</v>
      </c>
      <c r="H301" s="240">
        <v>359.46</v>
      </c>
      <c r="I301" s="240">
        <f t="shared" si="4"/>
        <v>359.46</v>
      </c>
      <c r="J301" s="231" t="s">
        <v>1393</v>
      </c>
      <c r="K301" s="231" t="s">
        <v>1394</v>
      </c>
      <c r="L301" s="232">
        <v>45170</v>
      </c>
      <c r="M301" s="232">
        <v>45199</v>
      </c>
    </row>
    <row r="302" spans="1:13" ht="14.25" customHeight="1" x14ac:dyDescent="0.2">
      <c r="A302" s="231" t="s">
        <v>8</v>
      </c>
      <c r="B302" s="230">
        <v>112927</v>
      </c>
      <c r="C302" s="230">
        <v>10750</v>
      </c>
      <c r="D302" s="231" t="s">
        <v>503</v>
      </c>
      <c r="E302" s="230">
        <v>14491032</v>
      </c>
      <c r="F302" s="230">
        <v>30288</v>
      </c>
      <c r="G302" s="230">
        <v>1</v>
      </c>
      <c r="H302" s="240">
        <v>359.46</v>
      </c>
      <c r="I302" s="240">
        <f t="shared" si="4"/>
        <v>359.46</v>
      </c>
      <c r="J302" s="231" t="s">
        <v>1393</v>
      </c>
      <c r="K302" s="231" t="s">
        <v>1394</v>
      </c>
      <c r="L302" s="232">
        <v>45170</v>
      </c>
      <c r="M302" s="232">
        <v>45199</v>
      </c>
    </row>
    <row r="303" spans="1:13" ht="14.25" customHeight="1" x14ac:dyDescent="0.2">
      <c r="A303" s="231" t="s">
        <v>8</v>
      </c>
      <c r="B303" s="230">
        <v>112928</v>
      </c>
      <c r="C303" s="230">
        <v>10750</v>
      </c>
      <c r="D303" s="231" t="s">
        <v>504</v>
      </c>
      <c r="E303" s="230">
        <v>14491032</v>
      </c>
      <c r="F303" s="230">
        <v>30290</v>
      </c>
      <c r="G303" s="230">
        <v>1</v>
      </c>
      <c r="H303" s="240">
        <v>359.46</v>
      </c>
      <c r="I303" s="240">
        <f t="shared" si="4"/>
        <v>359.46</v>
      </c>
      <c r="J303" s="231" t="s">
        <v>1393</v>
      </c>
      <c r="K303" s="231" t="s">
        <v>1394</v>
      </c>
      <c r="L303" s="232">
        <v>45170</v>
      </c>
      <c r="M303" s="232">
        <v>45199</v>
      </c>
    </row>
    <row r="304" spans="1:13" ht="14.25" customHeight="1" x14ac:dyDescent="0.2">
      <c r="A304" s="231" t="s">
        <v>8</v>
      </c>
      <c r="B304" s="230">
        <v>112935</v>
      </c>
      <c r="C304" s="230">
        <v>10751</v>
      </c>
      <c r="D304" s="231" t="s">
        <v>506</v>
      </c>
      <c r="E304" s="230">
        <v>14491032</v>
      </c>
      <c r="F304" s="230">
        <v>30304</v>
      </c>
      <c r="G304" s="230">
        <v>1</v>
      </c>
      <c r="H304" s="240">
        <v>359.46</v>
      </c>
      <c r="I304" s="240">
        <f t="shared" si="4"/>
        <v>359.46</v>
      </c>
      <c r="J304" s="231" t="s">
        <v>1393</v>
      </c>
      <c r="K304" s="231" t="s">
        <v>1394</v>
      </c>
      <c r="L304" s="232">
        <v>45170</v>
      </c>
      <c r="M304" s="232">
        <v>45199</v>
      </c>
    </row>
    <row r="305" spans="1:13" ht="14.25" customHeight="1" x14ac:dyDescent="0.2">
      <c r="A305" s="231" t="s">
        <v>8</v>
      </c>
      <c r="B305" s="230">
        <v>112937</v>
      </c>
      <c r="C305" s="230">
        <v>10754</v>
      </c>
      <c r="D305" s="231" t="s">
        <v>508</v>
      </c>
      <c r="E305" s="230">
        <v>14491032</v>
      </c>
      <c r="F305" s="230">
        <v>30308</v>
      </c>
      <c r="G305" s="230">
        <v>1</v>
      </c>
      <c r="H305" s="240">
        <v>359.46</v>
      </c>
      <c r="I305" s="240">
        <f t="shared" si="4"/>
        <v>359.46</v>
      </c>
      <c r="J305" s="231" t="s">
        <v>1393</v>
      </c>
      <c r="K305" s="231" t="s">
        <v>1394</v>
      </c>
      <c r="L305" s="232">
        <v>45170</v>
      </c>
      <c r="M305" s="232">
        <v>45199</v>
      </c>
    </row>
    <row r="306" spans="1:13" ht="14.25" customHeight="1" x14ac:dyDescent="0.2">
      <c r="A306" s="231" t="s">
        <v>8</v>
      </c>
      <c r="B306" s="230">
        <v>112940</v>
      </c>
      <c r="C306" s="230">
        <v>10750</v>
      </c>
      <c r="D306" s="231" t="s">
        <v>509</v>
      </c>
      <c r="E306" s="230">
        <v>14491032</v>
      </c>
      <c r="F306" s="230">
        <v>30314</v>
      </c>
      <c r="G306" s="230">
        <v>1</v>
      </c>
      <c r="H306" s="240">
        <v>359.46</v>
      </c>
      <c r="I306" s="240">
        <f t="shared" si="4"/>
        <v>359.46</v>
      </c>
      <c r="J306" s="231" t="s">
        <v>1393</v>
      </c>
      <c r="K306" s="231" t="s">
        <v>1394</v>
      </c>
      <c r="L306" s="232">
        <v>45170</v>
      </c>
      <c r="M306" s="232">
        <v>45199</v>
      </c>
    </row>
    <row r="307" spans="1:13" ht="14.25" customHeight="1" x14ac:dyDescent="0.2">
      <c r="A307" s="231" t="s">
        <v>8</v>
      </c>
      <c r="B307" s="230">
        <v>112941</v>
      </c>
      <c r="C307" s="230">
        <v>10750</v>
      </c>
      <c r="D307" s="231" t="s">
        <v>510</v>
      </c>
      <c r="E307" s="230">
        <v>14491032</v>
      </c>
      <c r="F307" s="230">
        <v>30316</v>
      </c>
      <c r="G307" s="230">
        <v>1</v>
      </c>
      <c r="H307" s="240">
        <v>359.46</v>
      </c>
      <c r="I307" s="240">
        <f t="shared" si="4"/>
        <v>359.46</v>
      </c>
      <c r="J307" s="231" t="s">
        <v>1393</v>
      </c>
      <c r="K307" s="231" t="s">
        <v>1394</v>
      </c>
      <c r="L307" s="232">
        <v>45170</v>
      </c>
      <c r="M307" s="232">
        <v>45199</v>
      </c>
    </row>
    <row r="308" spans="1:13" ht="14.25" customHeight="1" x14ac:dyDescent="0.2">
      <c r="A308" s="231" t="s">
        <v>8</v>
      </c>
      <c r="B308" s="230">
        <v>112943</v>
      </c>
      <c r="C308" s="230">
        <v>10750</v>
      </c>
      <c r="D308" s="231" t="s">
        <v>512</v>
      </c>
      <c r="E308" s="230">
        <v>14491032</v>
      </c>
      <c r="F308" s="230">
        <v>30320</v>
      </c>
      <c r="G308" s="230">
        <v>1</v>
      </c>
      <c r="H308" s="240">
        <v>359.46</v>
      </c>
      <c r="I308" s="240">
        <f t="shared" si="4"/>
        <v>359.46</v>
      </c>
      <c r="J308" s="231" t="s">
        <v>1393</v>
      </c>
      <c r="K308" s="231" t="s">
        <v>1394</v>
      </c>
      <c r="L308" s="232">
        <v>45170</v>
      </c>
      <c r="M308" s="232">
        <v>45199</v>
      </c>
    </row>
    <row r="309" spans="1:13" ht="14.25" customHeight="1" x14ac:dyDescent="0.2">
      <c r="A309" s="231" t="s">
        <v>8</v>
      </c>
      <c r="B309" s="230">
        <v>112944</v>
      </c>
      <c r="C309" s="230">
        <v>10751</v>
      </c>
      <c r="D309" s="231" t="s">
        <v>513</v>
      </c>
      <c r="E309" s="230">
        <v>14491032</v>
      </c>
      <c r="F309" s="230">
        <v>30322</v>
      </c>
      <c r="G309" s="230">
        <v>1</v>
      </c>
      <c r="H309" s="240">
        <v>359.46</v>
      </c>
      <c r="I309" s="240">
        <f t="shared" si="4"/>
        <v>359.46</v>
      </c>
      <c r="J309" s="231" t="s">
        <v>1393</v>
      </c>
      <c r="K309" s="231" t="s">
        <v>1394</v>
      </c>
      <c r="L309" s="232">
        <v>45170</v>
      </c>
      <c r="M309" s="232">
        <v>45199</v>
      </c>
    </row>
    <row r="310" spans="1:13" ht="14.25" customHeight="1" x14ac:dyDescent="0.2">
      <c r="A310" s="231" t="s">
        <v>8</v>
      </c>
      <c r="B310" s="230">
        <v>112946</v>
      </c>
      <c r="C310" s="230">
        <v>10750</v>
      </c>
      <c r="D310" s="231" t="s">
        <v>256</v>
      </c>
      <c r="E310" s="230">
        <v>14491032</v>
      </c>
      <c r="F310" s="230">
        <v>30326</v>
      </c>
      <c r="G310" s="230">
        <v>1</v>
      </c>
      <c r="H310" s="240">
        <v>359.46</v>
      </c>
      <c r="I310" s="240">
        <f t="shared" si="4"/>
        <v>359.46</v>
      </c>
      <c r="J310" s="231" t="s">
        <v>1393</v>
      </c>
      <c r="K310" s="231" t="s">
        <v>1394</v>
      </c>
      <c r="L310" s="232">
        <v>45170</v>
      </c>
      <c r="M310" s="232">
        <v>45199</v>
      </c>
    </row>
    <row r="311" spans="1:13" ht="14.25" customHeight="1" x14ac:dyDescent="0.2">
      <c r="A311" s="231" t="s">
        <v>8</v>
      </c>
      <c r="B311" s="230">
        <v>112949</v>
      </c>
      <c r="C311" s="230">
        <v>10750</v>
      </c>
      <c r="D311" s="231" t="s">
        <v>515</v>
      </c>
      <c r="E311" s="230">
        <v>14491032</v>
      </c>
      <c r="F311" s="230">
        <v>30332</v>
      </c>
      <c r="G311" s="230">
        <v>1</v>
      </c>
      <c r="H311" s="240">
        <v>359.46</v>
      </c>
      <c r="I311" s="240">
        <f t="shared" si="4"/>
        <v>359.46</v>
      </c>
      <c r="J311" s="231" t="s">
        <v>1393</v>
      </c>
      <c r="K311" s="231" t="s">
        <v>1394</v>
      </c>
      <c r="L311" s="232">
        <v>45170</v>
      </c>
      <c r="M311" s="232">
        <v>45199</v>
      </c>
    </row>
    <row r="312" spans="1:13" ht="14.25" customHeight="1" x14ac:dyDescent="0.2">
      <c r="A312" s="231" t="s">
        <v>8</v>
      </c>
      <c r="B312" s="230">
        <v>112951</v>
      </c>
      <c r="C312" s="230">
        <v>10751</v>
      </c>
      <c r="D312" s="231" t="s">
        <v>517</v>
      </c>
      <c r="E312" s="230">
        <v>14491032</v>
      </c>
      <c r="F312" s="230">
        <v>30336</v>
      </c>
      <c r="G312" s="230">
        <v>1</v>
      </c>
      <c r="H312" s="240">
        <v>359.46</v>
      </c>
      <c r="I312" s="240">
        <f t="shared" si="4"/>
        <v>359.46</v>
      </c>
      <c r="J312" s="231" t="s">
        <v>1393</v>
      </c>
      <c r="K312" s="231" t="s">
        <v>1394</v>
      </c>
      <c r="L312" s="232">
        <v>45170</v>
      </c>
      <c r="M312" s="232">
        <v>45199</v>
      </c>
    </row>
    <row r="313" spans="1:13" ht="14.25" customHeight="1" x14ac:dyDescent="0.2">
      <c r="A313" s="231" t="s">
        <v>8</v>
      </c>
      <c r="B313" s="230">
        <v>112952</v>
      </c>
      <c r="C313" s="230">
        <v>10750</v>
      </c>
      <c r="D313" s="231" t="s">
        <v>518</v>
      </c>
      <c r="E313" s="230">
        <v>14491032</v>
      </c>
      <c r="F313" s="230">
        <v>30338</v>
      </c>
      <c r="G313" s="230">
        <v>1</v>
      </c>
      <c r="H313" s="240">
        <v>359.46</v>
      </c>
      <c r="I313" s="240">
        <f t="shared" si="4"/>
        <v>359.46</v>
      </c>
      <c r="J313" s="231" t="s">
        <v>1393</v>
      </c>
      <c r="K313" s="231" t="s">
        <v>1394</v>
      </c>
      <c r="L313" s="232">
        <v>45170</v>
      </c>
      <c r="M313" s="232">
        <v>45199</v>
      </c>
    </row>
    <row r="314" spans="1:13" ht="14.25" customHeight="1" x14ac:dyDescent="0.2">
      <c r="A314" s="231" t="s">
        <v>8</v>
      </c>
      <c r="B314" s="230">
        <v>112954</v>
      </c>
      <c r="C314" s="230">
        <v>10751</v>
      </c>
      <c r="D314" s="231" t="s">
        <v>519</v>
      </c>
      <c r="E314" s="230">
        <v>14491032</v>
      </c>
      <c r="F314" s="230">
        <v>30342</v>
      </c>
      <c r="G314" s="230">
        <v>1</v>
      </c>
      <c r="H314" s="240">
        <v>359.46</v>
      </c>
      <c r="I314" s="240">
        <f t="shared" si="4"/>
        <v>359.46</v>
      </c>
      <c r="J314" s="231" t="s">
        <v>1393</v>
      </c>
      <c r="K314" s="231" t="s">
        <v>1394</v>
      </c>
      <c r="L314" s="232">
        <v>45170</v>
      </c>
      <c r="M314" s="232">
        <v>45199</v>
      </c>
    </row>
    <row r="315" spans="1:13" ht="14.25" customHeight="1" x14ac:dyDescent="0.2">
      <c r="A315" s="231" t="s">
        <v>8</v>
      </c>
      <c r="B315" s="230">
        <v>112996</v>
      </c>
      <c r="C315" s="230">
        <v>10750</v>
      </c>
      <c r="D315" s="231" t="s">
        <v>539</v>
      </c>
      <c r="E315" s="230">
        <v>14491032</v>
      </c>
      <c r="F315" s="230">
        <v>30426</v>
      </c>
      <c r="G315" s="230">
        <v>1</v>
      </c>
      <c r="H315" s="240">
        <v>359.46</v>
      </c>
      <c r="I315" s="240">
        <f t="shared" si="4"/>
        <v>359.46</v>
      </c>
      <c r="J315" s="231" t="s">
        <v>1393</v>
      </c>
      <c r="K315" s="231" t="s">
        <v>1394</v>
      </c>
      <c r="L315" s="232">
        <v>45170</v>
      </c>
      <c r="M315" s="232">
        <v>45199</v>
      </c>
    </row>
    <row r="316" spans="1:13" ht="14.25" customHeight="1" x14ac:dyDescent="0.2">
      <c r="A316" s="231" t="s">
        <v>8</v>
      </c>
      <c r="B316" s="230">
        <v>113058</v>
      </c>
      <c r="C316" s="230">
        <v>10750</v>
      </c>
      <c r="D316" s="231" t="s">
        <v>565</v>
      </c>
      <c r="E316" s="230">
        <v>14491032</v>
      </c>
      <c r="F316" s="230">
        <v>30550</v>
      </c>
      <c r="G316" s="230">
        <v>1</v>
      </c>
      <c r="H316" s="240">
        <v>359.46</v>
      </c>
      <c r="I316" s="240">
        <f t="shared" si="4"/>
        <v>359.46</v>
      </c>
      <c r="J316" s="231" t="s">
        <v>1393</v>
      </c>
      <c r="K316" s="231" t="s">
        <v>1394</v>
      </c>
      <c r="L316" s="232">
        <v>45170</v>
      </c>
      <c r="M316" s="232">
        <v>45199</v>
      </c>
    </row>
    <row r="317" spans="1:13" ht="14.25" customHeight="1" x14ac:dyDescent="0.2">
      <c r="A317" s="231" t="s">
        <v>8</v>
      </c>
      <c r="B317" s="230">
        <v>113079</v>
      </c>
      <c r="C317" s="230">
        <v>10757</v>
      </c>
      <c r="D317" s="231" t="s">
        <v>576</v>
      </c>
      <c r="E317" s="230">
        <v>14491032</v>
      </c>
      <c r="F317" s="230">
        <v>30592</v>
      </c>
      <c r="G317" s="230">
        <v>1</v>
      </c>
      <c r="H317" s="240">
        <v>359.46</v>
      </c>
      <c r="I317" s="240">
        <f t="shared" si="4"/>
        <v>359.46</v>
      </c>
      <c r="J317" s="231" t="s">
        <v>1393</v>
      </c>
      <c r="K317" s="231" t="s">
        <v>1394</v>
      </c>
      <c r="L317" s="232">
        <v>45170</v>
      </c>
      <c r="M317" s="232">
        <v>45199</v>
      </c>
    </row>
    <row r="318" spans="1:13" ht="14.25" customHeight="1" x14ac:dyDescent="0.2">
      <c r="A318" s="231" t="s">
        <v>8</v>
      </c>
      <c r="B318" s="230">
        <v>113101</v>
      </c>
      <c r="C318" s="230">
        <v>10757</v>
      </c>
      <c r="D318" s="231" t="s">
        <v>587</v>
      </c>
      <c r="E318" s="230">
        <v>14491032</v>
      </c>
      <c r="F318" s="230">
        <v>30636</v>
      </c>
      <c r="G318" s="230">
        <v>1</v>
      </c>
      <c r="H318" s="240">
        <v>359.46</v>
      </c>
      <c r="I318" s="240">
        <f t="shared" si="4"/>
        <v>359.46</v>
      </c>
      <c r="J318" s="231" t="s">
        <v>1393</v>
      </c>
      <c r="K318" s="231" t="s">
        <v>1394</v>
      </c>
      <c r="L318" s="232">
        <v>45170</v>
      </c>
      <c r="M318" s="232">
        <v>45199</v>
      </c>
    </row>
    <row r="319" spans="1:13" ht="14.25" customHeight="1" x14ac:dyDescent="0.2">
      <c r="A319" s="231" t="s">
        <v>8</v>
      </c>
      <c r="B319" s="230">
        <v>113103</v>
      </c>
      <c r="C319" s="230">
        <v>10757</v>
      </c>
      <c r="D319" s="231" t="s">
        <v>588</v>
      </c>
      <c r="E319" s="230">
        <v>14491032</v>
      </c>
      <c r="F319" s="230">
        <v>30640</v>
      </c>
      <c r="G319" s="230">
        <v>1</v>
      </c>
      <c r="H319" s="240">
        <v>359.46</v>
      </c>
      <c r="I319" s="240">
        <f t="shared" si="4"/>
        <v>359.46</v>
      </c>
      <c r="J319" s="231" t="s">
        <v>1393</v>
      </c>
      <c r="K319" s="231" t="s">
        <v>1394</v>
      </c>
      <c r="L319" s="232">
        <v>45170</v>
      </c>
      <c r="M319" s="232">
        <v>45199</v>
      </c>
    </row>
    <row r="320" spans="1:13" ht="14.25" customHeight="1" x14ac:dyDescent="0.2">
      <c r="A320" s="231" t="s">
        <v>8</v>
      </c>
      <c r="B320" s="230">
        <v>113107</v>
      </c>
      <c r="C320" s="230">
        <v>10750</v>
      </c>
      <c r="D320" s="231" t="s">
        <v>589</v>
      </c>
      <c r="E320" s="230">
        <v>14491032</v>
      </c>
      <c r="F320" s="230">
        <v>30648</v>
      </c>
      <c r="G320" s="230">
        <v>1</v>
      </c>
      <c r="H320" s="240">
        <v>359.46</v>
      </c>
      <c r="I320" s="240">
        <f t="shared" si="4"/>
        <v>359.46</v>
      </c>
      <c r="J320" s="231" t="s">
        <v>1393</v>
      </c>
      <c r="K320" s="231" t="s">
        <v>1394</v>
      </c>
      <c r="L320" s="232">
        <v>45170</v>
      </c>
      <c r="M320" s="232">
        <v>45199</v>
      </c>
    </row>
    <row r="321" spans="1:13" ht="14.25" customHeight="1" x14ac:dyDescent="0.2">
      <c r="A321" s="231" t="s">
        <v>8</v>
      </c>
      <c r="B321" s="230">
        <v>113109</v>
      </c>
      <c r="C321" s="230">
        <v>10756</v>
      </c>
      <c r="D321" s="231" t="s">
        <v>590</v>
      </c>
      <c r="E321" s="230">
        <v>14491032</v>
      </c>
      <c r="F321" s="230">
        <v>30652</v>
      </c>
      <c r="G321" s="230">
        <v>1</v>
      </c>
      <c r="H321" s="240">
        <v>359.46</v>
      </c>
      <c r="I321" s="240">
        <f t="shared" si="4"/>
        <v>359.46</v>
      </c>
      <c r="J321" s="231" t="s">
        <v>1393</v>
      </c>
      <c r="K321" s="231" t="s">
        <v>1394</v>
      </c>
      <c r="L321" s="232">
        <v>45170</v>
      </c>
      <c r="M321" s="232">
        <v>45199</v>
      </c>
    </row>
    <row r="322" spans="1:13" ht="14.25" customHeight="1" x14ac:dyDescent="0.2">
      <c r="A322" s="231" t="s">
        <v>8</v>
      </c>
      <c r="B322" s="230">
        <v>113110</v>
      </c>
      <c r="C322" s="230">
        <v>10751</v>
      </c>
      <c r="D322" s="231" t="s">
        <v>1365</v>
      </c>
      <c r="E322" s="230">
        <v>14491032</v>
      </c>
      <c r="F322" s="230">
        <v>30654</v>
      </c>
      <c r="G322" s="230">
        <v>1</v>
      </c>
      <c r="H322" s="240">
        <v>359.46</v>
      </c>
      <c r="I322" s="240">
        <f t="shared" si="4"/>
        <v>359.46</v>
      </c>
      <c r="J322" s="231" t="s">
        <v>1393</v>
      </c>
      <c r="K322" s="231" t="s">
        <v>1394</v>
      </c>
      <c r="L322" s="232">
        <v>45170</v>
      </c>
      <c r="M322" s="232">
        <v>45199</v>
      </c>
    </row>
    <row r="323" spans="1:13" ht="14.25" customHeight="1" x14ac:dyDescent="0.2">
      <c r="A323" s="231" t="s">
        <v>8</v>
      </c>
      <c r="B323" s="230">
        <v>113186</v>
      </c>
      <c r="C323" s="230">
        <v>10750</v>
      </c>
      <c r="D323" s="231" t="s">
        <v>636</v>
      </c>
      <c r="E323" s="230">
        <v>14491032</v>
      </c>
      <c r="F323" s="230">
        <v>30806</v>
      </c>
      <c r="G323" s="230">
        <v>1</v>
      </c>
      <c r="H323" s="240">
        <v>359.46</v>
      </c>
      <c r="I323" s="240">
        <f t="shared" ref="I323:I386" si="5">G323*H323</f>
        <v>359.46</v>
      </c>
      <c r="J323" s="231" t="s">
        <v>1393</v>
      </c>
      <c r="K323" s="231" t="s">
        <v>1394</v>
      </c>
      <c r="L323" s="232">
        <v>45170</v>
      </c>
      <c r="M323" s="232">
        <v>45199</v>
      </c>
    </row>
    <row r="324" spans="1:13" ht="14.25" customHeight="1" x14ac:dyDescent="0.2">
      <c r="A324" s="231" t="s">
        <v>8</v>
      </c>
      <c r="B324" s="230">
        <v>113188</v>
      </c>
      <c r="C324" s="230">
        <v>10757</v>
      </c>
      <c r="D324" s="231" t="s">
        <v>637</v>
      </c>
      <c r="E324" s="230">
        <v>14491032</v>
      </c>
      <c r="F324" s="230">
        <v>30810</v>
      </c>
      <c r="G324" s="230">
        <v>1</v>
      </c>
      <c r="H324" s="240">
        <v>359.46</v>
      </c>
      <c r="I324" s="240">
        <f t="shared" si="5"/>
        <v>359.46</v>
      </c>
      <c r="J324" s="231" t="s">
        <v>1393</v>
      </c>
      <c r="K324" s="231" t="s">
        <v>1394</v>
      </c>
      <c r="L324" s="232">
        <v>45170</v>
      </c>
      <c r="M324" s="232">
        <v>45199</v>
      </c>
    </row>
    <row r="325" spans="1:13" ht="14.25" customHeight="1" x14ac:dyDescent="0.2">
      <c r="A325" s="231" t="s">
        <v>8</v>
      </c>
      <c r="B325" s="230">
        <v>113194</v>
      </c>
      <c r="C325" s="230">
        <v>10750</v>
      </c>
      <c r="D325" s="231" t="s">
        <v>1351</v>
      </c>
      <c r="E325" s="230">
        <v>14491032</v>
      </c>
      <c r="F325" s="230">
        <v>30822</v>
      </c>
      <c r="G325" s="230">
        <v>1</v>
      </c>
      <c r="H325" s="240">
        <v>359.46</v>
      </c>
      <c r="I325" s="240">
        <f t="shared" si="5"/>
        <v>359.46</v>
      </c>
      <c r="J325" s="231" t="s">
        <v>1393</v>
      </c>
      <c r="K325" s="231" t="s">
        <v>1394</v>
      </c>
      <c r="L325" s="232">
        <v>45170</v>
      </c>
      <c r="M325" s="232">
        <v>45199</v>
      </c>
    </row>
    <row r="326" spans="1:13" ht="14.25" customHeight="1" x14ac:dyDescent="0.2">
      <c r="A326" s="231" t="s">
        <v>8</v>
      </c>
      <c r="B326" s="230">
        <v>113199</v>
      </c>
      <c r="C326" s="230">
        <v>10750</v>
      </c>
      <c r="D326" s="231" t="s">
        <v>642</v>
      </c>
      <c r="E326" s="230">
        <v>14491032</v>
      </c>
      <c r="F326" s="230">
        <v>30832</v>
      </c>
      <c r="G326" s="230">
        <v>1</v>
      </c>
      <c r="H326" s="240">
        <v>359.46</v>
      </c>
      <c r="I326" s="240">
        <f t="shared" si="5"/>
        <v>359.46</v>
      </c>
      <c r="J326" s="231" t="s">
        <v>1393</v>
      </c>
      <c r="K326" s="231" t="s">
        <v>1394</v>
      </c>
      <c r="L326" s="232">
        <v>45170</v>
      </c>
      <c r="M326" s="232">
        <v>45199</v>
      </c>
    </row>
    <row r="327" spans="1:13" ht="14.25" customHeight="1" x14ac:dyDescent="0.2">
      <c r="A327" s="231" t="s">
        <v>8</v>
      </c>
      <c r="B327" s="230">
        <v>113201</v>
      </c>
      <c r="C327" s="230">
        <v>10754</v>
      </c>
      <c r="D327" s="231" t="s">
        <v>643</v>
      </c>
      <c r="E327" s="230">
        <v>14491032</v>
      </c>
      <c r="F327" s="230">
        <v>30836</v>
      </c>
      <c r="G327" s="230">
        <v>1</v>
      </c>
      <c r="H327" s="240">
        <v>359.46</v>
      </c>
      <c r="I327" s="240">
        <f t="shared" si="5"/>
        <v>359.46</v>
      </c>
      <c r="J327" s="231" t="s">
        <v>1393</v>
      </c>
      <c r="K327" s="231" t="s">
        <v>1394</v>
      </c>
      <c r="L327" s="232">
        <v>45170</v>
      </c>
      <c r="M327" s="232">
        <v>45199</v>
      </c>
    </row>
    <row r="328" spans="1:13" ht="14.25" customHeight="1" x14ac:dyDescent="0.2">
      <c r="A328" s="231" t="s">
        <v>8</v>
      </c>
      <c r="B328" s="230">
        <v>113223</v>
      </c>
      <c r="C328" s="230">
        <v>10755</v>
      </c>
      <c r="D328" s="231" t="s">
        <v>656</v>
      </c>
      <c r="E328" s="230">
        <v>14491032</v>
      </c>
      <c r="F328" s="230">
        <v>30880</v>
      </c>
      <c r="G328" s="230">
        <v>1</v>
      </c>
      <c r="H328" s="240">
        <v>359.46</v>
      </c>
      <c r="I328" s="240">
        <f t="shared" si="5"/>
        <v>359.46</v>
      </c>
      <c r="J328" s="231" t="s">
        <v>1393</v>
      </c>
      <c r="K328" s="231" t="s">
        <v>1394</v>
      </c>
      <c r="L328" s="232">
        <v>45170</v>
      </c>
      <c r="M328" s="232">
        <v>45199</v>
      </c>
    </row>
    <row r="329" spans="1:13" ht="14.25" customHeight="1" x14ac:dyDescent="0.2">
      <c r="A329" s="231" t="s">
        <v>8</v>
      </c>
      <c r="B329" s="230">
        <v>113253</v>
      </c>
      <c r="C329" s="230">
        <v>10771</v>
      </c>
      <c r="D329" s="231" t="s">
        <v>672</v>
      </c>
      <c r="E329" s="230">
        <v>14491032</v>
      </c>
      <c r="F329" s="230">
        <v>30940</v>
      </c>
      <c r="G329" s="230">
        <v>1</v>
      </c>
      <c r="H329" s="240">
        <v>359.46</v>
      </c>
      <c r="I329" s="240">
        <f t="shared" si="5"/>
        <v>359.46</v>
      </c>
      <c r="J329" s="231" t="s">
        <v>1393</v>
      </c>
      <c r="K329" s="231" t="s">
        <v>1394</v>
      </c>
      <c r="L329" s="232">
        <v>45170</v>
      </c>
      <c r="M329" s="232">
        <v>45199</v>
      </c>
    </row>
    <row r="330" spans="1:13" ht="14.25" customHeight="1" x14ac:dyDescent="0.2">
      <c r="A330" s="231" t="s">
        <v>8</v>
      </c>
      <c r="B330" s="230">
        <v>113258</v>
      </c>
      <c r="C330" s="230">
        <v>10757</v>
      </c>
      <c r="D330" s="231" t="s">
        <v>674</v>
      </c>
      <c r="E330" s="230">
        <v>14491032</v>
      </c>
      <c r="F330" s="230">
        <v>30950</v>
      </c>
      <c r="G330" s="230">
        <v>1</v>
      </c>
      <c r="H330" s="240">
        <v>359.46</v>
      </c>
      <c r="I330" s="240">
        <f t="shared" si="5"/>
        <v>359.46</v>
      </c>
      <c r="J330" s="231" t="s">
        <v>1393</v>
      </c>
      <c r="K330" s="231" t="s">
        <v>1394</v>
      </c>
      <c r="L330" s="232">
        <v>45170</v>
      </c>
      <c r="M330" s="232">
        <v>45199</v>
      </c>
    </row>
    <row r="331" spans="1:13" ht="14.25" customHeight="1" x14ac:dyDescent="0.2">
      <c r="A331" s="231" t="s">
        <v>8</v>
      </c>
      <c r="B331" s="230">
        <v>113268</v>
      </c>
      <c r="C331" s="230">
        <v>10766</v>
      </c>
      <c r="D331" s="231" t="s">
        <v>679</v>
      </c>
      <c r="E331" s="230">
        <v>14491032</v>
      </c>
      <c r="F331" s="230">
        <v>30970</v>
      </c>
      <c r="G331" s="230">
        <v>1</v>
      </c>
      <c r="H331" s="240">
        <v>359.46</v>
      </c>
      <c r="I331" s="240">
        <f t="shared" si="5"/>
        <v>359.46</v>
      </c>
      <c r="J331" s="231" t="s">
        <v>1393</v>
      </c>
      <c r="K331" s="231" t="s">
        <v>1394</v>
      </c>
      <c r="L331" s="232">
        <v>45170</v>
      </c>
      <c r="M331" s="232">
        <v>45199</v>
      </c>
    </row>
    <row r="332" spans="1:13" ht="14.25" customHeight="1" x14ac:dyDescent="0.2">
      <c r="A332" s="231" t="s">
        <v>8</v>
      </c>
      <c r="B332" s="230">
        <v>113274</v>
      </c>
      <c r="C332" s="230">
        <v>10750</v>
      </c>
      <c r="D332" s="231" t="s">
        <v>683</v>
      </c>
      <c r="E332" s="230">
        <v>14491032</v>
      </c>
      <c r="F332" s="230">
        <v>30982</v>
      </c>
      <c r="G332" s="230">
        <v>1</v>
      </c>
      <c r="H332" s="240">
        <v>359.46</v>
      </c>
      <c r="I332" s="240">
        <f t="shared" si="5"/>
        <v>359.46</v>
      </c>
      <c r="J332" s="231" t="s">
        <v>1393</v>
      </c>
      <c r="K332" s="231" t="s">
        <v>1394</v>
      </c>
      <c r="L332" s="232">
        <v>45170</v>
      </c>
      <c r="M332" s="232">
        <v>45199</v>
      </c>
    </row>
    <row r="333" spans="1:13" ht="14.25" customHeight="1" x14ac:dyDescent="0.2">
      <c r="A333" s="231" t="s">
        <v>8</v>
      </c>
      <c r="B333" s="230">
        <v>113287</v>
      </c>
      <c r="C333" s="230">
        <v>10750</v>
      </c>
      <c r="D333" s="231" t="s">
        <v>690</v>
      </c>
      <c r="E333" s="230">
        <v>14491032</v>
      </c>
      <c r="F333" s="230">
        <v>31008</v>
      </c>
      <c r="G333" s="230">
        <v>1</v>
      </c>
      <c r="H333" s="240">
        <v>359.46</v>
      </c>
      <c r="I333" s="240">
        <f t="shared" si="5"/>
        <v>359.46</v>
      </c>
      <c r="J333" s="231" t="s">
        <v>1393</v>
      </c>
      <c r="K333" s="231" t="s">
        <v>1394</v>
      </c>
      <c r="L333" s="232">
        <v>45170</v>
      </c>
      <c r="M333" s="232">
        <v>45199</v>
      </c>
    </row>
    <row r="334" spans="1:13" ht="14.25" customHeight="1" x14ac:dyDescent="0.2">
      <c r="A334" s="231" t="s">
        <v>8</v>
      </c>
      <c r="B334" s="230">
        <v>113292</v>
      </c>
      <c r="C334" s="230">
        <v>10750</v>
      </c>
      <c r="D334" s="231" t="s">
        <v>693</v>
      </c>
      <c r="E334" s="230">
        <v>14491032</v>
      </c>
      <c r="F334" s="230">
        <v>31018</v>
      </c>
      <c r="G334" s="230">
        <v>1</v>
      </c>
      <c r="H334" s="240">
        <v>359.46</v>
      </c>
      <c r="I334" s="240">
        <f t="shared" si="5"/>
        <v>359.46</v>
      </c>
      <c r="J334" s="231" t="s">
        <v>1393</v>
      </c>
      <c r="K334" s="231" t="s">
        <v>1394</v>
      </c>
      <c r="L334" s="232">
        <v>45170</v>
      </c>
      <c r="M334" s="232">
        <v>45199</v>
      </c>
    </row>
    <row r="335" spans="1:13" ht="14.25" customHeight="1" x14ac:dyDescent="0.2">
      <c r="A335" s="231" t="s">
        <v>8</v>
      </c>
      <c r="B335" s="230">
        <v>113302</v>
      </c>
      <c r="C335" s="230">
        <v>10751</v>
      </c>
      <c r="D335" s="231" t="s">
        <v>696</v>
      </c>
      <c r="E335" s="230">
        <v>14491032</v>
      </c>
      <c r="F335" s="230">
        <v>31038</v>
      </c>
      <c r="G335" s="230">
        <v>1</v>
      </c>
      <c r="H335" s="240">
        <v>359.46</v>
      </c>
      <c r="I335" s="240">
        <f t="shared" si="5"/>
        <v>359.46</v>
      </c>
      <c r="J335" s="231" t="s">
        <v>1393</v>
      </c>
      <c r="K335" s="231" t="s">
        <v>1394</v>
      </c>
      <c r="L335" s="232">
        <v>45170</v>
      </c>
      <c r="M335" s="232">
        <v>45199</v>
      </c>
    </row>
    <row r="336" spans="1:13" ht="14.25" customHeight="1" x14ac:dyDescent="0.2">
      <c r="A336" s="231" t="s">
        <v>8</v>
      </c>
      <c r="B336" s="230">
        <v>113328</v>
      </c>
      <c r="C336" s="230">
        <v>10750</v>
      </c>
      <c r="D336" s="231" t="s">
        <v>711</v>
      </c>
      <c r="E336" s="230">
        <v>14491032</v>
      </c>
      <c r="F336" s="230">
        <v>31090</v>
      </c>
      <c r="G336" s="230">
        <v>1</v>
      </c>
      <c r="H336" s="240">
        <v>359.46</v>
      </c>
      <c r="I336" s="240">
        <f t="shared" si="5"/>
        <v>359.46</v>
      </c>
      <c r="J336" s="231" t="s">
        <v>1393</v>
      </c>
      <c r="K336" s="231" t="s">
        <v>1394</v>
      </c>
      <c r="L336" s="232">
        <v>45170</v>
      </c>
      <c r="M336" s="232">
        <v>45199</v>
      </c>
    </row>
    <row r="337" spans="1:13" ht="14.25" customHeight="1" x14ac:dyDescent="0.2">
      <c r="A337" s="231" t="s">
        <v>8</v>
      </c>
      <c r="B337" s="230">
        <v>113341</v>
      </c>
      <c r="C337" s="230">
        <v>10751</v>
      </c>
      <c r="D337" s="231" t="s">
        <v>718</v>
      </c>
      <c r="E337" s="230">
        <v>14491032</v>
      </c>
      <c r="F337" s="230">
        <v>31116</v>
      </c>
      <c r="G337" s="230">
        <v>1</v>
      </c>
      <c r="H337" s="240">
        <v>359.46</v>
      </c>
      <c r="I337" s="240">
        <f t="shared" si="5"/>
        <v>359.46</v>
      </c>
      <c r="J337" s="231" t="s">
        <v>1393</v>
      </c>
      <c r="K337" s="231" t="s">
        <v>1394</v>
      </c>
      <c r="L337" s="232">
        <v>45170</v>
      </c>
      <c r="M337" s="232">
        <v>45199</v>
      </c>
    </row>
    <row r="338" spans="1:13" ht="14.25" customHeight="1" x14ac:dyDescent="0.2">
      <c r="A338" s="231" t="s">
        <v>8</v>
      </c>
      <c r="B338" s="230">
        <v>113356</v>
      </c>
      <c r="C338" s="230">
        <v>10757</v>
      </c>
      <c r="D338" s="231" t="s">
        <v>648</v>
      </c>
      <c r="E338" s="230">
        <v>14491032</v>
      </c>
      <c r="F338" s="230">
        <v>31146</v>
      </c>
      <c r="G338" s="230">
        <v>1</v>
      </c>
      <c r="H338" s="240">
        <v>359.46</v>
      </c>
      <c r="I338" s="240">
        <f t="shared" si="5"/>
        <v>359.46</v>
      </c>
      <c r="J338" s="231" t="s">
        <v>1393</v>
      </c>
      <c r="K338" s="231" t="s">
        <v>1394</v>
      </c>
      <c r="L338" s="232">
        <v>45170</v>
      </c>
      <c r="M338" s="232">
        <v>45199</v>
      </c>
    </row>
    <row r="339" spans="1:13" ht="14.25" customHeight="1" x14ac:dyDescent="0.2">
      <c r="A339" s="231" t="s">
        <v>8</v>
      </c>
      <c r="B339" s="230">
        <v>113374</v>
      </c>
      <c r="C339" s="230">
        <v>10751</v>
      </c>
      <c r="D339" s="231" t="s">
        <v>738</v>
      </c>
      <c r="E339" s="230">
        <v>14491032</v>
      </c>
      <c r="F339" s="230">
        <v>31182</v>
      </c>
      <c r="G339" s="230">
        <v>1</v>
      </c>
      <c r="H339" s="240">
        <v>359.46</v>
      </c>
      <c r="I339" s="240">
        <f t="shared" si="5"/>
        <v>359.46</v>
      </c>
      <c r="J339" s="231" t="s">
        <v>1393</v>
      </c>
      <c r="K339" s="231" t="s">
        <v>1394</v>
      </c>
      <c r="L339" s="232">
        <v>45170</v>
      </c>
      <c r="M339" s="232">
        <v>45199</v>
      </c>
    </row>
    <row r="340" spans="1:13" ht="14.25" customHeight="1" x14ac:dyDescent="0.2">
      <c r="A340" s="231" t="s">
        <v>8</v>
      </c>
      <c r="B340" s="230">
        <v>113379</v>
      </c>
      <c r="C340" s="230">
        <v>10756</v>
      </c>
      <c r="D340" s="231" t="s">
        <v>742</v>
      </c>
      <c r="E340" s="230">
        <v>14491032</v>
      </c>
      <c r="F340" s="230">
        <v>31192</v>
      </c>
      <c r="G340" s="230">
        <v>1</v>
      </c>
      <c r="H340" s="240">
        <v>359.46</v>
      </c>
      <c r="I340" s="240">
        <f t="shared" si="5"/>
        <v>359.46</v>
      </c>
      <c r="J340" s="231" t="s">
        <v>1393</v>
      </c>
      <c r="K340" s="231" t="s">
        <v>1394</v>
      </c>
      <c r="L340" s="232">
        <v>45170</v>
      </c>
      <c r="M340" s="232">
        <v>45199</v>
      </c>
    </row>
    <row r="341" spans="1:13" ht="14.25" customHeight="1" x14ac:dyDescent="0.2">
      <c r="A341" s="231" t="s">
        <v>8</v>
      </c>
      <c r="B341" s="230">
        <v>113394</v>
      </c>
      <c r="C341" s="230">
        <v>10756</v>
      </c>
      <c r="D341" s="231" t="s">
        <v>753</v>
      </c>
      <c r="E341" s="230">
        <v>14491032</v>
      </c>
      <c r="F341" s="230">
        <v>31222</v>
      </c>
      <c r="G341" s="230">
        <v>1</v>
      </c>
      <c r="H341" s="240">
        <v>359.46</v>
      </c>
      <c r="I341" s="240">
        <f t="shared" si="5"/>
        <v>359.46</v>
      </c>
      <c r="J341" s="231" t="s">
        <v>1393</v>
      </c>
      <c r="K341" s="231" t="s">
        <v>1394</v>
      </c>
      <c r="L341" s="232">
        <v>45170</v>
      </c>
      <c r="M341" s="232">
        <v>45199</v>
      </c>
    </row>
    <row r="342" spans="1:13" ht="14.25" customHeight="1" x14ac:dyDescent="0.2">
      <c r="A342" s="231" t="s">
        <v>8</v>
      </c>
      <c r="B342" s="230">
        <v>113399</v>
      </c>
      <c r="C342" s="230">
        <v>10757</v>
      </c>
      <c r="D342" s="231" t="s">
        <v>756</v>
      </c>
      <c r="E342" s="230">
        <v>14491032</v>
      </c>
      <c r="F342" s="230">
        <v>31232</v>
      </c>
      <c r="G342" s="230">
        <v>1</v>
      </c>
      <c r="H342" s="240">
        <v>359.46</v>
      </c>
      <c r="I342" s="240">
        <f t="shared" si="5"/>
        <v>359.46</v>
      </c>
      <c r="J342" s="231" t="s">
        <v>1393</v>
      </c>
      <c r="K342" s="231" t="s">
        <v>1394</v>
      </c>
      <c r="L342" s="232">
        <v>45170</v>
      </c>
      <c r="M342" s="232">
        <v>45199</v>
      </c>
    </row>
    <row r="343" spans="1:13" ht="14.25" customHeight="1" x14ac:dyDescent="0.2">
      <c r="A343" s="231" t="s">
        <v>8</v>
      </c>
      <c r="B343" s="230">
        <v>113404</v>
      </c>
      <c r="C343" s="230">
        <v>10771</v>
      </c>
      <c r="D343" s="231" t="s">
        <v>750</v>
      </c>
      <c r="E343" s="230">
        <v>14491032</v>
      </c>
      <c r="F343" s="230">
        <v>31242</v>
      </c>
      <c r="G343" s="230">
        <v>1</v>
      </c>
      <c r="H343" s="240">
        <v>359.46</v>
      </c>
      <c r="I343" s="240">
        <f t="shared" si="5"/>
        <v>359.46</v>
      </c>
      <c r="J343" s="231" t="s">
        <v>1393</v>
      </c>
      <c r="K343" s="231" t="s">
        <v>1394</v>
      </c>
      <c r="L343" s="232">
        <v>45170</v>
      </c>
      <c r="M343" s="232">
        <v>45199</v>
      </c>
    </row>
    <row r="344" spans="1:13" ht="14.25" customHeight="1" x14ac:dyDescent="0.2">
      <c r="A344" s="231" t="s">
        <v>8</v>
      </c>
      <c r="B344" s="230">
        <v>113405</v>
      </c>
      <c r="C344" s="230">
        <v>10750</v>
      </c>
      <c r="D344" s="231" t="s">
        <v>759</v>
      </c>
      <c r="E344" s="230">
        <v>14491032</v>
      </c>
      <c r="F344" s="230">
        <v>31244</v>
      </c>
      <c r="G344" s="230">
        <v>1</v>
      </c>
      <c r="H344" s="240">
        <v>359.46</v>
      </c>
      <c r="I344" s="240">
        <f t="shared" si="5"/>
        <v>359.46</v>
      </c>
      <c r="J344" s="231" t="s">
        <v>1393</v>
      </c>
      <c r="K344" s="231" t="s">
        <v>1394</v>
      </c>
      <c r="L344" s="232">
        <v>45170</v>
      </c>
      <c r="M344" s="232">
        <v>45199</v>
      </c>
    </row>
    <row r="345" spans="1:13" ht="14.25" customHeight="1" x14ac:dyDescent="0.2">
      <c r="A345" s="231" t="s">
        <v>8</v>
      </c>
      <c r="B345" s="230">
        <v>113418</v>
      </c>
      <c r="C345" s="230">
        <v>10751</v>
      </c>
      <c r="D345" s="231" t="s">
        <v>769</v>
      </c>
      <c r="E345" s="230">
        <v>14491032</v>
      </c>
      <c r="F345" s="230">
        <v>31270</v>
      </c>
      <c r="G345" s="230">
        <v>1</v>
      </c>
      <c r="H345" s="240">
        <v>359.46</v>
      </c>
      <c r="I345" s="240">
        <f t="shared" si="5"/>
        <v>359.46</v>
      </c>
      <c r="J345" s="231" t="s">
        <v>1393</v>
      </c>
      <c r="K345" s="231" t="s">
        <v>1394</v>
      </c>
      <c r="L345" s="232">
        <v>45170</v>
      </c>
      <c r="M345" s="232">
        <v>45199</v>
      </c>
    </row>
    <row r="346" spans="1:13" ht="14.25" customHeight="1" x14ac:dyDescent="0.2">
      <c r="A346" s="231" t="s">
        <v>8</v>
      </c>
      <c r="B346" s="230">
        <v>113445</v>
      </c>
      <c r="C346" s="230">
        <v>10757</v>
      </c>
      <c r="D346" s="231" t="s">
        <v>785</v>
      </c>
      <c r="E346" s="230">
        <v>14491032</v>
      </c>
      <c r="F346" s="230">
        <v>31324</v>
      </c>
      <c r="G346" s="230">
        <v>1</v>
      </c>
      <c r="H346" s="240">
        <v>359.46</v>
      </c>
      <c r="I346" s="240">
        <f t="shared" si="5"/>
        <v>359.46</v>
      </c>
      <c r="J346" s="231" t="s">
        <v>1393</v>
      </c>
      <c r="K346" s="231" t="s">
        <v>1394</v>
      </c>
      <c r="L346" s="232">
        <v>45170</v>
      </c>
      <c r="M346" s="232">
        <v>45199</v>
      </c>
    </row>
    <row r="347" spans="1:13" ht="14.25" customHeight="1" x14ac:dyDescent="0.2">
      <c r="A347" s="231" t="s">
        <v>8</v>
      </c>
      <c r="B347" s="230">
        <v>113455</v>
      </c>
      <c r="C347" s="230">
        <v>10757</v>
      </c>
      <c r="D347" s="231" t="s">
        <v>789</v>
      </c>
      <c r="E347" s="230">
        <v>14491032</v>
      </c>
      <c r="F347" s="230">
        <v>31344</v>
      </c>
      <c r="G347" s="230">
        <v>1</v>
      </c>
      <c r="H347" s="240">
        <v>359.46</v>
      </c>
      <c r="I347" s="240">
        <f t="shared" si="5"/>
        <v>359.46</v>
      </c>
      <c r="J347" s="231" t="s">
        <v>1393</v>
      </c>
      <c r="K347" s="231" t="s">
        <v>1394</v>
      </c>
      <c r="L347" s="232">
        <v>45170</v>
      </c>
      <c r="M347" s="232">
        <v>45199</v>
      </c>
    </row>
    <row r="348" spans="1:13" ht="14.25" customHeight="1" x14ac:dyDescent="0.2">
      <c r="A348" s="231" t="s">
        <v>8</v>
      </c>
      <c r="B348" s="230">
        <v>113474</v>
      </c>
      <c r="C348" s="230">
        <v>10757</v>
      </c>
      <c r="D348" s="231" t="s">
        <v>801</v>
      </c>
      <c r="E348" s="230">
        <v>14491032</v>
      </c>
      <c r="F348" s="230">
        <v>31382</v>
      </c>
      <c r="G348" s="230">
        <v>1</v>
      </c>
      <c r="H348" s="240">
        <v>359.46</v>
      </c>
      <c r="I348" s="240">
        <f t="shared" si="5"/>
        <v>359.46</v>
      </c>
      <c r="J348" s="231" t="s">
        <v>1393</v>
      </c>
      <c r="K348" s="231" t="s">
        <v>1394</v>
      </c>
      <c r="L348" s="232">
        <v>45170</v>
      </c>
      <c r="M348" s="232">
        <v>45199</v>
      </c>
    </row>
    <row r="349" spans="1:13" ht="14.25" customHeight="1" x14ac:dyDescent="0.2">
      <c r="A349" s="231" t="s">
        <v>8</v>
      </c>
      <c r="B349" s="230">
        <v>113512</v>
      </c>
      <c r="C349" s="230">
        <v>10757</v>
      </c>
      <c r="D349" s="231" t="s">
        <v>820</v>
      </c>
      <c r="E349" s="230">
        <v>14491032</v>
      </c>
      <c r="F349" s="230">
        <v>31458</v>
      </c>
      <c r="G349" s="230">
        <v>1</v>
      </c>
      <c r="H349" s="240">
        <v>359.46</v>
      </c>
      <c r="I349" s="240">
        <f t="shared" si="5"/>
        <v>359.46</v>
      </c>
      <c r="J349" s="231" t="s">
        <v>1393</v>
      </c>
      <c r="K349" s="231" t="s">
        <v>1394</v>
      </c>
      <c r="L349" s="232">
        <v>45170</v>
      </c>
      <c r="M349" s="232">
        <v>45199</v>
      </c>
    </row>
    <row r="350" spans="1:13" ht="14.25" customHeight="1" x14ac:dyDescent="0.2">
      <c r="A350" s="231" t="s">
        <v>8</v>
      </c>
      <c r="B350" s="230">
        <v>113545</v>
      </c>
      <c r="C350" s="230">
        <v>10750</v>
      </c>
      <c r="D350" s="231" t="s">
        <v>839</v>
      </c>
      <c r="E350" s="230">
        <v>14491032</v>
      </c>
      <c r="F350" s="230">
        <v>31524</v>
      </c>
      <c r="G350" s="230">
        <v>1</v>
      </c>
      <c r="H350" s="240">
        <v>359.46</v>
      </c>
      <c r="I350" s="240">
        <f t="shared" si="5"/>
        <v>359.46</v>
      </c>
      <c r="J350" s="231" t="s">
        <v>1393</v>
      </c>
      <c r="K350" s="231" t="s">
        <v>1394</v>
      </c>
      <c r="L350" s="232">
        <v>45170</v>
      </c>
      <c r="M350" s="232">
        <v>45199</v>
      </c>
    </row>
    <row r="351" spans="1:13" ht="14.25" customHeight="1" x14ac:dyDescent="0.2">
      <c r="A351" s="231" t="s">
        <v>8</v>
      </c>
      <c r="B351" s="230">
        <v>113547</v>
      </c>
      <c r="C351" s="230">
        <v>10771</v>
      </c>
      <c r="D351" s="231" t="s">
        <v>841</v>
      </c>
      <c r="E351" s="230">
        <v>14491032</v>
      </c>
      <c r="F351" s="230">
        <v>31528</v>
      </c>
      <c r="G351" s="230">
        <v>1</v>
      </c>
      <c r="H351" s="240">
        <v>359.46</v>
      </c>
      <c r="I351" s="240">
        <f t="shared" si="5"/>
        <v>359.46</v>
      </c>
      <c r="J351" s="231" t="s">
        <v>1393</v>
      </c>
      <c r="K351" s="231" t="s">
        <v>1394</v>
      </c>
      <c r="L351" s="232">
        <v>45170</v>
      </c>
      <c r="M351" s="232">
        <v>45199</v>
      </c>
    </row>
    <row r="352" spans="1:13" ht="14.25" customHeight="1" x14ac:dyDescent="0.2">
      <c r="A352" s="231" t="s">
        <v>8</v>
      </c>
      <c r="B352" s="230">
        <v>113553</v>
      </c>
      <c r="C352" s="230">
        <v>10750</v>
      </c>
      <c r="D352" s="231" t="s">
        <v>847</v>
      </c>
      <c r="E352" s="230">
        <v>14491032</v>
      </c>
      <c r="F352" s="230">
        <v>31540</v>
      </c>
      <c r="G352" s="230">
        <v>1</v>
      </c>
      <c r="H352" s="240">
        <v>359.46</v>
      </c>
      <c r="I352" s="240">
        <f t="shared" si="5"/>
        <v>359.46</v>
      </c>
      <c r="J352" s="231" t="s">
        <v>1393</v>
      </c>
      <c r="K352" s="231" t="s">
        <v>1394</v>
      </c>
      <c r="L352" s="232">
        <v>45170</v>
      </c>
      <c r="M352" s="232">
        <v>45199</v>
      </c>
    </row>
    <row r="353" spans="1:13" ht="14.25" customHeight="1" x14ac:dyDescent="0.2">
      <c r="A353" s="231" t="s">
        <v>8</v>
      </c>
      <c r="B353" s="230">
        <v>113573</v>
      </c>
      <c r="C353" s="230">
        <v>10750</v>
      </c>
      <c r="D353" s="231" t="s">
        <v>856</v>
      </c>
      <c r="E353" s="230">
        <v>14491032</v>
      </c>
      <c r="F353" s="230">
        <v>31580</v>
      </c>
      <c r="G353" s="230">
        <v>1</v>
      </c>
      <c r="H353" s="240">
        <v>359.46</v>
      </c>
      <c r="I353" s="240">
        <f t="shared" si="5"/>
        <v>359.46</v>
      </c>
      <c r="J353" s="231" t="s">
        <v>1393</v>
      </c>
      <c r="K353" s="231" t="s">
        <v>1394</v>
      </c>
      <c r="L353" s="232">
        <v>45170</v>
      </c>
      <c r="M353" s="232">
        <v>45199</v>
      </c>
    </row>
    <row r="354" spans="1:13" ht="14.25" customHeight="1" x14ac:dyDescent="0.2">
      <c r="A354" s="231" t="s">
        <v>8</v>
      </c>
      <c r="B354" s="230">
        <v>113579</v>
      </c>
      <c r="C354" s="230">
        <v>10750</v>
      </c>
      <c r="D354" s="231" t="s">
        <v>858</v>
      </c>
      <c r="E354" s="230">
        <v>14491032</v>
      </c>
      <c r="F354" s="230">
        <v>31592</v>
      </c>
      <c r="G354" s="230">
        <v>1</v>
      </c>
      <c r="H354" s="240">
        <v>359.46</v>
      </c>
      <c r="I354" s="240">
        <f t="shared" si="5"/>
        <v>359.46</v>
      </c>
      <c r="J354" s="231" t="s">
        <v>1393</v>
      </c>
      <c r="K354" s="231" t="s">
        <v>1394</v>
      </c>
      <c r="L354" s="232">
        <v>45170</v>
      </c>
      <c r="M354" s="232">
        <v>45199</v>
      </c>
    </row>
    <row r="355" spans="1:13" ht="14.25" customHeight="1" x14ac:dyDescent="0.2">
      <c r="A355" s="231" t="s">
        <v>8</v>
      </c>
      <c r="B355" s="230">
        <v>113588</v>
      </c>
      <c r="C355" s="230">
        <v>10750</v>
      </c>
      <c r="D355" s="231" t="s">
        <v>864</v>
      </c>
      <c r="E355" s="230">
        <v>14491032</v>
      </c>
      <c r="F355" s="230">
        <v>31610</v>
      </c>
      <c r="G355" s="230">
        <v>1</v>
      </c>
      <c r="H355" s="240">
        <v>359.46</v>
      </c>
      <c r="I355" s="240">
        <f t="shared" si="5"/>
        <v>359.46</v>
      </c>
      <c r="J355" s="231" t="s">
        <v>1393</v>
      </c>
      <c r="K355" s="231" t="s">
        <v>1394</v>
      </c>
      <c r="L355" s="232">
        <v>45170</v>
      </c>
      <c r="M355" s="232">
        <v>45199</v>
      </c>
    </row>
    <row r="356" spans="1:13" ht="14.25" customHeight="1" x14ac:dyDescent="0.2">
      <c r="A356" s="231" t="s">
        <v>8</v>
      </c>
      <c r="B356" s="230">
        <v>113597</v>
      </c>
      <c r="C356" s="230">
        <v>10754</v>
      </c>
      <c r="D356" s="231" t="s">
        <v>868</v>
      </c>
      <c r="E356" s="230">
        <v>14491032</v>
      </c>
      <c r="F356" s="230">
        <v>31628</v>
      </c>
      <c r="G356" s="230">
        <v>1</v>
      </c>
      <c r="H356" s="240">
        <v>359.46</v>
      </c>
      <c r="I356" s="240">
        <f t="shared" si="5"/>
        <v>359.46</v>
      </c>
      <c r="J356" s="231" t="s">
        <v>1393</v>
      </c>
      <c r="K356" s="231" t="s">
        <v>1394</v>
      </c>
      <c r="L356" s="232">
        <v>45170</v>
      </c>
      <c r="M356" s="232">
        <v>45199</v>
      </c>
    </row>
    <row r="357" spans="1:13" ht="14.25" customHeight="1" x14ac:dyDescent="0.2">
      <c r="A357" s="231" t="s">
        <v>8</v>
      </c>
      <c r="B357" s="230">
        <v>113603</v>
      </c>
      <c r="C357" s="230">
        <v>10756</v>
      </c>
      <c r="D357" s="231" t="s">
        <v>871</v>
      </c>
      <c r="E357" s="230">
        <v>14491032</v>
      </c>
      <c r="F357" s="230">
        <v>31640</v>
      </c>
      <c r="G357" s="230">
        <v>1</v>
      </c>
      <c r="H357" s="240">
        <v>347.47</v>
      </c>
      <c r="I357" s="240">
        <f t="shared" si="5"/>
        <v>347.47</v>
      </c>
      <c r="J357" s="231" t="s">
        <v>1393</v>
      </c>
      <c r="K357" s="231" t="s">
        <v>1394</v>
      </c>
      <c r="L357" s="232">
        <v>45170</v>
      </c>
      <c r="M357" s="232">
        <v>45199</v>
      </c>
    </row>
    <row r="358" spans="1:13" ht="14.25" customHeight="1" x14ac:dyDescent="0.2">
      <c r="A358" s="231" t="s">
        <v>8</v>
      </c>
      <c r="B358" s="230">
        <v>113612</v>
      </c>
      <c r="C358" s="230">
        <v>10751</v>
      </c>
      <c r="D358" s="231" t="s">
        <v>876</v>
      </c>
      <c r="E358" s="230">
        <v>14491032</v>
      </c>
      <c r="F358" s="230">
        <v>31658</v>
      </c>
      <c r="G358" s="230">
        <v>1</v>
      </c>
      <c r="H358" s="240">
        <v>359.46</v>
      </c>
      <c r="I358" s="240">
        <f t="shared" si="5"/>
        <v>359.46</v>
      </c>
      <c r="J358" s="231" t="s">
        <v>1393</v>
      </c>
      <c r="K358" s="231" t="s">
        <v>1394</v>
      </c>
      <c r="L358" s="232">
        <v>45170</v>
      </c>
      <c r="M358" s="232">
        <v>45199</v>
      </c>
    </row>
    <row r="359" spans="1:13" ht="14.25" customHeight="1" x14ac:dyDescent="0.2">
      <c r="A359" s="231" t="s">
        <v>8</v>
      </c>
      <c r="B359" s="230">
        <v>113619</v>
      </c>
      <c r="C359" s="230">
        <v>10757</v>
      </c>
      <c r="D359" s="231" t="s">
        <v>879</v>
      </c>
      <c r="E359" s="230">
        <v>14491032</v>
      </c>
      <c r="F359" s="230">
        <v>31672</v>
      </c>
      <c r="G359" s="230">
        <v>1</v>
      </c>
      <c r="H359" s="240">
        <v>359.46</v>
      </c>
      <c r="I359" s="240">
        <f t="shared" si="5"/>
        <v>359.46</v>
      </c>
      <c r="J359" s="231" t="s">
        <v>1393</v>
      </c>
      <c r="K359" s="231" t="s">
        <v>1394</v>
      </c>
      <c r="L359" s="232">
        <v>45170</v>
      </c>
      <c r="M359" s="232">
        <v>45199</v>
      </c>
    </row>
    <row r="360" spans="1:13" ht="14.25" customHeight="1" x14ac:dyDescent="0.2">
      <c r="A360" s="231" t="s">
        <v>8</v>
      </c>
      <c r="B360" s="230">
        <v>113638</v>
      </c>
      <c r="C360" s="230">
        <v>10771</v>
      </c>
      <c r="D360" s="231" t="s">
        <v>892</v>
      </c>
      <c r="E360" s="230">
        <v>14491032</v>
      </c>
      <c r="F360" s="230">
        <v>31710</v>
      </c>
      <c r="G360" s="230">
        <v>1</v>
      </c>
      <c r="H360" s="240">
        <v>359.46</v>
      </c>
      <c r="I360" s="240">
        <f t="shared" si="5"/>
        <v>359.46</v>
      </c>
      <c r="J360" s="231" t="s">
        <v>1393</v>
      </c>
      <c r="K360" s="231" t="s">
        <v>1394</v>
      </c>
      <c r="L360" s="232">
        <v>45170</v>
      </c>
      <c r="M360" s="232">
        <v>45199</v>
      </c>
    </row>
    <row r="361" spans="1:13" ht="14.25" customHeight="1" x14ac:dyDescent="0.2">
      <c r="A361" s="231" t="s">
        <v>8</v>
      </c>
      <c r="B361" s="230">
        <v>113661</v>
      </c>
      <c r="C361" s="230">
        <v>10750</v>
      </c>
      <c r="D361" s="231" t="s">
        <v>903</v>
      </c>
      <c r="E361" s="230">
        <v>14491032</v>
      </c>
      <c r="F361" s="230">
        <v>31756</v>
      </c>
      <c r="G361" s="230">
        <v>1</v>
      </c>
      <c r="H361" s="240">
        <v>359.46</v>
      </c>
      <c r="I361" s="240">
        <f t="shared" si="5"/>
        <v>359.46</v>
      </c>
      <c r="J361" s="231" t="s">
        <v>1393</v>
      </c>
      <c r="K361" s="231" t="s">
        <v>1394</v>
      </c>
      <c r="L361" s="232">
        <v>45170</v>
      </c>
      <c r="M361" s="232">
        <v>45199</v>
      </c>
    </row>
    <row r="362" spans="1:13" ht="14.25" customHeight="1" x14ac:dyDescent="0.2">
      <c r="A362" s="231" t="s">
        <v>8</v>
      </c>
      <c r="B362" s="230">
        <v>113671</v>
      </c>
      <c r="C362" s="230">
        <v>10766</v>
      </c>
      <c r="D362" s="231" t="s">
        <v>910</v>
      </c>
      <c r="E362" s="230">
        <v>14491032</v>
      </c>
      <c r="F362" s="230">
        <v>31776</v>
      </c>
      <c r="G362" s="230">
        <v>1</v>
      </c>
      <c r="H362" s="240">
        <v>359.46</v>
      </c>
      <c r="I362" s="240">
        <f t="shared" si="5"/>
        <v>359.46</v>
      </c>
      <c r="J362" s="231" t="s">
        <v>1393</v>
      </c>
      <c r="K362" s="231" t="s">
        <v>1394</v>
      </c>
      <c r="L362" s="232">
        <v>45170</v>
      </c>
      <c r="M362" s="232">
        <v>45199</v>
      </c>
    </row>
    <row r="363" spans="1:13" ht="14.25" customHeight="1" x14ac:dyDescent="0.2">
      <c r="A363" s="231" t="s">
        <v>8</v>
      </c>
      <c r="B363" s="230">
        <v>113674</v>
      </c>
      <c r="C363" s="230">
        <v>10754</v>
      </c>
      <c r="D363" s="231" t="s">
        <v>1337</v>
      </c>
      <c r="E363" s="230">
        <v>14491032</v>
      </c>
      <c r="F363" s="230">
        <v>31782</v>
      </c>
      <c r="G363" s="230">
        <v>1</v>
      </c>
      <c r="H363" s="240">
        <v>359.46</v>
      </c>
      <c r="I363" s="240">
        <f t="shared" si="5"/>
        <v>359.46</v>
      </c>
      <c r="J363" s="231" t="s">
        <v>1393</v>
      </c>
      <c r="K363" s="231" t="s">
        <v>1394</v>
      </c>
      <c r="L363" s="232">
        <v>45170</v>
      </c>
      <c r="M363" s="232">
        <v>45199</v>
      </c>
    </row>
    <row r="364" spans="1:13" ht="14.25" customHeight="1" x14ac:dyDescent="0.2">
      <c r="A364" s="231" t="s">
        <v>8</v>
      </c>
      <c r="B364" s="230">
        <v>113689</v>
      </c>
      <c r="C364" s="230">
        <v>10751</v>
      </c>
      <c r="D364" s="231" t="s">
        <v>1384</v>
      </c>
      <c r="E364" s="230">
        <v>14491032</v>
      </c>
      <c r="F364" s="230">
        <v>31812</v>
      </c>
      <c r="G364" s="230">
        <v>1</v>
      </c>
      <c r="H364" s="240">
        <v>359.46</v>
      </c>
      <c r="I364" s="240">
        <f t="shared" si="5"/>
        <v>359.46</v>
      </c>
      <c r="J364" s="231" t="s">
        <v>1393</v>
      </c>
      <c r="K364" s="231" t="s">
        <v>1394</v>
      </c>
      <c r="L364" s="232">
        <v>45170</v>
      </c>
      <c r="M364" s="232">
        <v>45199</v>
      </c>
    </row>
    <row r="365" spans="1:13" ht="14.25" customHeight="1" x14ac:dyDescent="0.2">
      <c r="A365" s="231" t="s">
        <v>8</v>
      </c>
      <c r="B365" s="230">
        <v>113690</v>
      </c>
      <c r="C365" s="230">
        <v>10750</v>
      </c>
      <c r="D365" s="231" t="s">
        <v>920</v>
      </c>
      <c r="E365" s="230">
        <v>14491032</v>
      </c>
      <c r="F365" s="230">
        <v>31814</v>
      </c>
      <c r="G365" s="230">
        <v>1</v>
      </c>
      <c r="H365" s="240">
        <v>359.46</v>
      </c>
      <c r="I365" s="240">
        <f t="shared" si="5"/>
        <v>359.46</v>
      </c>
      <c r="J365" s="231" t="s">
        <v>1393</v>
      </c>
      <c r="K365" s="231" t="s">
        <v>1394</v>
      </c>
      <c r="L365" s="232">
        <v>45170</v>
      </c>
      <c r="M365" s="232">
        <v>45199</v>
      </c>
    </row>
    <row r="366" spans="1:13" ht="14.25" customHeight="1" x14ac:dyDescent="0.2">
      <c r="A366" s="231" t="s">
        <v>8</v>
      </c>
      <c r="B366" s="230">
        <v>113699</v>
      </c>
      <c r="C366" s="230">
        <v>10750</v>
      </c>
      <c r="D366" s="231" t="s">
        <v>1319</v>
      </c>
      <c r="E366" s="230">
        <v>14491032</v>
      </c>
      <c r="F366" s="230">
        <v>31832</v>
      </c>
      <c r="G366" s="230">
        <v>1</v>
      </c>
      <c r="H366" s="240">
        <v>359.46</v>
      </c>
      <c r="I366" s="240">
        <f t="shared" si="5"/>
        <v>359.46</v>
      </c>
      <c r="J366" s="231" t="s">
        <v>1393</v>
      </c>
      <c r="K366" s="231" t="s">
        <v>1394</v>
      </c>
      <c r="L366" s="232">
        <v>45170</v>
      </c>
      <c r="M366" s="232">
        <v>45199</v>
      </c>
    </row>
    <row r="367" spans="1:13" ht="14.25" customHeight="1" x14ac:dyDescent="0.2">
      <c r="A367" s="231" t="s">
        <v>8</v>
      </c>
      <c r="B367" s="230">
        <v>113704</v>
      </c>
      <c r="C367" s="230">
        <v>10750</v>
      </c>
      <c r="D367" s="231" t="s">
        <v>927</v>
      </c>
      <c r="E367" s="230">
        <v>14491032</v>
      </c>
      <c r="F367" s="230">
        <v>31842</v>
      </c>
      <c r="G367" s="230">
        <v>1</v>
      </c>
      <c r="H367" s="240">
        <v>359.46</v>
      </c>
      <c r="I367" s="240">
        <f t="shared" si="5"/>
        <v>359.46</v>
      </c>
      <c r="J367" s="231" t="s">
        <v>1393</v>
      </c>
      <c r="K367" s="231" t="s">
        <v>1394</v>
      </c>
      <c r="L367" s="232">
        <v>45170</v>
      </c>
      <c r="M367" s="232">
        <v>45199</v>
      </c>
    </row>
    <row r="368" spans="1:13" ht="14.25" customHeight="1" x14ac:dyDescent="0.2">
      <c r="A368" s="231" t="s">
        <v>8</v>
      </c>
      <c r="B368" s="230">
        <v>113721</v>
      </c>
      <c r="C368" s="230">
        <v>10773</v>
      </c>
      <c r="D368" s="231" t="s">
        <v>938</v>
      </c>
      <c r="E368" s="230">
        <v>14491032</v>
      </c>
      <c r="F368" s="230">
        <v>31876</v>
      </c>
      <c r="G368" s="230">
        <v>1</v>
      </c>
      <c r="H368" s="240">
        <v>359.46</v>
      </c>
      <c r="I368" s="240">
        <f t="shared" si="5"/>
        <v>359.46</v>
      </c>
      <c r="J368" s="231" t="s">
        <v>1393</v>
      </c>
      <c r="K368" s="231" t="s">
        <v>1394</v>
      </c>
      <c r="L368" s="232">
        <v>45170</v>
      </c>
      <c r="M368" s="232">
        <v>45199</v>
      </c>
    </row>
    <row r="369" spans="1:13" ht="14.25" customHeight="1" x14ac:dyDescent="0.2">
      <c r="A369" s="231" t="s">
        <v>8</v>
      </c>
      <c r="B369" s="230">
        <v>114030</v>
      </c>
      <c r="C369" s="230">
        <v>10757</v>
      </c>
      <c r="D369" s="231" t="s">
        <v>999</v>
      </c>
      <c r="E369" s="230">
        <v>14491032</v>
      </c>
      <c r="F369" s="230">
        <v>34124</v>
      </c>
      <c r="G369" s="230">
        <v>1</v>
      </c>
      <c r="H369" s="240">
        <v>359.46</v>
      </c>
      <c r="I369" s="240">
        <f t="shared" si="5"/>
        <v>359.46</v>
      </c>
      <c r="J369" s="231" t="s">
        <v>1393</v>
      </c>
      <c r="K369" s="231" t="s">
        <v>1394</v>
      </c>
      <c r="L369" s="232">
        <v>45170</v>
      </c>
      <c r="M369" s="232">
        <v>45199</v>
      </c>
    </row>
    <row r="370" spans="1:13" ht="14.25" customHeight="1" x14ac:dyDescent="0.2">
      <c r="A370" s="231" t="s">
        <v>8</v>
      </c>
      <c r="B370" s="230">
        <v>114039</v>
      </c>
      <c r="C370" s="230">
        <v>10757</v>
      </c>
      <c r="D370" s="231" t="s">
        <v>1002</v>
      </c>
      <c r="E370" s="230">
        <v>14491032</v>
      </c>
      <c r="F370" s="230">
        <v>34220</v>
      </c>
      <c r="G370" s="230">
        <v>1</v>
      </c>
      <c r="H370" s="240">
        <v>359.46</v>
      </c>
      <c r="I370" s="240">
        <f t="shared" si="5"/>
        <v>359.46</v>
      </c>
      <c r="J370" s="231" t="s">
        <v>1393</v>
      </c>
      <c r="K370" s="231" t="s">
        <v>1394</v>
      </c>
      <c r="L370" s="232">
        <v>45170</v>
      </c>
      <c r="M370" s="232">
        <v>45199</v>
      </c>
    </row>
    <row r="371" spans="1:13" ht="14.25" customHeight="1" x14ac:dyDescent="0.2">
      <c r="A371" s="231" t="s">
        <v>8</v>
      </c>
      <c r="B371" s="230">
        <v>114093</v>
      </c>
      <c r="C371" s="230">
        <v>10757</v>
      </c>
      <c r="D371" s="231" t="s">
        <v>1005</v>
      </c>
      <c r="E371" s="230">
        <v>14491032</v>
      </c>
      <c r="F371" s="230">
        <v>34338</v>
      </c>
      <c r="G371" s="230">
        <v>1</v>
      </c>
      <c r="H371" s="240">
        <v>359.46</v>
      </c>
      <c r="I371" s="240">
        <f t="shared" si="5"/>
        <v>359.46</v>
      </c>
      <c r="J371" s="231" t="s">
        <v>1393</v>
      </c>
      <c r="K371" s="231" t="s">
        <v>1394</v>
      </c>
      <c r="L371" s="232">
        <v>45170</v>
      </c>
      <c r="M371" s="232">
        <v>45199</v>
      </c>
    </row>
    <row r="372" spans="1:13" ht="14.25" customHeight="1" x14ac:dyDescent="0.2">
      <c r="A372" s="231" t="s">
        <v>8</v>
      </c>
      <c r="B372" s="230">
        <v>114094</v>
      </c>
      <c r="C372" s="230">
        <v>10757</v>
      </c>
      <c r="D372" s="231" t="s">
        <v>1006</v>
      </c>
      <c r="E372" s="230">
        <v>14491032</v>
      </c>
      <c r="F372" s="230">
        <v>34340</v>
      </c>
      <c r="G372" s="230">
        <v>1</v>
      </c>
      <c r="H372" s="240">
        <v>359.46</v>
      </c>
      <c r="I372" s="240">
        <f t="shared" si="5"/>
        <v>359.46</v>
      </c>
      <c r="J372" s="231" t="s">
        <v>1393</v>
      </c>
      <c r="K372" s="231" t="s">
        <v>1394</v>
      </c>
      <c r="L372" s="232">
        <v>45170</v>
      </c>
      <c r="M372" s="232">
        <v>45199</v>
      </c>
    </row>
    <row r="373" spans="1:13" ht="14.25" customHeight="1" x14ac:dyDescent="0.2">
      <c r="A373" s="231" t="s">
        <v>8</v>
      </c>
      <c r="B373" s="230">
        <v>114108</v>
      </c>
      <c r="C373" s="230">
        <v>10758</v>
      </c>
      <c r="D373" s="231" t="s">
        <v>1012</v>
      </c>
      <c r="E373" s="230">
        <v>14491032</v>
      </c>
      <c r="F373" s="230">
        <v>34365</v>
      </c>
      <c r="G373" s="230">
        <v>1</v>
      </c>
      <c r="H373" s="240">
        <v>359.46</v>
      </c>
      <c r="I373" s="240">
        <f t="shared" si="5"/>
        <v>359.46</v>
      </c>
      <c r="J373" s="231" t="s">
        <v>1393</v>
      </c>
      <c r="K373" s="231" t="s">
        <v>1394</v>
      </c>
      <c r="L373" s="232">
        <v>45170</v>
      </c>
      <c r="M373" s="232">
        <v>45199</v>
      </c>
    </row>
    <row r="374" spans="1:13" ht="14.25" customHeight="1" x14ac:dyDescent="0.2">
      <c r="A374" s="231" t="s">
        <v>8</v>
      </c>
      <c r="B374" s="230">
        <v>114110</v>
      </c>
      <c r="C374" s="230">
        <v>10757</v>
      </c>
      <c r="D374" s="231" t="s">
        <v>1013</v>
      </c>
      <c r="E374" s="230">
        <v>14491032</v>
      </c>
      <c r="F374" s="230">
        <v>34369</v>
      </c>
      <c r="G374" s="230">
        <v>1</v>
      </c>
      <c r="H374" s="240">
        <v>359.46</v>
      </c>
      <c r="I374" s="240">
        <f t="shared" si="5"/>
        <v>359.46</v>
      </c>
      <c r="J374" s="231" t="s">
        <v>1393</v>
      </c>
      <c r="K374" s="231" t="s">
        <v>1394</v>
      </c>
      <c r="L374" s="232">
        <v>45170</v>
      </c>
      <c r="M374" s="232">
        <v>45199</v>
      </c>
    </row>
    <row r="375" spans="1:13" ht="14.25" customHeight="1" x14ac:dyDescent="0.2">
      <c r="A375" s="231" t="s">
        <v>8</v>
      </c>
      <c r="B375" s="230">
        <v>114537</v>
      </c>
      <c r="C375" s="230">
        <v>10757</v>
      </c>
      <c r="D375" s="231" t="s">
        <v>1054</v>
      </c>
      <c r="E375" s="230">
        <v>14491032</v>
      </c>
      <c r="F375" s="230">
        <v>36349</v>
      </c>
      <c r="G375" s="230">
        <v>1</v>
      </c>
      <c r="H375" s="240">
        <v>359.46</v>
      </c>
      <c r="I375" s="240">
        <f t="shared" si="5"/>
        <v>359.46</v>
      </c>
      <c r="J375" s="231" t="s">
        <v>1393</v>
      </c>
      <c r="K375" s="231" t="s">
        <v>1394</v>
      </c>
      <c r="L375" s="232">
        <v>45170</v>
      </c>
      <c r="M375" s="232">
        <v>45199</v>
      </c>
    </row>
    <row r="376" spans="1:13" ht="14.25" customHeight="1" x14ac:dyDescent="0.2">
      <c r="A376" s="231" t="s">
        <v>8</v>
      </c>
      <c r="B376" s="230">
        <v>114546</v>
      </c>
      <c r="C376" s="230">
        <v>10750</v>
      </c>
      <c r="D376" s="231" t="s">
        <v>1057</v>
      </c>
      <c r="E376" s="230">
        <v>14491032</v>
      </c>
      <c r="F376" s="230">
        <v>36369</v>
      </c>
      <c r="G376" s="230">
        <v>1</v>
      </c>
      <c r="H376" s="240">
        <v>359.46</v>
      </c>
      <c r="I376" s="240">
        <f t="shared" si="5"/>
        <v>359.46</v>
      </c>
      <c r="J376" s="231" t="s">
        <v>1393</v>
      </c>
      <c r="K376" s="231" t="s">
        <v>1394</v>
      </c>
      <c r="L376" s="232">
        <v>45170</v>
      </c>
      <c r="M376" s="232">
        <v>45199</v>
      </c>
    </row>
    <row r="377" spans="1:13" ht="14.25" customHeight="1" x14ac:dyDescent="0.2">
      <c r="A377" s="231" t="s">
        <v>8</v>
      </c>
      <c r="B377" s="230">
        <v>114547</v>
      </c>
      <c r="C377" s="230">
        <v>10750</v>
      </c>
      <c r="D377" s="231" t="s">
        <v>1058</v>
      </c>
      <c r="E377" s="230">
        <v>14491032</v>
      </c>
      <c r="F377" s="230">
        <v>36371</v>
      </c>
      <c r="G377" s="230">
        <v>1</v>
      </c>
      <c r="H377" s="240">
        <v>287.56</v>
      </c>
      <c r="I377" s="240">
        <f t="shared" si="5"/>
        <v>287.56</v>
      </c>
      <c r="J377" s="231" t="s">
        <v>1393</v>
      </c>
      <c r="K377" s="231" t="s">
        <v>1394</v>
      </c>
      <c r="L377" s="232">
        <v>45170</v>
      </c>
      <c r="M377" s="232">
        <v>45199</v>
      </c>
    </row>
    <row r="378" spans="1:13" ht="14.25" customHeight="1" x14ac:dyDescent="0.2">
      <c r="A378" s="231" t="s">
        <v>8</v>
      </c>
      <c r="B378" s="230">
        <v>114554</v>
      </c>
      <c r="C378" s="230">
        <v>10757</v>
      </c>
      <c r="D378" s="231" t="s">
        <v>1061</v>
      </c>
      <c r="E378" s="230">
        <v>14491032</v>
      </c>
      <c r="F378" s="230">
        <v>36385</v>
      </c>
      <c r="G378" s="230">
        <v>1</v>
      </c>
      <c r="H378" s="240">
        <v>347.47</v>
      </c>
      <c r="I378" s="240">
        <f t="shared" si="5"/>
        <v>347.47</v>
      </c>
      <c r="J378" s="231" t="s">
        <v>1393</v>
      </c>
      <c r="K378" s="231" t="s">
        <v>1394</v>
      </c>
      <c r="L378" s="232">
        <v>45170</v>
      </c>
      <c r="M378" s="232">
        <v>45199</v>
      </c>
    </row>
    <row r="379" spans="1:13" ht="14.25" customHeight="1" x14ac:dyDescent="0.2">
      <c r="A379" s="231" t="s">
        <v>8</v>
      </c>
      <c r="B379" s="230">
        <v>114729</v>
      </c>
      <c r="C379" s="230">
        <v>10750</v>
      </c>
      <c r="D379" s="231" t="s">
        <v>1084</v>
      </c>
      <c r="E379" s="230">
        <v>14491032</v>
      </c>
      <c r="F379" s="230">
        <v>36906</v>
      </c>
      <c r="G379" s="230">
        <v>1</v>
      </c>
      <c r="H379" s="240">
        <v>359.46</v>
      </c>
      <c r="I379" s="240">
        <f t="shared" si="5"/>
        <v>359.46</v>
      </c>
      <c r="J379" s="231" t="s">
        <v>1393</v>
      </c>
      <c r="K379" s="231" t="s">
        <v>1394</v>
      </c>
      <c r="L379" s="232">
        <v>45170</v>
      </c>
      <c r="M379" s="232">
        <v>45199</v>
      </c>
    </row>
    <row r="380" spans="1:13" ht="14.25" customHeight="1" x14ac:dyDescent="0.2">
      <c r="A380" s="231" t="s">
        <v>8</v>
      </c>
      <c r="B380" s="230">
        <v>114746</v>
      </c>
      <c r="C380" s="230">
        <v>10750</v>
      </c>
      <c r="D380" s="231" t="s">
        <v>1092</v>
      </c>
      <c r="E380" s="230">
        <v>14491032</v>
      </c>
      <c r="F380" s="230">
        <v>36940</v>
      </c>
      <c r="G380" s="230">
        <v>1</v>
      </c>
      <c r="H380" s="240">
        <v>359.46</v>
      </c>
      <c r="I380" s="240">
        <f t="shared" si="5"/>
        <v>359.46</v>
      </c>
      <c r="J380" s="231" t="s">
        <v>1393</v>
      </c>
      <c r="K380" s="231" t="s">
        <v>1394</v>
      </c>
      <c r="L380" s="232">
        <v>45170</v>
      </c>
      <c r="M380" s="232">
        <v>45199</v>
      </c>
    </row>
    <row r="381" spans="1:13" ht="14.25" customHeight="1" x14ac:dyDescent="0.2">
      <c r="A381" s="231" t="s">
        <v>8</v>
      </c>
      <c r="B381" s="230">
        <v>114938</v>
      </c>
      <c r="C381" s="230">
        <v>10766</v>
      </c>
      <c r="D381" s="231" t="s">
        <v>1123</v>
      </c>
      <c r="E381" s="230">
        <v>14491032</v>
      </c>
      <c r="F381" s="230">
        <v>37654</v>
      </c>
      <c r="G381" s="230">
        <v>1</v>
      </c>
      <c r="H381" s="240">
        <v>359.46</v>
      </c>
      <c r="I381" s="240">
        <f t="shared" si="5"/>
        <v>359.46</v>
      </c>
      <c r="J381" s="231" t="s">
        <v>1393</v>
      </c>
      <c r="K381" s="231" t="s">
        <v>1394</v>
      </c>
      <c r="L381" s="232">
        <v>45170</v>
      </c>
      <c r="M381" s="232">
        <v>45199</v>
      </c>
    </row>
    <row r="382" spans="1:13" ht="14.25" customHeight="1" x14ac:dyDescent="0.2">
      <c r="A382" s="231" t="s">
        <v>8</v>
      </c>
      <c r="B382" s="230">
        <v>115214</v>
      </c>
      <c r="C382" s="230">
        <v>10758</v>
      </c>
      <c r="D382" s="231" t="s">
        <v>1145</v>
      </c>
      <c r="E382" s="230">
        <v>14491032</v>
      </c>
      <c r="F382" s="230">
        <v>38473</v>
      </c>
      <c r="G382" s="230">
        <v>1</v>
      </c>
      <c r="H382" s="240">
        <v>359.46</v>
      </c>
      <c r="I382" s="240">
        <f t="shared" si="5"/>
        <v>359.46</v>
      </c>
      <c r="J382" s="231" t="s">
        <v>1393</v>
      </c>
      <c r="K382" s="231" t="s">
        <v>1394</v>
      </c>
      <c r="L382" s="232">
        <v>45170</v>
      </c>
      <c r="M382" s="232">
        <v>45199</v>
      </c>
    </row>
    <row r="383" spans="1:13" ht="14.25" customHeight="1" x14ac:dyDescent="0.2">
      <c r="A383" s="231" t="s">
        <v>8</v>
      </c>
      <c r="B383" s="230">
        <v>115216</v>
      </c>
      <c r="C383" s="230">
        <v>10766</v>
      </c>
      <c r="D383" s="231" t="s">
        <v>1146</v>
      </c>
      <c r="E383" s="230">
        <v>14491032</v>
      </c>
      <c r="F383" s="230">
        <v>38478</v>
      </c>
      <c r="G383" s="230">
        <v>1</v>
      </c>
      <c r="H383" s="240">
        <v>359.46</v>
      </c>
      <c r="I383" s="240">
        <f t="shared" si="5"/>
        <v>359.46</v>
      </c>
      <c r="J383" s="231" t="s">
        <v>1393</v>
      </c>
      <c r="K383" s="231" t="s">
        <v>1394</v>
      </c>
      <c r="L383" s="232">
        <v>45170</v>
      </c>
      <c r="M383" s="232">
        <v>45199</v>
      </c>
    </row>
    <row r="384" spans="1:13" ht="14.25" customHeight="1" x14ac:dyDescent="0.2">
      <c r="A384" s="231" t="s">
        <v>8</v>
      </c>
      <c r="B384" s="230">
        <v>115220</v>
      </c>
      <c r="C384" s="230">
        <v>10758</v>
      </c>
      <c r="D384" s="231" t="s">
        <v>1148</v>
      </c>
      <c r="E384" s="230">
        <v>14491032</v>
      </c>
      <c r="F384" s="230">
        <v>38488</v>
      </c>
      <c r="G384" s="230">
        <v>1</v>
      </c>
      <c r="H384" s="240">
        <v>359.46</v>
      </c>
      <c r="I384" s="240">
        <f t="shared" si="5"/>
        <v>359.46</v>
      </c>
      <c r="J384" s="231" t="s">
        <v>1393</v>
      </c>
      <c r="K384" s="231" t="s">
        <v>1394</v>
      </c>
      <c r="L384" s="232">
        <v>45170</v>
      </c>
      <c r="M384" s="232">
        <v>45199</v>
      </c>
    </row>
    <row r="385" spans="1:13" ht="14.25" customHeight="1" x14ac:dyDescent="0.2">
      <c r="A385" s="231" t="s">
        <v>8</v>
      </c>
      <c r="B385" s="230">
        <v>115408</v>
      </c>
      <c r="C385" s="230">
        <v>10757</v>
      </c>
      <c r="D385" s="231" t="s">
        <v>1161</v>
      </c>
      <c r="E385" s="230">
        <v>14491032</v>
      </c>
      <c r="F385" s="230">
        <v>39022</v>
      </c>
      <c r="G385" s="230">
        <v>1</v>
      </c>
      <c r="H385" s="240">
        <v>359.46</v>
      </c>
      <c r="I385" s="240">
        <f t="shared" si="5"/>
        <v>359.46</v>
      </c>
      <c r="J385" s="231" t="s">
        <v>1393</v>
      </c>
      <c r="K385" s="231" t="s">
        <v>1394</v>
      </c>
      <c r="L385" s="232">
        <v>45170</v>
      </c>
      <c r="M385" s="232">
        <v>45199</v>
      </c>
    </row>
    <row r="386" spans="1:13" ht="14.25" customHeight="1" x14ac:dyDescent="0.2">
      <c r="A386" s="231" t="s">
        <v>8</v>
      </c>
      <c r="B386" s="230">
        <v>116009</v>
      </c>
      <c r="C386" s="230">
        <v>10750</v>
      </c>
      <c r="D386" s="231" t="s">
        <v>81</v>
      </c>
      <c r="E386" s="230">
        <v>14491032</v>
      </c>
      <c r="F386" s="230">
        <v>40873</v>
      </c>
      <c r="G386" s="230">
        <v>1</v>
      </c>
      <c r="H386" s="240">
        <v>359.46</v>
      </c>
      <c r="I386" s="240">
        <f t="shared" si="5"/>
        <v>359.46</v>
      </c>
      <c r="J386" s="231" t="s">
        <v>1393</v>
      </c>
      <c r="K386" s="231" t="s">
        <v>1394</v>
      </c>
      <c r="L386" s="232">
        <v>45170</v>
      </c>
      <c r="M386" s="232">
        <v>45199</v>
      </c>
    </row>
    <row r="387" spans="1:13" ht="14.25" customHeight="1" x14ac:dyDescent="0.2">
      <c r="A387" s="231" t="s">
        <v>8</v>
      </c>
      <c r="B387" s="230">
        <v>116229</v>
      </c>
      <c r="C387" s="230">
        <v>10761</v>
      </c>
      <c r="D387" s="231" t="s">
        <v>1197</v>
      </c>
      <c r="E387" s="230">
        <v>14491032</v>
      </c>
      <c r="F387" s="230">
        <v>41565</v>
      </c>
      <c r="G387" s="230">
        <v>1</v>
      </c>
      <c r="H387" s="240">
        <v>359.46</v>
      </c>
      <c r="I387" s="240">
        <f t="shared" ref="I387:I450" si="6">G387*H387</f>
        <v>359.46</v>
      </c>
      <c r="J387" s="231" t="s">
        <v>1393</v>
      </c>
      <c r="K387" s="231" t="s">
        <v>1394</v>
      </c>
      <c r="L387" s="232">
        <v>45170</v>
      </c>
      <c r="M387" s="232">
        <v>45199</v>
      </c>
    </row>
    <row r="388" spans="1:13" ht="14.25" customHeight="1" x14ac:dyDescent="0.2">
      <c r="A388" s="231" t="s">
        <v>8</v>
      </c>
      <c r="B388" s="230">
        <v>116234</v>
      </c>
      <c r="C388" s="230">
        <v>10751</v>
      </c>
      <c r="D388" s="231" t="s">
        <v>1199</v>
      </c>
      <c r="E388" s="230">
        <v>14491032</v>
      </c>
      <c r="F388" s="230">
        <v>41575</v>
      </c>
      <c r="G388" s="230">
        <v>1</v>
      </c>
      <c r="H388" s="240">
        <v>359.46</v>
      </c>
      <c r="I388" s="240">
        <f t="shared" si="6"/>
        <v>359.46</v>
      </c>
      <c r="J388" s="231" t="s">
        <v>1393</v>
      </c>
      <c r="K388" s="231" t="s">
        <v>1394</v>
      </c>
      <c r="L388" s="232">
        <v>45170</v>
      </c>
      <c r="M388" s="232">
        <v>45199</v>
      </c>
    </row>
    <row r="389" spans="1:13" ht="14.25" customHeight="1" x14ac:dyDescent="0.2">
      <c r="A389" s="231" t="s">
        <v>8</v>
      </c>
      <c r="B389" s="230">
        <v>116235</v>
      </c>
      <c r="C389" s="230">
        <v>10750</v>
      </c>
      <c r="D389" s="231" t="s">
        <v>1200</v>
      </c>
      <c r="E389" s="230">
        <v>14491032</v>
      </c>
      <c r="F389" s="230">
        <v>41577</v>
      </c>
      <c r="G389" s="230">
        <v>1</v>
      </c>
      <c r="H389" s="240">
        <v>359.46</v>
      </c>
      <c r="I389" s="240">
        <f t="shared" si="6"/>
        <v>359.46</v>
      </c>
      <c r="J389" s="231" t="s">
        <v>1393</v>
      </c>
      <c r="K389" s="231" t="s">
        <v>1394</v>
      </c>
      <c r="L389" s="232">
        <v>45170</v>
      </c>
      <c r="M389" s="232">
        <v>45199</v>
      </c>
    </row>
    <row r="390" spans="1:13" ht="14.25" customHeight="1" x14ac:dyDescent="0.2">
      <c r="A390" s="231" t="s">
        <v>8</v>
      </c>
      <c r="B390" s="230">
        <v>116236</v>
      </c>
      <c r="C390" s="230">
        <v>10750</v>
      </c>
      <c r="D390" s="231" t="s">
        <v>1201</v>
      </c>
      <c r="E390" s="230">
        <v>14491032</v>
      </c>
      <c r="F390" s="230">
        <v>41579</v>
      </c>
      <c r="G390" s="230">
        <v>1</v>
      </c>
      <c r="H390" s="240">
        <v>359.46</v>
      </c>
      <c r="I390" s="240">
        <f t="shared" si="6"/>
        <v>359.46</v>
      </c>
      <c r="J390" s="231" t="s">
        <v>1393</v>
      </c>
      <c r="K390" s="231" t="s">
        <v>1394</v>
      </c>
      <c r="L390" s="232">
        <v>45170</v>
      </c>
      <c r="M390" s="232">
        <v>45199</v>
      </c>
    </row>
    <row r="391" spans="1:13" ht="14.25" customHeight="1" x14ac:dyDescent="0.2">
      <c r="A391" s="231" t="s">
        <v>8</v>
      </c>
      <c r="B391" s="230">
        <v>116237</v>
      </c>
      <c r="C391" s="230">
        <v>10750</v>
      </c>
      <c r="D391" s="231" t="s">
        <v>1202</v>
      </c>
      <c r="E391" s="230">
        <v>14491032</v>
      </c>
      <c r="F391" s="230">
        <v>41581</v>
      </c>
      <c r="G391" s="230">
        <v>1</v>
      </c>
      <c r="H391" s="240">
        <v>359.46</v>
      </c>
      <c r="I391" s="240">
        <f t="shared" si="6"/>
        <v>359.46</v>
      </c>
      <c r="J391" s="231" t="s">
        <v>1393</v>
      </c>
      <c r="K391" s="231" t="s">
        <v>1394</v>
      </c>
      <c r="L391" s="232">
        <v>45170</v>
      </c>
      <c r="M391" s="232">
        <v>45199</v>
      </c>
    </row>
    <row r="392" spans="1:13" ht="14.25" customHeight="1" x14ac:dyDescent="0.2">
      <c r="A392" s="231" t="s">
        <v>8</v>
      </c>
      <c r="B392" s="230">
        <v>116238</v>
      </c>
      <c r="C392" s="230">
        <v>10754</v>
      </c>
      <c r="D392" s="231" t="s">
        <v>1203</v>
      </c>
      <c r="E392" s="230">
        <v>14491032</v>
      </c>
      <c r="F392" s="230">
        <v>41583</v>
      </c>
      <c r="G392" s="230">
        <v>1</v>
      </c>
      <c r="H392" s="240">
        <v>359.46</v>
      </c>
      <c r="I392" s="240">
        <f t="shared" si="6"/>
        <v>359.46</v>
      </c>
      <c r="J392" s="231" t="s">
        <v>1393</v>
      </c>
      <c r="K392" s="231" t="s">
        <v>1394</v>
      </c>
      <c r="L392" s="232">
        <v>45170</v>
      </c>
      <c r="M392" s="232">
        <v>45199</v>
      </c>
    </row>
    <row r="393" spans="1:13" ht="14.25" customHeight="1" x14ac:dyDescent="0.2">
      <c r="A393" s="231" t="s">
        <v>8</v>
      </c>
      <c r="B393" s="230">
        <v>116322</v>
      </c>
      <c r="C393" s="230">
        <v>10757</v>
      </c>
      <c r="D393" s="231" t="s">
        <v>1208</v>
      </c>
      <c r="E393" s="230">
        <v>14491032</v>
      </c>
      <c r="F393" s="230">
        <v>41856</v>
      </c>
      <c r="G393" s="230">
        <v>1</v>
      </c>
      <c r="H393" s="240">
        <v>359.46</v>
      </c>
      <c r="I393" s="240">
        <f t="shared" si="6"/>
        <v>359.46</v>
      </c>
      <c r="J393" s="231" t="s">
        <v>1393</v>
      </c>
      <c r="K393" s="231" t="s">
        <v>1394</v>
      </c>
      <c r="L393" s="232">
        <v>45170</v>
      </c>
      <c r="M393" s="232">
        <v>45199</v>
      </c>
    </row>
    <row r="394" spans="1:13" ht="14.25" customHeight="1" x14ac:dyDescent="0.2">
      <c r="A394" s="231" t="s">
        <v>8</v>
      </c>
      <c r="B394" s="230">
        <v>116716</v>
      </c>
      <c r="C394" s="230">
        <v>10750</v>
      </c>
      <c r="D394" s="231" t="s">
        <v>1220</v>
      </c>
      <c r="E394" s="230">
        <v>14491032</v>
      </c>
      <c r="F394" s="230">
        <v>42817</v>
      </c>
      <c r="G394" s="230">
        <v>1</v>
      </c>
      <c r="H394" s="240">
        <v>359.46</v>
      </c>
      <c r="I394" s="240">
        <f t="shared" si="6"/>
        <v>359.46</v>
      </c>
      <c r="J394" s="231" t="s">
        <v>1393</v>
      </c>
      <c r="K394" s="231" t="s">
        <v>1394</v>
      </c>
      <c r="L394" s="232">
        <v>45170</v>
      </c>
      <c r="M394" s="232">
        <v>45199</v>
      </c>
    </row>
    <row r="395" spans="1:13" ht="14.25" customHeight="1" x14ac:dyDescent="0.2">
      <c r="A395" s="231" t="s">
        <v>8</v>
      </c>
      <c r="B395" s="230">
        <v>116719</v>
      </c>
      <c r="C395" s="230">
        <v>10750</v>
      </c>
      <c r="D395" s="231" t="s">
        <v>1222</v>
      </c>
      <c r="E395" s="230">
        <v>14491032</v>
      </c>
      <c r="F395" s="230">
        <v>42823</v>
      </c>
      <c r="G395" s="230">
        <v>1</v>
      </c>
      <c r="H395" s="240">
        <v>323.51</v>
      </c>
      <c r="I395" s="240">
        <f t="shared" si="6"/>
        <v>323.51</v>
      </c>
      <c r="J395" s="231" t="s">
        <v>1393</v>
      </c>
      <c r="K395" s="231" t="s">
        <v>1394</v>
      </c>
      <c r="L395" s="232">
        <v>45170</v>
      </c>
      <c r="M395" s="232">
        <v>45199</v>
      </c>
    </row>
    <row r="396" spans="1:13" ht="14.25" customHeight="1" x14ac:dyDescent="0.2">
      <c r="A396" s="231" t="s">
        <v>8</v>
      </c>
      <c r="B396" s="230">
        <v>116968</v>
      </c>
      <c r="C396" s="230">
        <v>10763</v>
      </c>
      <c r="D396" s="231" t="s">
        <v>1238</v>
      </c>
      <c r="E396" s="230">
        <v>14491032</v>
      </c>
      <c r="F396" s="230">
        <v>43446</v>
      </c>
      <c r="G396" s="230">
        <v>1</v>
      </c>
      <c r="H396" s="240">
        <v>359.46</v>
      </c>
      <c r="I396" s="240">
        <f t="shared" si="6"/>
        <v>359.46</v>
      </c>
      <c r="J396" s="231" t="s">
        <v>1393</v>
      </c>
      <c r="K396" s="231" t="s">
        <v>1394</v>
      </c>
      <c r="L396" s="232">
        <v>45170</v>
      </c>
      <c r="M396" s="232">
        <v>45199</v>
      </c>
    </row>
    <row r="397" spans="1:13" ht="14.25" customHeight="1" x14ac:dyDescent="0.2">
      <c r="A397" s="231" t="s">
        <v>8</v>
      </c>
      <c r="B397" s="230">
        <v>116969</v>
      </c>
      <c r="C397" s="230">
        <v>10763</v>
      </c>
      <c r="D397" s="231" t="s">
        <v>1239</v>
      </c>
      <c r="E397" s="230">
        <v>14491032</v>
      </c>
      <c r="F397" s="230">
        <v>43448</v>
      </c>
      <c r="G397" s="230">
        <v>1</v>
      </c>
      <c r="H397" s="240">
        <v>359.46</v>
      </c>
      <c r="I397" s="240">
        <f t="shared" si="6"/>
        <v>359.46</v>
      </c>
      <c r="J397" s="231" t="s">
        <v>1393</v>
      </c>
      <c r="K397" s="231" t="s">
        <v>1394</v>
      </c>
      <c r="L397" s="232">
        <v>45170</v>
      </c>
      <c r="M397" s="232">
        <v>45199</v>
      </c>
    </row>
    <row r="398" spans="1:13" ht="14.25" customHeight="1" x14ac:dyDescent="0.2">
      <c r="A398" s="231" t="s">
        <v>8</v>
      </c>
      <c r="B398" s="230">
        <v>116988</v>
      </c>
      <c r="C398" s="230">
        <v>10766</v>
      </c>
      <c r="D398" s="231" t="s">
        <v>1251</v>
      </c>
      <c r="E398" s="230">
        <v>14491032</v>
      </c>
      <c r="F398" s="230">
        <v>43487</v>
      </c>
      <c r="G398" s="230">
        <v>1</v>
      </c>
      <c r="H398" s="240">
        <v>323.51</v>
      </c>
      <c r="I398" s="240">
        <f t="shared" si="6"/>
        <v>323.51</v>
      </c>
      <c r="J398" s="231" t="s">
        <v>1393</v>
      </c>
      <c r="K398" s="231" t="s">
        <v>1394</v>
      </c>
      <c r="L398" s="232">
        <v>45170</v>
      </c>
      <c r="M398" s="232">
        <v>45199</v>
      </c>
    </row>
    <row r="399" spans="1:13" ht="14.25" customHeight="1" x14ac:dyDescent="0.2">
      <c r="A399" s="231" t="s">
        <v>8</v>
      </c>
      <c r="B399" s="230">
        <v>117234</v>
      </c>
      <c r="C399" s="230">
        <v>10755</v>
      </c>
      <c r="D399" s="231" t="s">
        <v>1257</v>
      </c>
      <c r="E399" s="230">
        <v>14491032</v>
      </c>
      <c r="F399" s="230">
        <v>44084</v>
      </c>
      <c r="G399" s="230">
        <v>1</v>
      </c>
      <c r="H399" s="240">
        <v>359.46</v>
      </c>
      <c r="I399" s="240">
        <f t="shared" si="6"/>
        <v>359.46</v>
      </c>
      <c r="J399" s="231" t="s">
        <v>1393</v>
      </c>
      <c r="K399" s="231" t="s">
        <v>1394</v>
      </c>
      <c r="L399" s="232">
        <v>45170</v>
      </c>
      <c r="M399" s="232">
        <v>45199</v>
      </c>
    </row>
    <row r="400" spans="1:13" ht="14.25" customHeight="1" x14ac:dyDescent="0.2">
      <c r="A400" s="231" t="s">
        <v>8</v>
      </c>
      <c r="B400" s="230">
        <v>117239</v>
      </c>
      <c r="C400" s="230">
        <v>10755</v>
      </c>
      <c r="D400" s="231" t="s">
        <v>1261</v>
      </c>
      <c r="E400" s="230">
        <v>14491032</v>
      </c>
      <c r="F400" s="230">
        <v>44094</v>
      </c>
      <c r="G400" s="230">
        <v>1</v>
      </c>
      <c r="H400" s="240">
        <v>359.46</v>
      </c>
      <c r="I400" s="240">
        <f t="shared" si="6"/>
        <v>359.46</v>
      </c>
      <c r="J400" s="231" t="s">
        <v>1393</v>
      </c>
      <c r="K400" s="231" t="s">
        <v>1394</v>
      </c>
      <c r="L400" s="232">
        <v>45170</v>
      </c>
      <c r="M400" s="232">
        <v>45199</v>
      </c>
    </row>
    <row r="401" spans="1:13" ht="14.25" customHeight="1" x14ac:dyDescent="0.2">
      <c r="A401" s="231" t="s">
        <v>8</v>
      </c>
      <c r="B401" s="230">
        <v>117244</v>
      </c>
      <c r="C401" s="230">
        <v>10755</v>
      </c>
      <c r="D401" s="231" t="s">
        <v>1264</v>
      </c>
      <c r="E401" s="230">
        <v>14491032</v>
      </c>
      <c r="F401" s="230">
        <v>44104</v>
      </c>
      <c r="G401" s="230">
        <v>1</v>
      </c>
      <c r="H401" s="240">
        <v>359.46</v>
      </c>
      <c r="I401" s="240">
        <f t="shared" si="6"/>
        <v>359.46</v>
      </c>
      <c r="J401" s="231" t="s">
        <v>1393</v>
      </c>
      <c r="K401" s="231" t="s">
        <v>1394</v>
      </c>
      <c r="L401" s="232">
        <v>45170</v>
      </c>
      <c r="M401" s="232">
        <v>45199</v>
      </c>
    </row>
    <row r="402" spans="1:13" ht="14.25" customHeight="1" x14ac:dyDescent="0.2">
      <c r="A402" s="231" t="s">
        <v>8</v>
      </c>
      <c r="B402" s="230">
        <v>117407</v>
      </c>
      <c r="C402" s="230">
        <v>10750</v>
      </c>
      <c r="D402" s="231" t="s">
        <v>1275</v>
      </c>
      <c r="E402" s="230">
        <v>14491032</v>
      </c>
      <c r="F402" s="230">
        <v>44516</v>
      </c>
      <c r="G402" s="230">
        <v>1</v>
      </c>
      <c r="H402" s="240">
        <v>359.46</v>
      </c>
      <c r="I402" s="240">
        <f t="shared" si="6"/>
        <v>359.46</v>
      </c>
      <c r="J402" s="231" t="s">
        <v>1393</v>
      </c>
      <c r="K402" s="231" t="s">
        <v>1394</v>
      </c>
      <c r="L402" s="232">
        <v>45170</v>
      </c>
      <c r="M402" s="232">
        <v>45199</v>
      </c>
    </row>
    <row r="403" spans="1:13" ht="14.25" customHeight="1" x14ac:dyDescent="0.2">
      <c r="A403" s="231" t="s">
        <v>8</v>
      </c>
      <c r="B403" s="230">
        <v>117408</v>
      </c>
      <c r="C403" s="230">
        <v>10750</v>
      </c>
      <c r="D403" s="231" t="s">
        <v>1276</v>
      </c>
      <c r="E403" s="230">
        <v>14491032</v>
      </c>
      <c r="F403" s="230">
        <v>44518</v>
      </c>
      <c r="G403" s="230">
        <v>1</v>
      </c>
      <c r="H403" s="240">
        <v>359.46</v>
      </c>
      <c r="I403" s="240">
        <f t="shared" si="6"/>
        <v>359.46</v>
      </c>
      <c r="J403" s="231" t="s">
        <v>1393</v>
      </c>
      <c r="K403" s="231" t="s">
        <v>1394</v>
      </c>
      <c r="L403" s="232">
        <v>45170</v>
      </c>
      <c r="M403" s="232">
        <v>45199</v>
      </c>
    </row>
    <row r="404" spans="1:13" ht="14.25" customHeight="1" x14ac:dyDescent="0.2">
      <c r="A404" s="231" t="s">
        <v>8</v>
      </c>
      <c r="B404" s="230">
        <v>118055</v>
      </c>
      <c r="C404" s="230">
        <v>10757</v>
      </c>
      <c r="D404" s="231" t="s">
        <v>1414</v>
      </c>
      <c r="E404" s="230">
        <v>14491032</v>
      </c>
      <c r="F404" s="230">
        <v>45898</v>
      </c>
      <c r="G404" s="230">
        <v>1</v>
      </c>
      <c r="H404" s="240">
        <v>347.47</v>
      </c>
      <c r="I404" s="240">
        <f t="shared" si="6"/>
        <v>347.47</v>
      </c>
      <c r="J404" s="231" t="s">
        <v>1393</v>
      </c>
      <c r="K404" s="231" t="s">
        <v>1394</v>
      </c>
      <c r="L404" s="232">
        <v>45170</v>
      </c>
      <c r="M404" s="232">
        <v>45199</v>
      </c>
    </row>
    <row r="405" spans="1:13" ht="14.25" customHeight="1" x14ac:dyDescent="0.2">
      <c r="A405" s="231" t="s">
        <v>8</v>
      </c>
      <c r="B405" s="230">
        <v>119110</v>
      </c>
      <c r="C405" s="230">
        <v>10757</v>
      </c>
      <c r="D405" s="231" t="s">
        <v>1453</v>
      </c>
      <c r="E405" s="230">
        <v>14491032</v>
      </c>
      <c r="F405" s="230">
        <v>48242</v>
      </c>
      <c r="G405" s="230">
        <v>1</v>
      </c>
      <c r="H405" s="240">
        <v>359.46</v>
      </c>
      <c r="I405" s="240">
        <f t="shared" si="6"/>
        <v>359.46</v>
      </c>
      <c r="J405" s="231" t="s">
        <v>1393</v>
      </c>
      <c r="K405" s="231" t="s">
        <v>1394</v>
      </c>
      <c r="L405" s="232">
        <v>45170</v>
      </c>
      <c r="M405" s="232">
        <v>45199</v>
      </c>
    </row>
    <row r="406" spans="1:13" ht="14.25" customHeight="1" x14ac:dyDescent="0.2">
      <c r="A406" s="231" t="s">
        <v>8</v>
      </c>
      <c r="B406" s="230">
        <v>119112</v>
      </c>
      <c r="C406" s="230">
        <v>10758</v>
      </c>
      <c r="D406" s="231" t="s">
        <v>1443</v>
      </c>
      <c r="E406" s="230">
        <v>14491032</v>
      </c>
      <c r="F406" s="230">
        <v>48246</v>
      </c>
      <c r="G406" s="230">
        <v>1</v>
      </c>
      <c r="H406" s="240">
        <v>359.46</v>
      </c>
      <c r="I406" s="240">
        <f t="shared" si="6"/>
        <v>359.46</v>
      </c>
      <c r="J406" s="231" t="s">
        <v>1393</v>
      </c>
      <c r="K406" s="231" t="s">
        <v>1394</v>
      </c>
      <c r="L406" s="232">
        <v>45170</v>
      </c>
      <c r="M406" s="232">
        <v>45199</v>
      </c>
    </row>
    <row r="407" spans="1:13" ht="14.25" customHeight="1" x14ac:dyDescent="0.2">
      <c r="A407" s="231" t="s">
        <v>8</v>
      </c>
      <c r="B407" s="230">
        <v>119641</v>
      </c>
      <c r="C407" s="230">
        <v>10763</v>
      </c>
      <c r="D407" s="231" t="s">
        <v>1473</v>
      </c>
      <c r="E407" s="230">
        <v>14491032</v>
      </c>
      <c r="F407" s="230">
        <v>49597</v>
      </c>
      <c r="G407" s="230">
        <v>1</v>
      </c>
      <c r="H407" s="240">
        <v>359.46</v>
      </c>
      <c r="I407" s="240">
        <f t="shared" si="6"/>
        <v>359.46</v>
      </c>
      <c r="J407" s="231" t="s">
        <v>1393</v>
      </c>
      <c r="K407" s="231" t="s">
        <v>1394</v>
      </c>
      <c r="L407" s="232">
        <v>45170</v>
      </c>
      <c r="M407" s="232">
        <v>45199</v>
      </c>
    </row>
    <row r="408" spans="1:13" ht="14.25" customHeight="1" x14ac:dyDescent="0.2">
      <c r="A408" s="231" t="s">
        <v>8</v>
      </c>
      <c r="B408" s="230">
        <v>119646</v>
      </c>
      <c r="C408" s="230">
        <v>10760</v>
      </c>
      <c r="D408" s="231" t="s">
        <v>1478</v>
      </c>
      <c r="E408" s="230">
        <v>14491032</v>
      </c>
      <c r="F408" s="230">
        <v>49607</v>
      </c>
      <c r="G408" s="230">
        <v>1</v>
      </c>
      <c r="H408" s="240">
        <v>359.46</v>
      </c>
      <c r="I408" s="240">
        <f t="shared" si="6"/>
        <v>359.46</v>
      </c>
      <c r="J408" s="231" t="s">
        <v>1393</v>
      </c>
      <c r="K408" s="231" t="s">
        <v>1394</v>
      </c>
      <c r="L408" s="232">
        <v>45170</v>
      </c>
      <c r="M408" s="232">
        <v>45199</v>
      </c>
    </row>
    <row r="409" spans="1:13" ht="14.25" customHeight="1" x14ac:dyDescent="0.2">
      <c r="A409" s="231" t="s">
        <v>8</v>
      </c>
      <c r="B409" s="230">
        <v>120163</v>
      </c>
      <c r="C409" s="230">
        <v>10756</v>
      </c>
      <c r="D409" s="231" t="s">
        <v>1499</v>
      </c>
      <c r="E409" s="230">
        <v>14491032</v>
      </c>
      <c r="F409" s="230">
        <v>50872</v>
      </c>
      <c r="G409" s="230">
        <v>1</v>
      </c>
      <c r="H409" s="240">
        <v>359.46</v>
      </c>
      <c r="I409" s="240">
        <f t="shared" si="6"/>
        <v>359.46</v>
      </c>
      <c r="J409" s="231" t="s">
        <v>1393</v>
      </c>
      <c r="K409" s="231" t="s">
        <v>1394</v>
      </c>
      <c r="L409" s="232">
        <v>45170</v>
      </c>
      <c r="M409" s="232">
        <v>45199</v>
      </c>
    </row>
    <row r="410" spans="1:13" ht="14.25" customHeight="1" x14ac:dyDescent="0.2">
      <c r="A410" s="231" t="s">
        <v>8</v>
      </c>
      <c r="B410" s="230">
        <v>120192</v>
      </c>
      <c r="C410" s="230">
        <v>10757</v>
      </c>
      <c r="D410" s="231" t="s">
        <v>1506</v>
      </c>
      <c r="E410" s="230">
        <v>14491032</v>
      </c>
      <c r="F410" s="230">
        <v>50935</v>
      </c>
      <c r="G410" s="230">
        <v>1</v>
      </c>
      <c r="H410" s="240">
        <v>359.46</v>
      </c>
      <c r="I410" s="240">
        <f t="shared" si="6"/>
        <v>359.46</v>
      </c>
      <c r="J410" s="231" t="s">
        <v>1393</v>
      </c>
      <c r="K410" s="231" t="s">
        <v>1394</v>
      </c>
      <c r="L410" s="232">
        <v>45170</v>
      </c>
      <c r="M410" s="232">
        <v>45199</v>
      </c>
    </row>
    <row r="411" spans="1:13" ht="14.25" customHeight="1" x14ac:dyDescent="0.2">
      <c r="A411" s="231" t="s">
        <v>8</v>
      </c>
      <c r="B411" s="230">
        <v>121025</v>
      </c>
      <c r="C411" s="230">
        <v>10750</v>
      </c>
      <c r="D411" s="231" t="s">
        <v>1525</v>
      </c>
      <c r="E411" s="230">
        <v>14491032</v>
      </c>
      <c r="F411" s="230">
        <v>52799</v>
      </c>
      <c r="G411" s="230">
        <v>1</v>
      </c>
      <c r="H411" s="240">
        <v>359.46</v>
      </c>
      <c r="I411" s="240">
        <f t="shared" si="6"/>
        <v>359.46</v>
      </c>
      <c r="J411" s="231" t="s">
        <v>1393</v>
      </c>
      <c r="K411" s="231" t="s">
        <v>1394</v>
      </c>
      <c r="L411" s="232">
        <v>45170</v>
      </c>
      <c r="M411" s="232">
        <v>45199</v>
      </c>
    </row>
    <row r="412" spans="1:13" ht="14.25" customHeight="1" x14ac:dyDescent="0.2">
      <c r="A412" s="231" t="s">
        <v>8</v>
      </c>
      <c r="B412" s="230">
        <v>121316</v>
      </c>
      <c r="C412" s="230">
        <v>10763</v>
      </c>
      <c r="D412" s="231" t="s">
        <v>1541</v>
      </c>
      <c r="E412" s="230">
        <v>14491032</v>
      </c>
      <c r="F412" s="230">
        <v>53486</v>
      </c>
      <c r="G412" s="230">
        <v>1</v>
      </c>
      <c r="H412" s="240">
        <v>359.46</v>
      </c>
      <c r="I412" s="240">
        <f t="shared" si="6"/>
        <v>359.46</v>
      </c>
      <c r="J412" s="231" t="s">
        <v>1393</v>
      </c>
      <c r="K412" s="231" t="s">
        <v>1394</v>
      </c>
      <c r="L412" s="232">
        <v>45170</v>
      </c>
      <c r="M412" s="232">
        <v>45199</v>
      </c>
    </row>
    <row r="413" spans="1:13" ht="14.25" customHeight="1" x14ac:dyDescent="0.2">
      <c r="A413" s="231" t="s">
        <v>8</v>
      </c>
      <c r="B413" s="230">
        <v>121324</v>
      </c>
      <c r="C413" s="230">
        <v>10750</v>
      </c>
      <c r="D413" s="231" t="s">
        <v>1548</v>
      </c>
      <c r="E413" s="230">
        <v>14491032</v>
      </c>
      <c r="F413" s="230">
        <v>53502</v>
      </c>
      <c r="G413" s="230">
        <v>1</v>
      </c>
      <c r="H413" s="240">
        <v>359.46</v>
      </c>
      <c r="I413" s="240">
        <f t="shared" si="6"/>
        <v>359.46</v>
      </c>
      <c r="J413" s="231" t="s">
        <v>1393</v>
      </c>
      <c r="K413" s="231" t="s">
        <v>1394</v>
      </c>
      <c r="L413" s="232">
        <v>45170</v>
      </c>
      <c r="M413" s="232">
        <v>45199</v>
      </c>
    </row>
    <row r="414" spans="1:13" ht="14.25" customHeight="1" x14ac:dyDescent="0.2">
      <c r="A414" s="231" t="s">
        <v>8</v>
      </c>
      <c r="B414" s="230">
        <v>121328</v>
      </c>
      <c r="C414" s="230">
        <v>10758</v>
      </c>
      <c r="D414" s="231" t="s">
        <v>1533</v>
      </c>
      <c r="E414" s="230">
        <v>14491032</v>
      </c>
      <c r="F414" s="230">
        <v>53506</v>
      </c>
      <c r="G414" s="230">
        <v>1</v>
      </c>
      <c r="H414" s="240">
        <v>359.46</v>
      </c>
      <c r="I414" s="240">
        <f t="shared" si="6"/>
        <v>359.46</v>
      </c>
      <c r="J414" s="231" t="s">
        <v>1393</v>
      </c>
      <c r="K414" s="231" t="s">
        <v>1394</v>
      </c>
      <c r="L414" s="232">
        <v>45170</v>
      </c>
      <c r="M414" s="232">
        <v>45199</v>
      </c>
    </row>
    <row r="415" spans="1:13" ht="14.25" customHeight="1" x14ac:dyDescent="0.2">
      <c r="A415" s="231" t="s">
        <v>8</v>
      </c>
      <c r="B415" s="230">
        <v>121330</v>
      </c>
      <c r="C415" s="230">
        <v>10750</v>
      </c>
      <c r="D415" s="231" t="s">
        <v>1537</v>
      </c>
      <c r="E415" s="230">
        <v>14491032</v>
      </c>
      <c r="F415" s="230">
        <v>53510</v>
      </c>
      <c r="G415" s="230">
        <v>1</v>
      </c>
      <c r="H415" s="240">
        <v>359.46</v>
      </c>
      <c r="I415" s="240">
        <f t="shared" si="6"/>
        <v>359.46</v>
      </c>
      <c r="J415" s="231" t="s">
        <v>1393</v>
      </c>
      <c r="K415" s="231" t="s">
        <v>1394</v>
      </c>
      <c r="L415" s="232">
        <v>45170</v>
      </c>
      <c r="M415" s="232">
        <v>45199</v>
      </c>
    </row>
    <row r="416" spans="1:13" ht="14.25" customHeight="1" x14ac:dyDescent="0.2">
      <c r="A416" s="231" t="s">
        <v>8</v>
      </c>
      <c r="B416" s="230">
        <v>121848</v>
      </c>
      <c r="C416" s="230">
        <v>10755</v>
      </c>
      <c r="D416" s="231" t="s">
        <v>1616</v>
      </c>
      <c r="E416" s="230">
        <v>14491032</v>
      </c>
      <c r="F416" s="230">
        <v>54714</v>
      </c>
      <c r="G416" s="230">
        <v>1</v>
      </c>
      <c r="H416" s="240">
        <v>359.46</v>
      </c>
      <c r="I416" s="240">
        <f t="shared" si="6"/>
        <v>359.46</v>
      </c>
      <c r="J416" s="231" t="s">
        <v>1393</v>
      </c>
      <c r="K416" s="231" t="s">
        <v>1394</v>
      </c>
      <c r="L416" s="232">
        <v>45170</v>
      </c>
      <c r="M416" s="232">
        <v>45199</v>
      </c>
    </row>
    <row r="417" spans="1:13" ht="14.25" customHeight="1" x14ac:dyDescent="0.2">
      <c r="A417" s="231" t="s">
        <v>8</v>
      </c>
      <c r="B417" s="230">
        <v>121850</v>
      </c>
      <c r="C417" s="230">
        <v>10757</v>
      </c>
      <c r="D417" s="231" t="s">
        <v>1634</v>
      </c>
      <c r="E417" s="230">
        <v>14491032</v>
      </c>
      <c r="F417" s="230">
        <v>54718</v>
      </c>
      <c r="G417" s="230">
        <v>1</v>
      </c>
      <c r="H417" s="240">
        <v>359.46</v>
      </c>
      <c r="I417" s="240">
        <f t="shared" si="6"/>
        <v>359.46</v>
      </c>
      <c r="J417" s="231" t="s">
        <v>1393</v>
      </c>
      <c r="K417" s="231" t="s">
        <v>1394</v>
      </c>
      <c r="L417" s="232">
        <v>45170</v>
      </c>
      <c r="M417" s="232">
        <v>45199</v>
      </c>
    </row>
    <row r="418" spans="1:13" ht="14.25" customHeight="1" x14ac:dyDescent="0.2">
      <c r="A418" s="231" t="s">
        <v>8</v>
      </c>
      <c r="B418" s="230">
        <v>121955</v>
      </c>
      <c r="C418" s="230">
        <v>10758</v>
      </c>
      <c r="D418" s="231" t="s">
        <v>1624</v>
      </c>
      <c r="E418" s="230">
        <v>14491032</v>
      </c>
      <c r="F418" s="230">
        <v>54965</v>
      </c>
      <c r="G418" s="230">
        <v>1</v>
      </c>
      <c r="H418" s="240">
        <v>359.46</v>
      </c>
      <c r="I418" s="240">
        <f t="shared" si="6"/>
        <v>359.46</v>
      </c>
      <c r="J418" s="231" t="s">
        <v>1393</v>
      </c>
      <c r="K418" s="231" t="s">
        <v>1394</v>
      </c>
      <c r="L418" s="232">
        <v>45170</v>
      </c>
      <c r="M418" s="232">
        <v>45199</v>
      </c>
    </row>
    <row r="419" spans="1:13" ht="14.25" customHeight="1" x14ac:dyDescent="0.2">
      <c r="A419" s="231" t="s">
        <v>8</v>
      </c>
      <c r="B419" s="230">
        <v>121956</v>
      </c>
      <c r="C419" s="230">
        <v>10758</v>
      </c>
      <c r="D419" s="231" t="s">
        <v>1618</v>
      </c>
      <c r="E419" s="230">
        <v>14491032</v>
      </c>
      <c r="F419" s="230">
        <v>54967</v>
      </c>
      <c r="G419" s="230">
        <v>1</v>
      </c>
      <c r="H419" s="240">
        <v>359.46</v>
      </c>
      <c r="I419" s="240">
        <f t="shared" si="6"/>
        <v>359.46</v>
      </c>
      <c r="J419" s="231" t="s">
        <v>1393</v>
      </c>
      <c r="K419" s="231" t="s">
        <v>1394</v>
      </c>
      <c r="L419" s="232">
        <v>45170</v>
      </c>
      <c r="M419" s="232">
        <v>45199</v>
      </c>
    </row>
    <row r="420" spans="1:13" ht="14.25" customHeight="1" x14ac:dyDescent="0.2">
      <c r="A420" s="231" t="s">
        <v>8</v>
      </c>
      <c r="B420" s="230">
        <v>122079</v>
      </c>
      <c r="C420" s="230">
        <v>10766</v>
      </c>
      <c r="D420" s="231" t="s">
        <v>1640</v>
      </c>
      <c r="E420" s="230">
        <v>14491032</v>
      </c>
      <c r="F420" s="230">
        <v>55274</v>
      </c>
      <c r="G420" s="230">
        <v>1</v>
      </c>
      <c r="H420" s="240">
        <v>359.46</v>
      </c>
      <c r="I420" s="240">
        <f t="shared" si="6"/>
        <v>359.46</v>
      </c>
      <c r="J420" s="231" t="s">
        <v>1393</v>
      </c>
      <c r="K420" s="231" t="s">
        <v>1394</v>
      </c>
      <c r="L420" s="232">
        <v>45170</v>
      </c>
      <c r="M420" s="232">
        <v>45199</v>
      </c>
    </row>
    <row r="421" spans="1:13" ht="14.25" customHeight="1" x14ac:dyDescent="0.2">
      <c r="A421" s="231" t="s">
        <v>8</v>
      </c>
      <c r="B421" s="230">
        <v>122080</v>
      </c>
      <c r="C421" s="230">
        <v>10757</v>
      </c>
      <c r="D421" s="231" t="s">
        <v>1641</v>
      </c>
      <c r="E421" s="230">
        <v>14491032</v>
      </c>
      <c r="F421" s="230">
        <v>55276</v>
      </c>
      <c r="G421" s="230">
        <v>1</v>
      </c>
      <c r="H421" s="240">
        <v>359.46</v>
      </c>
      <c r="I421" s="240">
        <f t="shared" si="6"/>
        <v>359.46</v>
      </c>
      <c r="J421" s="231" t="s">
        <v>1393</v>
      </c>
      <c r="K421" s="231" t="s">
        <v>1394</v>
      </c>
      <c r="L421" s="232">
        <v>45170</v>
      </c>
      <c r="M421" s="232">
        <v>45199</v>
      </c>
    </row>
    <row r="422" spans="1:13" ht="14.25" customHeight="1" x14ac:dyDescent="0.2">
      <c r="A422" s="231" t="s">
        <v>8</v>
      </c>
      <c r="B422" s="230">
        <v>122251</v>
      </c>
      <c r="C422" s="230">
        <v>10758</v>
      </c>
      <c r="D422" s="231" t="s">
        <v>1666</v>
      </c>
      <c r="E422" s="230">
        <v>14491032</v>
      </c>
      <c r="F422" s="230">
        <v>55744</v>
      </c>
      <c r="G422" s="230">
        <v>1</v>
      </c>
      <c r="H422" s="240">
        <v>359.46</v>
      </c>
      <c r="I422" s="240">
        <f t="shared" si="6"/>
        <v>359.46</v>
      </c>
      <c r="J422" s="231" t="s">
        <v>1393</v>
      </c>
      <c r="K422" s="231" t="s">
        <v>1394</v>
      </c>
      <c r="L422" s="232">
        <v>45170</v>
      </c>
      <c r="M422" s="232">
        <v>45199</v>
      </c>
    </row>
    <row r="423" spans="1:13" ht="14.25" customHeight="1" x14ac:dyDescent="0.2">
      <c r="A423" s="231" t="s">
        <v>8</v>
      </c>
      <c r="B423" s="230">
        <v>122333</v>
      </c>
      <c r="C423" s="230">
        <v>10750</v>
      </c>
      <c r="D423" s="231" t="s">
        <v>1677</v>
      </c>
      <c r="E423" s="230">
        <v>14491032</v>
      </c>
      <c r="F423" s="230">
        <v>55960</v>
      </c>
      <c r="G423" s="230">
        <v>1</v>
      </c>
      <c r="H423" s="240">
        <v>359.46</v>
      </c>
      <c r="I423" s="240">
        <f t="shared" si="6"/>
        <v>359.46</v>
      </c>
      <c r="J423" s="231" t="s">
        <v>1393</v>
      </c>
      <c r="K423" s="231" t="s">
        <v>1394</v>
      </c>
      <c r="L423" s="232">
        <v>45170</v>
      </c>
      <c r="M423" s="232">
        <v>45199</v>
      </c>
    </row>
    <row r="424" spans="1:13" ht="14.25" customHeight="1" x14ac:dyDescent="0.2">
      <c r="A424" s="231" t="s">
        <v>8</v>
      </c>
      <c r="B424" s="230">
        <v>122343</v>
      </c>
      <c r="C424" s="230">
        <v>10750</v>
      </c>
      <c r="D424" s="231" t="s">
        <v>1664</v>
      </c>
      <c r="E424" s="230">
        <v>14491032</v>
      </c>
      <c r="F424" s="230">
        <v>55985</v>
      </c>
      <c r="G424" s="230">
        <v>1</v>
      </c>
      <c r="H424" s="240">
        <v>359.46</v>
      </c>
      <c r="I424" s="240">
        <f t="shared" si="6"/>
        <v>359.46</v>
      </c>
      <c r="J424" s="231" t="s">
        <v>1393</v>
      </c>
      <c r="K424" s="231" t="s">
        <v>1394</v>
      </c>
      <c r="L424" s="232">
        <v>45170</v>
      </c>
      <c r="M424" s="232">
        <v>45199</v>
      </c>
    </row>
    <row r="425" spans="1:13" ht="14.25" customHeight="1" x14ac:dyDescent="0.2">
      <c r="A425" s="231" t="s">
        <v>8</v>
      </c>
      <c r="B425" s="230">
        <v>122346</v>
      </c>
      <c r="C425" s="230">
        <v>10754</v>
      </c>
      <c r="D425" s="231" t="s">
        <v>1675</v>
      </c>
      <c r="E425" s="230">
        <v>14491032</v>
      </c>
      <c r="F425" s="230">
        <v>55991</v>
      </c>
      <c r="G425" s="230">
        <v>1</v>
      </c>
      <c r="H425" s="240">
        <v>359.46</v>
      </c>
      <c r="I425" s="240">
        <f t="shared" si="6"/>
        <v>359.46</v>
      </c>
      <c r="J425" s="231" t="s">
        <v>1393</v>
      </c>
      <c r="K425" s="231" t="s">
        <v>1394</v>
      </c>
      <c r="L425" s="232">
        <v>45170</v>
      </c>
      <c r="M425" s="232">
        <v>45199</v>
      </c>
    </row>
    <row r="426" spans="1:13" ht="14.25" customHeight="1" x14ac:dyDescent="0.2">
      <c r="A426" s="231" t="s">
        <v>8</v>
      </c>
      <c r="B426" s="230">
        <v>122348</v>
      </c>
      <c r="C426" s="230">
        <v>10750</v>
      </c>
      <c r="D426" s="231" t="s">
        <v>1673</v>
      </c>
      <c r="E426" s="230">
        <v>14491032</v>
      </c>
      <c r="F426" s="230">
        <v>56029</v>
      </c>
      <c r="G426" s="230">
        <v>1</v>
      </c>
      <c r="H426" s="240">
        <v>359.46</v>
      </c>
      <c r="I426" s="240">
        <f t="shared" si="6"/>
        <v>359.46</v>
      </c>
      <c r="J426" s="231" t="s">
        <v>1393</v>
      </c>
      <c r="K426" s="231" t="s">
        <v>1394</v>
      </c>
      <c r="L426" s="232">
        <v>45170</v>
      </c>
      <c r="M426" s="232">
        <v>45199</v>
      </c>
    </row>
    <row r="427" spans="1:13" ht="14.25" customHeight="1" x14ac:dyDescent="0.2">
      <c r="A427" s="231" t="s">
        <v>8</v>
      </c>
      <c r="B427" s="230">
        <v>122555</v>
      </c>
      <c r="C427" s="230">
        <v>10758</v>
      </c>
      <c r="D427" s="231" t="s">
        <v>1711</v>
      </c>
      <c r="E427" s="230">
        <v>14491032</v>
      </c>
      <c r="F427" s="230">
        <v>56502</v>
      </c>
      <c r="G427" s="230">
        <v>1</v>
      </c>
      <c r="H427" s="240">
        <v>359.46</v>
      </c>
      <c r="I427" s="240">
        <f t="shared" si="6"/>
        <v>359.46</v>
      </c>
      <c r="J427" s="231" t="s">
        <v>1393</v>
      </c>
      <c r="K427" s="231" t="s">
        <v>1394</v>
      </c>
      <c r="L427" s="232">
        <v>45170</v>
      </c>
      <c r="M427" s="232">
        <v>45199</v>
      </c>
    </row>
    <row r="428" spans="1:13" ht="14.25" customHeight="1" x14ac:dyDescent="0.2">
      <c r="A428" s="231" t="s">
        <v>8</v>
      </c>
      <c r="B428" s="230">
        <v>122575</v>
      </c>
      <c r="C428" s="230">
        <v>10758</v>
      </c>
      <c r="D428" s="231" t="s">
        <v>1703</v>
      </c>
      <c r="E428" s="230">
        <v>14491032</v>
      </c>
      <c r="F428" s="230">
        <v>56541</v>
      </c>
      <c r="G428" s="230">
        <v>1</v>
      </c>
      <c r="H428" s="240">
        <v>359.46</v>
      </c>
      <c r="I428" s="240">
        <f t="shared" si="6"/>
        <v>359.46</v>
      </c>
      <c r="J428" s="231" t="s">
        <v>1393</v>
      </c>
      <c r="K428" s="231" t="s">
        <v>1394</v>
      </c>
      <c r="L428" s="232">
        <v>45170</v>
      </c>
      <c r="M428" s="232">
        <v>45199</v>
      </c>
    </row>
    <row r="429" spans="1:13" ht="14.25" customHeight="1" x14ac:dyDescent="0.2">
      <c r="A429" s="231" t="s">
        <v>19</v>
      </c>
      <c r="B429" s="230">
        <v>112184</v>
      </c>
      <c r="C429" s="230">
        <v>10750</v>
      </c>
      <c r="D429" s="231" t="s">
        <v>20</v>
      </c>
      <c r="E429" s="230">
        <v>14491032</v>
      </c>
      <c r="F429" s="230">
        <v>28802</v>
      </c>
      <c r="G429" s="230">
        <v>1</v>
      </c>
      <c r="H429" s="240">
        <v>359.46</v>
      </c>
      <c r="I429" s="240">
        <f t="shared" si="6"/>
        <v>359.46</v>
      </c>
      <c r="J429" s="231" t="s">
        <v>1393</v>
      </c>
      <c r="K429" s="231" t="s">
        <v>1394</v>
      </c>
      <c r="L429" s="232">
        <v>45170</v>
      </c>
      <c r="M429" s="232">
        <v>45199</v>
      </c>
    </row>
    <row r="430" spans="1:13" ht="14.25" customHeight="1" x14ac:dyDescent="0.2">
      <c r="A430" s="231" t="s">
        <v>19</v>
      </c>
      <c r="B430" s="230">
        <v>112188</v>
      </c>
      <c r="C430" s="230">
        <v>10756</v>
      </c>
      <c r="D430" s="231" t="s">
        <v>23</v>
      </c>
      <c r="E430" s="230">
        <v>14491032</v>
      </c>
      <c r="F430" s="230">
        <v>28810</v>
      </c>
      <c r="G430" s="230">
        <v>1</v>
      </c>
      <c r="H430" s="240">
        <v>359.46</v>
      </c>
      <c r="I430" s="240">
        <f t="shared" si="6"/>
        <v>359.46</v>
      </c>
      <c r="J430" s="231" t="s">
        <v>1393</v>
      </c>
      <c r="K430" s="231" t="s">
        <v>1394</v>
      </c>
      <c r="L430" s="232">
        <v>45170</v>
      </c>
      <c r="M430" s="232">
        <v>45199</v>
      </c>
    </row>
    <row r="431" spans="1:13" ht="14.25" customHeight="1" x14ac:dyDescent="0.2">
      <c r="A431" s="231" t="s">
        <v>19</v>
      </c>
      <c r="B431" s="230">
        <v>112194</v>
      </c>
      <c r="C431" s="230">
        <v>10754</v>
      </c>
      <c r="D431" s="231" t="s">
        <v>26</v>
      </c>
      <c r="E431" s="230">
        <v>14491032</v>
      </c>
      <c r="F431" s="230">
        <v>28822</v>
      </c>
      <c r="G431" s="230">
        <v>1</v>
      </c>
      <c r="H431" s="240">
        <v>359.46</v>
      </c>
      <c r="I431" s="240">
        <f t="shared" si="6"/>
        <v>359.46</v>
      </c>
      <c r="J431" s="231" t="s">
        <v>1393</v>
      </c>
      <c r="K431" s="231" t="s">
        <v>1394</v>
      </c>
      <c r="L431" s="232">
        <v>45170</v>
      </c>
      <c r="M431" s="232">
        <v>45199</v>
      </c>
    </row>
    <row r="432" spans="1:13" ht="14.25" customHeight="1" x14ac:dyDescent="0.2">
      <c r="A432" s="231" t="s">
        <v>19</v>
      </c>
      <c r="B432" s="230">
        <v>112196</v>
      </c>
      <c r="C432" s="230">
        <v>10758</v>
      </c>
      <c r="D432" s="231" t="s">
        <v>27</v>
      </c>
      <c r="E432" s="230">
        <v>14491032</v>
      </c>
      <c r="F432" s="230">
        <v>28826</v>
      </c>
      <c r="G432" s="230">
        <v>1</v>
      </c>
      <c r="H432" s="240">
        <v>359.46</v>
      </c>
      <c r="I432" s="240">
        <f t="shared" si="6"/>
        <v>359.46</v>
      </c>
      <c r="J432" s="231" t="s">
        <v>1393</v>
      </c>
      <c r="K432" s="231" t="s">
        <v>1394</v>
      </c>
      <c r="L432" s="232">
        <v>45170</v>
      </c>
      <c r="M432" s="232">
        <v>45199</v>
      </c>
    </row>
    <row r="433" spans="1:13" ht="14.25" customHeight="1" x14ac:dyDescent="0.2">
      <c r="A433" s="231" t="s">
        <v>19</v>
      </c>
      <c r="B433" s="230">
        <v>112199</v>
      </c>
      <c r="C433" s="230">
        <v>10760</v>
      </c>
      <c r="D433" s="231" t="s">
        <v>29</v>
      </c>
      <c r="E433" s="230">
        <v>14491032</v>
      </c>
      <c r="F433" s="230">
        <v>28832</v>
      </c>
      <c r="G433" s="230">
        <v>1</v>
      </c>
      <c r="H433" s="240">
        <v>359.46</v>
      </c>
      <c r="I433" s="240">
        <f t="shared" si="6"/>
        <v>359.46</v>
      </c>
      <c r="J433" s="231" t="s">
        <v>1393</v>
      </c>
      <c r="K433" s="231" t="s">
        <v>1394</v>
      </c>
      <c r="L433" s="232">
        <v>45170</v>
      </c>
      <c r="M433" s="232">
        <v>45199</v>
      </c>
    </row>
    <row r="434" spans="1:13" ht="14.25" customHeight="1" x14ac:dyDescent="0.2">
      <c r="A434" s="231" t="s">
        <v>19</v>
      </c>
      <c r="B434" s="230">
        <v>112202</v>
      </c>
      <c r="C434" s="230">
        <v>10758</v>
      </c>
      <c r="D434" s="231" t="s">
        <v>31</v>
      </c>
      <c r="E434" s="230">
        <v>14491032</v>
      </c>
      <c r="F434" s="230">
        <v>28838</v>
      </c>
      <c r="G434" s="230">
        <v>1</v>
      </c>
      <c r="H434" s="240">
        <v>359.46</v>
      </c>
      <c r="I434" s="240">
        <f t="shared" si="6"/>
        <v>359.46</v>
      </c>
      <c r="J434" s="231" t="s">
        <v>1393</v>
      </c>
      <c r="K434" s="231" t="s">
        <v>1394</v>
      </c>
      <c r="L434" s="232">
        <v>45170</v>
      </c>
      <c r="M434" s="232">
        <v>45199</v>
      </c>
    </row>
    <row r="435" spans="1:13" ht="14.25" customHeight="1" x14ac:dyDescent="0.2">
      <c r="A435" s="231" t="s">
        <v>19</v>
      </c>
      <c r="B435" s="230">
        <v>112213</v>
      </c>
      <c r="C435" s="230">
        <v>10754</v>
      </c>
      <c r="D435" s="231" t="s">
        <v>38</v>
      </c>
      <c r="E435" s="230">
        <v>14491032</v>
      </c>
      <c r="F435" s="230">
        <v>28860</v>
      </c>
      <c r="G435" s="230">
        <v>1</v>
      </c>
      <c r="H435" s="240">
        <v>359.46</v>
      </c>
      <c r="I435" s="240">
        <f t="shared" si="6"/>
        <v>359.46</v>
      </c>
      <c r="J435" s="231" t="s">
        <v>1393</v>
      </c>
      <c r="K435" s="231" t="s">
        <v>1394</v>
      </c>
      <c r="L435" s="232">
        <v>45170</v>
      </c>
      <c r="M435" s="232">
        <v>45199</v>
      </c>
    </row>
    <row r="436" spans="1:13" ht="14.25" customHeight="1" x14ac:dyDescent="0.2">
      <c r="A436" s="231" t="s">
        <v>19</v>
      </c>
      <c r="B436" s="230">
        <v>112217</v>
      </c>
      <c r="C436" s="230">
        <v>10750</v>
      </c>
      <c r="D436" s="231" t="s">
        <v>40</v>
      </c>
      <c r="E436" s="230">
        <v>14491032</v>
      </c>
      <c r="F436" s="230">
        <v>28868</v>
      </c>
      <c r="G436" s="230">
        <v>1</v>
      </c>
      <c r="H436" s="240">
        <v>359.46</v>
      </c>
      <c r="I436" s="240">
        <f t="shared" si="6"/>
        <v>359.46</v>
      </c>
      <c r="J436" s="231" t="s">
        <v>1393</v>
      </c>
      <c r="K436" s="231" t="s">
        <v>1394</v>
      </c>
      <c r="L436" s="232">
        <v>45170</v>
      </c>
      <c r="M436" s="232">
        <v>45199</v>
      </c>
    </row>
    <row r="437" spans="1:13" ht="14.25" customHeight="1" x14ac:dyDescent="0.2">
      <c r="A437" s="231" t="s">
        <v>19</v>
      </c>
      <c r="B437" s="230">
        <v>112220</v>
      </c>
      <c r="C437" s="230">
        <v>10750</v>
      </c>
      <c r="D437" s="231" t="s">
        <v>41</v>
      </c>
      <c r="E437" s="230">
        <v>14491032</v>
      </c>
      <c r="F437" s="230">
        <v>28874</v>
      </c>
      <c r="G437" s="230">
        <v>1</v>
      </c>
      <c r="H437" s="240">
        <v>359.46</v>
      </c>
      <c r="I437" s="240">
        <f t="shared" si="6"/>
        <v>359.46</v>
      </c>
      <c r="J437" s="231" t="s">
        <v>1393</v>
      </c>
      <c r="K437" s="231" t="s">
        <v>1394</v>
      </c>
      <c r="L437" s="232">
        <v>45170</v>
      </c>
      <c r="M437" s="232">
        <v>45199</v>
      </c>
    </row>
    <row r="438" spans="1:13" ht="14.25" customHeight="1" x14ac:dyDescent="0.2">
      <c r="A438" s="231" t="s">
        <v>19</v>
      </c>
      <c r="B438" s="230">
        <v>112224</v>
      </c>
      <c r="C438" s="230">
        <v>10750</v>
      </c>
      <c r="D438" s="231" t="s">
        <v>46</v>
      </c>
      <c r="E438" s="230">
        <v>14491032</v>
      </c>
      <c r="F438" s="230">
        <v>28882</v>
      </c>
      <c r="G438" s="230">
        <v>1</v>
      </c>
      <c r="H438" s="240">
        <v>359.46</v>
      </c>
      <c r="I438" s="240">
        <f t="shared" si="6"/>
        <v>359.46</v>
      </c>
      <c r="J438" s="231" t="s">
        <v>1393</v>
      </c>
      <c r="K438" s="231" t="s">
        <v>1394</v>
      </c>
      <c r="L438" s="232">
        <v>45170</v>
      </c>
      <c r="M438" s="232">
        <v>45199</v>
      </c>
    </row>
    <row r="439" spans="1:13" ht="14.25" customHeight="1" x14ac:dyDescent="0.2">
      <c r="A439" s="231" t="s">
        <v>19</v>
      </c>
      <c r="B439" s="230">
        <v>112228</v>
      </c>
      <c r="C439" s="230">
        <v>10750</v>
      </c>
      <c r="D439" s="231" t="s">
        <v>50</v>
      </c>
      <c r="E439" s="230">
        <v>14491032</v>
      </c>
      <c r="F439" s="230">
        <v>28890</v>
      </c>
      <c r="G439" s="230">
        <v>1</v>
      </c>
      <c r="H439" s="240">
        <v>359.46</v>
      </c>
      <c r="I439" s="240">
        <f t="shared" si="6"/>
        <v>359.46</v>
      </c>
      <c r="J439" s="231" t="s">
        <v>1393</v>
      </c>
      <c r="K439" s="231" t="s">
        <v>1394</v>
      </c>
      <c r="L439" s="232">
        <v>45170</v>
      </c>
      <c r="M439" s="232">
        <v>45199</v>
      </c>
    </row>
    <row r="440" spans="1:13" ht="14.25" customHeight="1" x14ac:dyDescent="0.2">
      <c r="A440" s="231" t="s">
        <v>19</v>
      </c>
      <c r="B440" s="230">
        <v>112229</v>
      </c>
      <c r="C440" s="230">
        <v>10750</v>
      </c>
      <c r="D440" s="231" t="s">
        <v>51</v>
      </c>
      <c r="E440" s="230">
        <v>14491032</v>
      </c>
      <c r="F440" s="230">
        <v>28892</v>
      </c>
      <c r="G440" s="230">
        <v>1</v>
      </c>
      <c r="H440" s="240">
        <v>359.46</v>
      </c>
      <c r="I440" s="240">
        <f t="shared" si="6"/>
        <v>359.46</v>
      </c>
      <c r="J440" s="231" t="s">
        <v>1393</v>
      </c>
      <c r="K440" s="231" t="s">
        <v>1394</v>
      </c>
      <c r="L440" s="232">
        <v>45170</v>
      </c>
      <c r="M440" s="232">
        <v>45199</v>
      </c>
    </row>
    <row r="441" spans="1:13" ht="14.25" customHeight="1" x14ac:dyDescent="0.2">
      <c r="A441" s="231" t="s">
        <v>19</v>
      </c>
      <c r="B441" s="230">
        <v>112235</v>
      </c>
      <c r="C441" s="230">
        <v>10757</v>
      </c>
      <c r="D441" s="231" t="s">
        <v>54</v>
      </c>
      <c r="E441" s="230">
        <v>14491032</v>
      </c>
      <c r="F441" s="230">
        <v>28904</v>
      </c>
      <c r="G441" s="230">
        <v>1</v>
      </c>
      <c r="H441" s="240">
        <v>359.46</v>
      </c>
      <c r="I441" s="240">
        <f t="shared" si="6"/>
        <v>359.46</v>
      </c>
      <c r="J441" s="231" t="s">
        <v>1393</v>
      </c>
      <c r="K441" s="231" t="s">
        <v>1394</v>
      </c>
      <c r="L441" s="232">
        <v>45170</v>
      </c>
      <c r="M441" s="232">
        <v>45199</v>
      </c>
    </row>
    <row r="442" spans="1:13" ht="14.25" customHeight="1" x14ac:dyDescent="0.2">
      <c r="A442" s="231" t="s">
        <v>19</v>
      </c>
      <c r="B442" s="230">
        <v>112236</v>
      </c>
      <c r="C442" s="230">
        <v>10750</v>
      </c>
      <c r="D442" s="231" t="s">
        <v>55</v>
      </c>
      <c r="E442" s="230">
        <v>14491032</v>
      </c>
      <c r="F442" s="230">
        <v>28906</v>
      </c>
      <c r="G442" s="230">
        <v>1</v>
      </c>
      <c r="H442" s="240">
        <v>359.46</v>
      </c>
      <c r="I442" s="240">
        <f t="shared" si="6"/>
        <v>359.46</v>
      </c>
      <c r="J442" s="231" t="s">
        <v>1393</v>
      </c>
      <c r="K442" s="231" t="s">
        <v>1394</v>
      </c>
      <c r="L442" s="232">
        <v>45170</v>
      </c>
      <c r="M442" s="232">
        <v>45199</v>
      </c>
    </row>
    <row r="443" spans="1:13" ht="14.25" customHeight="1" x14ac:dyDescent="0.2">
      <c r="A443" s="231" t="s">
        <v>19</v>
      </c>
      <c r="B443" s="230">
        <v>112237</v>
      </c>
      <c r="C443" s="230">
        <v>10758</v>
      </c>
      <c r="D443" s="231" t="s">
        <v>56</v>
      </c>
      <c r="E443" s="230">
        <v>14491032</v>
      </c>
      <c r="F443" s="230">
        <v>28908</v>
      </c>
      <c r="G443" s="230">
        <v>1</v>
      </c>
      <c r="H443" s="240">
        <v>359.46</v>
      </c>
      <c r="I443" s="240">
        <f t="shared" si="6"/>
        <v>359.46</v>
      </c>
      <c r="J443" s="231" t="s">
        <v>1393</v>
      </c>
      <c r="K443" s="231" t="s">
        <v>1394</v>
      </c>
      <c r="L443" s="232">
        <v>45170</v>
      </c>
      <c r="M443" s="232">
        <v>45199</v>
      </c>
    </row>
    <row r="444" spans="1:13" ht="14.25" customHeight="1" x14ac:dyDescent="0.2">
      <c r="A444" s="231" t="s">
        <v>19</v>
      </c>
      <c r="B444" s="230">
        <v>112250</v>
      </c>
      <c r="C444" s="230">
        <v>10757</v>
      </c>
      <c r="D444" s="231" t="s">
        <v>62</v>
      </c>
      <c r="E444" s="230">
        <v>14491032</v>
      </c>
      <c r="F444" s="230">
        <v>28934</v>
      </c>
      <c r="G444" s="230">
        <v>1</v>
      </c>
      <c r="H444" s="240">
        <v>359.46</v>
      </c>
      <c r="I444" s="240">
        <f t="shared" si="6"/>
        <v>359.46</v>
      </c>
      <c r="J444" s="231" t="s">
        <v>1393</v>
      </c>
      <c r="K444" s="231" t="s">
        <v>1394</v>
      </c>
      <c r="L444" s="232">
        <v>45170</v>
      </c>
      <c r="M444" s="232">
        <v>45199</v>
      </c>
    </row>
    <row r="445" spans="1:13" ht="14.25" customHeight="1" x14ac:dyDescent="0.2">
      <c r="A445" s="231" t="s">
        <v>19</v>
      </c>
      <c r="B445" s="230">
        <v>112257</v>
      </c>
      <c r="C445" s="230">
        <v>10750</v>
      </c>
      <c r="D445" s="231" t="s">
        <v>68</v>
      </c>
      <c r="E445" s="230">
        <v>14491032</v>
      </c>
      <c r="F445" s="230">
        <v>28948</v>
      </c>
      <c r="G445" s="230">
        <v>1</v>
      </c>
      <c r="H445" s="240">
        <v>359.46</v>
      </c>
      <c r="I445" s="240">
        <f t="shared" si="6"/>
        <v>359.46</v>
      </c>
      <c r="J445" s="231" t="s">
        <v>1393</v>
      </c>
      <c r="K445" s="231" t="s">
        <v>1394</v>
      </c>
      <c r="L445" s="232">
        <v>45170</v>
      </c>
      <c r="M445" s="232">
        <v>45199</v>
      </c>
    </row>
    <row r="446" spans="1:13" ht="14.25" customHeight="1" x14ac:dyDescent="0.2">
      <c r="A446" s="231" t="s">
        <v>19</v>
      </c>
      <c r="B446" s="230">
        <v>112265</v>
      </c>
      <c r="C446" s="230">
        <v>10763</v>
      </c>
      <c r="D446" s="231" t="s">
        <v>75</v>
      </c>
      <c r="E446" s="230">
        <v>14491032</v>
      </c>
      <c r="F446" s="230">
        <v>28964</v>
      </c>
      <c r="G446" s="230">
        <v>1</v>
      </c>
      <c r="H446" s="240">
        <v>359.46</v>
      </c>
      <c r="I446" s="240">
        <f t="shared" si="6"/>
        <v>359.46</v>
      </c>
      <c r="J446" s="231" t="s">
        <v>1393</v>
      </c>
      <c r="K446" s="231" t="s">
        <v>1394</v>
      </c>
      <c r="L446" s="232">
        <v>45170</v>
      </c>
      <c r="M446" s="232">
        <v>45199</v>
      </c>
    </row>
    <row r="447" spans="1:13" ht="14.25" customHeight="1" x14ac:dyDescent="0.2">
      <c r="A447" s="231" t="s">
        <v>19</v>
      </c>
      <c r="B447" s="230">
        <v>112288</v>
      </c>
      <c r="C447" s="230">
        <v>10751</v>
      </c>
      <c r="D447" s="231" t="s">
        <v>90</v>
      </c>
      <c r="E447" s="230">
        <v>14491032</v>
      </c>
      <c r="F447" s="230">
        <v>29010</v>
      </c>
      <c r="G447" s="230">
        <v>1</v>
      </c>
      <c r="H447" s="240">
        <v>359.46</v>
      </c>
      <c r="I447" s="240">
        <f t="shared" si="6"/>
        <v>359.46</v>
      </c>
      <c r="J447" s="231" t="s">
        <v>1393</v>
      </c>
      <c r="K447" s="231" t="s">
        <v>1394</v>
      </c>
      <c r="L447" s="232">
        <v>45170</v>
      </c>
      <c r="M447" s="232">
        <v>45199</v>
      </c>
    </row>
    <row r="448" spans="1:13" ht="14.25" customHeight="1" x14ac:dyDescent="0.2">
      <c r="A448" s="231" t="s">
        <v>19</v>
      </c>
      <c r="B448" s="230">
        <v>112301</v>
      </c>
      <c r="C448" s="230">
        <v>10758</v>
      </c>
      <c r="D448" s="231" t="s">
        <v>1386</v>
      </c>
      <c r="E448" s="230">
        <v>14491032</v>
      </c>
      <c r="F448" s="230">
        <v>29036</v>
      </c>
      <c r="G448" s="230">
        <v>1</v>
      </c>
      <c r="H448" s="240">
        <v>359.46</v>
      </c>
      <c r="I448" s="240">
        <f t="shared" si="6"/>
        <v>359.46</v>
      </c>
      <c r="J448" s="231" t="s">
        <v>1393</v>
      </c>
      <c r="K448" s="231" t="s">
        <v>1394</v>
      </c>
      <c r="L448" s="232">
        <v>45170</v>
      </c>
      <c r="M448" s="232">
        <v>45199</v>
      </c>
    </row>
    <row r="449" spans="1:13" ht="14.25" customHeight="1" x14ac:dyDescent="0.2">
      <c r="A449" s="231" t="s">
        <v>19</v>
      </c>
      <c r="B449" s="230">
        <v>112307</v>
      </c>
      <c r="C449" s="230">
        <v>10750</v>
      </c>
      <c r="D449" s="231" t="s">
        <v>101</v>
      </c>
      <c r="E449" s="230">
        <v>14491032</v>
      </c>
      <c r="F449" s="230">
        <v>29048</v>
      </c>
      <c r="G449" s="230">
        <v>1</v>
      </c>
      <c r="H449" s="240">
        <v>359.46</v>
      </c>
      <c r="I449" s="240">
        <f t="shared" si="6"/>
        <v>359.46</v>
      </c>
      <c r="J449" s="231" t="s">
        <v>1393</v>
      </c>
      <c r="K449" s="231" t="s">
        <v>1394</v>
      </c>
      <c r="L449" s="232">
        <v>45170</v>
      </c>
      <c r="M449" s="232">
        <v>45199</v>
      </c>
    </row>
    <row r="450" spans="1:13" ht="14.25" customHeight="1" x14ac:dyDescent="0.2">
      <c r="A450" s="231" t="s">
        <v>19</v>
      </c>
      <c r="B450" s="230">
        <v>112309</v>
      </c>
      <c r="C450" s="230">
        <v>10758</v>
      </c>
      <c r="D450" s="231" t="s">
        <v>102</v>
      </c>
      <c r="E450" s="230">
        <v>14491032</v>
      </c>
      <c r="F450" s="230">
        <v>29052</v>
      </c>
      <c r="G450" s="230">
        <v>1</v>
      </c>
      <c r="H450" s="240">
        <v>359.46</v>
      </c>
      <c r="I450" s="240">
        <f t="shared" si="6"/>
        <v>359.46</v>
      </c>
      <c r="J450" s="231" t="s">
        <v>1393</v>
      </c>
      <c r="K450" s="231" t="s">
        <v>1394</v>
      </c>
      <c r="L450" s="232">
        <v>45170</v>
      </c>
      <c r="M450" s="232">
        <v>45199</v>
      </c>
    </row>
    <row r="451" spans="1:13" ht="14.25" customHeight="1" x14ac:dyDescent="0.2">
      <c r="A451" s="231" t="s">
        <v>19</v>
      </c>
      <c r="B451" s="230">
        <v>112315</v>
      </c>
      <c r="C451" s="230">
        <v>10750</v>
      </c>
      <c r="D451" s="231" t="s">
        <v>103</v>
      </c>
      <c r="E451" s="230">
        <v>14491032</v>
      </c>
      <c r="F451" s="230">
        <v>29064</v>
      </c>
      <c r="G451" s="230">
        <v>1</v>
      </c>
      <c r="H451" s="240">
        <v>359.46</v>
      </c>
      <c r="I451" s="240">
        <f t="shared" ref="I451:I514" si="7">G451*H451</f>
        <v>359.46</v>
      </c>
      <c r="J451" s="231" t="s">
        <v>1393</v>
      </c>
      <c r="K451" s="231" t="s">
        <v>1394</v>
      </c>
      <c r="L451" s="232">
        <v>45170</v>
      </c>
      <c r="M451" s="232">
        <v>45199</v>
      </c>
    </row>
    <row r="452" spans="1:13" ht="14.25" customHeight="1" x14ac:dyDescent="0.2">
      <c r="A452" s="231" t="s">
        <v>19</v>
      </c>
      <c r="B452" s="230">
        <v>112319</v>
      </c>
      <c r="C452" s="230">
        <v>10757</v>
      </c>
      <c r="D452" s="231" t="s">
        <v>1439</v>
      </c>
      <c r="E452" s="230">
        <v>14491032</v>
      </c>
      <c r="F452" s="230">
        <v>29072</v>
      </c>
      <c r="G452" s="230">
        <v>1</v>
      </c>
      <c r="H452" s="240">
        <v>359.46</v>
      </c>
      <c r="I452" s="240">
        <f t="shared" si="7"/>
        <v>359.46</v>
      </c>
      <c r="J452" s="231" t="s">
        <v>1393</v>
      </c>
      <c r="K452" s="231" t="s">
        <v>1394</v>
      </c>
      <c r="L452" s="232">
        <v>45170</v>
      </c>
      <c r="M452" s="232">
        <v>45199</v>
      </c>
    </row>
    <row r="453" spans="1:13" ht="14.25" customHeight="1" x14ac:dyDescent="0.2">
      <c r="A453" s="231" t="s">
        <v>19</v>
      </c>
      <c r="B453" s="230">
        <v>112327</v>
      </c>
      <c r="C453" s="230">
        <v>10766</v>
      </c>
      <c r="D453" s="231" t="s">
        <v>109</v>
      </c>
      <c r="E453" s="230">
        <v>14491032</v>
      </c>
      <c r="F453" s="230">
        <v>29088</v>
      </c>
      <c r="G453" s="230">
        <v>1</v>
      </c>
      <c r="H453" s="240">
        <v>359.46</v>
      </c>
      <c r="I453" s="240">
        <f t="shared" si="7"/>
        <v>359.46</v>
      </c>
      <c r="J453" s="231" t="s">
        <v>1393</v>
      </c>
      <c r="K453" s="231" t="s">
        <v>1394</v>
      </c>
      <c r="L453" s="232">
        <v>45170</v>
      </c>
      <c r="M453" s="232">
        <v>45199</v>
      </c>
    </row>
    <row r="454" spans="1:13" ht="14.25" customHeight="1" x14ac:dyDescent="0.2">
      <c r="A454" s="231" t="s">
        <v>19</v>
      </c>
      <c r="B454" s="230">
        <v>112334</v>
      </c>
      <c r="C454" s="230">
        <v>10754</v>
      </c>
      <c r="D454" s="231" t="s">
        <v>116</v>
      </c>
      <c r="E454" s="230">
        <v>14491032</v>
      </c>
      <c r="F454" s="230">
        <v>29102</v>
      </c>
      <c r="G454" s="230">
        <v>1</v>
      </c>
      <c r="H454" s="240">
        <v>359.46</v>
      </c>
      <c r="I454" s="240">
        <f t="shared" si="7"/>
        <v>359.46</v>
      </c>
      <c r="J454" s="231" t="s">
        <v>1393</v>
      </c>
      <c r="K454" s="231" t="s">
        <v>1394</v>
      </c>
      <c r="L454" s="232">
        <v>45170</v>
      </c>
      <c r="M454" s="232">
        <v>45199</v>
      </c>
    </row>
    <row r="455" spans="1:13" ht="14.25" customHeight="1" x14ac:dyDescent="0.2">
      <c r="A455" s="231" t="s">
        <v>19</v>
      </c>
      <c r="B455" s="230">
        <v>112358</v>
      </c>
      <c r="C455" s="230">
        <v>10766</v>
      </c>
      <c r="D455" s="231" t="s">
        <v>129</v>
      </c>
      <c r="E455" s="230">
        <v>14491032</v>
      </c>
      <c r="F455" s="230">
        <v>29150</v>
      </c>
      <c r="G455" s="230">
        <v>1</v>
      </c>
      <c r="H455" s="240">
        <v>359.46</v>
      </c>
      <c r="I455" s="240">
        <f t="shared" si="7"/>
        <v>359.46</v>
      </c>
      <c r="J455" s="231" t="s">
        <v>1393</v>
      </c>
      <c r="K455" s="231" t="s">
        <v>1394</v>
      </c>
      <c r="L455" s="232">
        <v>45170</v>
      </c>
      <c r="M455" s="232">
        <v>45199</v>
      </c>
    </row>
    <row r="456" spans="1:13" ht="14.25" customHeight="1" x14ac:dyDescent="0.2">
      <c r="A456" s="231" t="s">
        <v>19</v>
      </c>
      <c r="B456" s="230">
        <v>112382</v>
      </c>
      <c r="C456" s="230">
        <v>10771</v>
      </c>
      <c r="D456" s="231" t="s">
        <v>145</v>
      </c>
      <c r="E456" s="230">
        <v>14491032</v>
      </c>
      <c r="F456" s="230">
        <v>29198</v>
      </c>
      <c r="G456" s="230">
        <v>1</v>
      </c>
      <c r="H456" s="240">
        <v>359.46</v>
      </c>
      <c r="I456" s="240">
        <f t="shared" si="7"/>
        <v>359.46</v>
      </c>
      <c r="J456" s="231" t="s">
        <v>1393</v>
      </c>
      <c r="K456" s="231" t="s">
        <v>1394</v>
      </c>
      <c r="L456" s="232">
        <v>45170</v>
      </c>
      <c r="M456" s="232">
        <v>45199</v>
      </c>
    </row>
    <row r="457" spans="1:13" ht="14.25" customHeight="1" x14ac:dyDescent="0.2">
      <c r="A457" s="231" t="s">
        <v>19</v>
      </c>
      <c r="B457" s="230">
        <v>112393</v>
      </c>
      <c r="C457" s="230">
        <v>10757</v>
      </c>
      <c r="D457" s="231" t="s">
        <v>151</v>
      </c>
      <c r="E457" s="230">
        <v>14491032</v>
      </c>
      <c r="F457" s="230">
        <v>29220</v>
      </c>
      <c r="G457" s="230">
        <v>1</v>
      </c>
      <c r="H457" s="240">
        <v>359.46</v>
      </c>
      <c r="I457" s="240">
        <f t="shared" si="7"/>
        <v>359.46</v>
      </c>
      <c r="J457" s="231" t="s">
        <v>1393</v>
      </c>
      <c r="K457" s="231" t="s">
        <v>1394</v>
      </c>
      <c r="L457" s="232">
        <v>45170</v>
      </c>
      <c r="M457" s="232">
        <v>45199</v>
      </c>
    </row>
    <row r="458" spans="1:13" ht="14.25" customHeight="1" x14ac:dyDescent="0.2">
      <c r="A458" s="231" t="s">
        <v>19</v>
      </c>
      <c r="B458" s="230">
        <v>112419</v>
      </c>
      <c r="C458" s="230">
        <v>10750</v>
      </c>
      <c r="D458" s="231" t="s">
        <v>169</v>
      </c>
      <c r="E458" s="230">
        <v>14491032</v>
      </c>
      <c r="F458" s="230">
        <v>29272</v>
      </c>
      <c r="G458" s="230">
        <v>1</v>
      </c>
      <c r="H458" s="240">
        <v>359.46</v>
      </c>
      <c r="I458" s="240">
        <f t="shared" si="7"/>
        <v>359.46</v>
      </c>
      <c r="J458" s="231" t="s">
        <v>1393</v>
      </c>
      <c r="K458" s="231" t="s">
        <v>1394</v>
      </c>
      <c r="L458" s="232">
        <v>45170</v>
      </c>
      <c r="M458" s="232">
        <v>45199</v>
      </c>
    </row>
    <row r="459" spans="1:13" ht="14.25" customHeight="1" x14ac:dyDescent="0.2">
      <c r="A459" s="231" t="s">
        <v>19</v>
      </c>
      <c r="B459" s="230">
        <v>112443</v>
      </c>
      <c r="C459" s="230">
        <v>10757</v>
      </c>
      <c r="D459" s="231" t="s">
        <v>184</v>
      </c>
      <c r="E459" s="230">
        <v>14491032</v>
      </c>
      <c r="F459" s="230">
        <v>29320</v>
      </c>
      <c r="G459" s="230">
        <v>1</v>
      </c>
      <c r="H459" s="240">
        <v>359.46</v>
      </c>
      <c r="I459" s="240">
        <f t="shared" si="7"/>
        <v>359.46</v>
      </c>
      <c r="J459" s="231" t="s">
        <v>1393</v>
      </c>
      <c r="K459" s="231" t="s">
        <v>1394</v>
      </c>
      <c r="L459" s="232">
        <v>45170</v>
      </c>
      <c r="M459" s="232">
        <v>45199</v>
      </c>
    </row>
    <row r="460" spans="1:13" ht="14.25" customHeight="1" x14ac:dyDescent="0.2">
      <c r="A460" s="231" t="s">
        <v>19</v>
      </c>
      <c r="B460" s="230">
        <v>112448</v>
      </c>
      <c r="C460" s="230">
        <v>10750</v>
      </c>
      <c r="D460" s="231" t="s">
        <v>187</v>
      </c>
      <c r="E460" s="230">
        <v>14491032</v>
      </c>
      <c r="F460" s="230">
        <v>29330</v>
      </c>
      <c r="G460" s="230">
        <v>1</v>
      </c>
      <c r="H460" s="240">
        <v>359.46</v>
      </c>
      <c r="I460" s="240">
        <f t="shared" si="7"/>
        <v>359.46</v>
      </c>
      <c r="J460" s="231" t="s">
        <v>1393</v>
      </c>
      <c r="K460" s="231" t="s">
        <v>1394</v>
      </c>
      <c r="L460" s="232">
        <v>45170</v>
      </c>
      <c r="M460" s="232">
        <v>45199</v>
      </c>
    </row>
    <row r="461" spans="1:13" ht="14.25" customHeight="1" x14ac:dyDescent="0.2">
      <c r="A461" s="231" t="s">
        <v>19</v>
      </c>
      <c r="B461" s="230">
        <v>112453</v>
      </c>
      <c r="C461" s="230">
        <v>10750</v>
      </c>
      <c r="D461" s="231" t="s">
        <v>191</v>
      </c>
      <c r="E461" s="230">
        <v>14491032</v>
      </c>
      <c r="F461" s="230">
        <v>29340</v>
      </c>
      <c r="G461" s="230">
        <v>1</v>
      </c>
      <c r="H461" s="240">
        <v>359.46</v>
      </c>
      <c r="I461" s="240">
        <f t="shared" si="7"/>
        <v>359.46</v>
      </c>
      <c r="J461" s="231" t="s">
        <v>1393</v>
      </c>
      <c r="K461" s="231" t="s">
        <v>1394</v>
      </c>
      <c r="L461" s="232">
        <v>45170</v>
      </c>
      <c r="M461" s="232">
        <v>45199</v>
      </c>
    </row>
    <row r="462" spans="1:13" ht="14.25" customHeight="1" x14ac:dyDescent="0.2">
      <c r="A462" s="231" t="s">
        <v>19</v>
      </c>
      <c r="B462" s="230">
        <v>112500</v>
      </c>
      <c r="C462" s="230">
        <v>10757</v>
      </c>
      <c r="D462" s="231" t="s">
        <v>219</v>
      </c>
      <c r="E462" s="230">
        <v>14491032</v>
      </c>
      <c r="F462" s="230">
        <v>29434</v>
      </c>
      <c r="G462" s="230">
        <v>1</v>
      </c>
      <c r="H462" s="240">
        <v>359.46</v>
      </c>
      <c r="I462" s="240">
        <f t="shared" si="7"/>
        <v>359.46</v>
      </c>
      <c r="J462" s="231" t="s">
        <v>1393</v>
      </c>
      <c r="K462" s="231" t="s">
        <v>1394</v>
      </c>
      <c r="L462" s="232">
        <v>45170</v>
      </c>
      <c r="M462" s="232">
        <v>45199</v>
      </c>
    </row>
    <row r="463" spans="1:13" ht="14.25" customHeight="1" x14ac:dyDescent="0.2">
      <c r="A463" s="231" t="s">
        <v>19</v>
      </c>
      <c r="B463" s="230">
        <v>112551</v>
      </c>
      <c r="C463" s="230">
        <v>10756</v>
      </c>
      <c r="D463" s="231" t="s">
        <v>260</v>
      </c>
      <c r="E463" s="230">
        <v>14491032</v>
      </c>
      <c r="F463" s="230">
        <v>29536</v>
      </c>
      <c r="G463" s="230">
        <v>1</v>
      </c>
      <c r="H463" s="240">
        <v>359.46</v>
      </c>
      <c r="I463" s="240">
        <f t="shared" si="7"/>
        <v>359.46</v>
      </c>
      <c r="J463" s="231" t="s">
        <v>1393</v>
      </c>
      <c r="K463" s="231" t="s">
        <v>1394</v>
      </c>
      <c r="L463" s="232">
        <v>45170</v>
      </c>
      <c r="M463" s="232">
        <v>45199</v>
      </c>
    </row>
    <row r="464" spans="1:13" ht="14.25" customHeight="1" x14ac:dyDescent="0.2">
      <c r="A464" s="231" t="s">
        <v>19</v>
      </c>
      <c r="B464" s="230">
        <v>112578</v>
      </c>
      <c r="C464" s="230">
        <v>10758</v>
      </c>
      <c r="D464" s="231" t="s">
        <v>1379</v>
      </c>
      <c r="E464" s="230">
        <v>14491032</v>
      </c>
      <c r="F464" s="230">
        <v>29590</v>
      </c>
      <c r="G464" s="230">
        <v>1</v>
      </c>
      <c r="H464" s="240">
        <v>359.46</v>
      </c>
      <c r="I464" s="240">
        <f t="shared" si="7"/>
        <v>359.46</v>
      </c>
      <c r="J464" s="231" t="s">
        <v>1393</v>
      </c>
      <c r="K464" s="231" t="s">
        <v>1394</v>
      </c>
      <c r="L464" s="232">
        <v>45170</v>
      </c>
      <c r="M464" s="232">
        <v>45199</v>
      </c>
    </row>
    <row r="465" spans="1:13" ht="14.25" customHeight="1" x14ac:dyDescent="0.2">
      <c r="A465" s="231" t="s">
        <v>19</v>
      </c>
      <c r="B465" s="230">
        <v>112579</v>
      </c>
      <c r="C465" s="230">
        <v>10750</v>
      </c>
      <c r="D465" s="231" t="s">
        <v>276</v>
      </c>
      <c r="E465" s="230">
        <v>14491032</v>
      </c>
      <c r="F465" s="230">
        <v>29592</v>
      </c>
      <c r="G465" s="230">
        <v>1</v>
      </c>
      <c r="H465" s="240">
        <v>359.46</v>
      </c>
      <c r="I465" s="240">
        <f t="shared" si="7"/>
        <v>359.46</v>
      </c>
      <c r="J465" s="231" t="s">
        <v>1393</v>
      </c>
      <c r="K465" s="231" t="s">
        <v>1394</v>
      </c>
      <c r="L465" s="232">
        <v>45170</v>
      </c>
      <c r="M465" s="232">
        <v>45199</v>
      </c>
    </row>
    <row r="466" spans="1:13" ht="14.25" customHeight="1" x14ac:dyDescent="0.2">
      <c r="A466" s="231" t="s">
        <v>19</v>
      </c>
      <c r="B466" s="230">
        <v>112599</v>
      </c>
      <c r="C466" s="230">
        <v>10757</v>
      </c>
      <c r="D466" s="231" t="s">
        <v>288</v>
      </c>
      <c r="E466" s="230">
        <v>14491032</v>
      </c>
      <c r="F466" s="230">
        <v>29632</v>
      </c>
      <c r="G466" s="230">
        <v>1</v>
      </c>
      <c r="H466" s="240">
        <v>359.46</v>
      </c>
      <c r="I466" s="240">
        <f t="shared" si="7"/>
        <v>359.46</v>
      </c>
      <c r="J466" s="231" t="s">
        <v>1393</v>
      </c>
      <c r="K466" s="231" t="s">
        <v>1394</v>
      </c>
      <c r="L466" s="232">
        <v>45170</v>
      </c>
      <c r="M466" s="232">
        <v>45199</v>
      </c>
    </row>
    <row r="467" spans="1:13" ht="14.25" customHeight="1" x14ac:dyDescent="0.2">
      <c r="A467" s="231" t="s">
        <v>19</v>
      </c>
      <c r="B467" s="230">
        <v>112610</v>
      </c>
      <c r="C467" s="230">
        <v>10757</v>
      </c>
      <c r="D467" s="231" t="s">
        <v>1329</v>
      </c>
      <c r="E467" s="230">
        <v>14491032</v>
      </c>
      <c r="F467" s="230">
        <v>29654</v>
      </c>
      <c r="G467" s="230">
        <v>1</v>
      </c>
      <c r="H467" s="240">
        <v>359.46</v>
      </c>
      <c r="I467" s="240">
        <f t="shared" si="7"/>
        <v>359.46</v>
      </c>
      <c r="J467" s="231" t="s">
        <v>1393</v>
      </c>
      <c r="K467" s="231" t="s">
        <v>1394</v>
      </c>
      <c r="L467" s="232">
        <v>45170</v>
      </c>
      <c r="M467" s="232">
        <v>45199</v>
      </c>
    </row>
    <row r="468" spans="1:13" ht="14.25" customHeight="1" x14ac:dyDescent="0.2">
      <c r="A468" s="231" t="s">
        <v>19</v>
      </c>
      <c r="B468" s="230">
        <v>112617</v>
      </c>
      <c r="C468" s="230">
        <v>10750</v>
      </c>
      <c r="D468" s="231" t="s">
        <v>301</v>
      </c>
      <c r="E468" s="230">
        <v>14491032</v>
      </c>
      <c r="F468" s="230">
        <v>29668</v>
      </c>
      <c r="G468" s="230">
        <v>1</v>
      </c>
      <c r="H468" s="240">
        <v>359.46</v>
      </c>
      <c r="I468" s="240">
        <f t="shared" si="7"/>
        <v>359.46</v>
      </c>
      <c r="J468" s="231" t="s">
        <v>1393</v>
      </c>
      <c r="K468" s="231" t="s">
        <v>1394</v>
      </c>
      <c r="L468" s="232">
        <v>45170</v>
      </c>
      <c r="M468" s="232">
        <v>45199</v>
      </c>
    </row>
    <row r="469" spans="1:13" ht="14.25" customHeight="1" x14ac:dyDescent="0.2">
      <c r="A469" s="231" t="s">
        <v>19</v>
      </c>
      <c r="B469" s="230">
        <v>112646</v>
      </c>
      <c r="C469" s="230">
        <v>10763</v>
      </c>
      <c r="D469" s="231" t="s">
        <v>318</v>
      </c>
      <c r="E469" s="230">
        <v>14491032</v>
      </c>
      <c r="F469" s="230">
        <v>29726</v>
      </c>
      <c r="G469" s="230">
        <v>1</v>
      </c>
      <c r="H469" s="240">
        <v>359.46</v>
      </c>
      <c r="I469" s="240">
        <f t="shared" si="7"/>
        <v>359.46</v>
      </c>
      <c r="J469" s="231" t="s">
        <v>1393</v>
      </c>
      <c r="K469" s="231" t="s">
        <v>1394</v>
      </c>
      <c r="L469" s="232">
        <v>45170</v>
      </c>
      <c r="M469" s="232">
        <v>45199</v>
      </c>
    </row>
    <row r="470" spans="1:13" ht="14.25" customHeight="1" x14ac:dyDescent="0.2">
      <c r="A470" s="231" t="s">
        <v>19</v>
      </c>
      <c r="B470" s="230">
        <v>112668</v>
      </c>
      <c r="C470" s="230">
        <v>10750</v>
      </c>
      <c r="D470" s="231" t="s">
        <v>330</v>
      </c>
      <c r="E470" s="230">
        <v>14491032</v>
      </c>
      <c r="F470" s="230">
        <v>29770</v>
      </c>
      <c r="G470" s="230">
        <v>1</v>
      </c>
      <c r="H470" s="240">
        <v>359.46</v>
      </c>
      <c r="I470" s="240">
        <f t="shared" si="7"/>
        <v>359.46</v>
      </c>
      <c r="J470" s="231" t="s">
        <v>1393</v>
      </c>
      <c r="K470" s="231" t="s">
        <v>1394</v>
      </c>
      <c r="L470" s="232">
        <v>45170</v>
      </c>
      <c r="M470" s="232">
        <v>45199</v>
      </c>
    </row>
    <row r="471" spans="1:13" ht="14.25" customHeight="1" x14ac:dyDescent="0.2">
      <c r="A471" s="231" t="s">
        <v>19</v>
      </c>
      <c r="B471" s="230">
        <v>112693</v>
      </c>
      <c r="C471" s="230">
        <v>10754</v>
      </c>
      <c r="D471" s="231" t="s">
        <v>346</v>
      </c>
      <c r="E471" s="230">
        <v>14491032</v>
      </c>
      <c r="F471" s="230">
        <v>29820</v>
      </c>
      <c r="G471" s="230">
        <v>1</v>
      </c>
      <c r="H471" s="240">
        <v>359.46</v>
      </c>
      <c r="I471" s="240">
        <f t="shared" si="7"/>
        <v>359.46</v>
      </c>
      <c r="J471" s="231" t="s">
        <v>1393</v>
      </c>
      <c r="K471" s="231" t="s">
        <v>1394</v>
      </c>
      <c r="L471" s="232">
        <v>45170</v>
      </c>
      <c r="M471" s="232">
        <v>45199</v>
      </c>
    </row>
    <row r="472" spans="1:13" ht="14.25" customHeight="1" x14ac:dyDescent="0.2">
      <c r="A472" s="231" t="s">
        <v>19</v>
      </c>
      <c r="B472" s="230">
        <v>112694</v>
      </c>
      <c r="C472" s="230">
        <v>10756</v>
      </c>
      <c r="D472" s="231" t="s">
        <v>347</v>
      </c>
      <c r="E472" s="230">
        <v>14491032</v>
      </c>
      <c r="F472" s="230">
        <v>29822</v>
      </c>
      <c r="G472" s="230">
        <v>1</v>
      </c>
      <c r="H472" s="240">
        <v>359.46</v>
      </c>
      <c r="I472" s="240">
        <f t="shared" si="7"/>
        <v>359.46</v>
      </c>
      <c r="J472" s="231" t="s">
        <v>1393</v>
      </c>
      <c r="K472" s="231" t="s">
        <v>1394</v>
      </c>
      <c r="L472" s="232">
        <v>45170</v>
      </c>
      <c r="M472" s="232">
        <v>45199</v>
      </c>
    </row>
    <row r="473" spans="1:13" ht="14.25" customHeight="1" x14ac:dyDescent="0.2">
      <c r="A473" s="231" t="s">
        <v>19</v>
      </c>
      <c r="B473" s="230">
        <v>112764</v>
      </c>
      <c r="C473" s="230">
        <v>10771</v>
      </c>
      <c r="D473" s="231" t="s">
        <v>391</v>
      </c>
      <c r="E473" s="230">
        <v>14491032</v>
      </c>
      <c r="F473" s="230">
        <v>29962</v>
      </c>
      <c r="G473" s="230">
        <v>1</v>
      </c>
      <c r="H473" s="240">
        <v>359.46</v>
      </c>
      <c r="I473" s="240">
        <f t="shared" si="7"/>
        <v>359.46</v>
      </c>
      <c r="J473" s="231" t="s">
        <v>1393</v>
      </c>
      <c r="K473" s="231" t="s">
        <v>1394</v>
      </c>
      <c r="L473" s="232">
        <v>45170</v>
      </c>
      <c r="M473" s="232">
        <v>45199</v>
      </c>
    </row>
    <row r="474" spans="1:13" ht="14.25" customHeight="1" x14ac:dyDescent="0.2">
      <c r="A474" s="231" t="s">
        <v>19</v>
      </c>
      <c r="B474" s="230">
        <v>112812</v>
      </c>
      <c r="C474" s="230">
        <v>10771</v>
      </c>
      <c r="D474" s="231" t="s">
        <v>429</v>
      </c>
      <c r="E474" s="230">
        <v>14491032</v>
      </c>
      <c r="F474" s="230">
        <v>30058</v>
      </c>
      <c r="G474" s="230">
        <v>1</v>
      </c>
      <c r="H474" s="240">
        <v>359.46</v>
      </c>
      <c r="I474" s="240">
        <f t="shared" si="7"/>
        <v>359.46</v>
      </c>
      <c r="J474" s="231" t="s">
        <v>1393</v>
      </c>
      <c r="K474" s="231" t="s">
        <v>1394</v>
      </c>
      <c r="L474" s="232">
        <v>45170</v>
      </c>
      <c r="M474" s="232">
        <v>45199</v>
      </c>
    </row>
    <row r="475" spans="1:13" ht="14.25" customHeight="1" x14ac:dyDescent="0.2">
      <c r="A475" s="231" t="s">
        <v>19</v>
      </c>
      <c r="B475" s="230">
        <v>112862</v>
      </c>
      <c r="C475" s="230">
        <v>10750</v>
      </c>
      <c r="D475" s="231" t="s">
        <v>459</v>
      </c>
      <c r="E475" s="230">
        <v>14491032</v>
      </c>
      <c r="F475" s="230">
        <v>30158</v>
      </c>
      <c r="G475" s="230">
        <v>1</v>
      </c>
      <c r="H475" s="240">
        <v>359.46</v>
      </c>
      <c r="I475" s="240">
        <f t="shared" si="7"/>
        <v>359.46</v>
      </c>
      <c r="J475" s="231" t="s">
        <v>1393</v>
      </c>
      <c r="K475" s="231" t="s">
        <v>1394</v>
      </c>
      <c r="L475" s="232">
        <v>45170</v>
      </c>
      <c r="M475" s="232">
        <v>45199</v>
      </c>
    </row>
    <row r="476" spans="1:13" ht="14.25" customHeight="1" x14ac:dyDescent="0.2">
      <c r="A476" s="231" t="s">
        <v>19</v>
      </c>
      <c r="B476" s="230">
        <v>112865</v>
      </c>
      <c r="C476" s="230">
        <v>10750</v>
      </c>
      <c r="D476" s="231" t="s">
        <v>461</v>
      </c>
      <c r="E476" s="230">
        <v>14491032</v>
      </c>
      <c r="F476" s="230">
        <v>30164</v>
      </c>
      <c r="G476" s="230">
        <v>1</v>
      </c>
      <c r="H476" s="240">
        <v>359.46</v>
      </c>
      <c r="I476" s="240">
        <f t="shared" si="7"/>
        <v>359.46</v>
      </c>
      <c r="J476" s="231" t="s">
        <v>1393</v>
      </c>
      <c r="K476" s="231" t="s">
        <v>1394</v>
      </c>
      <c r="L476" s="232">
        <v>45170</v>
      </c>
      <c r="M476" s="232">
        <v>45199</v>
      </c>
    </row>
    <row r="477" spans="1:13" ht="14.25" customHeight="1" x14ac:dyDescent="0.2">
      <c r="A477" s="231" t="s">
        <v>19</v>
      </c>
      <c r="B477" s="230">
        <v>112877</v>
      </c>
      <c r="C477" s="230">
        <v>10758</v>
      </c>
      <c r="D477" s="231" t="s">
        <v>471</v>
      </c>
      <c r="E477" s="230">
        <v>14491032</v>
      </c>
      <c r="F477" s="230">
        <v>30188</v>
      </c>
      <c r="G477" s="230">
        <v>1</v>
      </c>
      <c r="H477" s="240">
        <v>359.46</v>
      </c>
      <c r="I477" s="240">
        <f t="shared" si="7"/>
        <v>359.46</v>
      </c>
      <c r="J477" s="231" t="s">
        <v>1393</v>
      </c>
      <c r="K477" s="231" t="s">
        <v>1394</v>
      </c>
      <c r="L477" s="232">
        <v>45170</v>
      </c>
      <c r="M477" s="232">
        <v>45199</v>
      </c>
    </row>
    <row r="478" spans="1:13" ht="14.25" customHeight="1" x14ac:dyDescent="0.2">
      <c r="A478" s="231" t="s">
        <v>19</v>
      </c>
      <c r="B478" s="230">
        <v>112891</v>
      </c>
      <c r="C478" s="230">
        <v>10751</v>
      </c>
      <c r="D478" s="231" t="s">
        <v>479</v>
      </c>
      <c r="E478" s="230">
        <v>14491032</v>
      </c>
      <c r="F478" s="230">
        <v>30216</v>
      </c>
      <c r="G478" s="230">
        <v>1</v>
      </c>
      <c r="H478" s="240">
        <v>359.46</v>
      </c>
      <c r="I478" s="240">
        <f t="shared" si="7"/>
        <v>359.46</v>
      </c>
      <c r="J478" s="231" t="s">
        <v>1393</v>
      </c>
      <c r="K478" s="231" t="s">
        <v>1394</v>
      </c>
      <c r="L478" s="232">
        <v>45170</v>
      </c>
      <c r="M478" s="232">
        <v>45199</v>
      </c>
    </row>
    <row r="479" spans="1:13" ht="14.25" customHeight="1" x14ac:dyDescent="0.2">
      <c r="A479" s="231" t="s">
        <v>19</v>
      </c>
      <c r="B479" s="230">
        <v>112894</v>
      </c>
      <c r="C479" s="230">
        <v>10750</v>
      </c>
      <c r="D479" s="231" t="s">
        <v>483</v>
      </c>
      <c r="E479" s="230">
        <v>14491032</v>
      </c>
      <c r="F479" s="230">
        <v>30222</v>
      </c>
      <c r="G479" s="230">
        <v>1</v>
      </c>
      <c r="H479" s="240">
        <v>359.46</v>
      </c>
      <c r="I479" s="240">
        <f t="shared" si="7"/>
        <v>359.46</v>
      </c>
      <c r="J479" s="231" t="s">
        <v>1393</v>
      </c>
      <c r="K479" s="231" t="s">
        <v>1394</v>
      </c>
      <c r="L479" s="232">
        <v>45170</v>
      </c>
      <c r="M479" s="232">
        <v>45199</v>
      </c>
    </row>
    <row r="480" spans="1:13" ht="14.25" customHeight="1" x14ac:dyDescent="0.2">
      <c r="A480" s="231" t="s">
        <v>19</v>
      </c>
      <c r="B480" s="230">
        <v>112916</v>
      </c>
      <c r="C480" s="230">
        <v>10750</v>
      </c>
      <c r="D480" s="231" t="s">
        <v>496</v>
      </c>
      <c r="E480" s="230">
        <v>14491032</v>
      </c>
      <c r="F480" s="230">
        <v>30266</v>
      </c>
      <c r="G480" s="230">
        <v>1</v>
      </c>
      <c r="H480" s="240">
        <v>359.46</v>
      </c>
      <c r="I480" s="240">
        <f t="shared" si="7"/>
        <v>359.46</v>
      </c>
      <c r="J480" s="231" t="s">
        <v>1393</v>
      </c>
      <c r="K480" s="231" t="s">
        <v>1394</v>
      </c>
      <c r="L480" s="232">
        <v>45170</v>
      </c>
      <c r="M480" s="232">
        <v>45199</v>
      </c>
    </row>
    <row r="481" spans="1:13" ht="14.25" customHeight="1" x14ac:dyDescent="0.2">
      <c r="A481" s="231" t="s">
        <v>19</v>
      </c>
      <c r="B481" s="230">
        <v>112936</v>
      </c>
      <c r="C481" s="230">
        <v>10750</v>
      </c>
      <c r="D481" s="231" t="s">
        <v>507</v>
      </c>
      <c r="E481" s="230">
        <v>14491032</v>
      </c>
      <c r="F481" s="230">
        <v>30306</v>
      </c>
      <c r="G481" s="230">
        <v>1</v>
      </c>
      <c r="H481" s="240">
        <v>359.46</v>
      </c>
      <c r="I481" s="240">
        <f t="shared" si="7"/>
        <v>359.46</v>
      </c>
      <c r="J481" s="231" t="s">
        <v>1393</v>
      </c>
      <c r="K481" s="231" t="s">
        <v>1394</v>
      </c>
      <c r="L481" s="232">
        <v>45170</v>
      </c>
      <c r="M481" s="232">
        <v>45199</v>
      </c>
    </row>
    <row r="482" spans="1:13" ht="14.25" customHeight="1" x14ac:dyDescent="0.2">
      <c r="A482" s="231" t="s">
        <v>19</v>
      </c>
      <c r="B482" s="230">
        <v>112956</v>
      </c>
      <c r="C482" s="230">
        <v>10766</v>
      </c>
      <c r="D482" s="231" t="s">
        <v>520</v>
      </c>
      <c r="E482" s="230">
        <v>14491032</v>
      </c>
      <c r="F482" s="230">
        <v>30346</v>
      </c>
      <c r="G482" s="230">
        <v>1</v>
      </c>
      <c r="H482" s="240">
        <v>359.46</v>
      </c>
      <c r="I482" s="240">
        <f t="shared" si="7"/>
        <v>359.46</v>
      </c>
      <c r="J482" s="231" t="s">
        <v>1393</v>
      </c>
      <c r="K482" s="231" t="s">
        <v>1394</v>
      </c>
      <c r="L482" s="232">
        <v>45170</v>
      </c>
      <c r="M482" s="232">
        <v>45199</v>
      </c>
    </row>
    <row r="483" spans="1:13" ht="14.25" customHeight="1" x14ac:dyDescent="0.2">
      <c r="A483" s="231" t="s">
        <v>19</v>
      </c>
      <c r="B483" s="230">
        <v>112959</v>
      </c>
      <c r="C483" s="230">
        <v>10766</v>
      </c>
      <c r="D483" s="231" t="s">
        <v>522</v>
      </c>
      <c r="E483" s="230">
        <v>14491032</v>
      </c>
      <c r="F483" s="230">
        <v>30352</v>
      </c>
      <c r="G483" s="230">
        <v>1</v>
      </c>
      <c r="H483" s="240">
        <v>359.46</v>
      </c>
      <c r="I483" s="240">
        <f t="shared" si="7"/>
        <v>359.46</v>
      </c>
      <c r="J483" s="231" t="s">
        <v>1393</v>
      </c>
      <c r="K483" s="231" t="s">
        <v>1394</v>
      </c>
      <c r="L483" s="232">
        <v>45170</v>
      </c>
      <c r="M483" s="232">
        <v>45199</v>
      </c>
    </row>
    <row r="484" spans="1:13" ht="14.25" customHeight="1" x14ac:dyDescent="0.2">
      <c r="A484" s="231" t="s">
        <v>19</v>
      </c>
      <c r="B484" s="230">
        <v>112962</v>
      </c>
      <c r="C484" s="230">
        <v>10761</v>
      </c>
      <c r="D484" s="231" t="s">
        <v>524</v>
      </c>
      <c r="E484" s="230">
        <v>14491032</v>
      </c>
      <c r="F484" s="230">
        <v>30358</v>
      </c>
      <c r="G484" s="230">
        <v>1</v>
      </c>
      <c r="H484" s="240">
        <v>359.46</v>
      </c>
      <c r="I484" s="240">
        <f t="shared" si="7"/>
        <v>359.46</v>
      </c>
      <c r="J484" s="231" t="s">
        <v>1393</v>
      </c>
      <c r="K484" s="231" t="s">
        <v>1394</v>
      </c>
      <c r="L484" s="232">
        <v>45170</v>
      </c>
      <c r="M484" s="232">
        <v>45199</v>
      </c>
    </row>
    <row r="485" spans="1:13" ht="14.25" customHeight="1" x14ac:dyDescent="0.2">
      <c r="A485" s="231" t="s">
        <v>19</v>
      </c>
      <c r="B485" s="230">
        <v>112964</v>
      </c>
      <c r="C485" s="230">
        <v>10761</v>
      </c>
      <c r="D485" s="231" t="s">
        <v>525</v>
      </c>
      <c r="E485" s="230">
        <v>14491032</v>
      </c>
      <c r="F485" s="230">
        <v>30362</v>
      </c>
      <c r="G485" s="230">
        <v>1</v>
      </c>
      <c r="H485" s="240">
        <v>359.46</v>
      </c>
      <c r="I485" s="240">
        <f t="shared" si="7"/>
        <v>359.46</v>
      </c>
      <c r="J485" s="231" t="s">
        <v>1393</v>
      </c>
      <c r="K485" s="231" t="s">
        <v>1394</v>
      </c>
      <c r="L485" s="232">
        <v>45170</v>
      </c>
      <c r="M485" s="232">
        <v>45199</v>
      </c>
    </row>
    <row r="486" spans="1:13" ht="14.25" customHeight="1" x14ac:dyDescent="0.2">
      <c r="A486" s="231" t="s">
        <v>19</v>
      </c>
      <c r="B486" s="230">
        <v>112973</v>
      </c>
      <c r="C486" s="230">
        <v>10766</v>
      </c>
      <c r="D486" s="231" t="s">
        <v>527</v>
      </c>
      <c r="E486" s="230">
        <v>14491032</v>
      </c>
      <c r="F486" s="230">
        <v>30380</v>
      </c>
      <c r="G486" s="230">
        <v>1</v>
      </c>
      <c r="H486" s="240">
        <v>359.46</v>
      </c>
      <c r="I486" s="240">
        <f t="shared" si="7"/>
        <v>359.46</v>
      </c>
      <c r="J486" s="231" t="s">
        <v>1393</v>
      </c>
      <c r="K486" s="231" t="s">
        <v>1394</v>
      </c>
      <c r="L486" s="232">
        <v>45170</v>
      </c>
      <c r="M486" s="232">
        <v>45199</v>
      </c>
    </row>
    <row r="487" spans="1:13" ht="14.25" customHeight="1" x14ac:dyDescent="0.2">
      <c r="A487" s="231" t="s">
        <v>19</v>
      </c>
      <c r="B487" s="230">
        <v>112979</v>
      </c>
      <c r="C487" s="230">
        <v>10755</v>
      </c>
      <c r="D487" s="231" t="s">
        <v>531</v>
      </c>
      <c r="E487" s="230">
        <v>14491032</v>
      </c>
      <c r="F487" s="230">
        <v>30392</v>
      </c>
      <c r="G487" s="230">
        <v>1</v>
      </c>
      <c r="H487" s="240">
        <v>359.46</v>
      </c>
      <c r="I487" s="240">
        <f t="shared" si="7"/>
        <v>359.46</v>
      </c>
      <c r="J487" s="231" t="s">
        <v>1393</v>
      </c>
      <c r="K487" s="231" t="s">
        <v>1394</v>
      </c>
      <c r="L487" s="232">
        <v>45170</v>
      </c>
      <c r="M487" s="232">
        <v>45199</v>
      </c>
    </row>
    <row r="488" spans="1:13" ht="14.25" customHeight="1" x14ac:dyDescent="0.2">
      <c r="A488" s="231" t="s">
        <v>19</v>
      </c>
      <c r="B488" s="230">
        <v>112983</v>
      </c>
      <c r="C488" s="230">
        <v>10758</v>
      </c>
      <c r="D488" s="231" t="s">
        <v>532</v>
      </c>
      <c r="E488" s="230">
        <v>14491032</v>
      </c>
      <c r="F488" s="230">
        <v>30400</v>
      </c>
      <c r="G488" s="230">
        <v>1</v>
      </c>
      <c r="H488" s="240">
        <v>359.46</v>
      </c>
      <c r="I488" s="240">
        <f t="shared" si="7"/>
        <v>359.46</v>
      </c>
      <c r="J488" s="231" t="s">
        <v>1393</v>
      </c>
      <c r="K488" s="231" t="s">
        <v>1394</v>
      </c>
      <c r="L488" s="232">
        <v>45170</v>
      </c>
      <c r="M488" s="232">
        <v>45199</v>
      </c>
    </row>
    <row r="489" spans="1:13" ht="14.25" customHeight="1" x14ac:dyDescent="0.2">
      <c r="A489" s="231" t="s">
        <v>19</v>
      </c>
      <c r="B489" s="230">
        <v>112986</v>
      </c>
      <c r="C489" s="230">
        <v>10755</v>
      </c>
      <c r="D489" s="231" t="s">
        <v>533</v>
      </c>
      <c r="E489" s="230">
        <v>14491032</v>
      </c>
      <c r="F489" s="230">
        <v>30406</v>
      </c>
      <c r="G489" s="230">
        <v>1</v>
      </c>
      <c r="H489" s="240">
        <v>359.46</v>
      </c>
      <c r="I489" s="240">
        <f t="shared" si="7"/>
        <v>359.46</v>
      </c>
      <c r="J489" s="231" t="s">
        <v>1393</v>
      </c>
      <c r="K489" s="231" t="s">
        <v>1394</v>
      </c>
      <c r="L489" s="232">
        <v>45170</v>
      </c>
      <c r="M489" s="232">
        <v>45199</v>
      </c>
    </row>
    <row r="490" spans="1:13" ht="14.25" customHeight="1" x14ac:dyDescent="0.2">
      <c r="A490" s="231" t="s">
        <v>19</v>
      </c>
      <c r="B490" s="230">
        <v>112989</v>
      </c>
      <c r="C490" s="230">
        <v>10756</v>
      </c>
      <c r="D490" s="231" t="s">
        <v>534</v>
      </c>
      <c r="E490" s="230">
        <v>14491032</v>
      </c>
      <c r="F490" s="230">
        <v>30412</v>
      </c>
      <c r="G490" s="230">
        <v>1</v>
      </c>
      <c r="H490" s="240">
        <v>359.46</v>
      </c>
      <c r="I490" s="240">
        <f t="shared" si="7"/>
        <v>359.46</v>
      </c>
      <c r="J490" s="231" t="s">
        <v>1393</v>
      </c>
      <c r="K490" s="231" t="s">
        <v>1394</v>
      </c>
      <c r="L490" s="232">
        <v>45170</v>
      </c>
      <c r="M490" s="232">
        <v>45199</v>
      </c>
    </row>
    <row r="491" spans="1:13" ht="14.25" customHeight="1" x14ac:dyDescent="0.2">
      <c r="A491" s="231" t="s">
        <v>19</v>
      </c>
      <c r="B491" s="230">
        <v>112991</v>
      </c>
      <c r="C491" s="230">
        <v>10771</v>
      </c>
      <c r="D491" s="231" t="s">
        <v>536</v>
      </c>
      <c r="E491" s="230">
        <v>14491032</v>
      </c>
      <c r="F491" s="230">
        <v>30416</v>
      </c>
      <c r="G491" s="230">
        <v>1</v>
      </c>
      <c r="H491" s="240">
        <v>359.46</v>
      </c>
      <c r="I491" s="240">
        <f t="shared" si="7"/>
        <v>359.46</v>
      </c>
      <c r="J491" s="231" t="s">
        <v>1393</v>
      </c>
      <c r="K491" s="231" t="s">
        <v>1394</v>
      </c>
      <c r="L491" s="232">
        <v>45170</v>
      </c>
      <c r="M491" s="232">
        <v>45199</v>
      </c>
    </row>
    <row r="492" spans="1:13" ht="14.25" customHeight="1" x14ac:dyDescent="0.2">
      <c r="A492" s="231" t="s">
        <v>19</v>
      </c>
      <c r="B492" s="230">
        <v>112995</v>
      </c>
      <c r="C492" s="230">
        <v>10750</v>
      </c>
      <c r="D492" s="231" t="s">
        <v>538</v>
      </c>
      <c r="E492" s="230">
        <v>14491032</v>
      </c>
      <c r="F492" s="230">
        <v>30424</v>
      </c>
      <c r="G492" s="230">
        <v>1</v>
      </c>
      <c r="H492" s="240">
        <v>359.46</v>
      </c>
      <c r="I492" s="240">
        <f t="shared" si="7"/>
        <v>359.46</v>
      </c>
      <c r="J492" s="231" t="s">
        <v>1393</v>
      </c>
      <c r="K492" s="231" t="s">
        <v>1394</v>
      </c>
      <c r="L492" s="232">
        <v>45170</v>
      </c>
      <c r="M492" s="232">
        <v>45199</v>
      </c>
    </row>
    <row r="493" spans="1:13" ht="14.25" customHeight="1" x14ac:dyDescent="0.2">
      <c r="A493" s="231" t="s">
        <v>19</v>
      </c>
      <c r="B493" s="230">
        <v>113021</v>
      </c>
      <c r="C493" s="230">
        <v>10754</v>
      </c>
      <c r="D493" s="231" t="s">
        <v>53</v>
      </c>
      <c r="E493" s="230">
        <v>14491032</v>
      </c>
      <c r="F493" s="230">
        <v>30476</v>
      </c>
      <c r="G493" s="230">
        <v>1</v>
      </c>
      <c r="H493" s="240">
        <v>359.46</v>
      </c>
      <c r="I493" s="240">
        <f t="shared" si="7"/>
        <v>359.46</v>
      </c>
      <c r="J493" s="231" t="s">
        <v>1393</v>
      </c>
      <c r="K493" s="231" t="s">
        <v>1394</v>
      </c>
      <c r="L493" s="232">
        <v>45170</v>
      </c>
      <c r="M493" s="232">
        <v>45199</v>
      </c>
    </row>
    <row r="494" spans="1:13" ht="14.25" customHeight="1" x14ac:dyDescent="0.2">
      <c r="A494" s="231" t="s">
        <v>19</v>
      </c>
      <c r="B494" s="230">
        <v>113025</v>
      </c>
      <c r="C494" s="230">
        <v>10750</v>
      </c>
      <c r="D494" s="231" t="s">
        <v>549</v>
      </c>
      <c r="E494" s="230">
        <v>14491032</v>
      </c>
      <c r="F494" s="230">
        <v>30484</v>
      </c>
      <c r="G494" s="230">
        <v>1</v>
      </c>
      <c r="H494" s="240">
        <v>359.46</v>
      </c>
      <c r="I494" s="240">
        <f t="shared" si="7"/>
        <v>359.46</v>
      </c>
      <c r="J494" s="231" t="s">
        <v>1393</v>
      </c>
      <c r="K494" s="231" t="s">
        <v>1394</v>
      </c>
      <c r="L494" s="232">
        <v>45170</v>
      </c>
      <c r="M494" s="232">
        <v>45199</v>
      </c>
    </row>
    <row r="495" spans="1:13" ht="14.25" customHeight="1" x14ac:dyDescent="0.2">
      <c r="A495" s="231" t="s">
        <v>19</v>
      </c>
      <c r="B495" s="230">
        <v>113028</v>
      </c>
      <c r="C495" s="230">
        <v>10771</v>
      </c>
      <c r="D495" s="231" t="s">
        <v>550</v>
      </c>
      <c r="E495" s="230">
        <v>14491032</v>
      </c>
      <c r="F495" s="230">
        <v>30490</v>
      </c>
      <c r="G495" s="230">
        <v>1</v>
      </c>
      <c r="H495" s="240">
        <v>359.46</v>
      </c>
      <c r="I495" s="240">
        <f t="shared" si="7"/>
        <v>359.46</v>
      </c>
      <c r="J495" s="231" t="s">
        <v>1393</v>
      </c>
      <c r="K495" s="231" t="s">
        <v>1394</v>
      </c>
      <c r="L495" s="232">
        <v>45170</v>
      </c>
      <c r="M495" s="232">
        <v>45199</v>
      </c>
    </row>
    <row r="496" spans="1:13" ht="14.25" customHeight="1" x14ac:dyDescent="0.2">
      <c r="A496" s="231" t="s">
        <v>19</v>
      </c>
      <c r="B496" s="230">
        <v>113036</v>
      </c>
      <c r="C496" s="230">
        <v>10751</v>
      </c>
      <c r="D496" s="231" t="s">
        <v>556</v>
      </c>
      <c r="E496" s="230">
        <v>14491032</v>
      </c>
      <c r="F496" s="230">
        <v>30506</v>
      </c>
      <c r="G496" s="230">
        <v>1</v>
      </c>
      <c r="H496" s="240">
        <v>359.46</v>
      </c>
      <c r="I496" s="240">
        <f t="shared" si="7"/>
        <v>359.46</v>
      </c>
      <c r="J496" s="231" t="s">
        <v>1393</v>
      </c>
      <c r="K496" s="231" t="s">
        <v>1394</v>
      </c>
      <c r="L496" s="232">
        <v>45170</v>
      </c>
      <c r="M496" s="232">
        <v>45199</v>
      </c>
    </row>
    <row r="497" spans="1:13" ht="14.25" customHeight="1" x14ac:dyDescent="0.2">
      <c r="A497" s="231" t="s">
        <v>19</v>
      </c>
      <c r="B497" s="230">
        <v>113039</v>
      </c>
      <c r="C497" s="230">
        <v>10751</v>
      </c>
      <c r="D497" s="231" t="s">
        <v>108</v>
      </c>
      <c r="E497" s="230">
        <v>14491032</v>
      </c>
      <c r="F497" s="230">
        <v>30512</v>
      </c>
      <c r="G497" s="230">
        <v>1</v>
      </c>
      <c r="H497" s="240">
        <v>359.46</v>
      </c>
      <c r="I497" s="240">
        <f t="shared" si="7"/>
        <v>359.46</v>
      </c>
      <c r="J497" s="231" t="s">
        <v>1393</v>
      </c>
      <c r="K497" s="231" t="s">
        <v>1394</v>
      </c>
      <c r="L497" s="232">
        <v>45170</v>
      </c>
      <c r="M497" s="232">
        <v>45199</v>
      </c>
    </row>
    <row r="498" spans="1:13" ht="14.25" customHeight="1" x14ac:dyDescent="0.2">
      <c r="A498" s="231" t="s">
        <v>19</v>
      </c>
      <c r="B498" s="230">
        <v>113050</v>
      </c>
      <c r="C498" s="230">
        <v>10751</v>
      </c>
      <c r="D498" s="231" t="s">
        <v>562</v>
      </c>
      <c r="E498" s="230">
        <v>14491032</v>
      </c>
      <c r="F498" s="230">
        <v>30534</v>
      </c>
      <c r="G498" s="230">
        <v>1</v>
      </c>
      <c r="H498" s="240">
        <v>359.46</v>
      </c>
      <c r="I498" s="240">
        <f t="shared" si="7"/>
        <v>359.46</v>
      </c>
      <c r="J498" s="231" t="s">
        <v>1393</v>
      </c>
      <c r="K498" s="231" t="s">
        <v>1394</v>
      </c>
      <c r="L498" s="232">
        <v>45170</v>
      </c>
      <c r="M498" s="232">
        <v>45199</v>
      </c>
    </row>
    <row r="499" spans="1:13" ht="14.25" customHeight="1" x14ac:dyDescent="0.2">
      <c r="A499" s="231" t="s">
        <v>19</v>
      </c>
      <c r="B499" s="230">
        <v>113055</v>
      </c>
      <c r="C499" s="230">
        <v>10750</v>
      </c>
      <c r="D499" s="231" t="s">
        <v>563</v>
      </c>
      <c r="E499" s="230">
        <v>14491032</v>
      </c>
      <c r="F499" s="230">
        <v>30544</v>
      </c>
      <c r="G499" s="230">
        <v>1</v>
      </c>
      <c r="H499" s="240">
        <v>359.46</v>
      </c>
      <c r="I499" s="240">
        <f t="shared" si="7"/>
        <v>359.46</v>
      </c>
      <c r="J499" s="231" t="s">
        <v>1393</v>
      </c>
      <c r="K499" s="231" t="s">
        <v>1394</v>
      </c>
      <c r="L499" s="232">
        <v>45170</v>
      </c>
      <c r="M499" s="232">
        <v>45199</v>
      </c>
    </row>
    <row r="500" spans="1:13" ht="14.25" customHeight="1" x14ac:dyDescent="0.2">
      <c r="A500" s="231" t="s">
        <v>19</v>
      </c>
      <c r="B500" s="230">
        <v>113056</v>
      </c>
      <c r="C500" s="230">
        <v>10751</v>
      </c>
      <c r="D500" s="231" t="s">
        <v>564</v>
      </c>
      <c r="E500" s="230">
        <v>14491032</v>
      </c>
      <c r="F500" s="230">
        <v>30546</v>
      </c>
      <c r="G500" s="230">
        <v>1</v>
      </c>
      <c r="H500" s="240">
        <v>359.46</v>
      </c>
      <c r="I500" s="240">
        <f t="shared" si="7"/>
        <v>359.46</v>
      </c>
      <c r="J500" s="231" t="s">
        <v>1393</v>
      </c>
      <c r="K500" s="231" t="s">
        <v>1394</v>
      </c>
      <c r="L500" s="232">
        <v>45170</v>
      </c>
      <c r="M500" s="232">
        <v>45199</v>
      </c>
    </row>
    <row r="501" spans="1:13" ht="14.25" customHeight="1" x14ac:dyDescent="0.2">
      <c r="A501" s="231" t="s">
        <v>19</v>
      </c>
      <c r="B501" s="230">
        <v>113131</v>
      </c>
      <c r="C501" s="230">
        <v>10750</v>
      </c>
      <c r="D501" s="231" t="s">
        <v>602</v>
      </c>
      <c r="E501" s="230">
        <v>14491032</v>
      </c>
      <c r="F501" s="230">
        <v>30696</v>
      </c>
      <c r="G501" s="230">
        <v>1</v>
      </c>
      <c r="H501" s="240">
        <v>359.46</v>
      </c>
      <c r="I501" s="240">
        <f t="shared" si="7"/>
        <v>359.46</v>
      </c>
      <c r="J501" s="231" t="s">
        <v>1393</v>
      </c>
      <c r="K501" s="231" t="s">
        <v>1394</v>
      </c>
      <c r="L501" s="232">
        <v>45170</v>
      </c>
      <c r="M501" s="232">
        <v>45199</v>
      </c>
    </row>
    <row r="502" spans="1:13" ht="14.25" customHeight="1" x14ac:dyDescent="0.2">
      <c r="A502" s="231" t="s">
        <v>19</v>
      </c>
      <c r="B502" s="230">
        <v>113135</v>
      </c>
      <c r="C502" s="230">
        <v>10750</v>
      </c>
      <c r="D502" s="231" t="s">
        <v>605</v>
      </c>
      <c r="E502" s="230">
        <v>14491032</v>
      </c>
      <c r="F502" s="230">
        <v>30704</v>
      </c>
      <c r="G502" s="230">
        <v>1</v>
      </c>
      <c r="H502" s="240">
        <v>359.46</v>
      </c>
      <c r="I502" s="240">
        <f t="shared" si="7"/>
        <v>359.46</v>
      </c>
      <c r="J502" s="231" t="s">
        <v>1393</v>
      </c>
      <c r="K502" s="231" t="s">
        <v>1394</v>
      </c>
      <c r="L502" s="232">
        <v>45170</v>
      </c>
      <c r="M502" s="232">
        <v>45199</v>
      </c>
    </row>
    <row r="503" spans="1:13" ht="14.25" customHeight="1" x14ac:dyDescent="0.2">
      <c r="A503" s="231" t="s">
        <v>19</v>
      </c>
      <c r="B503" s="230">
        <v>113149</v>
      </c>
      <c r="C503" s="230">
        <v>10754</v>
      </c>
      <c r="D503" s="231" t="s">
        <v>613</v>
      </c>
      <c r="E503" s="230">
        <v>14491032</v>
      </c>
      <c r="F503" s="230">
        <v>30732</v>
      </c>
      <c r="G503" s="230">
        <v>1</v>
      </c>
      <c r="H503" s="240">
        <v>359.46</v>
      </c>
      <c r="I503" s="240">
        <f t="shared" si="7"/>
        <v>359.46</v>
      </c>
      <c r="J503" s="231" t="s">
        <v>1393</v>
      </c>
      <c r="K503" s="231" t="s">
        <v>1394</v>
      </c>
      <c r="L503" s="232">
        <v>45170</v>
      </c>
      <c r="M503" s="232">
        <v>45199</v>
      </c>
    </row>
    <row r="504" spans="1:13" ht="14.25" customHeight="1" x14ac:dyDescent="0.2">
      <c r="A504" s="231" t="s">
        <v>19</v>
      </c>
      <c r="B504" s="230">
        <v>113169</v>
      </c>
      <c r="C504" s="230">
        <v>10751</v>
      </c>
      <c r="D504" s="231" t="s">
        <v>627</v>
      </c>
      <c r="E504" s="230">
        <v>14491032</v>
      </c>
      <c r="F504" s="230">
        <v>30772</v>
      </c>
      <c r="G504" s="230">
        <v>1</v>
      </c>
      <c r="H504" s="240">
        <v>359.46</v>
      </c>
      <c r="I504" s="240">
        <f t="shared" si="7"/>
        <v>359.46</v>
      </c>
      <c r="J504" s="231" t="s">
        <v>1393</v>
      </c>
      <c r="K504" s="231" t="s">
        <v>1394</v>
      </c>
      <c r="L504" s="232">
        <v>45170</v>
      </c>
      <c r="M504" s="232">
        <v>45199</v>
      </c>
    </row>
    <row r="505" spans="1:13" ht="14.25" customHeight="1" x14ac:dyDescent="0.2">
      <c r="A505" s="231" t="s">
        <v>19</v>
      </c>
      <c r="B505" s="230">
        <v>113173</v>
      </c>
      <c r="C505" s="230">
        <v>10755</v>
      </c>
      <c r="D505" s="231" t="s">
        <v>630</v>
      </c>
      <c r="E505" s="230">
        <v>14491032</v>
      </c>
      <c r="F505" s="230">
        <v>30780</v>
      </c>
      <c r="G505" s="230">
        <v>1</v>
      </c>
      <c r="H505" s="240">
        <v>359.46</v>
      </c>
      <c r="I505" s="240">
        <f t="shared" si="7"/>
        <v>359.46</v>
      </c>
      <c r="J505" s="231" t="s">
        <v>1393</v>
      </c>
      <c r="K505" s="231" t="s">
        <v>1394</v>
      </c>
      <c r="L505" s="232">
        <v>45170</v>
      </c>
      <c r="M505" s="232">
        <v>45199</v>
      </c>
    </row>
    <row r="506" spans="1:13" ht="14.25" customHeight="1" x14ac:dyDescent="0.2">
      <c r="A506" s="231" t="s">
        <v>19</v>
      </c>
      <c r="B506" s="230">
        <v>113192</v>
      </c>
      <c r="C506" s="230">
        <v>10754</v>
      </c>
      <c r="D506" s="231" t="s">
        <v>639</v>
      </c>
      <c r="E506" s="230">
        <v>14491032</v>
      </c>
      <c r="F506" s="230">
        <v>30818</v>
      </c>
      <c r="G506" s="230">
        <v>1</v>
      </c>
      <c r="H506" s="240">
        <v>359.46</v>
      </c>
      <c r="I506" s="240">
        <f t="shared" si="7"/>
        <v>359.46</v>
      </c>
      <c r="J506" s="231" t="s">
        <v>1393</v>
      </c>
      <c r="K506" s="231" t="s">
        <v>1394</v>
      </c>
      <c r="L506" s="232">
        <v>45170</v>
      </c>
      <c r="M506" s="232">
        <v>45199</v>
      </c>
    </row>
    <row r="507" spans="1:13" ht="14.25" customHeight="1" x14ac:dyDescent="0.2">
      <c r="A507" s="231" t="s">
        <v>19</v>
      </c>
      <c r="B507" s="230">
        <v>113198</v>
      </c>
      <c r="C507" s="230">
        <v>10771</v>
      </c>
      <c r="D507" s="231" t="s">
        <v>641</v>
      </c>
      <c r="E507" s="230">
        <v>14491032</v>
      </c>
      <c r="F507" s="230">
        <v>30830</v>
      </c>
      <c r="G507" s="230">
        <v>1</v>
      </c>
      <c r="H507" s="240">
        <v>359.46</v>
      </c>
      <c r="I507" s="240">
        <f t="shared" si="7"/>
        <v>359.46</v>
      </c>
      <c r="J507" s="231" t="s">
        <v>1393</v>
      </c>
      <c r="K507" s="231" t="s">
        <v>1394</v>
      </c>
      <c r="L507" s="232">
        <v>45170</v>
      </c>
      <c r="M507" s="232">
        <v>45199</v>
      </c>
    </row>
    <row r="508" spans="1:13" ht="14.25" customHeight="1" x14ac:dyDescent="0.2">
      <c r="A508" s="231" t="s">
        <v>19</v>
      </c>
      <c r="B508" s="230">
        <v>113208</v>
      </c>
      <c r="C508" s="230">
        <v>10750</v>
      </c>
      <c r="D508" s="231" t="s">
        <v>650</v>
      </c>
      <c r="E508" s="230">
        <v>14491032</v>
      </c>
      <c r="F508" s="230">
        <v>30850</v>
      </c>
      <c r="G508" s="230">
        <v>1</v>
      </c>
      <c r="H508" s="240">
        <v>359.46</v>
      </c>
      <c r="I508" s="240">
        <f t="shared" si="7"/>
        <v>359.46</v>
      </c>
      <c r="J508" s="231" t="s">
        <v>1393</v>
      </c>
      <c r="K508" s="231" t="s">
        <v>1394</v>
      </c>
      <c r="L508" s="232">
        <v>45170</v>
      </c>
      <c r="M508" s="232">
        <v>45199</v>
      </c>
    </row>
    <row r="509" spans="1:13" ht="14.25" customHeight="1" x14ac:dyDescent="0.2">
      <c r="A509" s="231" t="s">
        <v>19</v>
      </c>
      <c r="B509" s="230">
        <v>113242</v>
      </c>
      <c r="C509" s="230">
        <v>10766</v>
      </c>
      <c r="D509" s="231" t="s">
        <v>666</v>
      </c>
      <c r="E509" s="230">
        <v>14491032</v>
      </c>
      <c r="F509" s="230">
        <v>30918</v>
      </c>
      <c r="G509" s="230">
        <v>1</v>
      </c>
      <c r="H509" s="240">
        <v>359.46</v>
      </c>
      <c r="I509" s="240">
        <f t="shared" si="7"/>
        <v>359.46</v>
      </c>
      <c r="J509" s="231" t="s">
        <v>1393</v>
      </c>
      <c r="K509" s="231" t="s">
        <v>1394</v>
      </c>
      <c r="L509" s="232">
        <v>45170</v>
      </c>
      <c r="M509" s="232">
        <v>45199</v>
      </c>
    </row>
    <row r="510" spans="1:13" ht="14.25" customHeight="1" x14ac:dyDescent="0.2">
      <c r="A510" s="231" t="s">
        <v>19</v>
      </c>
      <c r="B510" s="230">
        <v>113249</v>
      </c>
      <c r="C510" s="230">
        <v>10751</v>
      </c>
      <c r="D510" s="231" t="s">
        <v>669</v>
      </c>
      <c r="E510" s="230">
        <v>14491032</v>
      </c>
      <c r="F510" s="230">
        <v>30932</v>
      </c>
      <c r="G510" s="230">
        <v>1</v>
      </c>
      <c r="H510" s="240">
        <v>359.46</v>
      </c>
      <c r="I510" s="240">
        <f t="shared" si="7"/>
        <v>359.46</v>
      </c>
      <c r="J510" s="231" t="s">
        <v>1393</v>
      </c>
      <c r="K510" s="231" t="s">
        <v>1394</v>
      </c>
      <c r="L510" s="232">
        <v>45170</v>
      </c>
      <c r="M510" s="232">
        <v>45199</v>
      </c>
    </row>
    <row r="511" spans="1:13" ht="14.25" customHeight="1" x14ac:dyDescent="0.2">
      <c r="A511" s="231" t="s">
        <v>19</v>
      </c>
      <c r="B511" s="230">
        <v>113260</v>
      </c>
      <c r="C511" s="230">
        <v>10761</v>
      </c>
      <c r="D511" s="231" t="s">
        <v>675</v>
      </c>
      <c r="E511" s="230">
        <v>14491032</v>
      </c>
      <c r="F511" s="230">
        <v>30954</v>
      </c>
      <c r="G511" s="230">
        <v>1</v>
      </c>
      <c r="H511" s="240">
        <v>359.46</v>
      </c>
      <c r="I511" s="240">
        <f t="shared" si="7"/>
        <v>359.46</v>
      </c>
      <c r="J511" s="231" t="s">
        <v>1393</v>
      </c>
      <c r="K511" s="231" t="s">
        <v>1394</v>
      </c>
      <c r="L511" s="232">
        <v>45170</v>
      </c>
      <c r="M511" s="232">
        <v>45199</v>
      </c>
    </row>
    <row r="512" spans="1:13" ht="14.25" customHeight="1" x14ac:dyDescent="0.2">
      <c r="A512" s="231" t="s">
        <v>19</v>
      </c>
      <c r="B512" s="230">
        <v>113264</v>
      </c>
      <c r="C512" s="230">
        <v>10750</v>
      </c>
      <c r="D512" s="231" t="s">
        <v>678</v>
      </c>
      <c r="E512" s="230">
        <v>14491032</v>
      </c>
      <c r="F512" s="230">
        <v>30962</v>
      </c>
      <c r="G512" s="230">
        <v>1</v>
      </c>
      <c r="H512" s="240">
        <v>359.46</v>
      </c>
      <c r="I512" s="240">
        <f t="shared" si="7"/>
        <v>359.46</v>
      </c>
      <c r="J512" s="231" t="s">
        <v>1393</v>
      </c>
      <c r="K512" s="231" t="s">
        <v>1394</v>
      </c>
      <c r="L512" s="232">
        <v>45170</v>
      </c>
      <c r="M512" s="232">
        <v>45199</v>
      </c>
    </row>
    <row r="513" spans="1:13" ht="14.25" customHeight="1" x14ac:dyDescent="0.2">
      <c r="A513" s="231" t="s">
        <v>19</v>
      </c>
      <c r="B513" s="230">
        <v>113280</v>
      </c>
      <c r="C513" s="230">
        <v>10757</v>
      </c>
      <c r="D513" s="231" t="s">
        <v>687</v>
      </c>
      <c r="E513" s="230">
        <v>14491032</v>
      </c>
      <c r="F513" s="230">
        <v>30994</v>
      </c>
      <c r="G513" s="230">
        <v>1</v>
      </c>
      <c r="H513" s="240">
        <v>359.46</v>
      </c>
      <c r="I513" s="240">
        <f t="shared" si="7"/>
        <v>359.46</v>
      </c>
      <c r="J513" s="231" t="s">
        <v>1393</v>
      </c>
      <c r="K513" s="231" t="s">
        <v>1394</v>
      </c>
      <c r="L513" s="232">
        <v>45170</v>
      </c>
      <c r="M513" s="232">
        <v>45199</v>
      </c>
    </row>
    <row r="514" spans="1:13" ht="14.25" customHeight="1" x14ac:dyDescent="0.2">
      <c r="A514" s="231" t="s">
        <v>19</v>
      </c>
      <c r="B514" s="230">
        <v>113294</v>
      </c>
      <c r="C514" s="230">
        <v>10754</v>
      </c>
      <c r="D514" s="231" t="s">
        <v>694</v>
      </c>
      <c r="E514" s="230">
        <v>14491032</v>
      </c>
      <c r="F514" s="230">
        <v>31022</v>
      </c>
      <c r="G514" s="230">
        <v>1</v>
      </c>
      <c r="H514" s="240">
        <v>359.46</v>
      </c>
      <c r="I514" s="240">
        <f t="shared" si="7"/>
        <v>359.46</v>
      </c>
      <c r="J514" s="231" t="s">
        <v>1393</v>
      </c>
      <c r="K514" s="231" t="s">
        <v>1394</v>
      </c>
      <c r="L514" s="232">
        <v>45170</v>
      </c>
      <c r="M514" s="232">
        <v>45199</v>
      </c>
    </row>
    <row r="515" spans="1:13" ht="14.25" customHeight="1" x14ac:dyDescent="0.2">
      <c r="A515" s="231" t="s">
        <v>19</v>
      </c>
      <c r="B515" s="230">
        <v>113318</v>
      </c>
      <c r="C515" s="230">
        <v>10750</v>
      </c>
      <c r="D515" s="231" t="s">
        <v>705</v>
      </c>
      <c r="E515" s="230">
        <v>14491032</v>
      </c>
      <c r="F515" s="230">
        <v>31070</v>
      </c>
      <c r="G515" s="230">
        <v>1</v>
      </c>
      <c r="H515" s="240">
        <v>359.46</v>
      </c>
      <c r="I515" s="240">
        <f t="shared" ref="I515:I578" si="8">G515*H515</f>
        <v>359.46</v>
      </c>
      <c r="J515" s="231" t="s">
        <v>1393</v>
      </c>
      <c r="K515" s="231" t="s">
        <v>1394</v>
      </c>
      <c r="L515" s="232">
        <v>45170</v>
      </c>
      <c r="M515" s="232">
        <v>45199</v>
      </c>
    </row>
    <row r="516" spans="1:13" ht="14.25" customHeight="1" x14ac:dyDescent="0.2">
      <c r="A516" s="231" t="s">
        <v>19</v>
      </c>
      <c r="B516" s="230">
        <v>113354</v>
      </c>
      <c r="C516" s="230">
        <v>10757</v>
      </c>
      <c r="D516" s="231" t="s">
        <v>724</v>
      </c>
      <c r="E516" s="230">
        <v>14491032</v>
      </c>
      <c r="F516" s="230">
        <v>31142</v>
      </c>
      <c r="G516" s="230">
        <v>1</v>
      </c>
      <c r="H516" s="240">
        <v>359.46</v>
      </c>
      <c r="I516" s="240">
        <f t="shared" si="8"/>
        <v>359.46</v>
      </c>
      <c r="J516" s="231" t="s">
        <v>1393</v>
      </c>
      <c r="K516" s="231" t="s">
        <v>1394</v>
      </c>
      <c r="L516" s="232">
        <v>45170</v>
      </c>
      <c r="M516" s="232">
        <v>45199</v>
      </c>
    </row>
    <row r="517" spans="1:13" ht="14.25" customHeight="1" x14ac:dyDescent="0.2">
      <c r="A517" s="231" t="s">
        <v>19</v>
      </c>
      <c r="B517" s="230">
        <v>113364</v>
      </c>
      <c r="C517" s="230">
        <v>10751</v>
      </c>
      <c r="D517" s="231" t="s">
        <v>732</v>
      </c>
      <c r="E517" s="230">
        <v>14491032</v>
      </c>
      <c r="F517" s="230">
        <v>31162</v>
      </c>
      <c r="G517" s="230">
        <v>1</v>
      </c>
      <c r="H517" s="240">
        <v>359.46</v>
      </c>
      <c r="I517" s="240">
        <f t="shared" si="8"/>
        <v>359.46</v>
      </c>
      <c r="J517" s="231" t="s">
        <v>1393</v>
      </c>
      <c r="K517" s="231" t="s">
        <v>1394</v>
      </c>
      <c r="L517" s="232">
        <v>45170</v>
      </c>
      <c r="M517" s="232">
        <v>45199</v>
      </c>
    </row>
    <row r="518" spans="1:13" ht="14.25" customHeight="1" x14ac:dyDescent="0.2">
      <c r="A518" s="231" t="s">
        <v>19</v>
      </c>
      <c r="B518" s="230">
        <v>113368</v>
      </c>
      <c r="C518" s="230">
        <v>10750</v>
      </c>
      <c r="D518" s="231" t="s">
        <v>735</v>
      </c>
      <c r="E518" s="230">
        <v>14491032</v>
      </c>
      <c r="F518" s="230">
        <v>31170</v>
      </c>
      <c r="G518" s="230">
        <v>1</v>
      </c>
      <c r="H518" s="240">
        <v>359.46</v>
      </c>
      <c r="I518" s="240">
        <f t="shared" si="8"/>
        <v>359.46</v>
      </c>
      <c r="J518" s="231" t="s">
        <v>1393</v>
      </c>
      <c r="K518" s="231" t="s">
        <v>1394</v>
      </c>
      <c r="L518" s="232">
        <v>45170</v>
      </c>
      <c r="M518" s="232">
        <v>45199</v>
      </c>
    </row>
    <row r="519" spans="1:13" ht="14.25" customHeight="1" x14ac:dyDescent="0.2">
      <c r="A519" s="231" t="s">
        <v>19</v>
      </c>
      <c r="B519" s="230">
        <v>113376</v>
      </c>
      <c r="C519" s="230">
        <v>10751</v>
      </c>
      <c r="D519" s="231" t="s">
        <v>740</v>
      </c>
      <c r="E519" s="230">
        <v>14491032</v>
      </c>
      <c r="F519" s="230">
        <v>31186</v>
      </c>
      <c r="G519" s="230">
        <v>1</v>
      </c>
      <c r="H519" s="240">
        <v>359.46</v>
      </c>
      <c r="I519" s="240">
        <f t="shared" si="8"/>
        <v>359.46</v>
      </c>
      <c r="J519" s="231" t="s">
        <v>1393</v>
      </c>
      <c r="K519" s="231" t="s">
        <v>1394</v>
      </c>
      <c r="L519" s="232">
        <v>45170</v>
      </c>
      <c r="M519" s="232">
        <v>45199</v>
      </c>
    </row>
    <row r="520" spans="1:13" ht="14.25" customHeight="1" x14ac:dyDescent="0.2">
      <c r="A520" s="231" t="s">
        <v>19</v>
      </c>
      <c r="B520" s="230">
        <v>113391</v>
      </c>
      <c r="C520" s="230">
        <v>10754</v>
      </c>
      <c r="D520" s="231" t="s">
        <v>751</v>
      </c>
      <c r="E520" s="230">
        <v>14491032</v>
      </c>
      <c r="F520" s="230">
        <v>31216</v>
      </c>
      <c r="G520" s="230">
        <v>1</v>
      </c>
      <c r="H520" s="240">
        <v>359.46</v>
      </c>
      <c r="I520" s="240">
        <f t="shared" si="8"/>
        <v>359.46</v>
      </c>
      <c r="J520" s="231" t="s">
        <v>1393</v>
      </c>
      <c r="K520" s="231" t="s">
        <v>1394</v>
      </c>
      <c r="L520" s="232">
        <v>45170</v>
      </c>
      <c r="M520" s="232">
        <v>45199</v>
      </c>
    </row>
    <row r="521" spans="1:13" ht="14.25" customHeight="1" x14ac:dyDescent="0.2">
      <c r="A521" s="231" t="s">
        <v>19</v>
      </c>
      <c r="B521" s="230">
        <v>113396</v>
      </c>
      <c r="C521" s="230">
        <v>10766</v>
      </c>
      <c r="D521" s="231" t="s">
        <v>1318</v>
      </c>
      <c r="E521" s="230">
        <v>14491032</v>
      </c>
      <c r="F521" s="230">
        <v>31226</v>
      </c>
      <c r="G521" s="230">
        <v>1</v>
      </c>
      <c r="H521" s="240">
        <v>359.46</v>
      </c>
      <c r="I521" s="240">
        <f t="shared" si="8"/>
        <v>359.46</v>
      </c>
      <c r="J521" s="231" t="s">
        <v>1393</v>
      </c>
      <c r="K521" s="231" t="s">
        <v>1394</v>
      </c>
      <c r="L521" s="232">
        <v>45170</v>
      </c>
      <c r="M521" s="232">
        <v>45199</v>
      </c>
    </row>
    <row r="522" spans="1:13" ht="14.25" customHeight="1" x14ac:dyDescent="0.2">
      <c r="A522" s="231" t="s">
        <v>19</v>
      </c>
      <c r="B522" s="230">
        <v>113438</v>
      </c>
      <c r="C522" s="230">
        <v>10766</v>
      </c>
      <c r="D522" s="231" t="s">
        <v>782</v>
      </c>
      <c r="E522" s="230">
        <v>14491032</v>
      </c>
      <c r="F522" s="230">
        <v>31310</v>
      </c>
      <c r="G522" s="230">
        <v>1</v>
      </c>
      <c r="H522" s="240">
        <v>359.46</v>
      </c>
      <c r="I522" s="240">
        <f t="shared" si="8"/>
        <v>359.46</v>
      </c>
      <c r="J522" s="231" t="s">
        <v>1393</v>
      </c>
      <c r="K522" s="231" t="s">
        <v>1394</v>
      </c>
      <c r="L522" s="232">
        <v>45170</v>
      </c>
      <c r="M522" s="232">
        <v>45199</v>
      </c>
    </row>
    <row r="523" spans="1:13" ht="14.25" customHeight="1" x14ac:dyDescent="0.2">
      <c r="A523" s="231" t="s">
        <v>19</v>
      </c>
      <c r="B523" s="230">
        <v>113443</v>
      </c>
      <c r="C523" s="230">
        <v>10754</v>
      </c>
      <c r="D523" s="231" t="s">
        <v>374</v>
      </c>
      <c r="E523" s="230">
        <v>14491032</v>
      </c>
      <c r="F523" s="230">
        <v>31320</v>
      </c>
      <c r="G523" s="230">
        <v>1</v>
      </c>
      <c r="H523" s="240">
        <v>359.46</v>
      </c>
      <c r="I523" s="240">
        <f t="shared" si="8"/>
        <v>359.46</v>
      </c>
      <c r="J523" s="231" t="s">
        <v>1393</v>
      </c>
      <c r="K523" s="231" t="s">
        <v>1394</v>
      </c>
      <c r="L523" s="232">
        <v>45170</v>
      </c>
      <c r="M523" s="232">
        <v>45199</v>
      </c>
    </row>
    <row r="524" spans="1:13" ht="14.25" customHeight="1" x14ac:dyDescent="0.2">
      <c r="A524" s="231" t="s">
        <v>19</v>
      </c>
      <c r="B524" s="230">
        <v>113489</v>
      </c>
      <c r="C524" s="230">
        <v>10750</v>
      </c>
      <c r="D524" s="231" t="s">
        <v>808</v>
      </c>
      <c r="E524" s="230">
        <v>14491032</v>
      </c>
      <c r="F524" s="230">
        <v>31412</v>
      </c>
      <c r="G524" s="230">
        <v>1</v>
      </c>
      <c r="H524" s="240">
        <v>359.46</v>
      </c>
      <c r="I524" s="240">
        <f t="shared" si="8"/>
        <v>359.46</v>
      </c>
      <c r="J524" s="231" t="s">
        <v>1393</v>
      </c>
      <c r="K524" s="231" t="s">
        <v>1394</v>
      </c>
      <c r="L524" s="232">
        <v>45170</v>
      </c>
      <c r="M524" s="232">
        <v>45199</v>
      </c>
    </row>
    <row r="525" spans="1:13" ht="14.25" customHeight="1" x14ac:dyDescent="0.2">
      <c r="A525" s="231" t="s">
        <v>19</v>
      </c>
      <c r="B525" s="230">
        <v>113498</v>
      </c>
      <c r="C525" s="230">
        <v>10757</v>
      </c>
      <c r="D525" s="231" t="s">
        <v>813</v>
      </c>
      <c r="E525" s="230">
        <v>14491032</v>
      </c>
      <c r="F525" s="230">
        <v>31430</v>
      </c>
      <c r="G525" s="230">
        <v>1</v>
      </c>
      <c r="H525" s="240">
        <v>359.46</v>
      </c>
      <c r="I525" s="240">
        <f t="shared" si="8"/>
        <v>359.46</v>
      </c>
      <c r="J525" s="231" t="s">
        <v>1393</v>
      </c>
      <c r="K525" s="231" t="s">
        <v>1394</v>
      </c>
      <c r="L525" s="232">
        <v>45170</v>
      </c>
      <c r="M525" s="232">
        <v>45199</v>
      </c>
    </row>
    <row r="526" spans="1:13" ht="14.25" customHeight="1" x14ac:dyDescent="0.2">
      <c r="A526" s="231" t="s">
        <v>19</v>
      </c>
      <c r="B526" s="230">
        <v>113500</v>
      </c>
      <c r="C526" s="230">
        <v>10755</v>
      </c>
      <c r="D526" s="231" t="s">
        <v>815</v>
      </c>
      <c r="E526" s="230">
        <v>14491032</v>
      </c>
      <c r="F526" s="230">
        <v>31434</v>
      </c>
      <c r="G526" s="230">
        <v>1</v>
      </c>
      <c r="H526" s="240">
        <v>359.46</v>
      </c>
      <c r="I526" s="240">
        <f t="shared" si="8"/>
        <v>359.46</v>
      </c>
      <c r="J526" s="231" t="s">
        <v>1393</v>
      </c>
      <c r="K526" s="231" t="s">
        <v>1394</v>
      </c>
      <c r="L526" s="232">
        <v>45170</v>
      </c>
      <c r="M526" s="232">
        <v>45199</v>
      </c>
    </row>
    <row r="527" spans="1:13" ht="14.25" customHeight="1" x14ac:dyDescent="0.2">
      <c r="A527" s="231" t="s">
        <v>19</v>
      </c>
      <c r="B527" s="230">
        <v>113504</v>
      </c>
      <c r="C527" s="230">
        <v>10750</v>
      </c>
      <c r="D527" s="231" t="s">
        <v>816</v>
      </c>
      <c r="E527" s="230">
        <v>14491032</v>
      </c>
      <c r="F527" s="230">
        <v>31442</v>
      </c>
      <c r="G527" s="230">
        <v>1</v>
      </c>
      <c r="H527" s="240">
        <v>359.46</v>
      </c>
      <c r="I527" s="240">
        <f t="shared" si="8"/>
        <v>359.46</v>
      </c>
      <c r="J527" s="231" t="s">
        <v>1393</v>
      </c>
      <c r="K527" s="231" t="s">
        <v>1394</v>
      </c>
      <c r="L527" s="232">
        <v>45170</v>
      </c>
      <c r="M527" s="232">
        <v>45199</v>
      </c>
    </row>
    <row r="528" spans="1:13" ht="14.25" customHeight="1" x14ac:dyDescent="0.2">
      <c r="A528" s="231" t="s">
        <v>19</v>
      </c>
      <c r="B528" s="230">
        <v>113524</v>
      </c>
      <c r="C528" s="230">
        <v>10757</v>
      </c>
      <c r="D528" s="231" t="s">
        <v>1335</v>
      </c>
      <c r="E528" s="230">
        <v>14491032</v>
      </c>
      <c r="F528" s="230">
        <v>31482</v>
      </c>
      <c r="G528" s="230">
        <v>1</v>
      </c>
      <c r="H528" s="240">
        <v>359.46</v>
      </c>
      <c r="I528" s="240">
        <f t="shared" si="8"/>
        <v>359.46</v>
      </c>
      <c r="J528" s="231" t="s">
        <v>1393</v>
      </c>
      <c r="K528" s="231" t="s">
        <v>1394</v>
      </c>
      <c r="L528" s="232">
        <v>45170</v>
      </c>
      <c r="M528" s="232">
        <v>45199</v>
      </c>
    </row>
    <row r="529" spans="1:13" ht="14.25" customHeight="1" x14ac:dyDescent="0.2">
      <c r="A529" s="231" t="s">
        <v>19</v>
      </c>
      <c r="B529" s="230">
        <v>113526</v>
      </c>
      <c r="C529" s="230">
        <v>10766</v>
      </c>
      <c r="D529" s="231" t="s">
        <v>827</v>
      </c>
      <c r="E529" s="230">
        <v>14491032</v>
      </c>
      <c r="F529" s="230">
        <v>31486</v>
      </c>
      <c r="G529" s="230">
        <v>1</v>
      </c>
      <c r="H529" s="240">
        <v>359.46</v>
      </c>
      <c r="I529" s="240">
        <f t="shared" si="8"/>
        <v>359.46</v>
      </c>
      <c r="J529" s="231" t="s">
        <v>1393</v>
      </c>
      <c r="K529" s="231" t="s">
        <v>1394</v>
      </c>
      <c r="L529" s="232">
        <v>45170</v>
      </c>
      <c r="M529" s="232">
        <v>45199</v>
      </c>
    </row>
    <row r="530" spans="1:13" ht="14.25" customHeight="1" x14ac:dyDescent="0.2">
      <c r="A530" s="231" t="s">
        <v>19</v>
      </c>
      <c r="B530" s="230">
        <v>113555</v>
      </c>
      <c r="C530" s="230">
        <v>10750</v>
      </c>
      <c r="D530" s="231" t="s">
        <v>728</v>
      </c>
      <c r="E530" s="230">
        <v>14491032</v>
      </c>
      <c r="F530" s="230">
        <v>31544</v>
      </c>
      <c r="G530" s="230">
        <v>1</v>
      </c>
      <c r="H530" s="240">
        <v>359.46</v>
      </c>
      <c r="I530" s="240">
        <f t="shared" si="8"/>
        <v>359.46</v>
      </c>
      <c r="J530" s="231" t="s">
        <v>1393</v>
      </c>
      <c r="K530" s="231" t="s">
        <v>1394</v>
      </c>
      <c r="L530" s="232">
        <v>45170</v>
      </c>
      <c r="M530" s="232">
        <v>45199</v>
      </c>
    </row>
    <row r="531" spans="1:13" ht="14.25" customHeight="1" x14ac:dyDescent="0.2">
      <c r="A531" s="231" t="s">
        <v>19</v>
      </c>
      <c r="B531" s="230">
        <v>113585</v>
      </c>
      <c r="C531" s="230">
        <v>10751</v>
      </c>
      <c r="D531" s="231" t="s">
        <v>861</v>
      </c>
      <c r="E531" s="230">
        <v>14491032</v>
      </c>
      <c r="F531" s="230">
        <v>31604</v>
      </c>
      <c r="G531" s="230">
        <v>1</v>
      </c>
      <c r="H531" s="240">
        <v>359.46</v>
      </c>
      <c r="I531" s="240">
        <f t="shared" si="8"/>
        <v>359.46</v>
      </c>
      <c r="J531" s="231" t="s">
        <v>1393</v>
      </c>
      <c r="K531" s="231" t="s">
        <v>1394</v>
      </c>
      <c r="L531" s="232">
        <v>45170</v>
      </c>
      <c r="M531" s="232">
        <v>45199</v>
      </c>
    </row>
    <row r="532" spans="1:13" ht="14.25" customHeight="1" x14ac:dyDescent="0.2">
      <c r="A532" s="231" t="s">
        <v>19</v>
      </c>
      <c r="B532" s="230">
        <v>113608</v>
      </c>
      <c r="C532" s="230">
        <v>10750</v>
      </c>
      <c r="D532" s="231" t="s">
        <v>873</v>
      </c>
      <c r="E532" s="230">
        <v>14491032</v>
      </c>
      <c r="F532" s="230">
        <v>31650</v>
      </c>
      <c r="G532" s="230">
        <v>1</v>
      </c>
      <c r="H532" s="240">
        <v>359.46</v>
      </c>
      <c r="I532" s="240">
        <f t="shared" si="8"/>
        <v>359.46</v>
      </c>
      <c r="J532" s="231" t="s">
        <v>1393</v>
      </c>
      <c r="K532" s="231" t="s">
        <v>1394</v>
      </c>
      <c r="L532" s="232">
        <v>45170</v>
      </c>
      <c r="M532" s="232">
        <v>45199</v>
      </c>
    </row>
    <row r="533" spans="1:13" ht="14.25" customHeight="1" x14ac:dyDescent="0.2">
      <c r="A533" s="231" t="s">
        <v>19</v>
      </c>
      <c r="B533" s="230">
        <v>113623</v>
      </c>
      <c r="C533" s="230">
        <v>10754</v>
      </c>
      <c r="D533" s="231" t="s">
        <v>880</v>
      </c>
      <c r="E533" s="230">
        <v>14491032</v>
      </c>
      <c r="F533" s="230">
        <v>31680</v>
      </c>
      <c r="G533" s="230">
        <v>1</v>
      </c>
      <c r="H533" s="240">
        <v>359.46</v>
      </c>
      <c r="I533" s="240">
        <f t="shared" si="8"/>
        <v>359.46</v>
      </c>
      <c r="J533" s="231" t="s">
        <v>1393</v>
      </c>
      <c r="K533" s="231" t="s">
        <v>1394</v>
      </c>
      <c r="L533" s="232">
        <v>45170</v>
      </c>
      <c r="M533" s="232">
        <v>45199</v>
      </c>
    </row>
    <row r="534" spans="1:13" ht="14.25" customHeight="1" x14ac:dyDescent="0.2">
      <c r="A534" s="231" t="s">
        <v>19</v>
      </c>
      <c r="B534" s="230">
        <v>113636</v>
      </c>
      <c r="C534" s="230">
        <v>10757</v>
      </c>
      <c r="D534" s="231" t="s">
        <v>890</v>
      </c>
      <c r="E534" s="230">
        <v>14491032</v>
      </c>
      <c r="F534" s="230">
        <v>31706</v>
      </c>
      <c r="G534" s="230">
        <v>1</v>
      </c>
      <c r="H534" s="240">
        <v>359.46</v>
      </c>
      <c r="I534" s="240">
        <f t="shared" si="8"/>
        <v>359.46</v>
      </c>
      <c r="J534" s="231" t="s">
        <v>1393</v>
      </c>
      <c r="K534" s="231" t="s">
        <v>1394</v>
      </c>
      <c r="L534" s="232">
        <v>45170</v>
      </c>
      <c r="M534" s="232">
        <v>45199</v>
      </c>
    </row>
    <row r="535" spans="1:13" ht="14.25" customHeight="1" x14ac:dyDescent="0.2">
      <c r="A535" s="231" t="s">
        <v>19</v>
      </c>
      <c r="B535" s="230">
        <v>113667</v>
      </c>
      <c r="C535" s="230">
        <v>10750</v>
      </c>
      <c r="D535" s="231" t="s">
        <v>907</v>
      </c>
      <c r="E535" s="230">
        <v>14491032</v>
      </c>
      <c r="F535" s="230">
        <v>31768</v>
      </c>
      <c r="G535" s="230">
        <v>1</v>
      </c>
      <c r="H535" s="240">
        <v>359.46</v>
      </c>
      <c r="I535" s="240">
        <f t="shared" si="8"/>
        <v>359.46</v>
      </c>
      <c r="J535" s="231" t="s">
        <v>1393</v>
      </c>
      <c r="K535" s="231" t="s">
        <v>1394</v>
      </c>
      <c r="L535" s="232">
        <v>45170</v>
      </c>
      <c r="M535" s="232">
        <v>45199</v>
      </c>
    </row>
    <row r="536" spans="1:13" ht="14.25" customHeight="1" x14ac:dyDescent="0.2">
      <c r="A536" s="231" t="s">
        <v>19</v>
      </c>
      <c r="B536" s="230">
        <v>113675</v>
      </c>
      <c r="C536" s="230">
        <v>10755</v>
      </c>
      <c r="D536" s="231" t="s">
        <v>912</v>
      </c>
      <c r="E536" s="230">
        <v>14491032</v>
      </c>
      <c r="F536" s="230">
        <v>31784</v>
      </c>
      <c r="G536" s="230">
        <v>1</v>
      </c>
      <c r="H536" s="240">
        <v>359.46</v>
      </c>
      <c r="I536" s="240">
        <f t="shared" si="8"/>
        <v>359.46</v>
      </c>
      <c r="J536" s="231" t="s">
        <v>1393</v>
      </c>
      <c r="K536" s="231" t="s">
        <v>1394</v>
      </c>
      <c r="L536" s="232">
        <v>45170</v>
      </c>
      <c r="M536" s="232">
        <v>45199</v>
      </c>
    </row>
    <row r="537" spans="1:13" ht="14.25" customHeight="1" x14ac:dyDescent="0.2">
      <c r="A537" s="231" t="s">
        <v>19</v>
      </c>
      <c r="B537" s="230">
        <v>113696</v>
      </c>
      <c r="C537" s="230">
        <v>10766</v>
      </c>
      <c r="D537" s="231" t="s">
        <v>1321</v>
      </c>
      <c r="E537" s="230">
        <v>14491032</v>
      </c>
      <c r="F537" s="230">
        <v>31826</v>
      </c>
      <c r="G537" s="230">
        <v>1</v>
      </c>
      <c r="H537" s="240">
        <v>359.46</v>
      </c>
      <c r="I537" s="240">
        <f t="shared" si="8"/>
        <v>359.46</v>
      </c>
      <c r="J537" s="231" t="s">
        <v>1393</v>
      </c>
      <c r="K537" s="231" t="s">
        <v>1394</v>
      </c>
      <c r="L537" s="232">
        <v>45170</v>
      </c>
      <c r="M537" s="232">
        <v>45199</v>
      </c>
    </row>
    <row r="538" spans="1:13" ht="14.25" customHeight="1" x14ac:dyDescent="0.2">
      <c r="A538" s="231" t="s">
        <v>19</v>
      </c>
      <c r="B538" s="230">
        <v>113728</v>
      </c>
      <c r="C538" s="230">
        <v>10763</v>
      </c>
      <c r="D538" s="231" t="s">
        <v>946</v>
      </c>
      <c r="E538" s="230">
        <v>14491032</v>
      </c>
      <c r="F538" s="230">
        <v>31890</v>
      </c>
      <c r="G538" s="230">
        <v>1</v>
      </c>
      <c r="H538" s="240">
        <v>359.46</v>
      </c>
      <c r="I538" s="240">
        <f t="shared" si="8"/>
        <v>359.46</v>
      </c>
      <c r="J538" s="231" t="s">
        <v>1393</v>
      </c>
      <c r="K538" s="231" t="s">
        <v>1394</v>
      </c>
      <c r="L538" s="232">
        <v>45170</v>
      </c>
      <c r="M538" s="232">
        <v>45199</v>
      </c>
    </row>
    <row r="539" spans="1:13" ht="14.25" customHeight="1" x14ac:dyDescent="0.2">
      <c r="A539" s="231" t="s">
        <v>19</v>
      </c>
      <c r="B539" s="230">
        <v>114092</v>
      </c>
      <c r="C539" s="230">
        <v>10763</v>
      </c>
      <c r="D539" s="231" t="s">
        <v>1004</v>
      </c>
      <c r="E539" s="230">
        <v>14491032</v>
      </c>
      <c r="F539" s="230">
        <v>34336</v>
      </c>
      <c r="G539" s="230">
        <v>1</v>
      </c>
      <c r="H539" s="240">
        <v>359.46</v>
      </c>
      <c r="I539" s="240">
        <f t="shared" si="8"/>
        <v>359.46</v>
      </c>
      <c r="J539" s="231" t="s">
        <v>1393</v>
      </c>
      <c r="K539" s="231" t="s">
        <v>1394</v>
      </c>
      <c r="L539" s="232">
        <v>45170</v>
      </c>
      <c r="M539" s="232">
        <v>45199</v>
      </c>
    </row>
    <row r="540" spans="1:13" ht="14.25" customHeight="1" x14ac:dyDescent="0.2">
      <c r="A540" s="231" t="s">
        <v>19</v>
      </c>
      <c r="B540" s="230">
        <v>114107</v>
      </c>
      <c r="C540" s="230">
        <v>10750</v>
      </c>
      <c r="D540" s="231" t="s">
        <v>1011</v>
      </c>
      <c r="E540" s="230">
        <v>14491032</v>
      </c>
      <c r="F540" s="230">
        <v>34363</v>
      </c>
      <c r="G540" s="230">
        <v>1</v>
      </c>
      <c r="H540" s="240">
        <v>359.46</v>
      </c>
      <c r="I540" s="240">
        <f t="shared" si="8"/>
        <v>359.46</v>
      </c>
      <c r="J540" s="231" t="s">
        <v>1393</v>
      </c>
      <c r="K540" s="231" t="s">
        <v>1394</v>
      </c>
      <c r="L540" s="232">
        <v>45170</v>
      </c>
      <c r="M540" s="232">
        <v>45199</v>
      </c>
    </row>
    <row r="541" spans="1:13" ht="14.25" customHeight="1" x14ac:dyDescent="0.2">
      <c r="A541" s="231" t="s">
        <v>19</v>
      </c>
      <c r="B541" s="230">
        <v>114231</v>
      </c>
      <c r="C541" s="230">
        <v>10771</v>
      </c>
      <c r="D541" s="231" t="s">
        <v>1019</v>
      </c>
      <c r="E541" s="230">
        <v>14491032</v>
      </c>
      <c r="F541" s="230">
        <v>35715</v>
      </c>
      <c r="G541" s="230">
        <v>1</v>
      </c>
      <c r="H541" s="240">
        <v>359.46</v>
      </c>
      <c r="I541" s="240">
        <f t="shared" si="8"/>
        <v>359.46</v>
      </c>
      <c r="J541" s="231" t="s">
        <v>1393</v>
      </c>
      <c r="K541" s="231" t="s">
        <v>1394</v>
      </c>
      <c r="L541" s="232">
        <v>45170</v>
      </c>
      <c r="M541" s="232">
        <v>45199</v>
      </c>
    </row>
    <row r="542" spans="1:13" ht="14.25" customHeight="1" x14ac:dyDescent="0.2">
      <c r="A542" s="231" t="s">
        <v>19</v>
      </c>
      <c r="B542" s="230">
        <v>114263</v>
      </c>
      <c r="C542" s="230">
        <v>10751</v>
      </c>
      <c r="D542" s="231" t="s">
        <v>1029</v>
      </c>
      <c r="E542" s="230">
        <v>14491032</v>
      </c>
      <c r="F542" s="230">
        <v>35805</v>
      </c>
      <c r="G542" s="230">
        <v>1</v>
      </c>
      <c r="H542" s="240">
        <v>359.46</v>
      </c>
      <c r="I542" s="240">
        <f t="shared" si="8"/>
        <v>359.46</v>
      </c>
      <c r="J542" s="231" t="s">
        <v>1393</v>
      </c>
      <c r="K542" s="231" t="s">
        <v>1394</v>
      </c>
      <c r="L542" s="232">
        <v>45170</v>
      </c>
      <c r="M542" s="232">
        <v>45199</v>
      </c>
    </row>
    <row r="543" spans="1:13" ht="14.25" customHeight="1" x14ac:dyDescent="0.2">
      <c r="A543" s="231" t="s">
        <v>19</v>
      </c>
      <c r="B543" s="230">
        <v>114548</v>
      </c>
      <c r="C543" s="230">
        <v>10750</v>
      </c>
      <c r="D543" s="231" t="s">
        <v>1059</v>
      </c>
      <c r="E543" s="230">
        <v>14491032</v>
      </c>
      <c r="F543" s="230">
        <v>36373</v>
      </c>
      <c r="G543" s="230">
        <v>1</v>
      </c>
      <c r="H543" s="240">
        <v>347.47</v>
      </c>
      <c r="I543" s="240">
        <f t="shared" si="8"/>
        <v>347.47</v>
      </c>
      <c r="J543" s="231" t="s">
        <v>1393</v>
      </c>
      <c r="K543" s="231" t="s">
        <v>1394</v>
      </c>
      <c r="L543" s="232">
        <v>45170</v>
      </c>
      <c r="M543" s="232">
        <v>45199</v>
      </c>
    </row>
    <row r="544" spans="1:13" ht="14.25" customHeight="1" x14ac:dyDescent="0.2">
      <c r="A544" s="231" t="s">
        <v>19</v>
      </c>
      <c r="B544" s="230">
        <v>114683</v>
      </c>
      <c r="C544" s="230">
        <v>10750</v>
      </c>
      <c r="D544" s="231" t="s">
        <v>1068</v>
      </c>
      <c r="E544" s="230">
        <v>14491032</v>
      </c>
      <c r="F544" s="230">
        <v>36813</v>
      </c>
      <c r="G544" s="230">
        <v>1</v>
      </c>
      <c r="H544" s="240">
        <v>359.46</v>
      </c>
      <c r="I544" s="240">
        <f t="shared" si="8"/>
        <v>359.46</v>
      </c>
      <c r="J544" s="231" t="s">
        <v>1393</v>
      </c>
      <c r="K544" s="231" t="s">
        <v>1394</v>
      </c>
      <c r="L544" s="232">
        <v>45170</v>
      </c>
      <c r="M544" s="232">
        <v>45199</v>
      </c>
    </row>
    <row r="545" spans="1:13" ht="14.25" customHeight="1" x14ac:dyDescent="0.2">
      <c r="A545" s="231" t="s">
        <v>19</v>
      </c>
      <c r="B545" s="230">
        <v>114687</v>
      </c>
      <c r="C545" s="230">
        <v>10754</v>
      </c>
      <c r="D545" s="231" t="s">
        <v>1071</v>
      </c>
      <c r="E545" s="230">
        <v>14491032</v>
      </c>
      <c r="F545" s="230">
        <v>36821</v>
      </c>
      <c r="G545" s="230">
        <v>1</v>
      </c>
      <c r="H545" s="240">
        <v>359.46</v>
      </c>
      <c r="I545" s="240">
        <f t="shared" si="8"/>
        <v>359.46</v>
      </c>
      <c r="J545" s="231" t="s">
        <v>1393</v>
      </c>
      <c r="K545" s="231" t="s">
        <v>1394</v>
      </c>
      <c r="L545" s="232">
        <v>45170</v>
      </c>
      <c r="M545" s="232">
        <v>45199</v>
      </c>
    </row>
    <row r="546" spans="1:13" ht="14.25" customHeight="1" x14ac:dyDescent="0.2">
      <c r="A546" s="231" t="s">
        <v>19</v>
      </c>
      <c r="B546" s="230">
        <v>114695</v>
      </c>
      <c r="C546" s="230">
        <v>10750</v>
      </c>
      <c r="D546" s="231" t="s">
        <v>1074</v>
      </c>
      <c r="E546" s="230">
        <v>14491032</v>
      </c>
      <c r="F546" s="230">
        <v>36838</v>
      </c>
      <c r="G546" s="230">
        <v>1</v>
      </c>
      <c r="H546" s="240">
        <v>359.46</v>
      </c>
      <c r="I546" s="240">
        <f t="shared" si="8"/>
        <v>359.46</v>
      </c>
      <c r="J546" s="231" t="s">
        <v>1393</v>
      </c>
      <c r="K546" s="231" t="s">
        <v>1394</v>
      </c>
      <c r="L546" s="232">
        <v>45170</v>
      </c>
      <c r="M546" s="232">
        <v>45199</v>
      </c>
    </row>
    <row r="547" spans="1:13" ht="14.25" customHeight="1" x14ac:dyDescent="0.2">
      <c r="A547" s="231" t="s">
        <v>19</v>
      </c>
      <c r="B547" s="230">
        <v>115218</v>
      </c>
      <c r="C547" s="230">
        <v>10758</v>
      </c>
      <c r="D547" s="231" t="s">
        <v>1147</v>
      </c>
      <c r="E547" s="230">
        <v>14491032</v>
      </c>
      <c r="F547" s="230">
        <v>38483</v>
      </c>
      <c r="G547" s="230">
        <v>1</v>
      </c>
      <c r="H547" s="240">
        <v>359.46</v>
      </c>
      <c r="I547" s="240">
        <f t="shared" si="8"/>
        <v>359.46</v>
      </c>
      <c r="J547" s="231" t="s">
        <v>1393</v>
      </c>
      <c r="K547" s="231" t="s">
        <v>1394</v>
      </c>
      <c r="L547" s="232">
        <v>45170</v>
      </c>
      <c r="M547" s="232">
        <v>45199</v>
      </c>
    </row>
    <row r="548" spans="1:13" ht="14.25" customHeight="1" x14ac:dyDescent="0.2">
      <c r="A548" s="231" t="s">
        <v>19</v>
      </c>
      <c r="B548" s="230">
        <v>115225</v>
      </c>
      <c r="C548" s="230">
        <v>10760</v>
      </c>
      <c r="D548" s="231" t="s">
        <v>1150</v>
      </c>
      <c r="E548" s="230">
        <v>14491032</v>
      </c>
      <c r="F548" s="230">
        <v>38501</v>
      </c>
      <c r="G548" s="230">
        <v>1</v>
      </c>
      <c r="H548" s="240">
        <v>359.46</v>
      </c>
      <c r="I548" s="240">
        <f t="shared" si="8"/>
        <v>359.46</v>
      </c>
      <c r="J548" s="231" t="s">
        <v>1393</v>
      </c>
      <c r="K548" s="231" t="s">
        <v>1394</v>
      </c>
      <c r="L548" s="232">
        <v>45170</v>
      </c>
      <c r="M548" s="232">
        <v>45199</v>
      </c>
    </row>
    <row r="549" spans="1:13" ht="14.25" customHeight="1" x14ac:dyDescent="0.2">
      <c r="A549" s="231" t="s">
        <v>19</v>
      </c>
      <c r="B549" s="230">
        <v>115409</v>
      </c>
      <c r="C549" s="230">
        <v>10757</v>
      </c>
      <c r="D549" s="231" t="s">
        <v>1162</v>
      </c>
      <c r="E549" s="230">
        <v>14491032</v>
      </c>
      <c r="F549" s="230">
        <v>39024</v>
      </c>
      <c r="G549" s="230">
        <v>1</v>
      </c>
      <c r="H549" s="240">
        <v>311.52999999999997</v>
      </c>
      <c r="I549" s="240">
        <f t="shared" si="8"/>
        <v>311.52999999999997</v>
      </c>
      <c r="J549" s="231" t="s">
        <v>1393</v>
      </c>
      <c r="K549" s="231" t="s">
        <v>1394</v>
      </c>
      <c r="L549" s="232">
        <v>45170</v>
      </c>
      <c r="M549" s="232">
        <v>45199</v>
      </c>
    </row>
    <row r="550" spans="1:13" ht="14.25" customHeight="1" x14ac:dyDescent="0.2">
      <c r="A550" s="231" t="s">
        <v>19</v>
      </c>
      <c r="B550" s="230">
        <v>115413</v>
      </c>
      <c r="C550" s="230">
        <v>10757</v>
      </c>
      <c r="D550" s="231" t="s">
        <v>1163</v>
      </c>
      <c r="E550" s="230">
        <v>14491032</v>
      </c>
      <c r="F550" s="230">
        <v>39033</v>
      </c>
      <c r="G550" s="230">
        <v>1</v>
      </c>
      <c r="H550" s="240">
        <v>359.46</v>
      </c>
      <c r="I550" s="240">
        <f t="shared" si="8"/>
        <v>359.46</v>
      </c>
      <c r="J550" s="231" t="s">
        <v>1393</v>
      </c>
      <c r="K550" s="231" t="s">
        <v>1394</v>
      </c>
      <c r="L550" s="232">
        <v>45170</v>
      </c>
      <c r="M550" s="232">
        <v>45199</v>
      </c>
    </row>
    <row r="551" spans="1:13" ht="14.25" customHeight="1" x14ac:dyDescent="0.2">
      <c r="A551" s="231" t="s">
        <v>19</v>
      </c>
      <c r="B551" s="230">
        <v>115447</v>
      </c>
      <c r="C551" s="230">
        <v>10771</v>
      </c>
      <c r="D551" s="231" t="s">
        <v>1550</v>
      </c>
      <c r="E551" s="230">
        <v>14491032</v>
      </c>
      <c r="F551" s="230">
        <v>39174</v>
      </c>
      <c r="G551" s="230">
        <v>1</v>
      </c>
      <c r="H551" s="240">
        <v>359.46</v>
      </c>
      <c r="I551" s="240">
        <f t="shared" si="8"/>
        <v>359.46</v>
      </c>
      <c r="J551" s="231" t="s">
        <v>1393</v>
      </c>
      <c r="K551" s="231" t="s">
        <v>1394</v>
      </c>
      <c r="L551" s="232">
        <v>45170</v>
      </c>
      <c r="M551" s="232">
        <v>45199</v>
      </c>
    </row>
    <row r="552" spans="1:13" ht="14.25" customHeight="1" x14ac:dyDescent="0.2">
      <c r="A552" s="231" t="s">
        <v>19</v>
      </c>
      <c r="B552" s="230">
        <v>116228</v>
      </c>
      <c r="C552" s="230">
        <v>10766</v>
      </c>
      <c r="D552" s="231" t="s">
        <v>1196</v>
      </c>
      <c r="E552" s="230">
        <v>14491032</v>
      </c>
      <c r="F552" s="230">
        <v>41662</v>
      </c>
      <c r="G552" s="230">
        <v>1</v>
      </c>
      <c r="H552" s="240">
        <v>359.46</v>
      </c>
      <c r="I552" s="240">
        <f t="shared" si="8"/>
        <v>359.46</v>
      </c>
      <c r="J552" s="231" t="s">
        <v>1393</v>
      </c>
      <c r="K552" s="231" t="s">
        <v>1394</v>
      </c>
      <c r="L552" s="232">
        <v>45170</v>
      </c>
      <c r="M552" s="232">
        <v>45199</v>
      </c>
    </row>
    <row r="553" spans="1:13" ht="14.25" customHeight="1" x14ac:dyDescent="0.2">
      <c r="A553" s="231" t="s">
        <v>19</v>
      </c>
      <c r="B553" s="230">
        <v>116384</v>
      </c>
      <c r="C553" s="230">
        <v>10761</v>
      </c>
      <c r="D553" s="231" t="s">
        <v>1213</v>
      </c>
      <c r="E553" s="230">
        <v>14491032</v>
      </c>
      <c r="F553" s="230">
        <v>42038</v>
      </c>
      <c r="G553" s="230">
        <v>1</v>
      </c>
      <c r="H553" s="240">
        <v>359.46</v>
      </c>
      <c r="I553" s="240">
        <f t="shared" si="8"/>
        <v>359.46</v>
      </c>
      <c r="J553" s="231" t="s">
        <v>1393</v>
      </c>
      <c r="K553" s="231" t="s">
        <v>1394</v>
      </c>
      <c r="L553" s="232">
        <v>45170</v>
      </c>
      <c r="M553" s="232">
        <v>45199</v>
      </c>
    </row>
    <row r="554" spans="1:13" ht="14.25" customHeight="1" x14ac:dyDescent="0.2">
      <c r="A554" s="231" t="s">
        <v>19</v>
      </c>
      <c r="B554" s="230">
        <v>116713</v>
      </c>
      <c r="C554" s="230">
        <v>10750</v>
      </c>
      <c r="D554" s="231" t="s">
        <v>1219</v>
      </c>
      <c r="E554" s="230">
        <v>14491032</v>
      </c>
      <c r="F554" s="230">
        <v>42811</v>
      </c>
      <c r="G554" s="230">
        <v>1</v>
      </c>
      <c r="H554" s="240">
        <v>359.46</v>
      </c>
      <c r="I554" s="240">
        <f t="shared" si="8"/>
        <v>359.46</v>
      </c>
      <c r="J554" s="231" t="s">
        <v>1393</v>
      </c>
      <c r="K554" s="231" t="s">
        <v>1394</v>
      </c>
      <c r="L554" s="232">
        <v>45170</v>
      </c>
      <c r="M554" s="232">
        <v>45199</v>
      </c>
    </row>
    <row r="555" spans="1:13" ht="14.25" customHeight="1" x14ac:dyDescent="0.2">
      <c r="A555" s="231" t="s">
        <v>19</v>
      </c>
      <c r="B555" s="230">
        <v>116718</v>
      </c>
      <c r="C555" s="230">
        <v>10750</v>
      </c>
      <c r="D555" s="231" t="s">
        <v>1221</v>
      </c>
      <c r="E555" s="230">
        <v>14491032</v>
      </c>
      <c r="F555" s="230">
        <v>42821</v>
      </c>
      <c r="G555" s="230">
        <v>1</v>
      </c>
      <c r="H555" s="240">
        <v>359.46</v>
      </c>
      <c r="I555" s="240">
        <f t="shared" si="8"/>
        <v>359.46</v>
      </c>
      <c r="J555" s="231" t="s">
        <v>1393</v>
      </c>
      <c r="K555" s="231" t="s">
        <v>1394</v>
      </c>
      <c r="L555" s="232">
        <v>45170</v>
      </c>
      <c r="M555" s="232">
        <v>45199</v>
      </c>
    </row>
    <row r="556" spans="1:13" ht="14.25" customHeight="1" x14ac:dyDescent="0.2">
      <c r="A556" s="231" t="s">
        <v>19</v>
      </c>
      <c r="B556" s="230">
        <v>116726</v>
      </c>
      <c r="C556" s="230">
        <v>10754</v>
      </c>
      <c r="D556" s="231" t="s">
        <v>1223</v>
      </c>
      <c r="E556" s="230">
        <v>14491032</v>
      </c>
      <c r="F556" s="230">
        <v>42839</v>
      </c>
      <c r="G556" s="230">
        <v>1</v>
      </c>
      <c r="H556" s="240">
        <v>359.46</v>
      </c>
      <c r="I556" s="240">
        <f t="shared" si="8"/>
        <v>359.46</v>
      </c>
      <c r="J556" s="231" t="s">
        <v>1393</v>
      </c>
      <c r="K556" s="231" t="s">
        <v>1394</v>
      </c>
      <c r="L556" s="232">
        <v>45170</v>
      </c>
      <c r="M556" s="232">
        <v>45199</v>
      </c>
    </row>
    <row r="557" spans="1:13" ht="14.25" customHeight="1" x14ac:dyDescent="0.2">
      <c r="A557" s="231" t="s">
        <v>19</v>
      </c>
      <c r="B557" s="230">
        <v>117241</v>
      </c>
      <c r="C557" s="230">
        <v>10745</v>
      </c>
      <c r="D557" s="231" t="s">
        <v>1263</v>
      </c>
      <c r="E557" s="230">
        <v>14491032</v>
      </c>
      <c r="F557" s="230">
        <v>44098</v>
      </c>
      <c r="G557" s="230">
        <v>1</v>
      </c>
      <c r="H557" s="240">
        <v>359.46</v>
      </c>
      <c r="I557" s="240">
        <f t="shared" si="8"/>
        <v>359.46</v>
      </c>
      <c r="J557" s="231" t="s">
        <v>1393</v>
      </c>
      <c r="K557" s="231" t="s">
        <v>1394</v>
      </c>
      <c r="L557" s="232">
        <v>45170</v>
      </c>
      <c r="M557" s="232">
        <v>45199</v>
      </c>
    </row>
    <row r="558" spans="1:13" ht="14.25" customHeight="1" x14ac:dyDescent="0.2">
      <c r="A558" s="231" t="s">
        <v>19</v>
      </c>
      <c r="B558" s="230">
        <v>117412</v>
      </c>
      <c r="C558" s="230">
        <v>10751</v>
      </c>
      <c r="D558" s="231" t="s">
        <v>1279</v>
      </c>
      <c r="E558" s="230">
        <v>14491032</v>
      </c>
      <c r="F558" s="230">
        <v>44524</v>
      </c>
      <c r="G558" s="230">
        <v>1</v>
      </c>
      <c r="H558" s="240">
        <v>359.46</v>
      </c>
      <c r="I558" s="240">
        <f t="shared" si="8"/>
        <v>359.46</v>
      </c>
      <c r="J558" s="231" t="s">
        <v>1393</v>
      </c>
      <c r="K558" s="231" t="s">
        <v>1394</v>
      </c>
      <c r="L558" s="232">
        <v>45170</v>
      </c>
      <c r="M558" s="232">
        <v>45199</v>
      </c>
    </row>
    <row r="559" spans="1:13" ht="14.25" customHeight="1" x14ac:dyDescent="0.2">
      <c r="A559" s="231" t="s">
        <v>19</v>
      </c>
      <c r="B559" s="230">
        <v>118051</v>
      </c>
      <c r="C559" s="230">
        <v>10757</v>
      </c>
      <c r="D559" s="231" t="s">
        <v>1432</v>
      </c>
      <c r="E559" s="230">
        <v>14491032</v>
      </c>
      <c r="F559" s="230">
        <v>45890</v>
      </c>
      <c r="G559" s="230">
        <v>1</v>
      </c>
      <c r="H559" s="240">
        <v>359.46</v>
      </c>
      <c r="I559" s="240">
        <f t="shared" si="8"/>
        <v>359.46</v>
      </c>
      <c r="J559" s="231" t="s">
        <v>1393</v>
      </c>
      <c r="K559" s="231" t="s">
        <v>1394</v>
      </c>
      <c r="L559" s="232">
        <v>45170</v>
      </c>
      <c r="M559" s="232">
        <v>45199</v>
      </c>
    </row>
    <row r="560" spans="1:13" ht="14.25" customHeight="1" x14ac:dyDescent="0.2">
      <c r="A560" s="231" t="s">
        <v>19</v>
      </c>
      <c r="B560" s="230">
        <v>119107</v>
      </c>
      <c r="C560" s="230">
        <v>10760</v>
      </c>
      <c r="D560" s="231" t="s">
        <v>1447</v>
      </c>
      <c r="E560" s="230">
        <v>14491032</v>
      </c>
      <c r="F560" s="230">
        <v>48236</v>
      </c>
      <c r="G560" s="230">
        <v>1</v>
      </c>
      <c r="H560" s="240">
        <v>359.46</v>
      </c>
      <c r="I560" s="240">
        <f t="shared" si="8"/>
        <v>359.46</v>
      </c>
      <c r="J560" s="231" t="s">
        <v>1393</v>
      </c>
      <c r="K560" s="231" t="s">
        <v>1394</v>
      </c>
      <c r="L560" s="232">
        <v>45170</v>
      </c>
      <c r="M560" s="232">
        <v>45199</v>
      </c>
    </row>
    <row r="561" spans="1:13" ht="14.25" customHeight="1" x14ac:dyDescent="0.2">
      <c r="A561" s="231" t="s">
        <v>19</v>
      </c>
      <c r="B561" s="230">
        <v>119117</v>
      </c>
      <c r="C561" s="230">
        <v>10757</v>
      </c>
      <c r="D561" s="231" t="s">
        <v>1450</v>
      </c>
      <c r="E561" s="230">
        <v>14491032</v>
      </c>
      <c r="F561" s="230">
        <v>48256</v>
      </c>
      <c r="G561" s="230">
        <v>1</v>
      </c>
      <c r="H561" s="240">
        <v>359.46</v>
      </c>
      <c r="I561" s="240">
        <f t="shared" si="8"/>
        <v>359.46</v>
      </c>
      <c r="J561" s="231" t="s">
        <v>1393</v>
      </c>
      <c r="K561" s="231" t="s">
        <v>1394</v>
      </c>
      <c r="L561" s="232">
        <v>45170</v>
      </c>
      <c r="M561" s="232">
        <v>45199</v>
      </c>
    </row>
    <row r="562" spans="1:13" ht="14.25" customHeight="1" x14ac:dyDescent="0.2">
      <c r="A562" s="231" t="s">
        <v>19</v>
      </c>
      <c r="B562" s="230">
        <v>119642</v>
      </c>
      <c r="C562" s="230">
        <v>10757</v>
      </c>
      <c r="D562" s="231" t="s">
        <v>1469</v>
      </c>
      <c r="E562" s="230">
        <v>14491032</v>
      </c>
      <c r="F562" s="230">
        <v>49599</v>
      </c>
      <c r="G562" s="230">
        <v>1</v>
      </c>
      <c r="H562" s="240">
        <v>359.46</v>
      </c>
      <c r="I562" s="240">
        <f t="shared" si="8"/>
        <v>359.46</v>
      </c>
      <c r="J562" s="231" t="s">
        <v>1393</v>
      </c>
      <c r="K562" s="231" t="s">
        <v>1394</v>
      </c>
      <c r="L562" s="232">
        <v>45170</v>
      </c>
      <c r="M562" s="232">
        <v>45199</v>
      </c>
    </row>
    <row r="563" spans="1:13" ht="14.25" customHeight="1" x14ac:dyDescent="0.2">
      <c r="A563" s="231" t="s">
        <v>19</v>
      </c>
      <c r="B563" s="230">
        <v>119644</v>
      </c>
      <c r="C563" s="230">
        <v>10757</v>
      </c>
      <c r="D563" s="231" t="s">
        <v>1462</v>
      </c>
      <c r="E563" s="230">
        <v>14491032</v>
      </c>
      <c r="F563" s="230">
        <v>49603</v>
      </c>
      <c r="G563" s="230">
        <v>1</v>
      </c>
      <c r="H563" s="240">
        <v>359.46</v>
      </c>
      <c r="I563" s="240">
        <f t="shared" si="8"/>
        <v>359.46</v>
      </c>
      <c r="J563" s="231" t="s">
        <v>1393</v>
      </c>
      <c r="K563" s="231" t="s">
        <v>1394</v>
      </c>
      <c r="L563" s="232">
        <v>45170</v>
      </c>
      <c r="M563" s="232">
        <v>45199</v>
      </c>
    </row>
    <row r="564" spans="1:13" ht="14.25" customHeight="1" x14ac:dyDescent="0.2">
      <c r="A564" s="231" t="s">
        <v>19</v>
      </c>
      <c r="B564" s="230">
        <v>119678</v>
      </c>
      <c r="C564" s="230">
        <v>10761</v>
      </c>
      <c r="D564" s="231" t="s">
        <v>1482</v>
      </c>
      <c r="E564" s="230">
        <v>14491032</v>
      </c>
      <c r="F564" s="230">
        <v>49685</v>
      </c>
      <c r="G564" s="230">
        <v>1</v>
      </c>
      <c r="H564" s="240">
        <v>359.46</v>
      </c>
      <c r="I564" s="240">
        <f t="shared" si="8"/>
        <v>359.46</v>
      </c>
      <c r="J564" s="231" t="s">
        <v>1393</v>
      </c>
      <c r="K564" s="231" t="s">
        <v>1394</v>
      </c>
      <c r="L564" s="232">
        <v>45170</v>
      </c>
      <c r="M564" s="232">
        <v>45199</v>
      </c>
    </row>
    <row r="565" spans="1:13" ht="14.25" customHeight="1" x14ac:dyDescent="0.2">
      <c r="A565" s="231" t="s">
        <v>19</v>
      </c>
      <c r="B565" s="230">
        <v>120172</v>
      </c>
      <c r="C565" s="230">
        <v>10766</v>
      </c>
      <c r="D565" s="231" t="s">
        <v>1509</v>
      </c>
      <c r="E565" s="230">
        <v>14491032</v>
      </c>
      <c r="F565" s="230">
        <v>50890</v>
      </c>
      <c r="G565" s="230">
        <v>1</v>
      </c>
      <c r="H565" s="240">
        <v>359.46</v>
      </c>
      <c r="I565" s="240">
        <f t="shared" si="8"/>
        <v>359.46</v>
      </c>
      <c r="J565" s="231" t="s">
        <v>1393</v>
      </c>
      <c r="K565" s="231" t="s">
        <v>1394</v>
      </c>
      <c r="L565" s="232">
        <v>45170</v>
      </c>
      <c r="M565" s="232">
        <v>45199</v>
      </c>
    </row>
    <row r="566" spans="1:13" ht="14.25" customHeight="1" x14ac:dyDescent="0.2">
      <c r="A566" s="231" t="s">
        <v>19</v>
      </c>
      <c r="B566" s="230">
        <v>120188</v>
      </c>
      <c r="C566" s="230">
        <v>10758</v>
      </c>
      <c r="D566" s="231" t="s">
        <v>1507</v>
      </c>
      <c r="E566" s="230">
        <v>14491032</v>
      </c>
      <c r="F566" s="230">
        <v>50927</v>
      </c>
      <c r="G566" s="230">
        <v>1</v>
      </c>
      <c r="H566" s="240">
        <v>359.46</v>
      </c>
      <c r="I566" s="240">
        <f t="shared" si="8"/>
        <v>359.46</v>
      </c>
      <c r="J566" s="231" t="s">
        <v>1393</v>
      </c>
      <c r="K566" s="231" t="s">
        <v>1394</v>
      </c>
      <c r="L566" s="232">
        <v>45170</v>
      </c>
      <c r="M566" s="232">
        <v>45199</v>
      </c>
    </row>
    <row r="567" spans="1:13" ht="14.25" customHeight="1" x14ac:dyDescent="0.2">
      <c r="A567" s="231" t="s">
        <v>19</v>
      </c>
      <c r="B567" s="230">
        <v>121024</v>
      </c>
      <c r="C567" s="230">
        <v>10750</v>
      </c>
      <c r="D567" s="231" t="s">
        <v>1523</v>
      </c>
      <c r="E567" s="230">
        <v>14491032</v>
      </c>
      <c r="F567" s="230">
        <v>52797</v>
      </c>
      <c r="G567" s="230">
        <v>1</v>
      </c>
      <c r="H567" s="240">
        <v>359.46</v>
      </c>
      <c r="I567" s="240">
        <f t="shared" si="8"/>
        <v>359.46</v>
      </c>
      <c r="J567" s="231" t="s">
        <v>1393</v>
      </c>
      <c r="K567" s="231" t="s">
        <v>1394</v>
      </c>
      <c r="L567" s="232">
        <v>45170</v>
      </c>
      <c r="M567" s="232">
        <v>45199</v>
      </c>
    </row>
    <row r="568" spans="1:13" ht="14.25" customHeight="1" x14ac:dyDescent="0.2">
      <c r="A568" s="231" t="s">
        <v>19</v>
      </c>
      <c r="B568" s="230">
        <v>121315</v>
      </c>
      <c r="C568" s="230">
        <v>10750</v>
      </c>
      <c r="D568" s="231" t="s">
        <v>1543</v>
      </c>
      <c r="E568" s="230">
        <v>14491032</v>
      </c>
      <c r="F568" s="230">
        <v>53484</v>
      </c>
      <c r="G568" s="230">
        <v>1</v>
      </c>
      <c r="H568" s="240">
        <v>359.46</v>
      </c>
      <c r="I568" s="240">
        <f t="shared" si="8"/>
        <v>359.46</v>
      </c>
      <c r="J568" s="231" t="s">
        <v>1393</v>
      </c>
      <c r="K568" s="231" t="s">
        <v>1394</v>
      </c>
      <c r="L568" s="232">
        <v>45170</v>
      </c>
      <c r="M568" s="232">
        <v>45199</v>
      </c>
    </row>
    <row r="569" spans="1:13" ht="14.25" customHeight="1" x14ac:dyDescent="0.2">
      <c r="A569" s="231" t="s">
        <v>19</v>
      </c>
      <c r="B569" s="230">
        <v>121321</v>
      </c>
      <c r="C569" s="230">
        <v>10750</v>
      </c>
      <c r="D569" s="231" t="s">
        <v>1539</v>
      </c>
      <c r="E569" s="230">
        <v>14491032</v>
      </c>
      <c r="F569" s="230">
        <v>53496</v>
      </c>
      <c r="G569" s="230">
        <v>1</v>
      </c>
      <c r="H569" s="240">
        <v>359.46</v>
      </c>
      <c r="I569" s="240">
        <f t="shared" si="8"/>
        <v>359.46</v>
      </c>
      <c r="J569" s="231" t="s">
        <v>1393</v>
      </c>
      <c r="K569" s="231" t="s">
        <v>1394</v>
      </c>
      <c r="L569" s="232">
        <v>45170</v>
      </c>
      <c r="M569" s="232">
        <v>45199</v>
      </c>
    </row>
    <row r="570" spans="1:13" ht="14.25" customHeight="1" x14ac:dyDescent="0.2">
      <c r="A570" s="231" t="s">
        <v>19</v>
      </c>
      <c r="B570" s="230">
        <v>121327</v>
      </c>
      <c r="C570" s="230">
        <v>10757</v>
      </c>
      <c r="D570" s="231" t="s">
        <v>1546</v>
      </c>
      <c r="E570" s="230">
        <v>14491032</v>
      </c>
      <c r="F570" s="230">
        <v>53504</v>
      </c>
      <c r="G570" s="230">
        <v>1</v>
      </c>
      <c r="H570" s="240">
        <v>359.46</v>
      </c>
      <c r="I570" s="240">
        <f t="shared" si="8"/>
        <v>359.46</v>
      </c>
      <c r="J570" s="231" t="s">
        <v>1393</v>
      </c>
      <c r="K570" s="231" t="s">
        <v>1394</v>
      </c>
      <c r="L570" s="232">
        <v>45170</v>
      </c>
      <c r="M570" s="232">
        <v>45199</v>
      </c>
    </row>
    <row r="571" spans="1:13" ht="14.25" customHeight="1" x14ac:dyDescent="0.2">
      <c r="A571" s="231" t="s">
        <v>19</v>
      </c>
      <c r="B571" s="230">
        <v>121414</v>
      </c>
      <c r="C571" s="230">
        <v>10755</v>
      </c>
      <c r="D571" s="231" t="s">
        <v>1570</v>
      </c>
      <c r="E571" s="230">
        <v>14491032</v>
      </c>
      <c r="F571" s="230">
        <v>53708</v>
      </c>
      <c r="G571" s="230">
        <v>1</v>
      </c>
      <c r="H571" s="240">
        <v>359.46</v>
      </c>
      <c r="I571" s="240">
        <f t="shared" si="8"/>
        <v>359.46</v>
      </c>
      <c r="J571" s="231" t="s">
        <v>1393</v>
      </c>
      <c r="K571" s="231" t="s">
        <v>1394</v>
      </c>
      <c r="L571" s="232">
        <v>45170</v>
      </c>
      <c r="M571" s="232">
        <v>45199</v>
      </c>
    </row>
    <row r="572" spans="1:13" ht="14.25" customHeight="1" x14ac:dyDescent="0.2">
      <c r="A572" s="231" t="s">
        <v>19</v>
      </c>
      <c r="B572" s="230">
        <v>121458</v>
      </c>
      <c r="C572" s="230">
        <v>10755</v>
      </c>
      <c r="D572" s="231" t="s">
        <v>1579</v>
      </c>
      <c r="E572" s="230">
        <v>14491032</v>
      </c>
      <c r="F572" s="230">
        <v>53796</v>
      </c>
      <c r="G572" s="230">
        <v>1</v>
      </c>
      <c r="H572" s="240">
        <v>359.46</v>
      </c>
      <c r="I572" s="240">
        <f t="shared" si="8"/>
        <v>359.46</v>
      </c>
      <c r="J572" s="231" t="s">
        <v>1393</v>
      </c>
      <c r="K572" s="231" t="s">
        <v>1394</v>
      </c>
      <c r="L572" s="232">
        <v>45170</v>
      </c>
      <c r="M572" s="232">
        <v>45199</v>
      </c>
    </row>
    <row r="573" spans="1:13" ht="14.25" customHeight="1" x14ac:dyDescent="0.2">
      <c r="A573" s="231" t="s">
        <v>19</v>
      </c>
      <c r="B573" s="230">
        <v>121460</v>
      </c>
      <c r="C573" s="230">
        <v>10755</v>
      </c>
      <c r="D573" s="231" t="s">
        <v>1580</v>
      </c>
      <c r="E573" s="230">
        <v>14491032</v>
      </c>
      <c r="F573" s="230">
        <v>53800</v>
      </c>
      <c r="G573" s="230">
        <v>1</v>
      </c>
      <c r="H573" s="240">
        <v>347.47</v>
      </c>
      <c r="I573" s="240">
        <f t="shared" si="8"/>
        <v>347.47</v>
      </c>
      <c r="J573" s="231" t="s">
        <v>1393</v>
      </c>
      <c r="K573" s="231" t="s">
        <v>1394</v>
      </c>
      <c r="L573" s="232">
        <v>45170</v>
      </c>
      <c r="M573" s="232">
        <v>45199</v>
      </c>
    </row>
    <row r="574" spans="1:13" ht="14.25" customHeight="1" x14ac:dyDescent="0.2">
      <c r="A574" s="231" t="s">
        <v>19</v>
      </c>
      <c r="B574" s="230">
        <v>121480</v>
      </c>
      <c r="C574" s="230">
        <v>10755</v>
      </c>
      <c r="D574" s="231" t="s">
        <v>1581</v>
      </c>
      <c r="E574" s="230">
        <v>14491032</v>
      </c>
      <c r="F574" s="230">
        <v>53842</v>
      </c>
      <c r="G574" s="230">
        <v>1</v>
      </c>
      <c r="H574" s="240">
        <v>359.46</v>
      </c>
      <c r="I574" s="240">
        <f t="shared" si="8"/>
        <v>359.46</v>
      </c>
      <c r="J574" s="231" t="s">
        <v>1393</v>
      </c>
      <c r="K574" s="231" t="s">
        <v>1394</v>
      </c>
      <c r="L574" s="232">
        <v>45170</v>
      </c>
      <c r="M574" s="232">
        <v>45199</v>
      </c>
    </row>
    <row r="575" spans="1:13" ht="14.25" customHeight="1" x14ac:dyDescent="0.2">
      <c r="A575" s="231" t="s">
        <v>19</v>
      </c>
      <c r="B575" s="230">
        <v>121525</v>
      </c>
      <c r="C575" s="230">
        <v>10755</v>
      </c>
      <c r="D575" s="231" t="s">
        <v>1568</v>
      </c>
      <c r="E575" s="230">
        <v>14491032</v>
      </c>
      <c r="F575" s="230">
        <v>53948</v>
      </c>
      <c r="G575" s="230">
        <v>1</v>
      </c>
      <c r="H575" s="240">
        <v>347.47</v>
      </c>
      <c r="I575" s="240">
        <f t="shared" si="8"/>
        <v>347.47</v>
      </c>
      <c r="J575" s="231" t="s">
        <v>1393</v>
      </c>
      <c r="K575" s="231" t="s">
        <v>1394</v>
      </c>
      <c r="L575" s="232">
        <v>45170</v>
      </c>
      <c r="M575" s="232">
        <v>45199</v>
      </c>
    </row>
    <row r="576" spans="1:13" ht="14.25" customHeight="1" x14ac:dyDescent="0.2">
      <c r="A576" s="231" t="s">
        <v>19</v>
      </c>
      <c r="B576" s="230">
        <v>121853</v>
      </c>
      <c r="C576" s="230">
        <v>10755</v>
      </c>
      <c r="D576" s="231" t="s">
        <v>1631</v>
      </c>
      <c r="E576" s="230">
        <v>14491032</v>
      </c>
      <c r="F576" s="230">
        <v>54723</v>
      </c>
      <c r="G576" s="230">
        <v>1</v>
      </c>
      <c r="H576" s="240">
        <v>275.58</v>
      </c>
      <c r="I576" s="240">
        <f t="shared" si="8"/>
        <v>275.58</v>
      </c>
      <c r="J576" s="231" t="s">
        <v>1393</v>
      </c>
      <c r="K576" s="231" t="s">
        <v>1394</v>
      </c>
      <c r="L576" s="232">
        <v>45170</v>
      </c>
      <c r="M576" s="232">
        <v>45199</v>
      </c>
    </row>
    <row r="577" spans="1:13" ht="14.25" customHeight="1" x14ac:dyDescent="0.2">
      <c r="A577" s="231" t="s">
        <v>19</v>
      </c>
      <c r="B577" s="230">
        <v>122082</v>
      </c>
      <c r="C577" s="230">
        <v>10757</v>
      </c>
      <c r="D577" s="231" t="s">
        <v>1644</v>
      </c>
      <c r="E577" s="230">
        <v>14491032</v>
      </c>
      <c r="F577" s="230">
        <v>55280</v>
      </c>
      <c r="G577" s="230">
        <v>1</v>
      </c>
      <c r="H577" s="240">
        <v>359.46</v>
      </c>
      <c r="I577" s="240">
        <f t="shared" si="8"/>
        <v>359.46</v>
      </c>
      <c r="J577" s="231" t="s">
        <v>1393</v>
      </c>
      <c r="K577" s="231" t="s">
        <v>1394</v>
      </c>
      <c r="L577" s="232">
        <v>45170</v>
      </c>
      <c r="M577" s="232">
        <v>45199</v>
      </c>
    </row>
    <row r="578" spans="1:13" ht="14.25" customHeight="1" x14ac:dyDescent="0.2">
      <c r="A578" s="231" t="s">
        <v>19</v>
      </c>
      <c r="B578" s="230">
        <v>122083</v>
      </c>
      <c r="C578" s="230">
        <v>10757</v>
      </c>
      <c r="D578" s="231" t="s">
        <v>1646</v>
      </c>
      <c r="E578" s="230">
        <v>14491032</v>
      </c>
      <c r="F578" s="230">
        <v>55282</v>
      </c>
      <c r="G578" s="230">
        <v>1</v>
      </c>
      <c r="H578" s="240">
        <v>359.46</v>
      </c>
      <c r="I578" s="240">
        <f t="shared" si="8"/>
        <v>359.46</v>
      </c>
      <c r="J578" s="231" t="s">
        <v>1393</v>
      </c>
      <c r="K578" s="231" t="s">
        <v>1394</v>
      </c>
      <c r="L578" s="232">
        <v>45170</v>
      </c>
      <c r="M578" s="232">
        <v>45199</v>
      </c>
    </row>
    <row r="579" spans="1:13" ht="14.25" customHeight="1" x14ac:dyDescent="0.2">
      <c r="A579" s="231" t="s">
        <v>1589</v>
      </c>
      <c r="B579" s="230">
        <v>112177</v>
      </c>
      <c r="C579" s="230">
        <v>10761</v>
      </c>
      <c r="D579" s="231" t="s">
        <v>1323</v>
      </c>
      <c r="E579" s="230">
        <v>14491032</v>
      </c>
      <c r="F579" s="230">
        <v>28788</v>
      </c>
      <c r="G579" s="230">
        <v>1</v>
      </c>
      <c r="H579" s="240">
        <v>359.46</v>
      </c>
      <c r="I579" s="240">
        <f t="shared" ref="I579:I642" si="9">G579*H579</f>
        <v>359.46</v>
      </c>
      <c r="J579" s="231" t="s">
        <v>1393</v>
      </c>
      <c r="K579" s="231" t="s">
        <v>1394</v>
      </c>
      <c r="L579" s="232">
        <v>45170</v>
      </c>
      <c r="M579" s="232">
        <v>45199</v>
      </c>
    </row>
    <row r="580" spans="1:13" ht="14.25" customHeight="1" x14ac:dyDescent="0.2">
      <c r="A580" s="231" t="s">
        <v>1589</v>
      </c>
      <c r="B580" s="230">
        <v>112186</v>
      </c>
      <c r="C580" s="230">
        <v>10761</v>
      </c>
      <c r="D580" s="231" t="s">
        <v>1650</v>
      </c>
      <c r="E580" s="230">
        <v>14491032</v>
      </c>
      <c r="F580" s="230">
        <v>28806</v>
      </c>
      <c r="G580" s="230">
        <v>1</v>
      </c>
      <c r="H580" s="240">
        <v>359.46</v>
      </c>
      <c r="I580" s="240">
        <f t="shared" si="9"/>
        <v>359.46</v>
      </c>
      <c r="J580" s="231" t="s">
        <v>1393</v>
      </c>
      <c r="K580" s="231" t="s">
        <v>1394</v>
      </c>
      <c r="L580" s="232">
        <v>45170</v>
      </c>
      <c r="M580" s="232">
        <v>45199</v>
      </c>
    </row>
    <row r="581" spans="1:13" ht="14.25" customHeight="1" x14ac:dyDescent="0.2">
      <c r="A581" s="231" t="s">
        <v>1589</v>
      </c>
      <c r="B581" s="230">
        <v>112187</v>
      </c>
      <c r="C581" s="230">
        <v>10761</v>
      </c>
      <c r="D581" s="231" t="s">
        <v>1324</v>
      </c>
      <c r="E581" s="230">
        <v>14491032</v>
      </c>
      <c r="F581" s="230">
        <v>28808</v>
      </c>
      <c r="G581" s="230">
        <v>1</v>
      </c>
      <c r="H581" s="240">
        <v>359.46</v>
      </c>
      <c r="I581" s="240">
        <f t="shared" si="9"/>
        <v>359.46</v>
      </c>
      <c r="J581" s="231" t="s">
        <v>1393</v>
      </c>
      <c r="K581" s="231" t="s">
        <v>1394</v>
      </c>
      <c r="L581" s="232">
        <v>45170</v>
      </c>
      <c r="M581" s="232">
        <v>45199</v>
      </c>
    </row>
    <row r="582" spans="1:13" ht="14.25" customHeight="1" x14ac:dyDescent="0.2">
      <c r="A582" s="231" t="s">
        <v>1589</v>
      </c>
      <c r="B582" s="230">
        <v>112253</v>
      </c>
      <c r="C582" s="230">
        <v>10761</v>
      </c>
      <c r="D582" s="231" t="s">
        <v>64</v>
      </c>
      <c r="E582" s="230">
        <v>14491032</v>
      </c>
      <c r="F582" s="230">
        <v>28940</v>
      </c>
      <c r="G582" s="230">
        <v>1</v>
      </c>
      <c r="H582" s="240">
        <v>359.46</v>
      </c>
      <c r="I582" s="240">
        <f t="shared" si="9"/>
        <v>359.46</v>
      </c>
      <c r="J582" s="231" t="s">
        <v>1393</v>
      </c>
      <c r="K582" s="231" t="s">
        <v>1394</v>
      </c>
      <c r="L582" s="232">
        <v>45170</v>
      </c>
      <c r="M582" s="232">
        <v>45199</v>
      </c>
    </row>
    <row r="583" spans="1:13" ht="14.25" customHeight="1" x14ac:dyDescent="0.2">
      <c r="A583" s="231" t="s">
        <v>1589</v>
      </c>
      <c r="B583" s="230">
        <v>112254</v>
      </c>
      <c r="C583" s="230">
        <v>10768</v>
      </c>
      <c r="D583" s="231" t="s">
        <v>65</v>
      </c>
      <c r="E583" s="230">
        <v>14491032</v>
      </c>
      <c r="F583" s="230">
        <v>28942</v>
      </c>
      <c r="G583" s="230">
        <v>1</v>
      </c>
      <c r="H583" s="240">
        <v>359.46</v>
      </c>
      <c r="I583" s="240">
        <f t="shared" si="9"/>
        <v>359.46</v>
      </c>
      <c r="J583" s="231" t="s">
        <v>1393</v>
      </c>
      <c r="K583" s="231" t="s">
        <v>1394</v>
      </c>
      <c r="L583" s="232">
        <v>45170</v>
      </c>
      <c r="M583" s="232">
        <v>45199</v>
      </c>
    </row>
    <row r="584" spans="1:13" ht="14.25" customHeight="1" x14ac:dyDescent="0.2">
      <c r="A584" s="231" t="s">
        <v>1589</v>
      </c>
      <c r="B584" s="230">
        <v>112256</v>
      </c>
      <c r="C584" s="230">
        <v>10755</v>
      </c>
      <c r="D584" s="231" t="s">
        <v>67</v>
      </c>
      <c r="E584" s="230">
        <v>14491032</v>
      </c>
      <c r="F584" s="230">
        <v>28946</v>
      </c>
      <c r="G584" s="230">
        <v>1</v>
      </c>
      <c r="H584" s="240">
        <v>359.46</v>
      </c>
      <c r="I584" s="240">
        <f t="shared" si="9"/>
        <v>359.46</v>
      </c>
      <c r="J584" s="231" t="s">
        <v>1393</v>
      </c>
      <c r="K584" s="231" t="s">
        <v>1394</v>
      </c>
      <c r="L584" s="232">
        <v>45170</v>
      </c>
      <c r="M584" s="232">
        <v>45199</v>
      </c>
    </row>
    <row r="585" spans="1:13" ht="14.25" customHeight="1" x14ac:dyDescent="0.2">
      <c r="A585" s="231" t="s">
        <v>1589</v>
      </c>
      <c r="B585" s="230">
        <v>112274</v>
      </c>
      <c r="C585" s="230">
        <v>10761</v>
      </c>
      <c r="D585" s="231" t="s">
        <v>80</v>
      </c>
      <c r="E585" s="230">
        <v>14491032</v>
      </c>
      <c r="F585" s="230">
        <v>28982</v>
      </c>
      <c r="G585" s="230">
        <v>1</v>
      </c>
      <c r="H585" s="240">
        <v>359.46</v>
      </c>
      <c r="I585" s="240">
        <f t="shared" si="9"/>
        <v>359.46</v>
      </c>
      <c r="J585" s="231" t="s">
        <v>1393</v>
      </c>
      <c r="K585" s="231" t="s">
        <v>1394</v>
      </c>
      <c r="L585" s="232">
        <v>45170</v>
      </c>
      <c r="M585" s="232">
        <v>45199</v>
      </c>
    </row>
    <row r="586" spans="1:13" ht="14.25" customHeight="1" x14ac:dyDescent="0.2">
      <c r="A586" s="231" t="s">
        <v>1589</v>
      </c>
      <c r="B586" s="230">
        <v>112281</v>
      </c>
      <c r="C586" s="230">
        <v>10761</v>
      </c>
      <c r="D586" s="231" t="s">
        <v>87</v>
      </c>
      <c r="E586" s="230">
        <v>14491032</v>
      </c>
      <c r="F586" s="230">
        <v>28996</v>
      </c>
      <c r="G586" s="230">
        <v>1</v>
      </c>
      <c r="H586" s="240">
        <v>359.46</v>
      </c>
      <c r="I586" s="240">
        <f t="shared" si="9"/>
        <v>359.46</v>
      </c>
      <c r="J586" s="231" t="s">
        <v>1393</v>
      </c>
      <c r="K586" s="231" t="s">
        <v>1394</v>
      </c>
      <c r="L586" s="232">
        <v>45170</v>
      </c>
      <c r="M586" s="232">
        <v>45199</v>
      </c>
    </row>
    <row r="587" spans="1:13" ht="14.25" customHeight="1" x14ac:dyDescent="0.2">
      <c r="A587" s="231" t="s">
        <v>1589</v>
      </c>
      <c r="B587" s="230">
        <v>112292</v>
      </c>
      <c r="C587" s="230">
        <v>10767</v>
      </c>
      <c r="D587" s="231" t="s">
        <v>92</v>
      </c>
      <c r="E587" s="230">
        <v>14491032</v>
      </c>
      <c r="F587" s="230">
        <v>29018</v>
      </c>
      <c r="G587" s="230">
        <v>1</v>
      </c>
      <c r="H587" s="240">
        <v>359.46</v>
      </c>
      <c r="I587" s="240">
        <f t="shared" si="9"/>
        <v>359.46</v>
      </c>
      <c r="J587" s="231" t="s">
        <v>1393</v>
      </c>
      <c r="K587" s="231" t="s">
        <v>1394</v>
      </c>
      <c r="L587" s="232">
        <v>45170</v>
      </c>
      <c r="M587" s="232">
        <v>45199</v>
      </c>
    </row>
    <row r="588" spans="1:13" ht="14.25" customHeight="1" x14ac:dyDescent="0.2">
      <c r="A588" s="231" t="s">
        <v>1589</v>
      </c>
      <c r="B588" s="230">
        <v>112297</v>
      </c>
      <c r="C588" s="230">
        <v>10755</v>
      </c>
      <c r="D588" s="231" t="s">
        <v>95</v>
      </c>
      <c r="E588" s="230">
        <v>14491032</v>
      </c>
      <c r="F588" s="230">
        <v>29028</v>
      </c>
      <c r="G588" s="230">
        <v>1</v>
      </c>
      <c r="H588" s="240">
        <v>359.46</v>
      </c>
      <c r="I588" s="240">
        <f t="shared" si="9"/>
        <v>359.46</v>
      </c>
      <c r="J588" s="231" t="s">
        <v>1393</v>
      </c>
      <c r="K588" s="231" t="s">
        <v>1394</v>
      </c>
      <c r="L588" s="232">
        <v>45170</v>
      </c>
      <c r="M588" s="232">
        <v>45199</v>
      </c>
    </row>
    <row r="589" spans="1:13" ht="14.25" customHeight="1" x14ac:dyDescent="0.2">
      <c r="A589" s="231" t="s">
        <v>1589</v>
      </c>
      <c r="B589" s="230">
        <v>112366</v>
      </c>
      <c r="C589" s="230">
        <v>10762</v>
      </c>
      <c r="D589" s="231" t="s">
        <v>133</v>
      </c>
      <c r="E589" s="230">
        <v>14491032</v>
      </c>
      <c r="F589" s="230">
        <v>29166</v>
      </c>
      <c r="G589" s="230">
        <v>1</v>
      </c>
      <c r="H589" s="240">
        <v>359.46</v>
      </c>
      <c r="I589" s="240">
        <f t="shared" si="9"/>
        <v>359.46</v>
      </c>
      <c r="J589" s="231" t="s">
        <v>1393</v>
      </c>
      <c r="K589" s="231" t="s">
        <v>1394</v>
      </c>
      <c r="L589" s="232">
        <v>45170</v>
      </c>
      <c r="M589" s="232">
        <v>45199</v>
      </c>
    </row>
    <row r="590" spans="1:13" ht="14.25" customHeight="1" x14ac:dyDescent="0.2">
      <c r="A590" s="231" t="s">
        <v>1589</v>
      </c>
      <c r="B590" s="230">
        <v>112376</v>
      </c>
      <c r="C590" s="230">
        <v>10771</v>
      </c>
      <c r="D590" s="231" t="s">
        <v>138</v>
      </c>
      <c r="E590" s="230">
        <v>14491032</v>
      </c>
      <c r="F590" s="230">
        <v>29186</v>
      </c>
      <c r="G590" s="230">
        <v>1</v>
      </c>
      <c r="H590" s="240">
        <v>359.46</v>
      </c>
      <c r="I590" s="240">
        <f t="shared" si="9"/>
        <v>359.46</v>
      </c>
      <c r="J590" s="231" t="s">
        <v>1393</v>
      </c>
      <c r="K590" s="231" t="s">
        <v>1394</v>
      </c>
      <c r="L590" s="232">
        <v>45170</v>
      </c>
      <c r="M590" s="232">
        <v>45199</v>
      </c>
    </row>
    <row r="591" spans="1:13" ht="14.25" customHeight="1" x14ac:dyDescent="0.2">
      <c r="A591" s="231" t="s">
        <v>1589</v>
      </c>
      <c r="B591" s="230">
        <v>112379</v>
      </c>
      <c r="C591" s="230">
        <v>10761</v>
      </c>
      <c r="D591" s="231" t="s">
        <v>142</v>
      </c>
      <c r="E591" s="230">
        <v>14491032</v>
      </c>
      <c r="F591" s="230">
        <v>29192</v>
      </c>
      <c r="G591" s="230">
        <v>1</v>
      </c>
      <c r="H591" s="240">
        <v>359.46</v>
      </c>
      <c r="I591" s="240">
        <f t="shared" si="9"/>
        <v>359.46</v>
      </c>
      <c r="J591" s="231" t="s">
        <v>1393</v>
      </c>
      <c r="K591" s="231" t="s">
        <v>1394</v>
      </c>
      <c r="L591" s="232">
        <v>45170</v>
      </c>
      <c r="M591" s="232">
        <v>45199</v>
      </c>
    </row>
    <row r="592" spans="1:13" ht="14.25" customHeight="1" x14ac:dyDescent="0.2">
      <c r="A592" s="231" t="s">
        <v>1589</v>
      </c>
      <c r="B592" s="230">
        <v>112381</v>
      </c>
      <c r="C592" s="230">
        <v>10761</v>
      </c>
      <c r="D592" s="231" t="s">
        <v>144</v>
      </c>
      <c r="E592" s="230">
        <v>14491032</v>
      </c>
      <c r="F592" s="230">
        <v>29196</v>
      </c>
      <c r="G592" s="230">
        <v>1</v>
      </c>
      <c r="H592" s="240">
        <v>359.46</v>
      </c>
      <c r="I592" s="240">
        <f t="shared" si="9"/>
        <v>359.46</v>
      </c>
      <c r="J592" s="231" t="s">
        <v>1393</v>
      </c>
      <c r="K592" s="231" t="s">
        <v>1394</v>
      </c>
      <c r="L592" s="232">
        <v>45170</v>
      </c>
      <c r="M592" s="232">
        <v>45199</v>
      </c>
    </row>
    <row r="593" spans="1:13" ht="14.25" customHeight="1" x14ac:dyDescent="0.2">
      <c r="A593" s="231" t="s">
        <v>1589</v>
      </c>
      <c r="B593" s="230">
        <v>112384</v>
      </c>
      <c r="C593" s="230">
        <v>10761</v>
      </c>
      <c r="D593" s="231" t="s">
        <v>148</v>
      </c>
      <c r="E593" s="230">
        <v>14491032</v>
      </c>
      <c r="F593" s="230">
        <v>29202</v>
      </c>
      <c r="G593" s="230">
        <v>1</v>
      </c>
      <c r="H593" s="240">
        <v>359.46</v>
      </c>
      <c r="I593" s="240">
        <f t="shared" si="9"/>
        <v>359.46</v>
      </c>
      <c r="J593" s="231" t="s">
        <v>1393</v>
      </c>
      <c r="K593" s="231" t="s">
        <v>1394</v>
      </c>
      <c r="L593" s="232">
        <v>45170</v>
      </c>
      <c r="M593" s="232">
        <v>45199</v>
      </c>
    </row>
    <row r="594" spans="1:13" ht="14.25" customHeight="1" x14ac:dyDescent="0.2">
      <c r="A594" s="231" t="s">
        <v>1589</v>
      </c>
      <c r="B594" s="230">
        <v>112400</v>
      </c>
      <c r="C594" s="230">
        <v>10743</v>
      </c>
      <c r="D594" s="231" t="s">
        <v>156</v>
      </c>
      <c r="E594" s="230">
        <v>14491032</v>
      </c>
      <c r="F594" s="230">
        <v>29234</v>
      </c>
      <c r="G594" s="230">
        <v>1</v>
      </c>
      <c r="H594" s="240">
        <v>359.46</v>
      </c>
      <c r="I594" s="240">
        <f t="shared" si="9"/>
        <v>359.46</v>
      </c>
      <c r="J594" s="231" t="s">
        <v>1393</v>
      </c>
      <c r="K594" s="231" t="s">
        <v>1394</v>
      </c>
      <c r="L594" s="232">
        <v>45170</v>
      </c>
      <c r="M594" s="232">
        <v>45199</v>
      </c>
    </row>
    <row r="595" spans="1:13" ht="14.25" customHeight="1" x14ac:dyDescent="0.2">
      <c r="A595" s="231" t="s">
        <v>1589</v>
      </c>
      <c r="B595" s="230">
        <v>112401</v>
      </c>
      <c r="C595" s="230">
        <v>10749</v>
      </c>
      <c r="D595" s="231" t="s">
        <v>1359</v>
      </c>
      <c r="E595" s="230">
        <v>14491032</v>
      </c>
      <c r="F595" s="230">
        <v>29236</v>
      </c>
      <c r="G595" s="230">
        <v>1</v>
      </c>
      <c r="H595" s="240">
        <v>359.46</v>
      </c>
      <c r="I595" s="240">
        <f t="shared" si="9"/>
        <v>359.46</v>
      </c>
      <c r="J595" s="231" t="s">
        <v>1393</v>
      </c>
      <c r="K595" s="231" t="s">
        <v>1394</v>
      </c>
      <c r="L595" s="232">
        <v>45170</v>
      </c>
      <c r="M595" s="232">
        <v>45199</v>
      </c>
    </row>
    <row r="596" spans="1:13" ht="14.25" customHeight="1" x14ac:dyDescent="0.2">
      <c r="A596" s="231" t="s">
        <v>1589</v>
      </c>
      <c r="B596" s="230">
        <v>112410</v>
      </c>
      <c r="C596" s="230">
        <v>10761</v>
      </c>
      <c r="D596" s="231" t="s">
        <v>163</v>
      </c>
      <c r="E596" s="230">
        <v>14491032</v>
      </c>
      <c r="F596" s="230">
        <v>29254</v>
      </c>
      <c r="G596" s="230">
        <v>1</v>
      </c>
      <c r="H596" s="240">
        <v>359.46</v>
      </c>
      <c r="I596" s="240">
        <f t="shared" si="9"/>
        <v>359.46</v>
      </c>
      <c r="J596" s="231" t="s">
        <v>1393</v>
      </c>
      <c r="K596" s="231" t="s">
        <v>1394</v>
      </c>
      <c r="L596" s="232">
        <v>45170</v>
      </c>
      <c r="M596" s="232">
        <v>45199</v>
      </c>
    </row>
    <row r="597" spans="1:13" ht="14.25" customHeight="1" x14ac:dyDescent="0.2">
      <c r="A597" s="231" t="s">
        <v>1589</v>
      </c>
      <c r="B597" s="230">
        <v>112413</v>
      </c>
      <c r="C597" s="230">
        <v>10761</v>
      </c>
      <c r="D597" s="231" t="s">
        <v>164</v>
      </c>
      <c r="E597" s="230">
        <v>14491032</v>
      </c>
      <c r="F597" s="230">
        <v>29260</v>
      </c>
      <c r="G597" s="230">
        <v>1</v>
      </c>
      <c r="H597" s="240">
        <v>359.46</v>
      </c>
      <c r="I597" s="240">
        <f t="shared" si="9"/>
        <v>359.46</v>
      </c>
      <c r="J597" s="231" t="s">
        <v>1393</v>
      </c>
      <c r="K597" s="231" t="s">
        <v>1394</v>
      </c>
      <c r="L597" s="232">
        <v>45170</v>
      </c>
      <c r="M597" s="232">
        <v>45199</v>
      </c>
    </row>
    <row r="598" spans="1:13" ht="14.25" customHeight="1" x14ac:dyDescent="0.2">
      <c r="A598" s="231" t="s">
        <v>1589</v>
      </c>
      <c r="B598" s="230">
        <v>112414</v>
      </c>
      <c r="C598" s="230">
        <v>10756</v>
      </c>
      <c r="D598" s="231" t="s">
        <v>165</v>
      </c>
      <c r="E598" s="230">
        <v>14491032</v>
      </c>
      <c r="F598" s="230">
        <v>29262</v>
      </c>
      <c r="G598" s="230">
        <v>1</v>
      </c>
      <c r="H598" s="240">
        <v>359.46</v>
      </c>
      <c r="I598" s="240">
        <f t="shared" si="9"/>
        <v>359.46</v>
      </c>
      <c r="J598" s="231" t="s">
        <v>1393</v>
      </c>
      <c r="K598" s="231" t="s">
        <v>1394</v>
      </c>
      <c r="L598" s="232">
        <v>45170</v>
      </c>
      <c r="M598" s="232">
        <v>45199</v>
      </c>
    </row>
    <row r="599" spans="1:13" ht="14.25" customHeight="1" x14ac:dyDescent="0.2">
      <c r="A599" s="231" t="s">
        <v>1589</v>
      </c>
      <c r="B599" s="230">
        <v>112415</v>
      </c>
      <c r="C599" s="230">
        <v>10761</v>
      </c>
      <c r="D599" s="231" t="s">
        <v>1360</v>
      </c>
      <c r="E599" s="230">
        <v>14491032</v>
      </c>
      <c r="F599" s="230">
        <v>29264</v>
      </c>
      <c r="G599" s="230">
        <v>1</v>
      </c>
      <c r="H599" s="240">
        <v>359.46</v>
      </c>
      <c r="I599" s="240">
        <f t="shared" si="9"/>
        <v>359.46</v>
      </c>
      <c r="J599" s="231" t="s">
        <v>1393</v>
      </c>
      <c r="K599" s="231" t="s">
        <v>1394</v>
      </c>
      <c r="L599" s="232">
        <v>45170</v>
      </c>
      <c r="M599" s="232">
        <v>45199</v>
      </c>
    </row>
    <row r="600" spans="1:13" ht="14.25" customHeight="1" x14ac:dyDescent="0.2">
      <c r="A600" s="231" t="s">
        <v>1589</v>
      </c>
      <c r="B600" s="230">
        <v>112430</v>
      </c>
      <c r="C600" s="230">
        <v>10755</v>
      </c>
      <c r="D600" s="231" t="s">
        <v>173</v>
      </c>
      <c r="E600" s="230">
        <v>14491032</v>
      </c>
      <c r="F600" s="230">
        <v>29294</v>
      </c>
      <c r="G600" s="230">
        <v>1</v>
      </c>
      <c r="H600" s="240">
        <v>359.46</v>
      </c>
      <c r="I600" s="240">
        <f t="shared" si="9"/>
        <v>359.46</v>
      </c>
      <c r="J600" s="231" t="s">
        <v>1393</v>
      </c>
      <c r="K600" s="231" t="s">
        <v>1394</v>
      </c>
      <c r="L600" s="232">
        <v>45170</v>
      </c>
      <c r="M600" s="232">
        <v>45199</v>
      </c>
    </row>
    <row r="601" spans="1:13" ht="14.25" customHeight="1" x14ac:dyDescent="0.2">
      <c r="A601" s="231" t="s">
        <v>1589</v>
      </c>
      <c r="B601" s="230">
        <v>112433</v>
      </c>
      <c r="C601" s="230">
        <v>10761</v>
      </c>
      <c r="D601" s="231" t="s">
        <v>1314</v>
      </c>
      <c r="E601" s="230">
        <v>14491032</v>
      </c>
      <c r="F601" s="230">
        <v>29300</v>
      </c>
      <c r="G601" s="230">
        <v>1</v>
      </c>
      <c r="H601" s="240">
        <v>359.46</v>
      </c>
      <c r="I601" s="240">
        <f t="shared" si="9"/>
        <v>359.46</v>
      </c>
      <c r="J601" s="231" t="s">
        <v>1393</v>
      </c>
      <c r="K601" s="231" t="s">
        <v>1394</v>
      </c>
      <c r="L601" s="232">
        <v>45170</v>
      </c>
      <c r="M601" s="232">
        <v>45199</v>
      </c>
    </row>
    <row r="602" spans="1:13" ht="14.25" customHeight="1" x14ac:dyDescent="0.2">
      <c r="A602" s="231" t="s">
        <v>1589</v>
      </c>
      <c r="B602" s="230">
        <v>112437</v>
      </c>
      <c r="C602" s="230">
        <v>10755</v>
      </c>
      <c r="D602" s="231" t="s">
        <v>179</v>
      </c>
      <c r="E602" s="230">
        <v>14491032</v>
      </c>
      <c r="F602" s="230">
        <v>29308</v>
      </c>
      <c r="G602" s="230">
        <v>1</v>
      </c>
      <c r="H602" s="240">
        <v>359.46</v>
      </c>
      <c r="I602" s="240">
        <f t="shared" si="9"/>
        <v>359.46</v>
      </c>
      <c r="J602" s="231" t="s">
        <v>1393</v>
      </c>
      <c r="K602" s="231" t="s">
        <v>1394</v>
      </c>
      <c r="L602" s="232">
        <v>45170</v>
      </c>
      <c r="M602" s="232">
        <v>45199</v>
      </c>
    </row>
    <row r="603" spans="1:13" ht="14.25" customHeight="1" x14ac:dyDescent="0.2">
      <c r="A603" s="231" t="s">
        <v>1589</v>
      </c>
      <c r="B603" s="230">
        <v>112439</v>
      </c>
      <c r="C603" s="230">
        <v>10768</v>
      </c>
      <c r="D603" s="231" t="s">
        <v>180</v>
      </c>
      <c r="E603" s="230">
        <v>14491032</v>
      </c>
      <c r="F603" s="230">
        <v>29312</v>
      </c>
      <c r="G603" s="230">
        <v>1</v>
      </c>
      <c r="H603" s="240">
        <v>359.46</v>
      </c>
      <c r="I603" s="240">
        <f t="shared" si="9"/>
        <v>359.46</v>
      </c>
      <c r="J603" s="231" t="s">
        <v>1393</v>
      </c>
      <c r="K603" s="231" t="s">
        <v>1394</v>
      </c>
      <c r="L603" s="232">
        <v>45170</v>
      </c>
      <c r="M603" s="232">
        <v>45199</v>
      </c>
    </row>
    <row r="604" spans="1:13" ht="14.25" customHeight="1" x14ac:dyDescent="0.2">
      <c r="A604" s="231" t="s">
        <v>1589</v>
      </c>
      <c r="B604" s="230">
        <v>112459</v>
      </c>
      <c r="C604" s="230">
        <v>10743</v>
      </c>
      <c r="D604" s="231" t="s">
        <v>195</v>
      </c>
      <c r="E604" s="230">
        <v>14491032</v>
      </c>
      <c r="F604" s="230">
        <v>29352</v>
      </c>
      <c r="G604" s="230">
        <v>1</v>
      </c>
      <c r="H604" s="240">
        <v>359.46</v>
      </c>
      <c r="I604" s="240">
        <f t="shared" si="9"/>
        <v>359.46</v>
      </c>
      <c r="J604" s="231" t="s">
        <v>1393</v>
      </c>
      <c r="K604" s="231" t="s">
        <v>1394</v>
      </c>
      <c r="L604" s="232">
        <v>45170</v>
      </c>
      <c r="M604" s="232">
        <v>45199</v>
      </c>
    </row>
    <row r="605" spans="1:13" ht="14.25" customHeight="1" x14ac:dyDescent="0.2">
      <c r="A605" s="231" t="s">
        <v>1589</v>
      </c>
      <c r="B605" s="230">
        <v>112462</v>
      </c>
      <c r="C605" s="230">
        <v>10762</v>
      </c>
      <c r="D605" s="231" t="s">
        <v>190</v>
      </c>
      <c r="E605" s="230">
        <v>14491032</v>
      </c>
      <c r="F605" s="230">
        <v>29358</v>
      </c>
      <c r="G605" s="230">
        <v>1</v>
      </c>
      <c r="H605" s="240">
        <v>359.46</v>
      </c>
      <c r="I605" s="240">
        <f t="shared" si="9"/>
        <v>359.46</v>
      </c>
      <c r="J605" s="231" t="s">
        <v>1393</v>
      </c>
      <c r="K605" s="231" t="s">
        <v>1394</v>
      </c>
      <c r="L605" s="232">
        <v>45170</v>
      </c>
      <c r="M605" s="232">
        <v>45199</v>
      </c>
    </row>
    <row r="606" spans="1:13" ht="14.25" customHeight="1" x14ac:dyDescent="0.2">
      <c r="A606" s="231" t="s">
        <v>1589</v>
      </c>
      <c r="B606" s="230">
        <v>112478</v>
      </c>
      <c r="C606" s="230">
        <v>10768</v>
      </c>
      <c r="D606" s="231" t="s">
        <v>206</v>
      </c>
      <c r="E606" s="230">
        <v>14491032</v>
      </c>
      <c r="F606" s="230">
        <v>29390</v>
      </c>
      <c r="G606" s="230">
        <v>1</v>
      </c>
      <c r="H606" s="240">
        <v>359.46</v>
      </c>
      <c r="I606" s="240">
        <f t="shared" si="9"/>
        <v>359.46</v>
      </c>
      <c r="J606" s="231" t="s">
        <v>1393</v>
      </c>
      <c r="K606" s="231" t="s">
        <v>1394</v>
      </c>
      <c r="L606" s="232">
        <v>45170</v>
      </c>
      <c r="M606" s="232">
        <v>45199</v>
      </c>
    </row>
    <row r="607" spans="1:13" ht="14.25" customHeight="1" x14ac:dyDescent="0.2">
      <c r="A607" s="231" t="s">
        <v>1589</v>
      </c>
      <c r="B607" s="230">
        <v>112490</v>
      </c>
      <c r="C607" s="230">
        <v>10767</v>
      </c>
      <c r="D607" s="231" t="s">
        <v>212</v>
      </c>
      <c r="E607" s="230">
        <v>14491032</v>
      </c>
      <c r="F607" s="230">
        <v>29414</v>
      </c>
      <c r="G607" s="230">
        <v>1</v>
      </c>
      <c r="H607" s="240">
        <v>359.46</v>
      </c>
      <c r="I607" s="240">
        <f t="shared" si="9"/>
        <v>359.46</v>
      </c>
      <c r="J607" s="231" t="s">
        <v>1393</v>
      </c>
      <c r="K607" s="231" t="s">
        <v>1394</v>
      </c>
      <c r="L607" s="232">
        <v>45170</v>
      </c>
      <c r="M607" s="232">
        <v>45199</v>
      </c>
    </row>
    <row r="608" spans="1:13" ht="14.25" customHeight="1" x14ac:dyDescent="0.2">
      <c r="A608" s="231" t="s">
        <v>1589</v>
      </c>
      <c r="B608" s="230">
        <v>112502</v>
      </c>
      <c r="C608" s="230">
        <v>10757</v>
      </c>
      <c r="D608" s="231" t="s">
        <v>220</v>
      </c>
      <c r="E608" s="230">
        <v>14491032</v>
      </c>
      <c r="F608" s="230">
        <v>29438</v>
      </c>
      <c r="G608" s="230">
        <v>1</v>
      </c>
      <c r="H608" s="240">
        <v>359.46</v>
      </c>
      <c r="I608" s="240">
        <f t="shared" si="9"/>
        <v>359.46</v>
      </c>
      <c r="J608" s="231" t="s">
        <v>1393</v>
      </c>
      <c r="K608" s="231" t="s">
        <v>1394</v>
      </c>
      <c r="L608" s="232">
        <v>45170</v>
      </c>
      <c r="M608" s="232">
        <v>45199</v>
      </c>
    </row>
    <row r="609" spans="1:13" ht="14.25" customHeight="1" x14ac:dyDescent="0.2">
      <c r="A609" s="231" t="s">
        <v>1589</v>
      </c>
      <c r="B609" s="230">
        <v>112506</v>
      </c>
      <c r="C609" s="230">
        <v>10757</v>
      </c>
      <c r="D609" s="231" t="s">
        <v>224</v>
      </c>
      <c r="E609" s="230">
        <v>14491032</v>
      </c>
      <c r="F609" s="230">
        <v>29446</v>
      </c>
      <c r="G609" s="230">
        <v>1</v>
      </c>
      <c r="H609" s="240">
        <v>359.46</v>
      </c>
      <c r="I609" s="240">
        <f t="shared" si="9"/>
        <v>359.46</v>
      </c>
      <c r="J609" s="231" t="s">
        <v>1393</v>
      </c>
      <c r="K609" s="231" t="s">
        <v>1394</v>
      </c>
      <c r="L609" s="232">
        <v>45170</v>
      </c>
      <c r="M609" s="232">
        <v>45199</v>
      </c>
    </row>
    <row r="610" spans="1:13" ht="14.25" customHeight="1" x14ac:dyDescent="0.2">
      <c r="A610" s="231" t="s">
        <v>1589</v>
      </c>
      <c r="B610" s="230">
        <v>112518</v>
      </c>
      <c r="C610" s="230">
        <v>10761</v>
      </c>
      <c r="D610" s="231" t="s">
        <v>234</v>
      </c>
      <c r="E610" s="230">
        <v>14491032</v>
      </c>
      <c r="F610" s="230">
        <v>29470</v>
      </c>
      <c r="G610" s="230">
        <v>1</v>
      </c>
      <c r="H610" s="240">
        <v>359.46</v>
      </c>
      <c r="I610" s="240">
        <f t="shared" si="9"/>
        <v>359.46</v>
      </c>
      <c r="J610" s="231" t="s">
        <v>1393</v>
      </c>
      <c r="K610" s="231" t="s">
        <v>1394</v>
      </c>
      <c r="L610" s="232">
        <v>45170</v>
      </c>
      <c r="M610" s="232">
        <v>45199</v>
      </c>
    </row>
    <row r="611" spans="1:13" ht="14.25" customHeight="1" x14ac:dyDescent="0.2">
      <c r="A611" s="231" t="s">
        <v>1589</v>
      </c>
      <c r="B611" s="230">
        <v>112525</v>
      </c>
      <c r="C611" s="230">
        <v>10755</v>
      </c>
      <c r="D611" s="231" t="s">
        <v>238</v>
      </c>
      <c r="E611" s="230">
        <v>14491032</v>
      </c>
      <c r="F611" s="230">
        <v>29484</v>
      </c>
      <c r="G611" s="230">
        <v>1</v>
      </c>
      <c r="H611" s="240">
        <v>359.46</v>
      </c>
      <c r="I611" s="240">
        <f t="shared" si="9"/>
        <v>359.46</v>
      </c>
      <c r="J611" s="231" t="s">
        <v>1393</v>
      </c>
      <c r="K611" s="231" t="s">
        <v>1394</v>
      </c>
      <c r="L611" s="232">
        <v>45170</v>
      </c>
      <c r="M611" s="232">
        <v>45199</v>
      </c>
    </row>
    <row r="612" spans="1:13" ht="14.25" customHeight="1" x14ac:dyDescent="0.2">
      <c r="A612" s="231" t="s">
        <v>1589</v>
      </c>
      <c r="B612" s="230">
        <v>112527</v>
      </c>
      <c r="C612" s="230">
        <v>10766</v>
      </c>
      <c r="D612" s="231" t="s">
        <v>1326</v>
      </c>
      <c r="E612" s="230">
        <v>14491032</v>
      </c>
      <c r="F612" s="230">
        <v>29488</v>
      </c>
      <c r="G612" s="230">
        <v>1</v>
      </c>
      <c r="H612" s="240">
        <v>359.46</v>
      </c>
      <c r="I612" s="240">
        <f t="shared" si="9"/>
        <v>359.46</v>
      </c>
      <c r="J612" s="231" t="s">
        <v>1393</v>
      </c>
      <c r="K612" s="231" t="s">
        <v>1394</v>
      </c>
      <c r="L612" s="232">
        <v>45170</v>
      </c>
      <c r="M612" s="232">
        <v>45199</v>
      </c>
    </row>
    <row r="613" spans="1:13" ht="14.25" customHeight="1" x14ac:dyDescent="0.2">
      <c r="A613" s="231" t="s">
        <v>1589</v>
      </c>
      <c r="B613" s="230">
        <v>112530</v>
      </c>
      <c r="C613" s="230">
        <v>10761</v>
      </c>
      <c r="D613" s="231" t="s">
        <v>242</v>
      </c>
      <c r="E613" s="230">
        <v>14491032</v>
      </c>
      <c r="F613" s="230">
        <v>29494</v>
      </c>
      <c r="G613" s="230">
        <v>1</v>
      </c>
      <c r="H613" s="240">
        <v>359.46</v>
      </c>
      <c r="I613" s="240">
        <f t="shared" si="9"/>
        <v>359.46</v>
      </c>
      <c r="J613" s="231" t="s">
        <v>1393</v>
      </c>
      <c r="K613" s="231" t="s">
        <v>1394</v>
      </c>
      <c r="L613" s="232">
        <v>45170</v>
      </c>
      <c r="M613" s="232">
        <v>45199</v>
      </c>
    </row>
    <row r="614" spans="1:13" ht="14.25" customHeight="1" x14ac:dyDescent="0.2">
      <c r="A614" s="231" t="s">
        <v>1589</v>
      </c>
      <c r="B614" s="230">
        <v>112534</v>
      </c>
      <c r="C614" s="230">
        <v>10748</v>
      </c>
      <c r="D614" s="231" t="s">
        <v>246</v>
      </c>
      <c r="E614" s="230">
        <v>14491032</v>
      </c>
      <c r="F614" s="230">
        <v>29502</v>
      </c>
      <c r="G614" s="230">
        <v>1</v>
      </c>
      <c r="H614" s="240">
        <v>359.46</v>
      </c>
      <c r="I614" s="240">
        <f t="shared" si="9"/>
        <v>359.46</v>
      </c>
      <c r="J614" s="231" t="s">
        <v>1393</v>
      </c>
      <c r="K614" s="231" t="s">
        <v>1394</v>
      </c>
      <c r="L614" s="232">
        <v>45170</v>
      </c>
      <c r="M614" s="232">
        <v>45199</v>
      </c>
    </row>
    <row r="615" spans="1:13" ht="14.25" customHeight="1" x14ac:dyDescent="0.2">
      <c r="A615" s="231" t="s">
        <v>1589</v>
      </c>
      <c r="B615" s="230">
        <v>112546</v>
      </c>
      <c r="C615" s="230">
        <v>10771</v>
      </c>
      <c r="D615" s="231" t="s">
        <v>1363</v>
      </c>
      <c r="E615" s="230">
        <v>14491032</v>
      </c>
      <c r="F615" s="230">
        <v>29526</v>
      </c>
      <c r="G615" s="230">
        <v>1</v>
      </c>
      <c r="H615" s="240">
        <v>359.46</v>
      </c>
      <c r="I615" s="240">
        <f t="shared" si="9"/>
        <v>359.46</v>
      </c>
      <c r="J615" s="231" t="s">
        <v>1393</v>
      </c>
      <c r="K615" s="231" t="s">
        <v>1394</v>
      </c>
      <c r="L615" s="232">
        <v>45170</v>
      </c>
      <c r="M615" s="232">
        <v>45199</v>
      </c>
    </row>
    <row r="616" spans="1:13" ht="14.25" customHeight="1" x14ac:dyDescent="0.2">
      <c r="A616" s="231" t="s">
        <v>1589</v>
      </c>
      <c r="B616" s="230">
        <v>112557</v>
      </c>
      <c r="C616" s="230">
        <v>10768</v>
      </c>
      <c r="D616" s="231" t="s">
        <v>263</v>
      </c>
      <c r="E616" s="230">
        <v>14491032</v>
      </c>
      <c r="F616" s="230">
        <v>29548</v>
      </c>
      <c r="G616" s="230">
        <v>1</v>
      </c>
      <c r="H616" s="240">
        <v>359.46</v>
      </c>
      <c r="I616" s="240">
        <f t="shared" si="9"/>
        <v>359.46</v>
      </c>
      <c r="J616" s="231" t="s">
        <v>1393</v>
      </c>
      <c r="K616" s="231" t="s">
        <v>1394</v>
      </c>
      <c r="L616" s="232">
        <v>45170</v>
      </c>
      <c r="M616" s="232">
        <v>45199</v>
      </c>
    </row>
    <row r="617" spans="1:13" ht="14.25" customHeight="1" x14ac:dyDescent="0.2">
      <c r="A617" s="231" t="s">
        <v>1589</v>
      </c>
      <c r="B617" s="230">
        <v>112568</v>
      </c>
      <c r="C617" s="230">
        <v>10768</v>
      </c>
      <c r="D617" s="231" t="s">
        <v>270</v>
      </c>
      <c r="E617" s="230">
        <v>14491032</v>
      </c>
      <c r="F617" s="230">
        <v>29570</v>
      </c>
      <c r="G617" s="230">
        <v>1</v>
      </c>
      <c r="H617" s="240">
        <v>359.46</v>
      </c>
      <c r="I617" s="240">
        <f t="shared" si="9"/>
        <v>359.46</v>
      </c>
      <c r="J617" s="231" t="s">
        <v>1393</v>
      </c>
      <c r="K617" s="231" t="s">
        <v>1394</v>
      </c>
      <c r="L617" s="232">
        <v>45170</v>
      </c>
      <c r="M617" s="232">
        <v>45199</v>
      </c>
    </row>
    <row r="618" spans="1:13" ht="14.25" customHeight="1" x14ac:dyDescent="0.2">
      <c r="A618" s="231" t="s">
        <v>1589</v>
      </c>
      <c r="B618" s="230">
        <v>112581</v>
      </c>
      <c r="C618" s="230">
        <v>10755</v>
      </c>
      <c r="D618" s="231" t="s">
        <v>277</v>
      </c>
      <c r="E618" s="230">
        <v>14491032</v>
      </c>
      <c r="F618" s="230">
        <v>29596</v>
      </c>
      <c r="G618" s="230">
        <v>1</v>
      </c>
      <c r="H618" s="240">
        <v>359.46</v>
      </c>
      <c r="I618" s="240">
        <f t="shared" si="9"/>
        <v>359.46</v>
      </c>
      <c r="J618" s="231" t="s">
        <v>1393</v>
      </c>
      <c r="K618" s="231" t="s">
        <v>1394</v>
      </c>
      <c r="L618" s="232">
        <v>45170</v>
      </c>
      <c r="M618" s="232">
        <v>45199</v>
      </c>
    </row>
    <row r="619" spans="1:13" ht="14.25" customHeight="1" x14ac:dyDescent="0.2">
      <c r="A619" s="231" t="s">
        <v>1589</v>
      </c>
      <c r="B619" s="230">
        <v>112583</v>
      </c>
      <c r="C619" s="230">
        <v>10762</v>
      </c>
      <c r="D619" s="231" t="s">
        <v>278</v>
      </c>
      <c r="E619" s="230">
        <v>14491032</v>
      </c>
      <c r="F619" s="230">
        <v>29600</v>
      </c>
      <c r="G619" s="230">
        <v>1</v>
      </c>
      <c r="H619" s="240">
        <v>359.46</v>
      </c>
      <c r="I619" s="240">
        <f t="shared" si="9"/>
        <v>359.46</v>
      </c>
      <c r="J619" s="231" t="s">
        <v>1393</v>
      </c>
      <c r="K619" s="231" t="s">
        <v>1394</v>
      </c>
      <c r="L619" s="232">
        <v>45170</v>
      </c>
      <c r="M619" s="232">
        <v>45199</v>
      </c>
    </row>
    <row r="620" spans="1:13" ht="14.25" customHeight="1" x14ac:dyDescent="0.2">
      <c r="A620" s="231" t="s">
        <v>1589</v>
      </c>
      <c r="B620" s="230">
        <v>112589</v>
      </c>
      <c r="C620" s="230">
        <v>10757</v>
      </c>
      <c r="D620" s="231" t="s">
        <v>281</v>
      </c>
      <c r="E620" s="230">
        <v>14491032</v>
      </c>
      <c r="F620" s="230">
        <v>29612</v>
      </c>
      <c r="G620" s="230">
        <v>1</v>
      </c>
      <c r="H620" s="240">
        <v>359.46</v>
      </c>
      <c r="I620" s="240">
        <f t="shared" si="9"/>
        <v>359.46</v>
      </c>
      <c r="J620" s="231" t="s">
        <v>1393</v>
      </c>
      <c r="K620" s="231" t="s">
        <v>1394</v>
      </c>
      <c r="L620" s="232">
        <v>45170</v>
      </c>
      <c r="M620" s="232">
        <v>45199</v>
      </c>
    </row>
    <row r="621" spans="1:13" ht="14.25" customHeight="1" x14ac:dyDescent="0.2">
      <c r="A621" s="231" t="s">
        <v>1589</v>
      </c>
      <c r="B621" s="230">
        <v>112590</v>
      </c>
      <c r="C621" s="230">
        <v>10761</v>
      </c>
      <c r="D621" s="231" t="s">
        <v>283</v>
      </c>
      <c r="E621" s="230">
        <v>14491032</v>
      </c>
      <c r="F621" s="230">
        <v>29614</v>
      </c>
      <c r="G621" s="230">
        <v>1</v>
      </c>
      <c r="H621" s="240">
        <v>359.46</v>
      </c>
      <c r="I621" s="240">
        <f t="shared" si="9"/>
        <v>359.46</v>
      </c>
      <c r="J621" s="231" t="s">
        <v>1393</v>
      </c>
      <c r="K621" s="231" t="s">
        <v>1394</v>
      </c>
      <c r="L621" s="232">
        <v>45170</v>
      </c>
      <c r="M621" s="232">
        <v>45199</v>
      </c>
    </row>
    <row r="622" spans="1:13" ht="14.25" customHeight="1" x14ac:dyDescent="0.2">
      <c r="A622" s="231" t="s">
        <v>1589</v>
      </c>
      <c r="B622" s="230">
        <v>112598</v>
      </c>
      <c r="C622" s="230">
        <v>10745</v>
      </c>
      <c r="D622" s="231" t="s">
        <v>287</v>
      </c>
      <c r="E622" s="230">
        <v>14491032</v>
      </c>
      <c r="F622" s="230">
        <v>29630</v>
      </c>
      <c r="G622" s="230">
        <v>1</v>
      </c>
      <c r="H622" s="240">
        <v>359.46</v>
      </c>
      <c r="I622" s="240">
        <f t="shared" si="9"/>
        <v>359.46</v>
      </c>
      <c r="J622" s="231" t="s">
        <v>1393</v>
      </c>
      <c r="K622" s="231" t="s">
        <v>1394</v>
      </c>
      <c r="L622" s="232">
        <v>45170</v>
      </c>
      <c r="M622" s="232">
        <v>45199</v>
      </c>
    </row>
    <row r="623" spans="1:13" ht="14.25" customHeight="1" x14ac:dyDescent="0.2">
      <c r="A623" s="231" t="s">
        <v>1589</v>
      </c>
      <c r="B623" s="230">
        <v>112604</v>
      </c>
      <c r="C623" s="230">
        <v>10767</v>
      </c>
      <c r="D623" s="231" t="s">
        <v>290</v>
      </c>
      <c r="E623" s="230">
        <v>14491032</v>
      </c>
      <c r="F623" s="230">
        <v>29642</v>
      </c>
      <c r="G623" s="230">
        <v>1</v>
      </c>
      <c r="H623" s="240">
        <v>359.46</v>
      </c>
      <c r="I623" s="240">
        <f t="shared" si="9"/>
        <v>359.46</v>
      </c>
      <c r="J623" s="231" t="s">
        <v>1393</v>
      </c>
      <c r="K623" s="231" t="s">
        <v>1394</v>
      </c>
      <c r="L623" s="232">
        <v>45170</v>
      </c>
      <c r="M623" s="232">
        <v>45199</v>
      </c>
    </row>
    <row r="624" spans="1:13" ht="14.25" customHeight="1" x14ac:dyDescent="0.2">
      <c r="A624" s="231" t="s">
        <v>1589</v>
      </c>
      <c r="B624" s="230">
        <v>112606</v>
      </c>
      <c r="C624" s="230">
        <v>10761</v>
      </c>
      <c r="D624" s="231" t="s">
        <v>291</v>
      </c>
      <c r="E624" s="230">
        <v>14491032</v>
      </c>
      <c r="F624" s="230">
        <v>29646</v>
      </c>
      <c r="G624" s="230">
        <v>1</v>
      </c>
      <c r="H624" s="240">
        <v>359.46</v>
      </c>
      <c r="I624" s="240">
        <f t="shared" si="9"/>
        <v>359.46</v>
      </c>
      <c r="J624" s="231" t="s">
        <v>1393</v>
      </c>
      <c r="K624" s="231" t="s">
        <v>1394</v>
      </c>
      <c r="L624" s="232">
        <v>45170</v>
      </c>
      <c r="M624" s="232">
        <v>45199</v>
      </c>
    </row>
    <row r="625" spans="1:13" ht="14.25" customHeight="1" x14ac:dyDescent="0.2">
      <c r="A625" s="231" t="s">
        <v>1589</v>
      </c>
      <c r="B625" s="230">
        <v>112608</v>
      </c>
      <c r="C625" s="230">
        <v>10761</v>
      </c>
      <c r="D625" s="231" t="s">
        <v>293</v>
      </c>
      <c r="E625" s="230">
        <v>14491032</v>
      </c>
      <c r="F625" s="230">
        <v>29650</v>
      </c>
      <c r="G625" s="230">
        <v>1</v>
      </c>
      <c r="H625" s="240">
        <v>359.46</v>
      </c>
      <c r="I625" s="240">
        <f t="shared" si="9"/>
        <v>359.46</v>
      </c>
      <c r="J625" s="231" t="s">
        <v>1393</v>
      </c>
      <c r="K625" s="231" t="s">
        <v>1394</v>
      </c>
      <c r="L625" s="232">
        <v>45170</v>
      </c>
      <c r="M625" s="232">
        <v>45199</v>
      </c>
    </row>
    <row r="626" spans="1:13" ht="14.25" customHeight="1" x14ac:dyDescent="0.2">
      <c r="A626" s="231" t="s">
        <v>1589</v>
      </c>
      <c r="B626" s="230">
        <v>112611</v>
      </c>
      <c r="C626" s="230">
        <v>10755</v>
      </c>
      <c r="D626" s="231" t="s">
        <v>296</v>
      </c>
      <c r="E626" s="230">
        <v>14491032</v>
      </c>
      <c r="F626" s="230">
        <v>29656</v>
      </c>
      <c r="G626" s="230">
        <v>1</v>
      </c>
      <c r="H626" s="240">
        <v>359.46</v>
      </c>
      <c r="I626" s="240">
        <f t="shared" si="9"/>
        <v>359.46</v>
      </c>
      <c r="J626" s="231" t="s">
        <v>1393</v>
      </c>
      <c r="K626" s="231" t="s">
        <v>1394</v>
      </c>
      <c r="L626" s="232">
        <v>45170</v>
      </c>
      <c r="M626" s="232">
        <v>45199</v>
      </c>
    </row>
    <row r="627" spans="1:13" ht="14.25" customHeight="1" x14ac:dyDescent="0.2">
      <c r="A627" s="231" t="s">
        <v>1589</v>
      </c>
      <c r="B627" s="230">
        <v>112621</v>
      </c>
      <c r="C627" s="230">
        <v>10755</v>
      </c>
      <c r="D627" s="231" t="s">
        <v>305</v>
      </c>
      <c r="E627" s="230">
        <v>14491032</v>
      </c>
      <c r="F627" s="230">
        <v>29676</v>
      </c>
      <c r="G627" s="230">
        <v>1</v>
      </c>
      <c r="H627" s="240">
        <v>359.46</v>
      </c>
      <c r="I627" s="240">
        <f t="shared" si="9"/>
        <v>359.46</v>
      </c>
      <c r="J627" s="231" t="s">
        <v>1393</v>
      </c>
      <c r="K627" s="231" t="s">
        <v>1394</v>
      </c>
      <c r="L627" s="232">
        <v>45170</v>
      </c>
      <c r="M627" s="232">
        <v>45199</v>
      </c>
    </row>
    <row r="628" spans="1:13" ht="14.25" customHeight="1" x14ac:dyDescent="0.2">
      <c r="A628" s="231" t="s">
        <v>1589</v>
      </c>
      <c r="B628" s="230">
        <v>112625</v>
      </c>
      <c r="C628" s="230">
        <v>10745</v>
      </c>
      <c r="D628" s="231" t="s">
        <v>306</v>
      </c>
      <c r="E628" s="230">
        <v>14491032</v>
      </c>
      <c r="F628" s="230">
        <v>29684</v>
      </c>
      <c r="G628" s="230">
        <v>1</v>
      </c>
      <c r="H628" s="240">
        <v>359.46</v>
      </c>
      <c r="I628" s="240">
        <f t="shared" si="9"/>
        <v>359.46</v>
      </c>
      <c r="J628" s="231" t="s">
        <v>1393</v>
      </c>
      <c r="K628" s="231" t="s">
        <v>1394</v>
      </c>
      <c r="L628" s="232">
        <v>45170</v>
      </c>
      <c r="M628" s="232">
        <v>45199</v>
      </c>
    </row>
    <row r="629" spans="1:13" ht="14.25" customHeight="1" x14ac:dyDescent="0.2">
      <c r="A629" s="231" t="s">
        <v>1589</v>
      </c>
      <c r="B629" s="230">
        <v>112640</v>
      </c>
      <c r="C629" s="230">
        <v>10771</v>
      </c>
      <c r="D629" s="231" t="s">
        <v>315</v>
      </c>
      <c r="E629" s="230">
        <v>14491032</v>
      </c>
      <c r="F629" s="230">
        <v>29714</v>
      </c>
      <c r="G629" s="230">
        <v>1</v>
      </c>
      <c r="H629" s="240">
        <v>359.46</v>
      </c>
      <c r="I629" s="240">
        <f t="shared" si="9"/>
        <v>359.46</v>
      </c>
      <c r="J629" s="231" t="s">
        <v>1393</v>
      </c>
      <c r="K629" s="231" t="s">
        <v>1394</v>
      </c>
      <c r="L629" s="232">
        <v>45170</v>
      </c>
      <c r="M629" s="232">
        <v>45199</v>
      </c>
    </row>
    <row r="630" spans="1:13" ht="14.25" customHeight="1" x14ac:dyDescent="0.2">
      <c r="A630" s="231" t="s">
        <v>1589</v>
      </c>
      <c r="B630" s="230">
        <v>112654</v>
      </c>
      <c r="C630" s="230">
        <v>10757</v>
      </c>
      <c r="D630" s="231" t="s">
        <v>322</v>
      </c>
      <c r="E630" s="230">
        <v>14491032</v>
      </c>
      <c r="F630" s="230">
        <v>29742</v>
      </c>
      <c r="G630" s="230">
        <v>1</v>
      </c>
      <c r="H630" s="240">
        <v>359.46</v>
      </c>
      <c r="I630" s="240">
        <f t="shared" si="9"/>
        <v>359.46</v>
      </c>
      <c r="J630" s="231" t="s">
        <v>1393</v>
      </c>
      <c r="K630" s="231" t="s">
        <v>1394</v>
      </c>
      <c r="L630" s="232">
        <v>45170</v>
      </c>
      <c r="M630" s="232">
        <v>45199</v>
      </c>
    </row>
    <row r="631" spans="1:13" ht="14.25" customHeight="1" x14ac:dyDescent="0.2">
      <c r="A631" s="231" t="s">
        <v>1589</v>
      </c>
      <c r="B631" s="230">
        <v>112656</v>
      </c>
      <c r="C631" s="230">
        <v>10768</v>
      </c>
      <c r="D631" s="231" t="s">
        <v>323</v>
      </c>
      <c r="E631" s="230">
        <v>14491032</v>
      </c>
      <c r="F631" s="230">
        <v>29746</v>
      </c>
      <c r="G631" s="230">
        <v>1</v>
      </c>
      <c r="H631" s="240">
        <v>359.46</v>
      </c>
      <c r="I631" s="240">
        <f t="shared" si="9"/>
        <v>359.46</v>
      </c>
      <c r="J631" s="231" t="s">
        <v>1393</v>
      </c>
      <c r="K631" s="231" t="s">
        <v>1394</v>
      </c>
      <c r="L631" s="232">
        <v>45170</v>
      </c>
      <c r="M631" s="232">
        <v>45199</v>
      </c>
    </row>
    <row r="632" spans="1:13" ht="14.25" customHeight="1" x14ac:dyDescent="0.2">
      <c r="A632" s="231" t="s">
        <v>1589</v>
      </c>
      <c r="B632" s="230">
        <v>112658</v>
      </c>
      <c r="C632" s="230">
        <v>10762</v>
      </c>
      <c r="D632" s="231" t="s">
        <v>324</v>
      </c>
      <c r="E632" s="230">
        <v>14491032</v>
      </c>
      <c r="F632" s="230">
        <v>29750</v>
      </c>
      <c r="G632" s="230">
        <v>1</v>
      </c>
      <c r="H632" s="240">
        <v>359.46</v>
      </c>
      <c r="I632" s="240">
        <f t="shared" si="9"/>
        <v>359.46</v>
      </c>
      <c r="J632" s="231" t="s">
        <v>1393</v>
      </c>
      <c r="K632" s="231" t="s">
        <v>1394</v>
      </c>
      <c r="L632" s="232">
        <v>45170</v>
      </c>
      <c r="M632" s="232">
        <v>45199</v>
      </c>
    </row>
    <row r="633" spans="1:13" ht="14.25" customHeight="1" x14ac:dyDescent="0.2">
      <c r="A633" s="231" t="s">
        <v>1589</v>
      </c>
      <c r="B633" s="230">
        <v>112661</v>
      </c>
      <c r="C633" s="230">
        <v>10757</v>
      </c>
      <c r="D633" s="231" t="s">
        <v>326</v>
      </c>
      <c r="E633" s="230">
        <v>14491032</v>
      </c>
      <c r="F633" s="230">
        <v>29756</v>
      </c>
      <c r="G633" s="230">
        <v>1</v>
      </c>
      <c r="H633" s="240">
        <v>359.46</v>
      </c>
      <c r="I633" s="240">
        <f t="shared" si="9"/>
        <v>359.46</v>
      </c>
      <c r="J633" s="231" t="s">
        <v>1393</v>
      </c>
      <c r="K633" s="231" t="s">
        <v>1394</v>
      </c>
      <c r="L633" s="232">
        <v>45170</v>
      </c>
      <c r="M633" s="232">
        <v>45199</v>
      </c>
    </row>
    <row r="634" spans="1:13" ht="14.25" customHeight="1" x14ac:dyDescent="0.2">
      <c r="A634" s="231" t="s">
        <v>1589</v>
      </c>
      <c r="B634" s="230">
        <v>112666</v>
      </c>
      <c r="C634" s="230">
        <v>10757</v>
      </c>
      <c r="D634" s="231" t="s">
        <v>328</v>
      </c>
      <c r="E634" s="230">
        <v>14491032</v>
      </c>
      <c r="F634" s="230">
        <v>29766</v>
      </c>
      <c r="G634" s="230">
        <v>1</v>
      </c>
      <c r="H634" s="240">
        <v>359.46</v>
      </c>
      <c r="I634" s="240">
        <f t="shared" si="9"/>
        <v>359.46</v>
      </c>
      <c r="J634" s="231" t="s">
        <v>1393</v>
      </c>
      <c r="K634" s="231" t="s">
        <v>1394</v>
      </c>
      <c r="L634" s="232">
        <v>45170</v>
      </c>
      <c r="M634" s="232">
        <v>45199</v>
      </c>
    </row>
    <row r="635" spans="1:13" ht="14.25" customHeight="1" x14ac:dyDescent="0.2">
      <c r="A635" s="231" t="s">
        <v>1589</v>
      </c>
      <c r="B635" s="230">
        <v>112667</v>
      </c>
      <c r="C635" s="230">
        <v>10771</v>
      </c>
      <c r="D635" s="231" t="s">
        <v>329</v>
      </c>
      <c r="E635" s="230">
        <v>14491032</v>
      </c>
      <c r="F635" s="230">
        <v>29768</v>
      </c>
      <c r="G635" s="230">
        <v>1</v>
      </c>
      <c r="H635" s="240">
        <v>359.46</v>
      </c>
      <c r="I635" s="240">
        <f t="shared" si="9"/>
        <v>359.46</v>
      </c>
      <c r="J635" s="231" t="s">
        <v>1393</v>
      </c>
      <c r="K635" s="231" t="s">
        <v>1394</v>
      </c>
      <c r="L635" s="232">
        <v>45170</v>
      </c>
      <c r="M635" s="232">
        <v>45199</v>
      </c>
    </row>
    <row r="636" spans="1:13" ht="14.25" customHeight="1" x14ac:dyDescent="0.2">
      <c r="A636" s="231" t="s">
        <v>1589</v>
      </c>
      <c r="B636" s="230">
        <v>112677</v>
      </c>
      <c r="C636" s="230">
        <v>10759</v>
      </c>
      <c r="D636" s="231" t="s">
        <v>334</v>
      </c>
      <c r="E636" s="230">
        <v>14491032</v>
      </c>
      <c r="F636" s="230">
        <v>29788</v>
      </c>
      <c r="G636" s="230">
        <v>1</v>
      </c>
      <c r="H636" s="240">
        <v>359.46</v>
      </c>
      <c r="I636" s="240">
        <f t="shared" si="9"/>
        <v>359.46</v>
      </c>
      <c r="J636" s="231" t="s">
        <v>1393</v>
      </c>
      <c r="K636" s="231" t="s">
        <v>1394</v>
      </c>
      <c r="L636" s="232">
        <v>45170</v>
      </c>
      <c r="M636" s="232">
        <v>45199</v>
      </c>
    </row>
    <row r="637" spans="1:13" ht="14.25" customHeight="1" x14ac:dyDescent="0.2">
      <c r="A637" s="231" t="s">
        <v>1589</v>
      </c>
      <c r="B637" s="230">
        <v>112686</v>
      </c>
      <c r="C637" s="230">
        <v>10768</v>
      </c>
      <c r="D637" s="231" t="s">
        <v>342</v>
      </c>
      <c r="E637" s="230">
        <v>14491032</v>
      </c>
      <c r="F637" s="230">
        <v>29806</v>
      </c>
      <c r="G637" s="230">
        <v>1</v>
      </c>
      <c r="H637" s="240">
        <v>359.46</v>
      </c>
      <c r="I637" s="240">
        <f t="shared" si="9"/>
        <v>359.46</v>
      </c>
      <c r="J637" s="231" t="s">
        <v>1393</v>
      </c>
      <c r="K637" s="231" t="s">
        <v>1394</v>
      </c>
      <c r="L637" s="232">
        <v>45170</v>
      </c>
      <c r="M637" s="232">
        <v>45199</v>
      </c>
    </row>
    <row r="638" spans="1:13" ht="14.25" customHeight="1" x14ac:dyDescent="0.2">
      <c r="A638" s="231" t="s">
        <v>1589</v>
      </c>
      <c r="B638" s="230">
        <v>112691</v>
      </c>
      <c r="C638" s="230">
        <v>10768</v>
      </c>
      <c r="D638" s="231" t="s">
        <v>344</v>
      </c>
      <c r="E638" s="230">
        <v>14491032</v>
      </c>
      <c r="F638" s="230">
        <v>29816</v>
      </c>
      <c r="G638" s="230">
        <v>1</v>
      </c>
      <c r="H638" s="240">
        <v>359.46</v>
      </c>
      <c r="I638" s="240">
        <f t="shared" si="9"/>
        <v>359.46</v>
      </c>
      <c r="J638" s="231" t="s">
        <v>1393</v>
      </c>
      <c r="K638" s="231" t="s">
        <v>1394</v>
      </c>
      <c r="L638" s="232">
        <v>45170</v>
      </c>
      <c r="M638" s="232">
        <v>45199</v>
      </c>
    </row>
    <row r="639" spans="1:13" ht="14.25" customHeight="1" x14ac:dyDescent="0.2">
      <c r="A639" s="231" t="s">
        <v>1589</v>
      </c>
      <c r="B639" s="230">
        <v>112704</v>
      </c>
      <c r="C639" s="230">
        <v>10767</v>
      </c>
      <c r="D639" s="231" t="s">
        <v>354</v>
      </c>
      <c r="E639" s="230">
        <v>14491032</v>
      </c>
      <c r="F639" s="230">
        <v>29842</v>
      </c>
      <c r="G639" s="230">
        <v>1</v>
      </c>
      <c r="H639" s="240">
        <v>359.46</v>
      </c>
      <c r="I639" s="240">
        <f t="shared" si="9"/>
        <v>359.46</v>
      </c>
      <c r="J639" s="231" t="s">
        <v>1393</v>
      </c>
      <c r="K639" s="231" t="s">
        <v>1394</v>
      </c>
      <c r="L639" s="232">
        <v>45170</v>
      </c>
      <c r="M639" s="232">
        <v>45199</v>
      </c>
    </row>
    <row r="640" spans="1:13" ht="14.25" customHeight="1" x14ac:dyDescent="0.2">
      <c r="A640" s="231" t="s">
        <v>1589</v>
      </c>
      <c r="B640" s="230">
        <v>112707</v>
      </c>
      <c r="C640" s="230">
        <v>10767</v>
      </c>
      <c r="D640" s="231" t="s">
        <v>357</v>
      </c>
      <c r="E640" s="230">
        <v>14491032</v>
      </c>
      <c r="F640" s="230">
        <v>29848</v>
      </c>
      <c r="G640" s="230">
        <v>1</v>
      </c>
      <c r="H640" s="240">
        <v>359.46</v>
      </c>
      <c r="I640" s="240">
        <f t="shared" si="9"/>
        <v>359.46</v>
      </c>
      <c r="J640" s="231" t="s">
        <v>1393</v>
      </c>
      <c r="K640" s="231" t="s">
        <v>1394</v>
      </c>
      <c r="L640" s="232">
        <v>45170</v>
      </c>
      <c r="M640" s="232">
        <v>45199</v>
      </c>
    </row>
    <row r="641" spans="1:13" ht="14.25" customHeight="1" x14ac:dyDescent="0.2">
      <c r="A641" s="231" t="s">
        <v>1589</v>
      </c>
      <c r="B641" s="230">
        <v>112709</v>
      </c>
      <c r="C641" s="230">
        <v>10757</v>
      </c>
      <c r="D641" s="231" t="s">
        <v>1549</v>
      </c>
      <c r="E641" s="230">
        <v>14491032</v>
      </c>
      <c r="F641" s="230">
        <v>29852</v>
      </c>
      <c r="G641" s="230">
        <v>1</v>
      </c>
      <c r="H641" s="240">
        <v>359.46</v>
      </c>
      <c r="I641" s="240">
        <f t="shared" si="9"/>
        <v>359.46</v>
      </c>
      <c r="J641" s="231" t="s">
        <v>1393</v>
      </c>
      <c r="K641" s="231" t="s">
        <v>1394</v>
      </c>
      <c r="L641" s="232">
        <v>45170</v>
      </c>
      <c r="M641" s="232">
        <v>45199</v>
      </c>
    </row>
    <row r="642" spans="1:13" ht="14.25" customHeight="1" x14ac:dyDescent="0.2">
      <c r="A642" s="231" t="s">
        <v>1589</v>
      </c>
      <c r="B642" s="230">
        <v>112713</v>
      </c>
      <c r="C642" s="230">
        <v>10757</v>
      </c>
      <c r="D642" s="231" t="s">
        <v>358</v>
      </c>
      <c r="E642" s="230">
        <v>14491032</v>
      </c>
      <c r="F642" s="230">
        <v>29860</v>
      </c>
      <c r="G642" s="230">
        <v>1</v>
      </c>
      <c r="H642" s="240">
        <v>359.46</v>
      </c>
      <c r="I642" s="240">
        <f t="shared" si="9"/>
        <v>359.46</v>
      </c>
      <c r="J642" s="231" t="s">
        <v>1393</v>
      </c>
      <c r="K642" s="231" t="s">
        <v>1394</v>
      </c>
      <c r="L642" s="232">
        <v>45170</v>
      </c>
      <c r="M642" s="232">
        <v>45199</v>
      </c>
    </row>
    <row r="643" spans="1:13" ht="14.25" customHeight="1" x14ac:dyDescent="0.2">
      <c r="A643" s="231" t="s">
        <v>1589</v>
      </c>
      <c r="B643" s="230">
        <v>112717</v>
      </c>
      <c r="C643" s="230">
        <v>10768</v>
      </c>
      <c r="D643" s="231" t="s">
        <v>361</v>
      </c>
      <c r="E643" s="230">
        <v>14491032</v>
      </c>
      <c r="F643" s="230">
        <v>29868</v>
      </c>
      <c r="G643" s="230">
        <v>1</v>
      </c>
      <c r="H643" s="240">
        <v>359.46</v>
      </c>
      <c r="I643" s="240">
        <f t="shared" ref="I643:I706" si="10">G643*H643</f>
        <v>359.46</v>
      </c>
      <c r="J643" s="231" t="s">
        <v>1393</v>
      </c>
      <c r="K643" s="231" t="s">
        <v>1394</v>
      </c>
      <c r="L643" s="232">
        <v>45170</v>
      </c>
      <c r="M643" s="232">
        <v>45199</v>
      </c>
    </row>
    <row r="644" spans="1:13" ht="14.25" customHeight="1" x14ac:dyDescent="0.2">
      <c r="A644" s="231" t="s">
        <v>1589</v>
      </c>
      <c r="B644" s="230">
        <v>112719</v>
      </c>
      <c r="C644" s="230">
        <v>10756</v>
      </c>
      <c r="D644" s="231" t="s">
        <v>363</v>
      </c>
      <c r="E644" s="230">
        <v>14491032</v>
      </c>
      <c r="F644" s="230">
        <v>29872</v>
      </c>
      <c r="G644" s="230">
        <v>1</v>
      </c>
      <c r="H644" s="240">
        <v>359.46</v>
      </c>
      <c r="I644" s="240">
        <f t="shared" si="10"/>
        <v>359.46</v>
      </c>
      <c r="J644" s="231" t="s">
        <v>1393</v>
      </c>
      <c r="K644" s="231" t="s">
        <v>1394</v>
      </c>
      <c r="L644" s="232">
        <v>45170</v>
      </c>
      <c r="M644" s="232">
        <v>45199</v>
      </c>
    </row>
    <row r="645" spans="1:13" ht="14.25" customHeight="1" x14ac:dyDescent="0.2">
      <c r="A645" s="231" t="s">
        <v>1589</v>
      </c>
      <c r="B645" s="230">
        <v>112722</v>
      </c>
      <c r="C645" s="230">
        <v>10749</v>
      </c>
      <c r="D645" s="231" t="s">
        <v>365</v>
      </c>
      <c r="E645" s="230">
        <v>14491032</v>
      </c>
      <c r="F645" s="230">
        <v>29878</v>
      </c>
      <c r="G645" s="230">
        <v>1</v>
      </c>
      <c r="H645" s="240">
        <v>359.46</v>
      </c>
      <c r="I645" s="240">
        <f t="shared" si="10"/>
        <v>359.46</v>
      </c>
      <c r="J645" s="231" t="s">
        <v>1393</v>
      </c>
      <c r="K645" s="231" t="s">
        <v>1394</v>
      </c>
      <c r="L645" s="232">
        <v>45170</v>
      </c>
      <c r="M645" s="232">
        <v>45199</v>
      </c>
    </row>
    <row r="646" spans="1:13" ht="14.25" customHeight="1" x14ac:dyDescent="0.2">
      <c r="A646" s="231" t="s">
        <v>1589</v>
      </c>
      <c r="B646" s="230">
        <v>112726</v>
      </c>
      <c r="C646" s="230">
        <v>10761</v>
      </c>
      <c r="D646" s="231" t="s">
        <v>368</v>
      </c>
      <c r="E646" s="230">
        <v>14491032</v>
      </c>
      <c r="F646" s="230">
        <v>29886</v>
      </c>
      <c r="G646" s="230">
        <v>1</v>
      </c>
      <c r="H646" s="240">
        <v>359.46</v>
      </c>
      <c r="I646" s="240">
        <f t="shared" si="10"/>
        <v>359.46</v>
      </c>
      <c r="J646" s="231" t="s">
        <v>1393</v>
      </c>
      <c r="K646" s="231" t="s">
        <v>1394</v>
      </c>
      <c r="L646" s="232">
        <v>45170</v>
      </c>
      <c r="M646" s="232">
        <v>45199</v>
      </c>
    </row>
    <row r="647" spans="1:13" ht="14.25" customHeight="1" x14ac:dyDescent="0.2">
      <c r="A647" s="231" t="s">
        <v>1589</v>
      </c>
      <c r="B647" s="230">
        <v>112733</v>
      </c>
      <c r="C647" s="230">
        <v>10766</v>
      </c>
      <c r="D647" s="231" t="s">
        <v>373</v>
      </c>
      <c r="E647" s="230">
        <v>14491032</v>
      </c>
      <c r="F647" s="230">
        <v>29900</v>
      </c>
      <c r="G647" s="230">
        <v>1</v>
      </c>
      <c r="H647" s="240">
        <v>359.46</v>
      </c>
      <c r="I647" s="240">
        <f t="shared" si="10"/>
        <v>359.46</v>
      </c>
      <c r="J647" s="231" t="s">
        <v>1393</v>
      </c>
      <c r="K647" s="231" t="s">
        <v>1394</v>
      </c>
      <c r="L647" s="232">
        <v>45170</v>
      </c>
      <c r="M647" s="232">
        <v>45199</v>
      </c>
    </row>
    <row r="648" spans="1:13" ht="14.25" customHeight="1" x14ac:dyDescent="0.2">
      <c r="A648" s="231" t="s">
        <v>1589</v>
      </c>
      <c r="B648" s="230">
        <v>112742</v>
      </c>
      <c r="C648" s="230">
        <v>10771</v>
      </c>
      <c r="D648" s="231" t="s">
        <v>377</v>
      </c>
      <c r="E648" s="230">
        <v>14491032</v>
      </c>
      <c r="F648" s="230">
        <v>29918</v>
      </c>
      <c r="G648" s="230">
        <v>1</v>
      </c>
      <c r="H648" s="240">
        <v>359.46</v>
      </c>
      <c r="I648" s="240">
        <f t="shared" si="10"/>
        <v>359.46</v>
      </c>
      <c r="J648" s="231" t="s">
        <v>1393</v>
      </c>
      <c r="K648" s="231" t="s">
        <v>1394</v>
      </c>
      <c r="L648" s="232">
        <v>45170</v>
      </c>
      <c r="M648" s="232">
        <v>45199</v>
      </c>
    </row>
    <row r="649" spans="1:13" ht="14.25" customHeight="1" x14ac:dyDescent="0.2">
      <c r="A649" s="231" t="s">
        <v>1589</v>
      </c>
      <c r="B649" s="230">
        <v>112745</v>
      </c>
      <c r="C649" s="230">
        <v>10771</v>
      </c>
      <c r="D649" s="231" t="s">
        <v>380</v>
      </c>
      <c r="E649" s="230">
        <v>14491032</v>
      </c>
      <c r="F649" s="230">
        <v>29924</v>
      </c>
      <c r="G649" s="230">
        <v>1</v>
      </c>
      <c r="H649" s="240">
        <v>359.46</v>
      </c>
      <c r="I649" s="240">
        <f t="shared" si="10"/>
        <v>359.46</v>
      </c>
      <c r="J649" s="231" t="s">
        <v>1393</v>
      </c>
      <c r="K649" s="231" t="s">
        <v>1394</v>
      </c>
      <c r="L649" s="232">
        <v>45170</v>
      </c>
      <c r="M649" s="232">
        <v>45199</v>
      </c>
    </row>
    <row r="650" spans="1:13" ht="14.25" customHeight="1" x14ac:dyDescent="0.2">
      <c r="A650" s="231" t="s">
        <v>1589</v>
      </c>
      <c r="B650" s="230">
        <v>112747</v>
      </c>
      <c r="C650" s="230">
        <v>10759</v>
      </c>
      <c r="D650" s="231" t="s">
        <v>381</v>
      </c>
      <c r="E650" s="230">
        <v>14491032</v>
      </c>
      <c r="F650" s="230">
        <v>29928</v>
      </c>
      <c r="G650" s="230">
        <v>1</v>
      </c>
      <c r="H650" s="240">
        <v>359.46</v>
      </c>
      <c r="I650" s="240">
        <f t="shared" si="10"/>
        <v>359.46</v>
      </c>
      <c r="J650" s="231" t="s">
        <v>1393</v>
      </c>
      <c r="K650" s="231" t="s">
        <v>1394</v>
      </c>
      <c r="L650" s="232">
        <v>45170</v>
      </c>
      <c r="M650" s="232">
        <v>45199</v>
      </c>
    </row>
    <row r="651" spans="1:13" ht="14.25" customHeight="1" x14ac:dyDescent="0.2">
      <c r="A651" s="231" t="s">
        <v>1589</v>
      </c>
      <c r="B651" s="230">
        <v>112753</v>
      </c>
      <c r="C651" s="230">
        <v>10771</v>
      </c>
      <c r="D651" s="231" t="s">
        <v>384</v>
      </c>
      <c r="E651" s="230">
        <v>14491032</v>
      </c>
      <c r="F651" s="230">
        <v>29940</v>
      </c>
      <c r="G651" s="230">
        <v>1</v>
      </c>
      <c r="H651" s="240">
        <v>359.46</v>
      </c>
      <c r="I651" s="240">
        <f t="shared" si="10"/>
        <v>359.46</v>
      </c>
      <c r="J651" s="231" t="s">
        <v>1393</v>
      </c>
      <c r="K651" s="231" t="s">
        <v>1394</v>
      </c>
      <c r="L651" s="232">
        <v>45170</v>
      </c>
      <c r="M651" s="232">
        <v>45199</v>
      </c>
    </row>
    <row r="652" spans="1:13" ht="14.25" customHeight="1" x14ac:dyDescent="0.2">
      <c r="A652" s="231" t="s">
        <v>1589</v>
      </c>
      <c r="B652" s="230">
        <v>112757</v>
      </c>
      <c r="C652" s="230">
        <v>10768</v>
      </c>
      <c r="D652" s="231" t="s">
        <v>387</v>
      </c>
      <c r="E652" s="230">
        <v>14491032</v>
      </c>
      <c r="F652" s="230">
        <v>29948</v>
      </c>
      <c r="G652" s="230">
        <v>1</v>
      </c>
      <c r="H652" s="240">
        <v>359.46</v>
      </c>
      <c r="I652" s="240">
        <f t="shared" si="10"/>
        <v>359.46</v>
      </c>
      <c r="J652" s="231" t="s">
        <v>1393</v>
      </c>
      <c r="K652" s="231" t="s">
        <v>1394</v>
      </c>
      <c r="L652" s="232">
        <v>45170</v>
      </c>
      <c r="M652" s="232">
        <v>45199</v>
      </c>
    </row>
    <row r="653" spans="1:13" ht="14.25" customHeight="1" x14ac:dyDescent="0.2">
      <c r="A653" s="231" t="s">
        <v>1589</v>
      </c>
      <c r="B653" s="230">
        <v>112759</v>
      </c>
      <c r="C653" s="230">
        <v>10757</v>
      </c>
      <c r="D653" s="231" t="s">
        <v>388</v>
      </c>
      <c r="E653" s="230">
        <v>14491032</v>
      </c>
      <c r="F653" s="230">
        <v>29952</v>
      </c>
      <c r="G653" s="230">
        <v>1</v>
      </c>
      <c r="H653" s="240">
        <v>359.46</v>
      </c>
      <c r="I653" s="240">
        <f t="shared" si="10"/>
        <v>359.46</v>
      </c>
      <c r="J653" s="231" t="s">
        <v>1393</v>
      </c>
      <c r="K653" s="231" t="s">
        <v>1394</v>
      </c>
      <c r="L653" s="232">
        <v>45170</v>
      </c>
      <c r="M653" s="232">
        <v>45199</v>
      </c>
    </row>
    <row r="654" spans="1:13" ht="14.25" customHeight="1" x14ac:dyDescent="0.2">
      <c r="A654" s="231" t="s">
        <v>1589</v>
      </c>
      <c r="B654" s="230">
        <v>112763</v>
      </c>
      <c r="C654" s="230">
        <v>10768</v>
      </c>
      <c r="D654" s="231" t="s">
        <v>390</v>
      </c>
      <c r="E654" s="230">
        <v>14491032</v>
      </c>
      <c r="F654" s="230">
        <v>29960</v>
      </c>
      <c r="G654" s="230">
        <v>1</v>
      </c>
      <c r="H654" s="240">
        <v>359.46</v>
      </c>
      <c r="I654" s="240">
        <f t="shared" si="10"/>
        <v>359.46</v>
      </c>
      <c r="J654" s="231" t="s">
        <v>1393</v>
      </c>
      <c r="K654" s="231" t="s">
        <v>1394</v>
      </c>
      <c r="L654" s="232">
        <v>45170</v>
      </c>
      <c r="M654" s="232">
        <v>45199</v>
      </c>
    </row>
    <row r="655" spans="1:13" ht="14.25" customHeight="1" x14ac:dyDescent="0.2">
      <c r="A655" s="231" t="s">
        <v>1589</v>
      </c>
      <c r="B655" s="230">
        <v>112768</v>
      </c>
      <c r="C655" s="230">
        <v>10761</v>
      </c>
      <c r="D655" s="231" t="s">
        <v>395</v>
      </c>
      <c r="E655" s="230">
        <v>14491032</v>
      </c>
      <c r="F655" s="230">
        <v>29970</v>
      </c>
      <c r="G655" s="230">
        <v>1</v>
      </c>
      <c r="H655" s="240">
        <v>359.46</v>
      </c>
      <c r="I655" s="240">
        <f t="shared" si="10"/>
        <v>359.46</v>
      </c>
      <c r="J655" s="231" t="s">
        <v>1393</v>
      </c>
      <c r="K655" s="231" t="s">
        <v>1394</v>
      </c>
      <c r="L655" s="232">
        <v>45170</v>
      </c>
      <c r="M655" s="232">
        <v>45199</v>
      </c>
    </row>
    <row r="656" spans="1:13" ht="14.25" customHeight="1" x14ac:dyDescent="0.2">
      <c r="A656" s="231" t="s">
        <v>1589</v>
      </c>
      <c r="B656" s="230">
        <v>112769</v>
      </c>
      <c r="C656" s="230">
        <v>10768</v>
      </c>
      <c r="D656" s="231" t="s">
        <v>396</v>
      </c>
      <c r="E656" s="230">
        <v>14491032</v>
      </c>
      <c r="F656" s="230">
        <v>29972</v>
      </c>
      <c r="G656" s="230">
        <v>1</v>
      </c>
      <c r="H656" s="240">
        <v>359.46</v>
      </c>
      <c r="I656" s="240">
        <f t="shared" si="10"/>
        <v>359.46</v>
      </c>
      <c r="J656" s="231" t="s">
        <v>1393</v>
      </c>
      <c r="K656" s="231" t="s">
        <v>1394</v>
      </c>
      <c r="L656" s="232">
        <v>45170</v>
      </c>
      <c r="M656" s="232">
        <v>45199</v>
      </c>
    </row>
    <row r="657" spans="1:13" ht="14.25" customHeight="1" x14ac:dyDescent="0.2">
      <c r="A657" s="231" t="s">
        <v>1589</v>
      </c>
      <c r="B657" s="230">
        <v>112771</v>
      </c>
      <c r="C657" s="230">
        <v>10768</v>
      </c>
      <c r="D657" s="231" t="s">
        <v>397</v>
      </c>
      <c r="E657" s="230">
        <v>14491032</v>
      </c>
      <c r="F657" s="230">
        <v>29976</v>
      </c>
      <c r="G657" s="230">
        <v>1</v>
      </c>
      <c r="H657" s="240">
        <v>359.46</v>
      </c>
      <c r="I657" s="240">
        <f t="shared" si="10"/>
        <v>359.46</v>
      </c>
      <c r="J657" s="231" t="s">
        <v>1393</v>
      </c>
      <c r="K657" s="231" t="s">
        <v>1394</v>
      </c>
      <c r="L657" s="232">
        <v>45170</v>
      </c>
      <c r="M657" s="232">
        <v>45199</v>
      </c>
    </row>
    <row r="658" spans="1:13" ht="14.25" customHeight="1" x14ac:dyDescent="0.2">
      <c r="A658" s="231" t="s">
        <v>1589</v>
      </c>
      <c r="B658" s="230">
        <v>112779</v>
      </c>
      <c r="C658" s="230">
        <v>10757</v>
      </c>
      <c r="D658" s="231" t="s">
        <v>403</v>
      </c>
      <c r="E658" s="230">
        <v>14491032</v>
      </c>
      <c r="F658" s="230">
        <v>29992</v>
      </c>
      <c r="G658" s="230">
        <v>1</v>
      </c>
      <c r="H658" s="240">
        <v>359.46</v>
      </c>
      <c r="I658" s="240">
        <f t="shared" si="10"/>
        <v>359.46</v>
      </c>
      <c r="J658" s="231" t="s">
        <v>1393</v>
      </c>
      <c r="K658" s="231" t="s">
        <v>1394</v>
      </c>
      <c r="L658" s="232">
        <v>45170</v>
      </c>
      <c r="M658" s="232">
        <v>45199</v>
      </c>
    </row>
    <row r="659" spans="1:13" ht="14.25" customHeight="1" x14ac:dyDescent="0.2">
      <c r="A659" s="231" t="s">
        <v>1589</v>
      </c>
      <c r="B659" s="230">
        <v>112788</v>
      </c>
      <c r="C659" s="230">
        <v>10771</v>
      </c>
      <c r="D659" s="231" t="s">
        <v>410</v>
      </c>
      <c r="E659" s="230">
        <v>14491032</v>
      </c>
      <c r="F659" s="230">
        <v>30010</v>
      </c>
      <c r="G659" s="230">
        <v>1</v>
      </c>
      <c r="H659" s="240">
        <v>359.46</v>
      </c>
      <c r="I659" s="240">
        <f t="shared" si="10"/>
        <v>359.46</v>
      </c>
      <c r="J659" s="231" t="s">
        <v>1393</v>
      </c>
      <c r="K659" s="231" t="s">
        <v>1394</v>
      </c>
      <c r="L659" s="232">
        <v>45170</v>
      </c>
      <c r="M659" s="232">
        <v>45199</v>
      </c>
    </row>
    <row r="660" spans="1:13" ht="14.25" customHeight="1" x14ac:dyDescent="0.2">
      <c r="A660" s="231" t="s">
        <v>1589</v>
      </c>
      <c r="B660" s="230">
        <v>112795</v>
      </c>
      <c r="C660" s="230">
        <v>10771</v>
      </c>
      <c r="D660" s="231" t="s">
        <v>415</v>
      </c>
      <c r="E660" s="230">
        <v>14491032</v>
      </c>
      <c r="F660" s="230">
        <v>30024</v>
      </c>
      <c r="G660" s="230">
        <v>1</v>
      </c>
      <c r="H660" s="240">
        <v>359.46</v>
      </c>
      <c r="I660" s="240">
        <f t="shared" si="10"/>
        <v>359.46</v>
      </c>
      <c r="J660" s="231" t="s">
        <v>1393</v>
      </c>
      <c r="K660" s="231" t="s">
        <v>1394</v>
      </c>
      <c r="L660" s="232">
        <v>45170</v>
      </c>
      <c r="M660" s="232">
        <v>45199</v>
      </c>
    </row>
    <row r="661" spans="1:13" ht="14.25" customHeight="1" x14ac:dyDescent="0.2">
      <c r="A661" s="231" t="s">
        <v>1589</v>
      </c>
      <c r="B661" s="230">
        <v>112801</v>
      </c>
      <c r="C661" s="230">
        <v>10762</v>
      </c>
      <c r="D661" s="231" t="s">
        <v>1390</v>
      </c>
      <c r="E661" s="230">
        <v>14491032</v>
      </c>
      <c r="F661" s="230">
        <v>30036</v>
      </c>
      <c r="G661" s="230">
        <v>1</v>
      </c>
      <c r="H661" s="240">
        <v>359.46</v>
      </c>
      <c r="I661" s="240">
        <f t="shared" si="10"/>
        <v>359.46</v>
      </c>
      <c r="J661" s="231" t="s">
        <v>1393</v>
      </c>
      <c r="K661" s="231" t="s">
        <v>1394</v>
      </c>
      <c r="L661" s="232">
        <v>45170</v>
      </c>
      <c r="M661" s="232">
        <v>45199</v>
      </c>
    </row>
    <row r="662" spans="1:13" ht="14.25" customHeight="1" x14ac:dyDescent="0.2">
      <c r="A662" s="231" t="s">
        <v>1589</v>
      </c>
      <c r="B662" s="230">
        <v>112802</v>
      </c>
      <c r="C662" s="230">
        <v>10761</v>
      </c>
      <c r="D662" s="231" t="s">
        <v>421</v>
      </c>
      <c r="E662" s="230">
        <v>14491032</v>
      </c>
      <c r="F662" s="230">
        <v>30038</v>
      </c>
      <c r="G662" s="230">
        <v>1</v>
      </c>
      <c r="H662" s="240">
        <v>359.46</v>
      </c>
      <c r="I662" s="240">
        <f t="shared" si="10"/>
        <v>359.46</v>
      </c>
      <c r="J662" s="231" t="s">
        <v>1393</v>
      </c>
      <c r="K662" s="231" t="s">
        <v>1394</v>
      </c>
      <c r="L662" s="232">
        <v>45170</v>
      </c>
      <c r="M662" s="232">
        <v>45199</v>
      </c>
    </row>
    <row r="663" spans="1:13" ht="14.25" customHeight="1" x14ac:dyDescent="0.2">
      <c r="A663" s="231" t="s">
        <v>1589</v>
      </c>
      <c r="B663" s="230">
        <v>112805</v>
      </c>
      <c r="C663" s="230">
        <v>10743</v>
      </c>
      <c r="D663" s="231" t="s">
        <v>424</v>
      </c>
      <c r="E663" s="230">
        <v>14491032</v>
      </c>
      <c r="F663" s="230">
        <v>30044</v>
      </c>
      <c r="G663" s="230">
        <v>1</v>
      </c>
      <c r="H663" s="240">
        <v>359.46</v>
      </c>
      <c r="I663" s="240">
        <f t="shared" si="10"/>
        <v>359.46</v>
      </c>
      <c r="J663" s="231" t="s">
        <v>1393</v>
      </c>
      <c r="K663" s="231" t="s">
        <v>1394</v>
      </c>
      <c r="L663" s="232">
        <v>45170</v>
      </c>
      <c r="M663" s="232">
        <v>45199</v>
      </c>
    </row>
    <row r="664" spans="1:13" ht="14.25" customHeight="1" x14ac:dyDescent="0.2">
      <c r="A664" s="231" t="s">
        <v>1589</v>
      </c>
      <c r="B664" s="230">
        <v>112811</v>
      </c>
      <c r="C664" s="230">
        <v>10756</v>
      </c>
      <c r="D664" s="231" t="s">
        <v>428</v>
      </c>
      <c r="E664" s="230">
        <v>14491032</v>
      </c>
      <c r="F664" s="230">
        <v>30056</v>
      </c>
      <c r="G664" s="230">
        <v>1</v>
      </c>
      <c r="H664" s="240">
        <v>359.46</v>
      </c>
      <c r="I664" s="240">
        <f t="shared" si="10"/>
        <v>359.46</v>
      </c>
      <c r="J664" s="231" t="s">
        <v>1393</v>
      </c>
      <c r="K664" s="231" t="s">
        <v>1394</v>
      </c>
      <c r="L664" s="232">
        <v>45170</v>
      </c>
      <c r="M664" s="232">
        <v>45199</v>
      </c>
    </row>
    <row r="665" spans="1:13" ht="14.25" customHeight="1" x14ac:dyDescent="0.2">
      <c r="A665" s="231" t="s">
        <v>1589</v>
      </c>
      <c r="B665" s="230">
        <v>112816</v>
      </c>
      <c r="C665" s="230">
        <v>10767</v>
      </c>
      <c r="D665" s="231" t="s">
        <v>432</v>
      </c>
      <c r="E665" s="230">
        <v>14491032</v>
      </c>
      <c r="F665" s="230">
        <v>30066</v>
      </c>
      <c r="G665" s="230">
        <v>1</v>
      </c>
      <c r="H665" s="240">
        <v>359.46</v>
      </c>
      <c r="I665" s="240">
        <f t="shared" si="10"/>
        <v>359.46</v>
      </c>
      <c r="J665" s="231" t="s">
        <v>1393</v>
      </c>
      <c r="K665" s="231" t="s">
        <v>1394</v>
      </c>
      <c r="L665" s="232">
        <v>45170</v>
      </c>
      <c r="M665" s="232">
        <v>45199</v>
      </c>
    </row>
    <row r="666" spans="1:13" ht="14.25" customHeight="1" x14ac:dyDescent="0.2">
      <c r="A666" s="231" t="s">
        <v>1589</v>
      </c>
      <c r="B666" s="230">
        <v>112820</v>
      </c>
      <c r="C666" s="230">
        <v>10768</v>
      </c>
      <c r="D666" s="231" t="s">
        <v>434</v>
      </c>
      <c r="E666" s="230">
        <v>14491032</v>
      </c>
      <c r="F666" s="230">
        <v>30074</v>
      </c>
      <c r="G666" s="230">
        <v>1</v>
      </c>
      <c r="H666" s="240">
        <v>359.46</v>
      </c>
      <c r="I666" s="240">
        <f t="shared" si="10"/>
        <v>359.46</v>
      </c>
      <c r="J666" s="231" t="s">
        <v>1393</v>
      </c>
      <c r="K666" s="231" t="s">
        <v>1394</v>
      </c>
      <c r="L666" s="232">
        <v>45170</v>
      </c>
      <c r="M666" s="232">
        <v>45199</v>
      </c>
    </row>
    <row r="667" spans="1:13" ht="14.25" customHeight="1" x14ac:dyDescent="0.2">
      <c r="A667" s="231" t="s">
        <v>1589</v>
      </c>
      <c r="B667" s="230">
        <v>112821</v>
      </c>
      <c r="C667" s="230">
        <v>10761</v>
      </c>
      <c r="D667" s="231" t="s">
        <v>435</v>
      </c>
      <c r="E667" s="230">
        <v>14491032</v>
      </c>
      <c r="F667" s="230">
        <v>30076</v>
      </c>
      <c r="G667" s="230">
        <v>1</v>
      </c>
      <c r="H667" s="240">
        <v>359.46</v>
      </c>
      <c r="I667" s="240">
        <f t="shared" si="10"/>
        <v>359.46</v>
      </c>
      <c r="J667" s="231" t="s">
        <v>1393</v>
      </c>
      <c r="K667" s="231" t="s">
        <v>1394</v>
      </c>
      <c r="L667" s="232">
        <v>45170</v>
      </c>
      <c r="M667" s="232">
        <v>45199</v>
      </c>
    </row>
    <row r="668" spans="1:13" ht="14.25" customHeight="1" x14ac:dyDescent="0.2">
      <c r="A668" s="231" t="s">
        <v>1589</v>
      </c>
      <c r="B668" s="230">
        <v>112825</v>
      </c>
      <c r="C668" s="230">
        <v>10757</v>
      </c>
      <c r="D668" s="231" t="s">
        <v>439</v>
      </c>
      <c r="E668" s="230">
        <v>14491032</v>
      </c>
      <c r="F668" s="230">
        <v>30084</v>
      </c>
      <c r="G668" s="230">
        <v>1</v>
      </c>
      <c r="H668" s="240">
        <v>359.46</v>
      </c>
      <c r="I668" s="240">
        <f t="shared" si="10"/>
        <v>359.46</v>
      </c>
      <c r="J668" s="231" t="s">
        <v>1393</v>
      </c>
      <c r="K668" s="231" t="s">
        <v>1394</v>
      </c>
      <c r="L668" s="232">
        <v>45170</v>
      </c>
      <c r="M668" s="232">
        <v>45199</v>
      </c>
    </row>
    <row r="669" spans="1:13" ht="14.25" customHeight="1" x14ac:dyDescent="0.2">
      <c r="A669" s="231" t="s">
        <v>1589</v>
      </c>
      <c r="B669" s="230">
        <v>112827</v>
      </c>
      <c r="C669" s="230">
        <v>10767</v>
      </c>
      <c r="D669" s="231" t="s">
        <v>440</v>
      </c>
      <c r="E669" s="230">
        <v>14491032</v>
      </c>
      <c r="F669" s="230">
        <v>30088</v>
      </c>
      <c r="G669" s="230">
        <v>1</v>
      </c>
      <c r="H669" s="240">
        <v>359.46</v>
      </c>
      <c r="I669" s="240">
        <f t="shared" si="10"/>
        <v>359.46</v>
      </c>
      <c r="J669" s="231" t="s">
        <v>1393</v>
      </c>
      <c r="K669" s="231" t="s">
        <v>1394</v>
      </c>
      <c r="L669" s="232">
        <v>45170</v>
      </c>
      <c r="M669" s="232">
        <v>45199</v>
      </c>
    </row>
    <row r="670" spans="1:13" ht="14.25" customHeight="1" x14ac:dyDescent="0.2">
      <c r="A670" s="231" t="s">
        <v>1589</v>
      </c>
      <c r="B670" s="230">
        <v>112829</v>
      </c>
      <c r="C670" s="230">
        <v>10757</v>
      </c>
      <c r="D670" s="231" t="s">
        <v>441</v>
      </c>
      <c r="E670" s="230">
        <v>14491032</v>
      </c>
      <c r="F670" s="230">
        <v>30092</v>
      </c>
      <c r="G670" s="230">
        <v>1</v>
      </c>
      <c r="H670" s="240">
        <v>359.46</v>
      </c>
      <c r="I670" s="240">
        <f t="shared" si="10"/>
        <v>359.46</v>
      </c>
      <c r="J670" s="231" t="s">
        <v>1393</v>
      </c>
      <c r="K670" s="231" t="s">
        <v>1394</v>
      </c>
      <c r="L670" s="232">
        <v>45170</v>
      </c>
      <c r="M670" s="232">
        <v>45199</v>
      </c>
    </row>
    <row r="671" spans="1:13" ht="14.25" customHeight="1" x14ac:dyDescent="0.2">
      <c r="A671" s="231" t="s">
        <v>1589</v>
      </c>
      <c r="B671" s="230">
        <v>112832</v>
      </c>
      <c r="C671" s="230">
        <v>10768</v>
      </c>
      <c r="D671" s="231" t="s">
        <v>443</v>
      </c>
      <c r="E671" s="230">
        <v>14491032</v>
      </c>
      <c r="F671" s="230">
        <v>30098</v>
      </c>
      <c r="G671" s="230">
        <v>1</v>
      </c>
      <c r="H671" s="240">
        <v>359.46</v>
      </c>
      <c r="I671" s="240">
        <f t="shared" si="10"/>
        <v>359.46</v>
      </c>
      <c r="J671" s="231" t="s">
        <v>1393</v>
      </c>
      <c r="K671" s="231" t="s">
        <v>1394</v>
      </c>
      <c r="L671" s="232">
        <v>45170</v>
      </c>
      <c r="M671" s="232">
        <v>45199</v>
      </c>
    </row>
    <row r="672" spans="1:13" ht="14.25" customHeight="1" x14ac:dyDescent="0.2">
      <c r="A672" s="231" t="s">
        <v>1589</v>
      </c>
      <c r="B672" s="230">
        <v>112837</v>
      </c>
      <c r="C672" s="230">
        <v>10745</v>
      </c>
      <c r="D672" s="231" t="s">
        <v>446</v>
      </c>
      <c r="E672" s="230">
        <v>14491032</v>
      </c>
      <c r="F672" s="230">
        <v>30108</v>
      </c>
      <c r="G672" s="230">
        <v>1</v>
      </c>
      <c r="H672" s="240">
        <v>359.46</v>
      </c>
      <c r="I672" s="240">
        <f t="shared" si="10"/>
        <v>359.46</v>
      </c>
      <c r="J672" s="231" t="s">
        <v>1393</v>
      </c>
      <c r="K672" s="231" t="s">
        <v>1394</v>
      </c>
      <c r="L672" s="232">
        <v>45170</v>
      </c>
      <c r="M672" s="232">
        <v>45199</v>
      </c>
    </row>
    <row r="673" spans="1:13" ht="14.25" customHeight="1" x14ac:dyDescent="0.2">
      <c r="A673" s="231" t="s">
        <v>1589</v>
      </c>
      <c r="B673" s="230">
        <v>112838</v>
      </c>
      <c r="C673" s="230">
        <v>10768</v>
      </c>
      <c r="D673" s="231" t="s">
        <v>447</v>
      </c>
      <c r="E673" s="230">
        <v>14491032</v>
      </c>
      <c r="F673" s="230">
        <v>30110</v>
      </c>
      <c r="G673" s="230">
        <v>1</v>
      </c>
      <c r="H673" s="240">
        <v>359.46</v>
      </c>
      <c r="I673" s="240">
        <f t="shared" si="10"/>
        <v>359.46</v>
      </c>
      <c r="J673" s="231" t="s">
        <v>1393</v>
      </c>
      <c r="K673" s="231" t="s">
        <v>1394</v>
      </c>
      <c r="L673" s="232">
        <v>45170</v>
      </c>
      <c r="M673" s="232">
        <v>45199</v>
      </c>
    </row>
    <row r="674" spans="1:13" ht="14.25" customHeight="1" x14ac:dyDescent="0.2">
      <c r="A674" s="231" t="s">
        <v>1589</v>
      </c>
      <c r="B674" s="230">
        <v>112845</v>
      </c>
      <c r="C674" s="230">
        <v>10761</v>
      </c>
      <c r="D674" s="231" t="s">
        <v>450</v>
      </c>
      <c r="E674" s="230">
        <v>14491032</v>
      </c>
      <c r="F674" s="230">
        <v>30124</v>
      </c>
      <c r="G674" s="230">
        <v>1</v>
      </c>
      <c r="H674" s="240">
        <v>359.46</v>
      </c>
      <c r="I674" s="240">
        <f t="shared" si="10"/>
        <v>359.46</v>
      </c>
      <c r="J674" s="231" t="s">
        <v>1393</v>
      </c>
      <c r="K674" s="231" t="s">
        <v>1394</v>
      </c>
      <c r="L674" s="232">
        <v>45170</v>
      </c>
      <c r="M674" s="232">
        <v>45199</v>
      </c>
    </row>
    <row r="675" spans="1:13" ht="14.25" customHeight="1" x14ac:dyDescent="0.2">
      <c r="A675" s="231" t="s">
        <v>1589</v>
      </c>
      <c r="B675" s="230">
        <v>112850</v>
      </c>
      <c r="C675" s="230">
        <v>10756</v>
      </c>
      <c r="D675" s="231" t="s">
        <v>453</v>
      </c>
      <c r="E675" s="230">
        <v>14491032</v>
      </c>
      <c r="F675" s="230">
        <v>30134</v>
      </c>
      <c r="G675" s="230">
        <v>1</v>
      </c>
      <c r="H675" s="240">
        <v>359.46</v>
      </c>
      <c r="I675" s="240">
        <f t="shared" si="10"/>
        <v>359.46</v>
      </c>
      <c r="J675" s="231" t="s">
        <v>1393</v>
      </c>
      <c r="K675" s="231" t="s">
        <v>1394</v>
      </c>
      <c r="L675" s="232">
        <v>45170</v>
      </c>
      <c r="M675" s="232">
        <v>45199</v>
      </c>
    </row>
    <row r="676" spans="1:13" ht="14.25" customHeight="1" x14ac:dyDescent="0.2">
      <c r="A676" s="231" t="s">
        <v>1589</v>
      </c>
      <c r="B676" s="230">
        <v>112858</v>
      </c>
      <c r="C676" s="230">
        <v>10757</v>
      </c>
      <c r="D676" s="231" t="s">
        <v>457</v>
      </c>
      <c r="E676" s="230">
        <v>14491032</v>
      </c>
      <c r="F676" s="230">
        <v>30150</v>
      </c>
      <c r="G676" s="230">
        <v>1</v>
      </c>
      <c r="H676" s="240">
        <v>359.46</v>
      </c>
      <c r="I676" s="240">
        <f t="shared" si="10"/>
        <v>359.46</v>
      </c>
      <c r="J676" s="231" t="s">
        <v>1393</v>
      </c>
      <c r="K676" s="231" t="s">
        <v>1394</v>
      </c>
      <c r="L676" s="232">
        <v>45170</v>
      </c>
      <c r="M676" s="232">
        <v>45199</v>
      </c>
    </row>
    <row r="677" spans="1:13" ht="14.25" customHeight="1" x14ac:dyDescent="0.2">
      <c r="A677" s="231" t="s">
        <v>1589</v>
      </c>
      <c r="B677" s="230">
        <v>112860</v>
      </c>
      <c r="C677" s="230">
        <v>10755</v>
      </c>
      <c r="D677" s="231" t="s">
        <v>458</v>
      </c>
      <c r="E677" s="230">
        <v>14491032</v>
      </c>
      <c r="F677" s="230">
        <v>30154</v>
      </c>
      <c r="G677" s="230">
        <v>1</v>
      </c>
      <c r="H677" s="240">
        <v>359.46</v>
      </c>
      <c r="I677" s="240">
        <f t="shared" si="10"/>
        <v>359.46</v>
      </c>
      <c r="J677" s="231" t="s">
        <v>1393</v>
      </c>
      <c r="K677" s="231" t="s">
        <v>1394</v>
      </c>
      <c r="L677" s="232">
        <v>45170</v>
      </c>
      <c r="M677" s="232">
        <v>45199</v>
      </c>
    </row>
    <row r="678" spans="1:13" ht="14.25" customHeight="1" x14ac:dyDescent="0.2">
      <c r="A678" s="231" t="s">
        <v>1589</v>
      </c>
      <c r="B678" s="230">
        <v>112874</v>
      </c>
      <c r="C678" s="230">
        <v>10755</v>
      </c>
      <c r="D678" s="231" t="s">
        <v>467</v>
      </c>
      <c r="E678" s="230">
        <v>14491032</v>
      </c>
      <c r="F678" s="230">
        <v>30182</v>
      </c>
      <c r="G678" s="230">
        <v>1</v>
      </c>
      <c r="H678" s="240">
        <v>359.46</v>
      </c>
      <c r="I678" s="240">
        <f t="shared" si="10"/>
        <v>359.46</v>
      </c>
      <c r="J678" s="231" t="s">
        <v>1393</v>
      </c>
      <c r="K678" s="231" t="s">
        <v>1394</v>
      </c>
      <c r="L678" s="232">
        <v>45170</v>
      </c>
      <c r="M678" s="232">
        <v>45199</v>
      </c>
    </row>
    <row r="679" spans="1:13" ht="14.25" customHeight="1" x14ac:dyDescent="0.2">
      <c r="A679" s="231" t="s">
        <v>1589</v>
      </c>
      <c r="B679" s="230">
        <v>112875</v>
      </c>
      <c r="C679" s="230">
        <v>10757</v>
      </c>
      <c r="D679" s="231" t="s">
        <v>468</v>
      </c>
      <c r="E679" s="230">
        <v>14491032</v>
      </c>
      <c r="F679" s="230">
        <v>30184</v>
      </c>
      <c r="G679" s="230">
        <v>1</v>
      </c>
      <c r="H679" s="240">
        <v>359.46</v>
      </c>
      <c r="I679" s="240">
        <f t="shared" si="10"/>
        <v>359.46</v>
      </c>
      <c r="J679" s="231" t="s">
        <v>1393</v>
      </c>
      <c r="K679" s="231" t="s">
        <v>1394</v>
      </c>
      <c r="L679" s="232">
        <v>45170</v>
      </c>
      <c r="M679" s="232">
        <v>45199</v>
      </c>
    </row>
    <row r="680" spans="1:13" ht="14.25" customHeight="1" x14ac:dyDescent="0.2">
      <c r="A680" s="231" t="s">
        <v>1589</v>
      </c>
      <c r="B680" s="230">
        <v>112878</v>
      </c>
      <c r="C680" s="230">
        <v>10756</v>
      </c>
      <c r="D680" s="231" t="s">
        <v>472</v>
      </c>
      <c r="E680" s="230">
        <v>14491032</v>
      </c>
      <c r="F680" s="230">
        <v>30190</v>
      </c>
      <c r="G680" s="230">
        <v>1</v>
      </c>
      <c r="H680" s="240">
        <v>359.46</v>
      </c>
      <c r="I680" s="240">
        <f t="shared" si="10"/>
        <v>359.46</v>
      </c>
      <c r="J680" s="231" t="s">
        <v>1393</v>
      </c>
      <c r="K680" s="231" t="s">
        <v>1394</v>
      </c>
      <c r="L680" s="232">
        <v>45170</v>
      </c>
      <c r="M680" s="232">
        <v>45199</v>
      </c>
    </row>
    <row r="681" spans="1:13" ht="14.25" customHeight="1" x14ac:dyDescent="0.2">
      <c r="A681" s="231" t="s">
        <v>1589</v>
      </c>
      <c r="B681" s="230">
        <v>112888</v>
      </c>
      <c r="C681" s="230">
        <v>10768</v>
      </c>
      <c r="D681" s="231" t="s">
        <v>478</v>
      </c>
      <c r="E681" s="230">
        <v>14491032</v>
      </c>
      <c r="F681" s="230">
        <v>30210</v>
      </c>
      <c r="G681" s="230">
        <v>1</v>
      </c>
      <c r="H681" s="240">
        <v>359.46</v>
      </c>
      <c r="I681" s="240">
        <f t="shared" si="10"/>
        <v>359.46</v>
      </c>
      <c r="J681" s="231" t="s">
        <v>1393</v>
      </c>
      <c r="K681" s="231" t="s">
        <v>1394</v>
      </c>
      <c r="L681" s="232">
        <v>45170</v>
      </c>
      <c r="M681" s="232">
        <v>45199</v>
      </c>
    </row>
    <row r="682" spans="1:13" ht="14.25" customHeight="1" x14ac:dyDescent="0.2">
      <c r="A682" s="231" t="s">
        <v>1589</v>
      </c>
      <c r="B682" s="230">
        <v>112892</v>
      </c>
      <c r="C682" s="230">
        <v>10771</v>
      </c>
      <c r="D682" s="231" t="s">
        <v>480</v>
      </c>
      <c r="E682" s="230">
        <v>14491032</v>
      </c>
      <c r="F682" s="230">
        <v>30218</v>
      </c>
      <c r="G682" s="230">
        <v>1</v>
      </c>
      <c r="H682" s="240">
        <v>359.46</v>
      </c>
      <c r="I682" s="240">
        <f t="shared" si="10"/>
        <v>359.46</v>
      </c>
      <c r="J682" s="231" t="s">
        <v>1393</v>
      </c>
      <c r="K682" s="231" t="s">
        <v>1394</v>
      </c>
      <c r="L682" s="232">
        <v>45170</v>
      </c>
      <c r="M682" s="232">
        <v>45199</v>
      </c>
    </row>
    <row r="683" spans="1:13" ht="14.25" customHeight="1" x14ac:dyDescent="0.2">
      <c r="A683" s="231" t="s">
        <v>1589</v>
      </c>
      <c r="B683" s="230">
        <v>112896</v>
      </c>
      <c r="C683" s="230">
        <v>10761</v>
      </c>
      <c r="D683" s="231" t="s">
        <v>484</v>
      </c>
      <c r="E683" s="230">
        <v>14491032</v>
      </c>
      <c r="F683" s="230">
        <v>30226</v>
      </c>
      <c r="G683" s="230">
        <v>1</v>
      </c>
      <c r="H683" s="240">
        <v>359.46</v>
      </c>
      <c r="I683" s="240">
        <f t="shared" si="10"/>
        <v>359.46</v>
      </c>
      <c r="J683" s="231" t="s">
        <v>1393</v>
      </c>
      <c r="K683" s="231" t="s">
        <v>1394</v>
      </c>
      <c r="L683" s="232">
        <v>45170</v>
      </c>
      <c r="M683" s="232">
        <v>45199</v>
      </c>
    </row>
    <row r="684" spans="1:13" ht="14.25" customHeight="1" x14ac:dyDescent="0.2">
      <c r="A684" s="231" t="s">
        <v>1589</v>
      </c>
      <c r="B684" s="230">
        <v>112898</v>
      </c>
      <c r="C684" s="230">
        <v>10761</v>
      </c>
      <c r="D684" s="231" t="s">
        <v>486</v>
      </c>
      <c r="E684" s="230">
        <v>14491032</v>
      </c>
      <c r="F684" s="230">
        <v>30230</v>
      </c>
      <c r="G684" s="230">
        <v>1</v>
      </c>
      <c r="H684" s="240">
        <v>359.46</v>
      </c>
      <c r="I684" s="240">
        <f t="shared" si="10"/>
        <v>359.46</v>
      </c>
      <c r="J684" s="231" t="s">
        <v>1393</v>
      </c>
      <c r="K684" s="231" t="s">
        <v>1394</v>
      </c>
      <c r="L684" s="232">
        <v>45170</v>
      </c>
      <c r="M684" s="232">
        <v>45199</v>
      </c>
    </row>
    <row r="685" spans="1:13" ht="14.25" customHeight="1" x14ac:dyDescent="0.2">
      <c r="A685" s="231" t="s">
        <v>1589</v>
      </c>
      <c r="B685" s="230">
        <v>112904</v>
      </c>
      <c r="C685" s="230">
        <v>10762</v>
      </c>
      <c r="D685" s="231" t="s">
        <v>489</v>
      </c>
      <c r="E685" s="230">
        <v>14491032</v>
      </c>
      <c r="F685" s="230">
        <v>30242</v>
      </c>
      <c r="G685" s="230">
        <v>1</v>
      </c>
      <c r="H685" s="240">
        <v>359.46</v>
      </c>
      <c r="I685" s="240">
        <f t="shared" si="10"/>
        <v>359.46</v>
      </c>
      <c r="J685" s="231" t="s">
        <v>1393</v>
      </c>
      <c r="K685" s="231" t="s">
        <v>1394</v>
      </c>
      <c r="L685" s="232">
        <v>45170</v>
      </c>
      <c r="M685" s="232">
        <v>45199</v>
      </c>
    </row>
    <row r="686" spans="1:13" ht="14.25" customHeight="1" x14ac:dyDescent="0.2">
      <c r="A686" s="231" t="s">
        <v>1589</v>
      </c>
      <c r="B686" s="230">
        <v>112907</v>
      </c>
      <c r="C686" s="230">
        <v>10767</v>
      </c>
      <c r="D686" s="231" t="s">
        <v>491</v>
      </c>
      <c r="E686" s="230">
        <v>14491032</v>
      </c>
      <c r="F686" s="230">
        <v>30248</v>
      </c>
      <c r="G686" s="230">
        <v>1</v>
      </c>
      <c r="H686" s="240">
        <v>359.46</v>
      </c>
      <c r="I686" s="240">
        <f t="shared" si="10"/>
        <v>359.46</v>
      </c>
      <c r="J686" s="231" t="s">
        <v>1393</v>
      </c>
      <c r="K686" s="231" t="s">
        <v>1394</v>
      </c>
      <c r="L686" s="232">
        <v>45170</v>
      </c>
      <c r="M686" s="232">
        <v>45199</v>
      </c>
    </row>
    <row r="687" spans="1:13" ht="14.25" customHeight="1" x14ac:dyDescent="0.2">
      <c r="A687" s="231" t="s">
        <v>1589</v>
      </c>
      <c r="B687" s="230">
        <v>112911</v>
      </c>
      <c r="C687" s="230">
        <v>10761</v>
      </c>
      <c r="D687" s="231" t="s">
        <v>494</v>
      </c>
      <c r="E687" s="230">
        <v>14491032</v>
      </c>
      <c r="F687" s="230">
        <v>30256</v>
      </c>
      <c r="G687" s="230">
        <v>1</v>
      </c>
      <c r="H687" s="240">
        <v>359.46</v>
      </c>
      <c r="I687" s="240">
        <f t="shared" si="10"/>
        <v>359.46</v>
      </c>
      <c r="J687" s="231" t="s">
        <v>1393</v>
      </c>
      <c r="K687" s="231" t="s">
        <v>1394</v>
      </c>
      <c r="L687" s="232">
        <v>45170</v>
      </c>
      <c r="M687" s="232">
        <v>45199</v>
      </c>
    </row>
    <row r="688" spans="1:13" ht="14.25" customHeight="1" x14ac:dyDescent="0.2">
      <c r="A688" s="231" t="s">
        <v>1589</v>
      </c>
      <c r="B688" s="230">
        <v>112918</v>
      </c>
      <c r="C688" s="230">
        <v>10768</v>
      </c>
      <c r="D688" s="231" t="s">
        <v>497</v>
      </c>
      <c r="E688" s="230">
        <v>14491032</v>
      </c>
      <c r="F688" s="230">
        <v>30270</v>
      </c>
      <c r="G688" s="230">
        <v>1</v>
      </c>
      <c r="H688" s="240">
        <v>359.46</v>
      </c>
      <c r="I688" s="240">
        <f t="shared" si="10"/>
        <v>359.46</v>
      </c>
      <c r="J688" s="231" t="s">
        <v>1393</v>
      </c>
      <c r="K688" s="231" t="s">
        <v>1394</v>
      </c>
      <c r="L688" s="232">
        <v>45170</v>
      </c>
      <c r="M688" s="232">
        <v>45199</v>
      </c>
    </row>
    <row r="689" spans="1:13" ht="14.25" customHeight="1" x14ac:dyDescent="0.2">
      <c r="A689" s="231" t="s">
        <v>1589</v>
      </c>
      <c r="B689" s="230">
        <v>112920</v>
      </c>
      <c r="C689" s="230">
        <v>10761</v>
      </c>
      <c r="D689" s="231" t="s">
        <v>498</v>
      </c>
      <c r="E689" s="230">
        <v>14491032</v>
      </c>
      <c r="F689" s="230">
        <v>30274</v>
      </c>
      <c r="G689" s="230">
        <v>1</v>
      </c>
      <c r="H689" s="240">
        <v>359.46</v>
      </c>
      <c r="I689" s="240">
        <f t="shared" si="10"/>
        <v>359.46</v>
      </c>
      <c r="J689" s="231" t="s">
        <v>1393</v>
      </c>
      <c r="K689" s="231" t="s">
        <v>1394</v>
      </c>
      <c r="L689" s="232">
        <v>45170</v>
      </c>
      <c r="M689" s="232">
        <v>45199</v>
      </c>
    </row>
    <row r="690" spans="1:13" ht="14.25" customHeight="1" x14ac:dyDescent="0.2">
      <c r="A690" s="231" t="s">
        <v>1589</v>
      </c>
      <c r="B690" s="230">
        <v>112922</v>
      </c>
      <c r="C690" s="230">
        <v>10767</v>
      </c>
      <c r="D690" s="231" t="s">
        <v>500</v>
      </c>
      <c r="E690" s="230">
        <v>14491032</v>
      </c>
      <c r="F690" s="230">
        <v>30278</v>
      </c>
      <c r="G690" s="230">
        <v>1</v>
      </c>
      <c r="H690" s="240">
        <v>359.46</v>
      </c>
      <c r="I690" s="240">
        <f t="shared" si="10"/>
        <v>359.46</v>
      </c>
      <c r="J690" s="231" t="s">
        <v>1393</v>
      </c>
      <c r="K690" s="231" t="s">
        <v>1394</v>
      </c>
      <c r="L690" s="232">
        <v>45170</v>
      </c>
      <c r="M690" s="232">
        <v>45199</v>
      </c>
    </row>
    <row r="691" spans="1:13" ht="14.25" customHeight="1" x14ac:dyDescent="0.2">
      <c r="A691" s="231" t="s">
        <v>1589</v>
      </c>
      <c r="B691" s="230">
        <v>112942</v>
      </c>
      <c r="C691" s="230">
        <v>10757</v>
      </c>
      <c r="D691" s="231" t="s">
        <v>511</v>
      </c>
      <c r="E691" s="230">
        <v>14491032</v>
      </c>
      <c r="F691" s="230">
        <v>30318</v>
      </c>
      <c r="G691" s="230">
        <v>1</v>
      </c>
      <c r="H691" s="240">
        <v>359.46</v>
      </c>
      <c r="I691" s="240">
        <f t="shared" si="10"/>
        <v>359.46</v>
      </c>
      <c r="J691" s="231" t="s">
        <v>1393</v>
      </c>
      <c r="K691" s="231" t="s">
        <v>1394</v>
      </c>
      <c r="L691" s="232">
        <v>45170</v>
      </c>
      <c r="M691" s="232">
        <v>45199</v>
      </c>
    </row>
    <row r="692" spans="1:13" ht="14.25" customHeight="1" x14ac:dyDescent="0.2">
      <c r="A692" s="231" t="s">
        <v>1589</v>
      </c>
      <c r="B692" s="230">
        <v>112957</v>
      </c>
      <c r="C692" s="230">
        <v>10768</v>
      </c>
      <c r="D692" s="231" t="s">
        <v>1353</v>
      </c>
      <c r="E692" s="230">
        <v>14491032</v>
      </c>
      <c r="F692" s="230">
        <v>30348</v>
      </c>
      <c r="G692" s="230">
        <v>1</v>
      </c>
      <c r="H692" s="240">
        <v>359.46</v>
      </c>
      <c r="I692" s="240">
        <f t="shared" si="10"/>
        <v>359.46</v>
      </c>
      <c r="J692" s="231" t="s">
        <v>1393</v>
      </c>
      <c r="K692" s="231" t="s">
        <v>1394</v>
      </c>
      <c r="L692" s="232">
        <v>45170</v>
      </c>
      <c r="M692" s="232">
        <v>45199</v>
      </c>
    </row>
    <row r="693" spans="1:13" ht="14.25" customHeight="1" x14ac:dyDescent="0.2">
      <c r="A693" s="231" t="s">
        <v>1589</v>
      </c>
      <c r="B693" s="230">
        <v>112961</v>
      </c>
      <c r="C693" s="230">
        <v>10768</v>
      </c>
      <c r="D693" s="231" t="s">
        <v>1332</v>
      </c>
      <c r="E693" s="230">
        <v>14491032</v>
      </c>
      <c r="F693" s="230">
        <v>30356</v>
      </c>
      <c r="G693" s="230">
        <v>1</v>
      </c>
      <c r="H693" s="240">
        <v>359.46</v>
      </c>
      <c r="I693" s="240">
        <f t="shared" si="10"/>
        <v>359.46</v>
      </c>
      <c r="J693" s="231" t="s">
        <v>1393</v>
      </c>
      <c r="K693" s="231" t="s">
        <v>1394</v>
      </c>
      <c r="L693" s="232">
        <v>45170</v>
      </c>
      <c r="M693" s="232">
        <v>45199</v>
      </c>
    </row>
    <row r="694" spans="1:13" ht="14.25" customHeight="1" x14ac:dyDescent="0.2">
      <c r="A694" s="231" t="s">
        <v>1589</v>
      </c>
      <c r="B694" s="230">
        <v>112975</v>
      </c>
      <c r="C694" s="230">
        <v>10771</v>
      </c>
      <c r="D694" s="231" t="s">
        <v>529</v>
      </c>
      <c r="E694" s="230">
        <v>14491032</v>
      </c>
      <c r="F694" s="230">
        <v>30384</v>
      </c>
      <c r="G694" s="230">
        <v>1</v>
      </c>
      <c r="H694" s="240">
        <v>359.46</v>
      </c>
      <c r="I694" s="240">
        <f t="shared" si="10"/>
        <v>359.46</v>
      </c>
      <c r="J694" s="231" t="s">
        <v>1393</v>
      </c>
      <c r="K694" s="231" t="s">
        <v>1394</v>
      </c>
      <c r="L694" s="232">
        <v>45170</v>
      </c>
      <c r="M694" s="232">
        <v>45199</v>
      </c>
    </row>
    <row r="695" spans="1:13" ht="14.25" customHeight="1" x14ac:dyDescent="0.2">
      <c r="A695" s="231" t="s">
        <v>1589</v>
      </c>
      <c r="B695" s="230">
        <v>112990</v>
      </c>
      <c r="C695" s="230">
        <v>10745</v>
      </c>
      <c r="D695" s="231" t="s">
        <v>535</v>
      </c>
      <c r="E695" s="230">
        <v>14491032</v>
      </c>
      <c r="F695" s="230">
        <v>30414</v>
      </c>
      <c r="G695" s="230">
        <v>1</v>
      </c>
      <c r="H695" s="240">
        <v>359.46</v>
      </c>
      <c r="I695" s="240">
        <f t="shared" si="10"/>
        <v>359.46</v>
      </c>
      <c r="J695" s="231" t="s">
        <v>1393</v>
      </c>
      <c r="K695" s="231" t="s">
        <v>1394</v>
      </c>
      <c r="L695" s="232">
        <v>45170</v>
      </c>
      <c r="M695" s="232">
        <v>45199</v>
      </c>
    </row>
    <row r="696" spans="1:13" ht="14.25" customHeight="1" x14ac:dyDescent="0.2">
      <c r="A696" s="231" t="s">
        <v>1589</v>
      </c>
      <c r="B696" s="230">
        <v>112992</v>
      </c>
      <c r="C696" s="230">
        <v>10745</v>
      </c>
      <c r="D696" s="231" t="s">
        <v>537</v>
      </c>
      <c r="E696" s="230">
        <v>14491032</v>
      </c>
      <c r="F696" s="230">
        <v>30418</v>
      </c>
      <c r="G696" s="230">
        <v>1</v>
      </c>
      <c r="H696" s="240">
        <v>359.46</v>
      </c>
      <c r="I696" s="240">
        <f t="shared" si="10"/>
        <v>359.46</v>
      </c>
      <c r="J696" s="231" t="s">
        <v>1393</v>
      </c>
      <c r="K696" s="231" t="s">
        <v>1394</v>
      </c>
      <c r="L696" s="232">
        <v>45170</v>
      </c>
      <c r="M696" s="232">
        <v>45199</v>
      </c>
    </row>
    <row r="697" spans="1:13" ht="14.25" customHeight="1" x14ac:dyDescent="0.2">
      <c r="A697" s="231" t="s">
        <v>1589</v>
      </c>
      <c r="B697" s="230">
        <v>113000</v>
      </c>
      <c r="C697" s="230">
        <v>10757</v>
      </c>
      <c r="D697" s="231" t="s">
        <v>540</v>
      </c>
      <c r="E697" s="230">
        <v>14491032</v>
      </c>
      <c r="F697" s="230">
        <v>30434</v>
      </c>
      <c r="G697" s="230">
        <v>1</v>
      </c>
      <c r="H697" s="240">
        <v>359.46</v>
      </c>
      <c r="I697" s="240">
        <f t="shared" si="10"/>
        <v>359.46</v>
      </c>
      <c r="J697" s="231" t="s">
        <v>1393</v>
      </c>
      <c r="K697" s="231" t="s">
        <v>1394</v>
      </c>
      <c r="L697" s="232">
        <v>45170</v>
      </c>
      <c r="M697" s="232">
        <v>45199</v>
      </c>
    </row>
    <row r="698" spans="1:13" ht="14.25" customHeight="1" x14ac:dyDescent="0.2">
      <c r="A698" s="231" t="s">
        <v>1589</v>
      </c>
      <c r="B698" s="230">
        <v>113003</v>
      </c>
      <c r="C698" s="230">
        <v>10761</v>
      </c>
      <c r="D698" s="231" t="s">
        <v>542</v>
      </c>
      <c r="E698" s="230">
        <v>14491032</v>
      </c>
      <c r="F698" s="230">
        <v>30440</v>
      </c>
      <c r="G698" s="230">
        <v>1</v>
      </c>
      <c r="H698" s="240">
        <v>359.46</v>
      </c>
      <c r="I698" s="240">
        <f t="shared" si="10"/>
        <v>359.46</v>
      </c>
      <c r="J698" s="231" t="s">
        <v>1393</v>
      </c>
      <c r="K698" s="231" t="s">
        <v>1394</v>
      </c>
      <c r="L698" s="232">
        <v>45170</v>
      </c>
      <c r="M698" s="232">
        <v>45199</v>
      </c>
    </row>
    <row r="699" spans="1:13" ht="14.25" customHeight="1" x14ac:dyDescent="0.2">
      <c r="A699" s="231" t="s">
        <v>1589</v>
      </c>
      <c r="B699" s="230">
        <v>113008</v>
      </c>
      <c r="C699" s="230">
        <v>10766</v>
      </c>
      <c r="D699" s="231" t="s">
        <v>544</v>
      </c>
      <c r="E699" s="230">
        <v>14491032</v>
      </c>
      <c r="F699" s="230">
        <v>30450</v>
      </c>
      <c r="G699" s="230">
        <v>1</v>
      </c>
      <c r="H699" s="240">
        <v>359.46</v>
      </c>
      <c r="I699" s="240">
        <f t="shared" si="10"/>
        <v>359.46</v>
      </c>
      <c r="J699" s="231" t="s">
        <v>1393</v>
      </c>
      <c r="K699" s="231" t="s">
        <v>1394</v>
      </c>
      <c r="L699" s="232">
        <v>45170</v>
      </c>
      <c r="M699" s="232">
        <v>45199</v>
      </c>
    </row>
    <row r="700" spans="1:13" ht="14.25" customHeight="1" x14ac:dyDescent="0.2">
      <c r="A700" s="231" t="s">
        <v>1589</v>
      </c>
      <c r="B700" s="230">
        <v>113013</v>
      </c>
      <c r="C700" s="230">
        <v>10761</v>
      </c>
      <c r="D700" s="231" t="s">
        <v>545</v>
      </c>
      <c r="E700" s="230">
        <v>14491032</v>
      </c>
      <c r="F700" s="230">
        <v>30460</v>
      </c>
      <c r="G700" s="230">
        <v>1</v>
      </c>
      <c r="H700" s="240">
        <v>359.46</v>
      </c>
      <c r="I700" s="240">
        <f t="shared" si="10"/>
        <v>359.46</v>
      </c>
      <c r="J700" s="231" t="s">
        <v>1393</v>
      </c>
      <c r="K700" s="231" t="s">
        <v>1394</v>
      </c>
      <c r="L700" s="232">
        <v>45170</v>
      </c>
      <c r="M700" s="232">
        <v>45199</v>
      </c>
    </row>
    <row r="701" spans="1:13" ht="14.25" customHeight="1" x14ac:dyDescent="0.2">
      <c r="A701" s="231" t="s">
        <v>1589</v>
      </c>
      <c r="B701" s="230">
        <v>113016</v>
      </c>
      <c r="C701" s="230">
        <v>10745</v>
      </c>
      <c r="D701" s="231" t="s">
        <v>546</v>
      </c>
      <c r="E701" s="230">
        <v>14491032</v>
      </c>
      <c r="F701" s="230">
        <v>30466</v>
      </c>
      <c r="G701" s="230">
        <v>1</v>
      </c>
      <c r="H701" s="240">
        <v>359.46</v>
      </c>
      <c r="I701" s="240">
        <f t="shared" si="10"/>
        <v>359.46</v>
      </c>
      <c r="J701" s="231" t="s">
        <v>1393</v>
      </c>
      <c r="K701" s="231" t="s">
        <v>1394</v>
      </c>
      <c r="L701" s="232">
        <v>45170</v>
      </c>
      <c r="M701" s="232">
        <v>45199</v>
      </c>
    </row>
    <row r="702" spans="1:13" ht="14.25" customHeight="1" x14ac:dyDescent="0.2">
      <c r="A702" s="231" t="s">
        <v>1589</v>
      </c>
      <c r="B702" s="230">
        <v>113023</v>
      </c>
      <c r="C702" s="230">
        <v>10757</v>
      </c>
      <c r="D702" s="231" t="s">
        <v>547</v>
      </c>
      <c r="E702" s="230">
        <v>14491032</v>
      </c>
      <c r="F702" s="230">
        <v>30480</v>
      </c>
      <c r="G702" s="230">
        <v>1</v>
      </c>
      <c r="H702" s="240">
        <v>359.46</v>
      </c>
      <c r="I702" s="240">
        <f t="shared" si="10"/>
        <v>359.46</v>
      </c>
      <c r="J702" s="231" t="s">
        <v>1393</v>
      </c>
      <c r="K702" s="231" t="s">
        <v>1394</v>
      </c>
      <c r="L702" s="232">
        <v>45170</v>
      </c>
      <c r="M702" s="232">
        <v>45199</v>
      </c>
    </row>
    <row r="703" spans="1:13" ht="14.25" customHeight="1" x14ac:dyDescent="0.2">
      <c r="A703" s="231" t="s">
        <v>1589</v>
      </c>
      <c r="B703" s="230">
        <v>113029</v>
      </c>
      <c r="C703" s="230">
        <v>10761</v>
      </c>
      <c r="D703" s="231" t="s">
        <v>551</v>
      </c>
      <c r="E703" s="230">
        <v>14491032</v>
      </c>
      <c r="F703" s="230">
        <v>30492</v>
      </c>
      <c r="G703" s="230">
        <v>1</v>
      </c>
      <c r="H703" s="240">
        <v>359.46</v>
      </c>
      <c r="I703" s="240">
        <f t="shared" si="10"/>
        <v>359.46</v>
      </c>
      <c r="J703" s="231" t="s">
        <v>1393</v>
      </c>
      <c r="K703" s="231" t="s">
        <v>1394</v>
      </c>
      <c r="L703" s="232">
        <v>45170</v>
      </c>
      <c r="M703" s="232">
        <v>45199</v>
      </c>
    </row>
    <row r="704" spans="1:13" ht="14.25" customHeight="1" x14ac:dyDescent="0.2">
      <c r="A704" s="231" t="s">
        <v>1589</v>
      </c>
      <c r="B704" s="230">
        <v>113030</v>
      </c>
      <c r="C704" s="230">
        <v>10768</v>
      </c>
      <c r="D704" s="231" t="s">
        <v>552</v>
      </c>
      <c r="E704" s="230">
        <v>14491032</v>
      </c>
      <c r="F704" s="230">
        <v>30494</v>
      </c>
      <c r="G704" s="230">
        <v>1</v>
      </c>
      <c r="H704" s="240">
        <v>359.46</v>
      </c>
      <c r="I704" s="240">
        <f t="shared" si="10"/>
        <v>359.46</v>
      </c>
      <c r="J704" s="231" t="s">
        <v>1393</v>
      </c>
      <c r="K704" s="231" t="s">
        <v>1394</v>
      </c>
      <c r="L704" s="232">
        <v>45170</v>
      </c>
      <c r="M704" s="232">
        <v>45199</v>
      </c>
    </row>
    <row r="705" spans="1:13" ht="14.25" customHeight="1" x14ac:dyDescent="0.2">
      <c r="A705" s="231" t="s">
        <v>1589</v>
      </c>
      <c r="B705" s="230">
        <v>113033</v>
      </c>
      <c r="C705" s="230">
        <v>10757</v>
      </c>
      <c r="D705" s="231" t="s">
        <v>553</v>
      </c>
      <c r="E705" s="230">
        <v>14491032</v>
      </c>
      <c r="F705" s="230">
        <v>30500</v>
      </c>
      <c r="G705" s="230">
        <v>1</v>
      </c>
      <c r="H705" s="240">
        <v>359.46</v>
      </c>
      <c r="I705" s="240">
        <f t="shared" si="10"/>
        <v>359.46</v>
      </c>
      <c r="J705" s="231" t="s">
        <v>1393</v>
      </c>
      <c r="K705" s="231" t="s">
        <v>1394</v>
      </c>
      <c r="L705" s="232">
        <v>45170</v>
      </c>
      <c r="M705" s="232">
        <v>45199</v>
      </c>
    </row>
    <row r="706" spans="1:13" ht="14.25" customHeight="1" x14ac:dyDescent="0.2">
      <c r="A706" s="231" t="s">
        <v>1589</v>
      </c>
      <c r="B706" s="230">
        <v>113034</v>
      </c>
      <c r="C706" s="230">
        <v>10745</v>
      </c>
      <c r="D706" s="231" t="s">
        <v>1389</v>
      </c>
      <c r="E706" s="230">
        <v>14491032</v>
      </c>
      <c r="F706" s="230">
        <v>30502</v>
      </c>
      <c r="G706" s="230">
        <v>1</v>
      </c>
      <c r="H706" s="240">
        <v>359.46</v>
      </c>
      <c r="I706" s="240">
        <f t="shared" si="10"/>
        <v>359.46</v>
      </c>
      <c r="J706" s="231" t="s">
        <v>1393</v>
      </c>
      <c r="K706" s="231" t="s">
        <v>1394</v>
      </c>
      <c r="L706" s="232">
        <v>45170</v>
      </c>
      <c r="M706" s="232">
        <v>45199</v>
      </c>
    </row>
    <row r="707" spans="1:13" ht="14.25" customHeight="1" x14ac:dyDescent="0.2">
      <c r="A707" s="231" t="s">
        <v>1589</v>
      </c>
      <c r="B707" s="230">
        <v>113035</v>
      </c>
      <c r="C707" s="230">
        <v>10761</v>
      </c>
      <c r="D707" s="231" t="s">
        <v>1349</v>
      </c>
      <c r="E707" s="230">
        <v>14491032</v>
      </c>
      <c r="F707" s="230">
        <v>30504</v>
      </c>
      <c r="G707" s="230">
        <v>1</v>
      </c>
      <c r="H707" s="240">
        <v>359.46</v>
      </c>
      <c r="I707" s="240">
        <f t="shared" ref="I707:I770" si="11">G707*H707</f>
        <v>359.46</v>
      </c>
      <c r="J707" s="231" t="s">
        <v>1393</v>
      </c>
      <c r="K707" s="231" t="s">
        <v>1394</v>
      </c>
      <c r="L707" s="232">
        <v>45170</v>
      </c>
      <c r="M707" s="232">
        <v>45199</v>
      </c>
    </row>
    <row r="708" spans="1:13" ht="14.25" customHeight="1" x14ac:dyDescent="0.2">
      <c r="A708" s="231" t="s">
        <v>1589</v>
      </c>
      <c r="B708" s="230">
        <v>113041</v>
      </c>
      <c r="C708" s="230">
        <v>10757</v>
      </c>
      <c r="D708" s="231" t="s">
        <v>557</v>
      </c>
      <c r="E708" s="230">
        <v>14491032</v>
      </c>
      <c r="F708" s="230">
        <v>30516</v>
      </c>
      <c r="G708" s="230">
        <v>1</v>
      </c>
      <c r="H708" s="240">
        <v>359.46</v>
      </c>
      <c r="I708" s="240">
        <f t="shared" si="11"/>
        <v>359.46</v>
      </c>
      <c r="J708" s="231" t="s">
        <v>1393</v>
      </c>
      <c r="K708" s="231" t="s">
        <v>1394</v>
      </c>
      <c r="L708" s="232">
        <v>45170</v>
      </c>
      <c r="M708" s="232">
        <v>45199</v>
      </c>
    </row>
    <row r="709" spans="1:13" ht="14.25" customHeight="1" x14ac:dyDescent="0.2">
      <c r="A709" s="231" t="s">
        <v>1589</v>
      </c>
      <c r="B709" s="230">
        <v>113044</v>
      </c>
      <c r="C709" s="230">
        <v>10768</v>
      </c>
      <c r="D709" s="231" t="s">
        <v>560</v>
      </c>
      <c r="E709" s="230">
        <v>14491032</v>
      </c>
      <c r="F709" s="230">
        <v>30522</v>
      </c>
      <c r="G709" s="230">
        <v>1</v>
      </c>
      <c r="H709" s="240">
        <v>359.46</v>
      </c>
      <c r="I709" s="240">
        <f t="shared" si="11"/>
        <v>359.46</v>
      </c>
      <c r="J709" s="231" t="s">
        <v>1393</v>
      </c>
      <c r="K709" s="231" t="s">
        <v>1394</v>
      </c>
      <c r="L709" s="232">
        <v>45170</v>
      </c>
      <c r="M709" s="232">
        <v>45199</v>
      </c>
    </row>
    <row r="710" spans="1:13" ht="14.25" customHeight="1" x14ac:dyDescent="0.2">
      <c r="A710" s="231" t="s">
        <v>1589</v>
      </c>
      <c r="B710" s="230">
        <v>113049</v>
      </c>
      <c r="C710" s="230">
        <v>10768</v>
      </c>
      <c r="D710" s="231" t="s">
        <v>561</v>
      </c>
      <c r="E710" s="230">
        <v>14491032</v>
      </c>
      <c r="F710" s="230">
        <v>30532</v>
      </c>
      <c r="G710" s="230">
        <v>1</v>
      </c>
      <c r="H710" s="240">
        <v>359.46</v>
      </c>
      <c r="I710" s="240">
        <f t="shared" si="11"/>
        <v>359.46</v>
      </c>
      <c r="J710" s="231" t="s">
        <v>1393</v>
      </c>
      <c r="K710" s="231" t="s">
        <v>1394</v>
      </c>
      <c r="L710" s="232">
        <v>45170</v>
      </c>
      <c r="M710" s="232">
        <v>45199</v>
      </c>
    </row>
    <row r="711" spans="1:13" ht="14.25" customHeight="1" x14ac:dyDescent="0.2">
      <c r="A711" s="231" t="s">
        <v>1589</v>
      </c>
      <c r="B711" s="230">
        <v>113059</v>
      </c>
      <c r="C711" s="230">
        <v>10757</v>
      </c>
      <c r="D711" s="231" t="s">
        <v>566</v>
      </c>
      <c r="E711" s="230">
        <v>14491032</v>
      </c>
      <c r="F711" s="230">
        <v>30552</v>
      </c>
      <c r="G711" s="230">
        <v>1</v>
      </c>
      <c r="H711" s="240">
        <v>359.46</v>
      </c>
      <c r="I711" s="240">
        <f t="shared" si="11"/>
        <v>359.46</v>
      </c>
      <c r="J711" s="231" t="s">
        <v>1393</v>
      </c>
      <c r="K711" s="231" t="s">
        <v>1394</v>
      </c>
      <c r="L711" s="232">
        <v>45170</v>
      </c>
      <c r="M711" s="232">
        <v>45199</v>
      </c>
    </row>
    <row r="712" spans="1:13" ht="14.25" customHeight="1" x14ac:dyDescent="0.2">
      <c r="A712" s="231" t="s">
        <v>1589</v>
      </c>
      <c r="B712" s="230">
        <v>113063</v>
      </c>
      <c r="C712" s="230">
        <v>10757</v>
      </c>
      <c r="D712" s="231" t="s">
        <v>567</v>
      </c>
      <c r="E712" s="230">
        <v>14491032</v>
      </c>
      <c r="F712" s="230">
        <v>30560</v>
      </c>
      <c r="G712" s="230">
        <v>1</v>
      </c>
      <c r="H712" s="240">
        <v>359.46</v>
      </c>
      <c r="I712" s="240">
        <f t="shared" si="11"/>
        <v>359.46</v>
      </c>
      <c r="J712" s="231" t="s">
        <v>1393</v>
      </c>
      <c r="K712" s="231" t="s">
        <v>1394</v>
      </c>
      <c r="L712" s="232">
        <v>45170</v>
      </c>
      <c r="M712" s="232">
        <v>45199</v>
      </c>
    </row>
    <row r="713" spans="1:13" ht="14.25" customHeight="1" x14ac:dyDescent="0.2">
      <c r="A713" s="231" t="s">
        <v>1589</v>
      </c>
      <c r="B713" s="230">
        <v>113064</v>
      </c>
      <c r="C713" s="230">
        <v>10761</v>
      </c>
      <c r="D713" s="231" t="s">
        <v>1350</v>
      </c>
      <c r="E713" s="230">
        <v>14491032</v>
      </c>
      <c r="F713" s="230">
        <v>30562</v>
      </c>
      <c r="G713" s="230">
        <v>1</v>
      </c>
      <c r="H713" s="240">
        <v>347.47</v>
      </c>
      <c r="I713" s="240">
        <f t="shared" si="11"/>
        <v>347.47</v>
      </c>
      <c r="J713" s="231" t="s">
        <v>1393</v>
      </c>
      <c r="K713" s="231" t="s">
        <v>1394</v>
      </c>
      <c r="L713" s="232">
        <v>45170</v>
      </c>
      <c r="M713" s="232">
        <v>45199</v>
      </c>
    </row>
    <row r="714" spans="1:13" ht="14.25" customHeight="1" x14ac:dyDescent="0.2">
      <c r="A714" s="231" t="s">
        <v>1589</v>
      </c>
      <c r="B714" s="230">
        <v>113068</v>
      </c>
      <c r="C714" s="230">
        <v>10767</v>
      </c>
      <c r="D714" s="231" t="s">
        <v>569</v>
      </c>
      <c r="E714" s="230">
        <v>14491032</v>
      </c>
      <c r="F714" s="230">
        <v>30570</v>
      </c>
      <c r="G714" s="230">
        <v>1</v>
      </c>
      <c r="H714" s="240">
        <v>359.46</v>
      </c>
      <c r="I714" s="240">
        <f t="shared" si="11"/>
        <v>359.46</v>
      </c>
      <c r="J714" s="231" t="s">
        <v>1393</v>
      </c>
      <c r="K714" s="231" t="s">
        <v>1394</v>
      </c>
      <c r="L714" s="232">
        <v>45170</v>
      </c>
      <c r="M714" s="232">
        <v>45199</v>
      </c>
    </row>
    <row r="715" spans="1:13" ht="14.25" customHeight="1" x14ac:dyDescent="0.2">
      <c r="A715" s="231" t="s">
        <v>1589</v>
      </c>
      <c r="B715" s="230">
        <v>113074</v>
      </c>
      <c r="C715" s="230">
        <v>10757</v>
      </c>
      <c r="D715" s="231" t="s">
        <v>573</v>
      </c>
      <c r="E715" s="230">
        <v>14491032</v>
      </c>
      <c r="F715" s="230">
        <v>30582</v>
      </c>
      <c r="G715" s="230">
        <v>1</v>
      </c>
      <c r="H715" s="240">
        <v>359.46</v>
      </c>
      <c r="I715" s="240">
        <f t="shared" si="11"/>
        <v>359.46</v>
      </c>
      <c r="J715" s="231" t="s">
        <v>1393</v>
      </c>
      <c r="K715" s="231" t="s">
        <v>1394</v>
      </c>
      <c r="L715" s="232">
        <v>45170</v>
      </c>
      <c r="M715" s="232">
        <v>45199</v>
      </c>
    </row>
    <row r="716" spans="1:13" ht="14.25" customHeight="1" x14ac:dyDescent="0.2">
      <c r="A716" s="231" t="s">
        <v>1589</v>
      </c>
      <c r="B716" s="230">
        <v>113080</v>
      </c>
      <c r="C716" s="230">
        <v>10761</v>
      </c>
      <c r="D716" s="231" t="s">
        <v>577</v>
      </c>
      <c r="E716" s="230">
        <v>14491032</v>
      </c>
      <c r="F716" s="230">
        <v>30594</v>
      </c>
      <c r="G716" s="230">
        <v>1</v>
      </c>
      <c r="H716" s="240">
        <v>359.46</v>
      </c>
      <c r="I716" s="240">
        <f t="shared" si="11"/>
        <v>359.46</v>
      </c>
      <c r="J716" s="231" t="s">
        <v>1393</v>
      </c>
      <c r="K716" s="231" t="s">
        <v>1394</v>
      </c>
      <c r="L716" s="232">
        <v>45170</v>
      </c>
      <c r="M716" s="232">
        <v>45199</v>
      </c>
    </row>
    <row r="717" spans="1:13" ht="14.25" customHeight="1" x14ac:dyDescent="0.2">
      <c r="A717" s="231" t="s">
        <v>1589</v>
      </c>
      <c r="B717" s="230">
        <v>113086</v>
      </c>
      <c r="C717" s="230">
        <v>10761</v>
      </c>
      <c r="D717" s="231" t="s">
        <v>581</v>
      </c>
      <c r="E717" s="230">
        <v>14491032</v>
      </c>
      <c r="F717" s="230">
        <v>30606</v>
      </c>
      <c r="G717" s="230">
        <v>1</v>
      </c>
      <c r="H717" s="240">
        <v>359.46</v>
      </c>
      <c r="I717" s="240">
        <f t="shared" si="11"/>
        <v>359.46</v>
      </c>
      <c r="J717" s="231" t="s">
        <v>1393</v>
      </c>
      <c r="K717" s="231" t="s">
        <v>1394</v>
      </c>
      <c r="L717" s="232">
        <v>45170</v>
      </c>
      <c r="M717" s="232">
        <v>45199</v>
      </c>
    </row>
    <row r="718" spans="1:13" ht="14.25" customHeight="1" x14ac:dyDescent="0.2">
      <c r="A718" s="231" t="s">
        <v>1589</v>
      </c>
      <c r="B718" s="230">
        <v>113094</v>
      </c>
      <c r="C718" s="230">
        <v>10748</v>
      </c>
      <c r="D718" s="231" t="s">
        <v>584</v>
      </c>
      <c r="E718" s="230">
        <v>14491032</v>
      </c>
      <c r="F718" s="230">
        <v>30622</v>
      </c>
      <c r="G718" s="230">
        <v>1</v>
      </c>
      <c r="H718" s="240">
        <v>359.46</v>
      </c>
      <c r="I718" s="240">
        <f t="shared" si="11"/>
        <v>359.46</v>
      </c>
      <c r="J718" s="231" t="s">
        <v>1393</v>
      </c>
      <c r="K718" s="231" t="s">
        <v>1394</v>
      </c>
      <c r="L718" s="232">
        <v>45170</v>
      </c>
      <c r="M718" s="232">
        <v>45199</v>
      </c>
    </row>
    <row r="719" spans="1:13" ht="14.25" customHeight="1" x14ac:dyDescent="0.2">
      <c r="A719" s="231" t="s">
        <v>1589</v>
      </c>
      <c r="B719" s="230">
        <v>113098</v>
      </c>
      <c r="C719" s="230">
        <v>10759</v>
      </c>
      <c r="D719" s="231" t="s">
        <v>586</v>
      </c>
      <c r="E719" s="230">
        <v>14491032</v>
      </c>
      <c r="F719" s="230">
        <v>30630</v>
      </c>
      <c r="G719" s="230">
        <v>1</v>
      </c>
      <c r="H719" s="240">
        <v>359.46</v>
      </c>
      <c r="I719" s="240">
        <f t="shared" si="11"/>
        <v>359.46</v>
      </c>
      <c r="J719" s="231" t="s">
        <v>1393</v>
      </c>
      <c r="K719" s="231" t="s">
        <v>1394</v>
      </c>
      <c r="L719" s="232">
        <v>45170</v>
      </c>
      <c r="M719" s="232">
        <v>45199</v>
      </c>
    </row>
    <row r="720" spans="1:13" ht="14.25" customHeight="1" x14ac:dyDescent="0.2">
      <c r="A720" s="231" t="s">
        <v>1589</v>
      </c>
      <c r="B720" s="230">
        <v>113118</v>
      </c>
      <c r="C720" s="230">
        <v>10771</v>
      </c>
      <c r="D720" s="231" t="s">
        <v>596</v>
      </c>
      <c r="E720" s="230">
        <v>14491032</v>
      </c>
      <c r="F720" s="230">
        <v>30670</v>
      </c>
      <c r="G720" s="230">
        <v>1</v>
      </c>
      <c r="H720" s="240">
        <v>359.46</v>
      </c>
      <c r="I720" s="240">
        <f t="shared" si="11"/>
        <v>359.46</v>
      </c>
      <c r="J720" s="231" t="s">
        <v>1393</v>
      </c>
      <c r="K720" s="231" t="s">
        <v>1394</v>
      </c>
      <c r="L720" s="232">
        <v>45170</v>
      </c>
      <c r="M720" s="232">
        <v>45199</v>
      </c>
    </row>
    <row r="721" spans="1:13" ht="14.25" customHeight="1" x14ac:dyDescent="0.2">
      <c r="A721" s="231" t="s">
        <v>1589</v>
      </c>
      <c r="B721" s="230">
        <v>113119</v>
      </c>
      <c r="C721" s="230">
        <v>10768</v>
      </c>
      <c r="D721" s="231" t="s">
        <v>597</v>
      </c>
      <c r="E721" s="230">
        <v>14491032</v>
      </c>
      <c r="F721" s="230">
        <v>30672</v>
      </c>
      <c r="G721" s="230">
        <v>1</v>
      </c>
      <c r="H721" s="240">
        <v>359.46</v>
      </c>
      <c r="I721" s="240">
        <f t="shared" si="11"/>
        <v>359.46</v>
      </c>
      <c r="J721" s="231" t="s">
        <v>1393</v>
      </c>
      <c r="K721" s="231" t="s">
        <v>1394</v>
      </c>
      <c r="L721" s="232">
        <v>45170</v>
      </c>
      <c r="M721" s="232">
        <v>45199</v>
      </c>
    </row>
    <row r="722" spans="1:13" ht="14.25" customHeight="1" x14ac:dyDescent="0.2">
      <c r="A722" s="231" t="s">
        <v>1589</v>
      </c>
      <c r="B722" s="230">
        <v>113121</v>
      </c>
      <c r="C722" s="230">
        <v>10757</v>
      </c>
      <c r="D722" s="231" t="s">
        <v>1291</v>
      </c>
      <c r="E722" s="230">
        <v>14491032</v>
      </c>
      <c r="F722" s="230">
        <v>30676</v>
      </c>
      <c r="G722" s="230">
        <v>1</v>
      </c>
      <c r="H722" s="240">
        <v>359.46</v>
      </c>
      <c r="I722" s="240">
        <f t="shared" si="11"/>
        <v>359.46</v>
      </c>
      <c r="J722" s="231" t="s">
        <v>1393</v>
      </c>
      <c r="K722" s="231" t="s">
        <v>1394</v>
      </c>
      <c r="L722" s="232">
        <v>45170</v>
      </c>
      <c r="M722" s="232">
        <v>45199</v>
      </c>
    </row>
    <row r="723" spans="1:13" ht="14.25" customHeight="1" x14ac:dyDescent="0.2">
      <c r="A723" s="231" t="s">
        <v>1589</v>
      </c>
      <c r="B723" s="230">
        <v>113123</v>
      </c>
      <c r="C723" s="230">
        <v>10757</v>
      </c>
      <c r="D723" s="231" t="s">
        <v>599</v>
      </c>
      <c r="E723" s="230">
        <v>14491032</v>
      </c>
      <c r="F723" s="230">
        <v>30680</v>
      </c>
      <c r="G723" s="230">
        <v>1</v>
      </c>
      <c r="H723" s="240">
        <v>359.46</v>
      </c>
      <c r="I723" s="240">
        <f t="shared" si="11"/>
        <v>359.46</v>
      </c>
      <c r="J723" s="231" t="s">
        <v>1393</v>
      </c>
      <c r="K723" s="231" t="s">
        <v>1394</v>
      </c>
      <c r="L723" s="232">
        <v>45170</v>
      </c>
      <c r="M723" s="232">
        <v>45199</v>
      </c>
    </row>
    <row r="724" spans="1:13" ht="14.25" customHeight="1" x14ac:dyDescent="0.2">
      <c r="A724" s="231" t="s">
        <v>1589</v>
      </c>
      <c r="B724" s="230">
        <v>113124</v>
      </c>
      <c r="C724" s="230">
        <v>10768</v>
      </c>
      <c r="D724" s="231" t="s">
        <v>600</v>
      </c>
      <c r="E724" s="230">
        <v>14491032</v>
      </c>
      <c r="F724" s="230">
        <v>30682</v>
      </c>
      <c r="G724" s="230">
        <v>1</v>
      </c>
      <c r="H724" s="240">
        <v>359.46</v>
      </c>
      <c r="I724" s="240">
        <f t="shared" si="11"/>
        <v>359.46</v>
      </c>
      <c r="J724" s="231" t="s">
        <v>1393</v>
      </c>
      <c r="K724" s="231" t="s">
        <v>1394</v>
      </c>
      <c r="L724" s="232">
        <v>45170</v>
      </c>
      <c r="M724" s="232">
        <v>45199</v>
      </c>
    </row>
    <row r="725" spans="1:13" ht="14.25" customHeight="1" x14ac:dyDescent="0.2">
      <c r="A725" s="231" t="s">
        <v>1589</v>
      </c>
      <c r="B725" s="230">
        <v>113125</v>
      </c>
      <c r="C725" s="230">
        <v>10761</v>
      </c>
      <c r="D725" s="231" t="s">
        <v>601</v>
      </c>
      <c r="E725" s="230">
        <v>14491032</v>
      </c>
      <c r="F725" s="230">
        <v>30684</v>
      </c>
      <c r="G725" s="230">
        <v>1</v>
      </c>
      <c r="H725" s="240">
        <v>359.46</v>
      </c>
      <c r="I725" s="240">
        <f t="shared" si="11"/>
        <v>359.46</v>
      </c>
      <c r="J725" s="231" t="s">
        <v>1393</v>
      </c>
      <c r="K725" s="231" t="s">
        <v>1394</v>
      </c>
      <c r="L725" s="232">
        <v>45170</v>
      </c>
      <c r="M725" s="232">
        <v>45199</v>
      </c>
    </row>
    <row r="726" spans="1:13" ht="14.25" customHeight="1" x14ac:dyDescent="0.2">
      <c r="A726" s="231" t="s">
        <v>1589</v>
      </c>
      <c r="B726" s="230">
        <v>113132</v>
      </c>
      <c r="C726" s="230">
        <v>10768</v>
      </c>
      <c r="D726" s="231" t="s">
        <v>603</v>
      </c>
      <c r="E726" s="230">
        <v>14491032</v>
      </c>
      <c r="F726" s="230">
        <v>30698</v>
      </c>
      <c r="G726" s="230">
        <v>1</v>
      </c>
      <c r="H726" s="240">
        <v>359.46</v>
      </c>
      <c r="I726" s="240">
        <f t="shared" si="11"/>
        <v>359.46</v>
      </c>
      <c r="J726" s="231" t="s">
        <v>1393</v>
      </c>
      <c r="K726" s="231" t="s">
        <v>1394</v>
      </c>
      <c r="L726" s="232">
        <v>45170</v>
      </c>
      <c r="M726" s="232">
        <v>45199</v>
      </c>
    </row>
    <row r="727" spans="1:13" ht="14.25" customHeight="1" x14ac:dyDescent="0.2">
      <c r="A727" s="231" t="s">
        <v>1589</v>
      </c>
      <c r="B727" s="230">
        <v>113134</v>
      </c>
      <c r="C727" s="230">
        <v>10768</v>
      </c>
      <c r="D727" s="231" t="s">
        <v>604</v>
      </c>
      <c r="E727" s="230">
        <v>14491032</v>
      </c>
      <c r="F727" s="230">
        <v>30702</v>
      </c>
      <c r="G727" s="230">
        <v>1</v>
      </c>
      <c r="H727" s="240">
        <v>359.46</v>
      </c>
      <c r="I727" s="240">
        <f t="shared" si="11"/>
        <v>359.46</v>
      </c>
      <c r="J727" s="231" t="s">
        <v>1393</v>
      </c>
      <c r="K727" s="231" t="s">
        <v>1394</v>
      </c>
      <c r="L727" s="232">
        <v>45170</v>
      </c>
      <c r="M727" s="232">
        <v>45199</v>
      </c>
    </row>
    <row r="728" spans="1:13" ht="14.25" customHeight="1" x14ac:dyDescent="0.2">
      <c r="A728" s="231" t="s">
        <v>1589</v>
      </c>
      <c r="B728" s="230">
        <v>113136</v>
      </c>
      <c r="C728" s="230">
        <v>10759</v>
      </c>
      <c r="D728" s="231" t="s">
        <v>606</v>
      </c>
      <c r="E728" s="230">
        <v>14491032</v>
      </c>
      <c r="F728" s="230">
        <v>30706</v>
      </c>
      <c r="G728" s="230">
        <v>1</v>
      </c>
      <c r="H728" s="240">
        <v>359.46</v>
      </c>
      <c r="I728" s="240">
        <f t="shared" si="11"/>
        <v>359.46</v>
      </c>
      <c r="J728" s="231" t="s">
        <v>1393</v>
      </c>
      <c r="K728" s="231" t="s">
        <v>1394</v>
      </c>
      <c r="L728" s="232">
        <v>45170</v>
      </c>
      <c r="M728" s="232">
        <v>45199</v>
      </c>
    </row>
    <row r="729" spans="1:13" ht="14.25" customHeight="1" x14ac:dyDescent="0.2">
      <c r="A729" s="231" t="s">
        <v>1589</v>
      </c>
      <c r="B729" s="230">
        <v>113137</v>
      </c>
      <c r="C729" s="230">
        <v>10761</v>
      </c>
      <c r="D729" s="231" t="s">
        <v>1367</v>
      </c>
      <c r="E729" s="230">
        <v>14491032</v>
      </c>
      <c r="F729" s="230">
        <v>30708</v>
      </c>
      <c r="G729" s="230">
        <v>1</v>
      </c>
      <c r="H729" s="240">
        <v>359.46</v>
      </c>
      <c r="I729" s="240">
        <f t="shared" si="11"/>
        <v>359.46</v>
      </c>
      <c r="J729" s="231" t="s">
        <v>1393</v>
      </c>
      <c r="K729" s="231" t="s">
        <v>1394</v>
      </c>
      <c r="L729" s="232">
        <v>45170</v>
      </c>
      <c r="M729" s="232">
        <v>45199</v>
      </c>
    </row>
    <row r="730" spans="1:13" ht="14.25" customHeight="1" x14ac:dyDescent="0.2">
      <c r="A730" s="231" t="s">
        <v>1589</v>
      </c>
      <c r="B730" s="230">
        <v>113142</v>
      </c>
      <c r="C730" s="230">
        <v>10761</v>
      </c>
      <c r="D730" s="231" t="s">
        <v>1368</v>
      </c>
      <c r="E730" s="230">
        <v>14491032</v>
      </c>
      <c r="F730" s="230">
        <v>30718</v>
      </c>
      <c r="G730" s="230">
        <v>1</v>
      </c>
      <c r="H730" s="240">
        <v>359.46</v>
      </c>
      <c r="I730" s="240">
        <f t="shared" si="11"/>
        <v>359.46</v>
      </c>
      <c r="J730" s="231" t="s">
        <v>1393</v>
      </c>
      <c r="K730" s="231" t="s">
        <v>1394</v>
      </c>
      <c r="L730" s="232">
        <v>45170</v>
      </c>
      <c r="M730" s="232">
        <v>45199</v>
      </c>
    </row>
    <row r="731" spans="1:13" ht="14.25" customHeight="1" x14ac:dyDescent="0.2">
      <c r="A731" s="231" t="s">
        <v>1589</v>
      </c>
      <c r="B731" s="230">
        <v>113150</v>
      </c>
      <c r="C731" s="230">
        <v>10768</v>
      </c>
      <c r="D731" s="231" t="s">
        <v>614</v>
      </c>
      <c r="E731" s="230">
        <v>14491032</v>
      </c>
      <c r="F731" s="230">
        <v>30734</v>
      </c>
      <c r="G731" s="230">
        <v>1</v>
      </c>
      <c r="H731" s="240">
        <v>359.46</v>
      </c>
      <c r="I731" s="240">
        <f t="shared" si="11"/>
        <v>359.46</v>
      </c>
      <c r="J731" s="231" t="s">
        <v>1393</v>
      </c>
      <c r="K731" s="231" t="s">
        <v>1394</v>
      </c>
      <c r="L731" s="232">
        <v>45170</v>
      </c>
      <c r="M731" s="232">
        <v>45199</v>
      </c>
    </row>
    <row r="732" spans="1:13" ht="14.25" customHeight="1" x14ac:dyDescent="0.2">
      <c r="A732" s="231" t="s">
        <v>1589</v>
      </c>
      <c r="B732" s="230">
        <v>113155</v>
      </c>
      <c r="C732" s="230">
        <v>10767</v>
      </c>
      <c r="D732" s="231" t="s">
        <v>617</v>
      </c>
      <c r="E732" s="230">
        <v>14491032</v>
      </c>
      <c r="F732" s="230">
        <v>30744</v>
      </c>
      <c r="G732" s="230">
        <v>1</v>
      </c>
      <c r="H732" s="240">
        <v>359.46</v>
      </c>
      <c r="I732" s="240">
        <f t="shared" si="11"/>
        <v>359.46</v>
      </c>
      <c r="J732" s="231" t="s">
        <v>1393</v>
      </c>
      <c r="K732" s="231" t="s">
        <v>1394</v>
      </c>
      <c r="L732" s="232">
        <v>45170</v>
      </c>
      <c r="M732" s="232">
        <v>45199</v>
      </c>
    </row>
    <row r="733" spans="1:13" ht="14.25" customHeight="1" x14ac:dyDescent="0.2">
      <c r="A733" s="231" t="s">
        <v>1589</v>
      </c>
      <c r="B733" s="230">
        <v>113158</v>
      </c>
      <c r="C733" s="230">
        <v>10767</v>
      </c>
      <c r="D733" s="231" t="s">
        <v>619</v>
      </c>
      <c r="E733" s="230">
        <v>14491032</v>
      </c>
      <c r="F733" s="230">
        <v>30750</v>
      </c>
      <c r="G733" s="230">
        <v>1</v>
      </c>
      <c r="H733" s="240">
        <v>359.46</v>
      </c>
      <c r="I733" s="240">
        <f t="shared" si="11"/>
        <v>359.46</v>
      </c>
      <c r="J733" s="231" t="s">
        <v>1393</v>
      </c>
      <c r="K733" s="231" t="s">
        <v>1394</v>
      </c>
      <c r="L733" s="232">
        <v>45170</v>
      </c>
      <c r="M733" s="232">
        <v>45199</v>
      </c>
    </row>
    <row r="734" spans="1:13" ht="14.25" customHeight="1" x14ac:dyDescent="0.2">
      <c r="A734" s="231" t="s">
        <v>1589</v>
      </c>
      <c r="B734" s="230">
        <v>113159</v>
      </c>
      <c r="C734" s="230">
        <v>10767</v>
      </c>
      <c r="D734" s="231" t="s">
        <v>620</v>
      </c>
      <c r="E734" s="230">
        <v>14491032</v>
      </c>
      <c r="F734" s="230">
        <v>30752</v>
      </c>
      <c r="G734" s="230">
        <v>1</v>
      </c>
      <c r="H734" s="240">
        <v>359.46</v>
      </c>
      <c r="I734" s="240">
        <f t="shared" si="11"/>
        <v>359.46</v>
      </c>
      <c r="J734" s="231" t="s">
        <v>1393</v>
      </c>
      <c r="K734" s="231" t="s">
        <v>1394</v>
      </c>
      <c r="L734" s="232">
        <v>45170</v>
      </c>
      <c r="M734" s="232">
        <v>45199</v>
      </c>
    </row>
    <row r="735" spans="1:13" ht="14.25" customHeight="1" x14ac:dyDescent="0.2">
      <c r="A735" s="231" t="s">
        <v>1589</v>
      </c>
      <c r="B735" s="230">
        <v>113160</v>
      </c>
      <c r="C735" s="230">
        <v>10761</v>
      </c>
      <c r="D735" s="231" t="s">
        <v>621</v>
      </c>
      <c r="E735" s="230">
        <v>14491032</v>
      </c>
      <c r="F735" s="230">
        <v>30754</v>
      </c>
      <c r="G735" s="230">
        <v>1</v>
      </c>
      <c r="H735" s="240">
        <v>359.46</v>
      </c>
      <c r="I735" s="240">
        <f t="shared" si="11"/>
        <v>359.46</v>
      </c>
      <c r="J735" s="231" t="s">
        <v>1393</v>
      </c>
      <c r="K735" s="231" t="s">
        <v>1394</v>
      </c>
      <c r="L735" s="232">
        <v>45170</v>
      </c>
      <c r="M735" s="232">
        <v>45199</v>
      </c>
    </row>
    <row r="736" spans="1:13" ht="14.25" customHeight="1" x14ac:dyDescent="0.2">
      <c r="A736" s="231" t="s">
        <v>1589</v>
      </c>
      <c r="B736" s="230">
        <v>113161</v>
      </c>
      <c r="C736" s="230">
        <v>10767</v>
      </c>
      <c r="D736" s="231" t="s">
        <v>622</v>
      </c>
      <c r="E736" s="230">
        <v>14491032</v>
      </c>
      <c r="F736" s="230">
        <v>30756</v>
      </c>
      <c r="G736" s="230">
        <v>1</v>
      </c>
      <c r="H736" s="240">
        <v>359.46</v>
      </c>
      <c r="I736" s="240">
        <f t="shared" si="11"/>
        <v>359.46</v>
      </c>
      <c r="J736" s="231" t="s">
        <v>1393</v>
      </c>
      <c r="K736" s="231" t="s">
        <v>1394</v>
      </c>
      <c r="L736" s="232">
        <v>45170</v>
      </c>
      <c r="M736" s="232">
        <v>45199</v>
      </c>
    </row>
    <row r="737" spans="1:13" ht="14.25" customHeight="1" x14ac:dyDescent="0.2">
      <c r="A737" s="231" t="s">
        <v>1589</v>
      </c>
      <c r="B737" s="230">
        <v>113162</v>
      </c>
      <c r="C737" s="230">
        <v>10761</v>
      </c>
      <c r="D737" s="231" t="s">
        <v>514</v>
      </c>
      <c r="E737" s="230">
        <v>14491032</v>
      </c>
      <c r="F737" s="230">
        <v>30758</v>
      </c>
      <c r="G737" s="230">
        <v>1</v>
      </c>
      <c r="H737" s="240">
        <v>359.46</v>
      </c>
      <c r="I737" s="240">
        <f t="shared" si="11"/>
        <v>359.46</v>
      </c>
      <c r="J737" s="231" t="s">
        <v>1393</v>
      </c>
      <c r="K737" s="231" t="s">
        <v>1394</v>
      </c>
      <c r="L737" s="232">
        <v>45170</v>
      </c>
      <c r="M737" s="232">
        <v>45199</v>
      </c>
    </row>
    <row r="738" spans="1:13" ht="14.25" customHeight="1" x14ac:dyDescent="0.2">
      <c r="A738" s="231" t="s">
        <v>1589</v>
      </c>
      <c r="B738" s="230">
        <v>113163</v>
      </c>
      <c r="C738" s="230">
        <v>10768</v>
      </c>
      <c r="D738" s="231" t="s">
        <v>623</v>
      </c>
      <c r="E738" s="230">
        <v>14491032</v>
      </c>
      <c r="F738" s="230">
        <v>30760</v>
      </c>
      <c r="G738" s="230">
        <v>1</v>
      </c>
      <c r="H738" s="240">
        <v>359.46</v>
      </c>
      <c r="I738" s="240">
        <f t="shared" si="11"/>
        <v>359.46</v>
      </c>
      <c r="J738" s="231" t="s">
        <v>1393</v>
      </c>
      <c r="K738" s="231" t="s">
        <v>1394</v>
      </c>
      <c r="L738" s="232">
        <v>45170</v>
      </c>
      <c r="M738" s="232">
        <v>45199</v>
      </c>
    </row>
    <row r="739" spans="1:13" ht="14.25" customHeight="1" x14ac:dyDescent="0.2">
      <c r="A739" s="231" t="s">
        <v>1589</v>
      </c>
      <c r="B739" s="230">
        <v>113164</v>
      </c>
      <c r="C739" s="230">
        <v>10761</v>
      </c>
      <c r="D739" s="231" t="s">
        <v>624</v>
      </c>
      <c r="E739" s="230">
        <v>14491032</v>
      </c>
      <c r="F739" s="230">
        <v>30762</v>
      </c>
      <c r="G739" s="230">
        <v>1</v>
      </c>
      <c r="H739" s="240">
        <v>359.46</v>
      </c>
      <c r="I739" s="240">
        <f t="shared" si="11"/>
        <v>359.46</v>
      </c>
      <c r="J739" s="231" t="s">
        <v>1393</v>
      </c>
      <c r="K739" s="231" t="s">
        <v>1394</v>
      </c>
      <c r="L739" s="232">
        <v>45170</v>
      </c>
      <c r="M739" s="232">
        <v>45199</v>
      </c>
    </row>
    <row r="740" spans="1:13" ht="14.25" customHeight="1" x14ac:dyDescent="0.2">
      <c r="A740" s="231" t="s">
        <v>1589</v>
      </c>
      <c r="B740" s="230">
        <v>113166</v>
      </c>
      <c r="C740" s="230">
        <v>10768</v>
      </c>
      <c r="D740" s="231" t="s">
        <v>625</v>
      </c>
      <c r="E740" s="230">
        <v>14491032</v>
      </c>
      <c r="F740" s="230">
        <v>30766</v>
      </c>
      <c r="G740" s="230">
        <v>1</v>
      </c>
      <c r="H740" s="240">
        <v>359.46</v>
      </c>
      <c r="I740" s="240">
        <f t="shared" si="11"/>
        <v>359.46</v>
      </c>
      <c r="J740" s="231" t="s">
        <v>1393</v>
      </c>
      <c r="K740" s="231" t="s">
        <v>1394</v>
      </c>
      <c r="L740" s="232">
        <v>45170</v>
      </c>
      <c r="M740" s="232">
        <v>45199</v>
      </c>
    </row>
    <row r="741" spans="1:13" ht="14.25" customHeight="1" x14ac:dyDescent="0.2">
      <c r="A741" s="231" t="s">
        <v>1589</v>
      </c>
      <c r="B741" s="230">
        <v>113171</v>
      </c>
      <c r="C741" s="230">
        <v>10766</v>
      </c>
      <c r="D741" s="231" t="s">
        <v>628</v>
      </c>
      <c r="E741" s="230">
        <v>14491032</v>
      </c>
      <c r="F741" s="230">
        <v>30776</v>
      </c>
      <c r="G741" s="230">
        <v>1</v>
      </c>
      <c r="H741" s="240">
        <v>359.46</v>
      </c>
      <c r="I741" s="240">
        <f t="shared" si="11"/>
        <v>359.46</v>
      </c>
      <c r="J741" s="231" t="s">
        <v>1393</v>
      </c>
      <c r="K741" s="231" t="s">
        <v>1394</v>
      </c>
      <c r="L741" s="232">
        <v>45170</v>
      </c>
      <c r="M741" s="232">
        <v>45199</v>
      </c>
    </row>
    <row r="742" spans="1:13" ht="14.25" customHeight="1" x14ac:dyDescent="0.2">
      <c r="A742" s="231" t="s">
        <v>1589</v>
      </c>
      <c r="B742" s="230">
        <v>113183</v>
      </c>
      <c r="C742" s="230">
        <v>10768</v>
      </c>
      <c r="D742" s="231" t="s">
        <v>634</v>
      </c>
      <c r="E742" s="230">
        <v>14491032</v>
      </c>
      <c r="F742" s="230">
        <v>30800</v>
      </c>
      <c r="G742" s="230">
        <v>1</v>
      </c>
      <c r="H742" s="240">
        <v>359.46</v>
      </c>
      <c r="I742" s="240">
        <f t="shared" si="11"/>
        <v>359.46</v>
      </c>
      <c r="J742" s="231" t="s">
        <v>1393</v>
      </c>
      <c r="K742" s="231" t="s">
        <v>1394</v>
      </c>
      <c r="L742" s="232">
        <v>45170</v>
      </c>
      <c r="M742" s="232">
        <v>45199</v>
      </c>
    </row>
    <row r="743" spans="1:13" ht="14.25" customHeight="1" x14ac:dyDescent="0.2">
      <c r="A743" s="231" t="s">
        <v>1589</v>
      </c>
      <c r="B743" s="230">
        <v>113185</v>
      </c>
      <c r="C743" s="230">
        <v>10757</v>
      </c>
      <c r="D743" s="231" t="s">
        <v>635</v>
      </c>
      <c r="E743" s="230">
        <v>14491032</v>
      </c>
      <c r="F743" s="230">
        <v>30804</v>
      </c>
      <c r="G743" s="230">
        <v>1</v>
      </c>
      <c r="H743" s="240">
        <v>359.46</v>
      </c>
      <c r="I743" s="240">
        <f t="shared" si="11"/>
        <v>359.46</v>
      </c>
      <c r="J743" s="231" t="s">
        <v>1393</v>
      </c>
      <c r="K743" s="231" t="s">
        <v>1394</v>
      </c>
      <c r="L743" s="232">
        <v>45170</v>
      </c>
      <c r="M743" s="232">
        <v>45199</v>
      </c>
    </row>
    <row r="744" spans="1:13" ht="14.25" customHeight="1" x14ac:dyDescent="0.2">
      <c r="A744" s="231" t="s">
        <v>1589</v>
      </c>
      <c r="B744" s="230">
        <v>113189</v>
      </c>
      <c r="C744" s="230">
        <v>10761</v>
      </c>
      <c r="D744" s="231" t="s">
        <v>638</v>
      </c>
      <c r="E744" s="230">
        <v>14491032</v>
      </c>
      <c r="F744" s="230">
        <v>30812</v>
      </c>
      <c r="G744" s="230">
        <v>1</v>
      </c>
      <c r="H744" s="240">
        <v>359.46</v>
      </c>
      <c r="I744" s="240">
        <f t="shared" si="11"/>
        <v>359.46</v>
      </c>
      <c r="J744" s="231" t="s">
        <v>1393</v>
      </c>
      <c r="K744" s="231" t="s">
        <v>1394</v>
      </c>
      <c r="L744" s="232">
        <v>45170</v>
      </c>
      <c r="M744" s="232">
        <v>45199</v>
      </c>
    </row>
    <row r="745" spans="1:13" ht="14.25" customHeight="1" x14ac:dyDescent="0.2">
      <c r="A745" s="231" t="s">
        <v>1589</v>
      </c>
      <c r="B745" s="230">
        <v>113213</v>
      </c>
      <c r="C745" s="230">
        <v>10758</v>
      </c>
      <c r="D745" s="231" t="s">
        <v>652</v>
      </c>
      <c r="E745" s="230">
        <v>14491032</v>
      </c>
      <c r="F745" s="230">
        <v>30860</v>
      </c>
      <c r="G745" s="230">
        <v>1</v>
      </c>
      <c r="H745" s="240">
        <v>359.46</v>
      </c>
      <c r="I745" s="240">
        <f t="shared" si="11"/>
        <v>359.46</v>
      </c>
      <c r="J745" s="231" t="s">
        <v>1393</v>
      </c>
      <c r="K745" s="231" t="s">
        <v>1394</v>
      </c>
      <c r="L745" s="232">
        <v>45170</v>
      </c>
      <c r="M745" s="232">
        <v>45199</v>
      </c>
    </row>
    <row r="746" spans="1:13" ht="14.25" customHeight="1" x14ac:dyDescent="0.2">
      <c r="A746" s="231" t="s">
        <v>1589</v>
      </c>
      <c r="B746" s="230">
        <v>113218</v>
      </c>
      <c r="C746" s="230">
        <v>10768</v>
      </c>
      <c r="D746" s="231" t="s">
        <v>654</v>
      </c>
      <c r="E746" s="230">
        <v>14491032</v>
      </c>
      <c r="F746" s="230">
        <v>30870</v>
      </c>
      <c r="G746" s="230">
        <v>1</v>
      </c>
      <c r="H746" s="240">
        <v>359.46</v>
      </c>
      <c r="I746" s="240">
        <f t="shared" si="11"/>
        <v>359.46</v>
      </c>
      <c r="J746" s="231" t="s">
        <v>1393</v>
      </c>
      <c r="K746" s="231" t="s">
        <v>1394</v>
      </c>
      <c r="L746" s="232">
        <v>45170</v>
      </c>
      <c r="M746" s="232">
        <v>45199</v>
      </c>
    </row>
    <row r="747" spans="1:13" ht="14.25" customHeight="1" x14ac:dyDescent="0.2">
      <c r="A747" s="231" t="s">
        <v>1589</v>
      </c>
      <c r="B747" s="230">
        <v>113219</v>
      </c>
      <c r="C747" s="230">
        <v>10768</v>
      </c>
      <c r="D747" s="231" t="s">
        <v>655</v>
      </c>
      <c r="E747" s="230">
        <v>14491032</v>
      </c>
      <c r="F747" s="230">
        <v>30872</v>
      </c>
      <c r="G747" s="230">
        <v>1</v>
      </c>
      <c r="H747" s="240">
        <v>359.46</v>
      </c>
      <c r="I747" s="240">
        <f t="shared" si="11"/>
        <v>359.46</v>
      </c>
      <c r="J747" s="231" t="s">
        <v>1393</v>
      </c>
      <c r="K747" s="231" t="s">
        <v>1394</v>
      </c>
      <c r="L747" s="232">
        <v>45170</v>
      </c>
      <c r="M747" s="232">
        <v>45199</v>
      </c>
    </row>
    <row r="748" spans="1:13" ht="14.25" customHeight="1" x14ac:dyDescent="0.2">
      <c r="A748" s="231" t="s">
        <v>1589</v>
      </c>
      <c r="B748" s="230">
        <v>113227</v>
      </c>
      <c r="C748" s="230">
        <v>10745</v>
      </c>
      <c r="D748" s="231" t="s">
        <v>660</v>
      </c>
      <c r="E748" s="230">
        <v>14491032</v>
      </c>
      <c r="F748" s="230">
        <v>30888</v>
      </c>
      <c r="G748" s="230">
        <v>1</v>
      </c>
      <c r="H748" s="240">
        <v>359.46</v>
      </c>
      <c r="I748" s="240">
        <f t="shared" si="11"/>
        <v>359.46</v>
      </c>
      <c r="J748" s="231" t="s">
        <v>1393</v>
      </c>
      <c r="K748" s="231" t="s">
        <v>1394</v>
      </c>
      <c r="L748" s="232">
        <v>45170</v>
      </c>
      <c r="M748" s="232">
        <v>45199</v>
      </c>
    </row>
    <row r="749" spans="1:13" ht="14.25" customHeight="1" x14ac:dyDescent="0.2">
      <c r="A749" s="231" t="s">
        <v>1589</v>
      </c>
      <c r="B749" s="230">
        <v>113228</v>
      </c>
      <c r="C749" s="230">
        <v>10767</v>
      </c>
      <c r="D749" s="231" t="s">
        <v>661</v>
      </c>
      <c r="E749" s="230">
        <v>14491032</v>
      </c>
      <c r="F749" s="230">
        <v>30890</v>
      </c>
      <c r="G749" s="230">
        <v>1</v>
      </c>
      <c r="H749" s="240">
        <v>359.46</v>
      </c>
      <c r="I749" s="240">
        <f t="shared" si="11"/>
        <v>359.46</v>
      </c>
      <c r="J749" s="231" t="s">
        <v>1393</v>
      </c>
      <c r="K749" s="231" t="s">
        <v>1394</v>
      </c>
      <c r="L749" s="232">
        <v>45170</v>
      </c>
      <c r="M749" s="232">
        <v>45199</v>
      </c>
    </row>
    <row r="750" spans="1:13" ht="14.25" customHeight="1" x14ac:dyDescent="0.2">
      <c r="A750" s="231" t="s">
        <v>1589</v>
      </c>
      <c r="B750" s="230">
        <v>113232</v>
      </c>
      <c r="C750" s="230">
        <v>10771</v>
      </c>
      <c r="D750" s="231" t="s">
        <v>662</v>
      </c>
      <c r="E750" s="230">
        <v>14491032</v>
      </c>
      <c r="F750" s="230">
        <v>30898</v>
      </c>
      <c r="G750" s="230">
        <v>1</v>
      </c>
      <c r="H750" s="240">
        <v>359.46</v>
      </c>
      <c r="I750" s="240">
        <f t="shared" si="11"/>
        <v>359.46</v>
      </c>
      <c r="J750" s="231" t="s">
        <v>1393</v>
      </c>
      <c r="K750" s="231" t="s">
        <v>1394</v>
      </c>
      <c r="L750" s="232">
        <v>45170</v>
      </c>
      <c r="M750" s="232">
        <v>45199</v>
      </c>
    </row>
    <row r="751" spans="1:13" ht="14.25" customHeight="1" x14ac:dyDescent="0.2">
      <c r="A751" s="231" t="s">
        <v>1589</v>
      </c>
      <c r="B751" s="230">
        <v>113246</v>
      </c>
      <c r="C751" s="230">
        <v>10745</v>
      </c>
      <c r="D751" s="231" t="s">
        <v>668</v>
      </c>
      <c r="E751" s="230">
        <v>14491032</v>
      </c>
      <c r="F751" s="230">
        <v>30926</v>
      </c>
      <c r="G751" s="230">
        <v>1</v>
      </c>
      <c r="H751" s="240">
        <v>359.46</v>
      </c>
      <c r="I751" s="240">
        <f t="shared" si="11"/>
        <v>359.46</v>
      </c>
      <c r="J751" s="231" t="s">
        <v>1393</v>
      </c>
      <c r="K751" s="231" t="s">
        <v>1394</v>
      </c>
      <c r="L751" s="232">
        <v>45170</v>
      </c>
      <c r="M751" s="232">
        <v>45199</v>
      </c>
    </row>
    <row r="752" spans="1:13" ht="14.25" customHeight="1" x14ac:dyDescent="0.2">
      <c r="A752" s="231" t="s">
        <v>1589</v>
      </c>
      <c r="B752" s="230">
        <v>113251</v>
      </c>
      <c r="C752" s="230">
        <v>10745</v>
      </c>
      <c r="D752" s="231" t="s">
        <v>671</v>
      </c>
      <c r="E752" s="230">
        <v>14491032</v>
      </c>
      <c r="F752" s="230">
        <v>30936</v>
      </c>
      <c r="G752" s="230">
        <v>1</v>
      </c>
      <c r="H752" s="240">
        <v>359.46</v>
      </c>
      <c r="I752" s="240">
        <f t="shared" si="11"/>
        <v>359.46</v>
      </c>
      <c r="J752" s="231" t="s">
        <v>1393</v>
      </c>
      <c r="K752" s="231" t="s">
        <v>1394</v>
      </c>
      <c r="L752" s="232">
        <v>45170</v>
      </c>
      <c r="M752" s="232">
        <v>45199</v>
      </c>
    </row>
    <row r="753" spans="1:13" ht="14.25" customHeight="1" x14ac:dyDescent="0.2">
      <c r="A753" s="231" t="s">
        <v>1589</v>
      </c>
      <c r="B753" s="230">
        <v>113255</v>
      </c>
      <c r="C753" s="230">
        <v>10759</v>
      </c>
      <c r="D753" s="231" t="s">
        <v>673</v>
      </c>
      <c r="E753" s="230">
        <v>14491032</v>
      </c>
      <c r="F753" s="230">
        <v>30944</v>
      </c>
      <c r="G753" s="230">
        <v>1</v>
      </c>
      <c r="H753" s="240">
        <v>359.46</v>
      </c>
      <c r="I753" s="240">
        <f t="shared" si="11"/>
        <v>359.46</v>
      </c>
      <c r="J753" s="231" t="s">
        <v>1393</v>
      </c>
      <c r="K753" s="231" t="s">
        <v>1394</v>
      </c>
      <c r="L753" s="232">
        <v>45170</v>
      </c>
      <c r="M753" s="232">
        <v>45199</v>
      </c>
    </row>
    <row r="754" spans="1:13" ht="14.25" customHeight="1" x14ac:dyDescent="0.2">
      <c r="A754" s="231" t="s">
        <v>1589</v>
      </c>
      <c r="B754" s="230">
        <v>113273</v>
      </c>
      <c r="C754" s="230">
        <v>10761</v>
      </c>
      <c r="D754" s="231" t="s">
        <v>682</v>
      </c>
      <c r="E754" s="230">
        <v>14491032</v>
      </c>
      <c r="F754" s="230">
        <v>30980</v>
      </c>
      <c r="G754" s="230">
        <v>1</v>
      </c>
      <c r="H754" s="240">
        <v>359.46</v>
      </c>
      <c r="I754" s="240">
        <f t="shared" si="11"/>
        <v>359.46</v>
      </c>
      <c r="J754" s="231" t="s">
        <v>1393</v>
      </c>
      <c r="K754" s="231" t="s">
        <v>1394</v>
      </c>
      <c r="L754" s="232">
        <v>45170</v>
      </c>
      <c r="M754" s="232">
        <v>45199</v>
      </c>
    </row>
    <row r="755" spans="1:13" ht="14.25" customHeight="1" x14ac:dyDescent="0.2">
      <c r="A755" s="231" t="s">
        <v>1589</v>
      </c>
      <c r="B755" s="230">
        <v>113279</v>
      </c>
      <c r="C755" s="230">
        <v>10771</v>
      </c>
      <c r="D755" s="231" t="s">
        <v>1372</v>
      </c>
      <c r="E755" s="230">
        <v>14491032</v>
      </c>
      <c r="F755" s="230">
        <v>30992</v>
      </c>
      <c r="G755" s="230">
        <v>1</v>
      </c>
      <c r="H755" s="240">
        <v>359.46</v>
      </c>
      <c r="I755" s="240">
        <f t="shared" si="11"/>
        <v>359.46</v>
      </c>
      <c r="J755" s="231" t="s">
        <v>1393</v>
      </c>
      <c r="K755" s="231" t="s">
        <v>1394</v>
      </c>
      <c r="L755" s="232">
        <v>45170</v>
      </c>
      <c r="M755" s="232">
        <v>45199</v>
      </c>
    </row>
    <row r="756" spans="1:13" ht="14.25" customHeight="1" x14ac:dyDescent="0.2">
      <c r="A756" s="231" t="s">
        <v>1589</v>
      </c>
      <c r="B756" s="230">
        <v>113282</v>
      </c>
      <c r="C756" s="230">
        <v>10761</v>
      </c>
      <c r="D756" s="231" t="s">
        <v>688</v>
      </c>
      <c r="E756" s="230">
        <v>14491032</v>
      </c>
      <c r="F756" s="230">
        <v>30998</v>
      </c>
      <c r="G756" s="230">
        <v>1</v>
      </c>
      <c r="H756" s="240">
        <v>359.46</v>
      </c>
      <c r="I756" s="240">
        <f t="shared" si="11"/>
        <v>359.46</v>
      </c>
      <c r="J756" s="231" t="s">
        <v>1393</v>
      </c>
      <c r="K756" s="231" t="s">
        <v>1394</v>
      </c>
      <c r="L756" s="232">
        <v>45170</v>
      </c>
      <c r="M756" s="232">
        <v>45199</v>
      </c>
    </row>
    <row r="757" spans="1:13" ht="14.25" customHeight="1" x14ac:dyDescent="0.2">
      <c r="A757" s="231" t="s">
        <v>1589</v>
      </c>
      <c r="B757" s="230">
        <v>113286</v>
      </c>
      <c r="C757" s="230">
        <v>10768</v>
      </c>
      <c r="D757" s="231" t="s">
        <v>1373</v>
      </c>
      <c r="E757" s="230">
        <v>14491032</v>
      </c>
      <c r="F757" s="230">
        <v>31006</v>
      </c>
      <c r="G757" s="230">
        <v>1</v>
      </c>
      <c r="H757" s="240">
        <v>359.46</v>
      </c>
      <c r="I757" s="240">
        <f t="shared" si="11"/>
        <v>359.46</v>
      </c>
      <c r="J757" s="231" t="s">
        <v>1393</v>
      </c>
      <c r="K757" s="231" t="s">
        <v>1394</v>
      </c>
      <c r="L757" s="232">
        <v>45170</v>
      </c>
      <c r="M757" s="232">
        <v>45199</v>
      </c>
    </row>
    <row r="758" spans="1:13" ht="14.25" customHeight="1" x14ac:dyDescent="0.2">
      <c r="A758" s="231" t="s">
        <v>1589</v>
      </c>
      <c r="B758" s="230">
        <v>113298</v>
      </c>
      <c r="C758" s="230">
        <v>10768</v>
      </c>
      <c r="D758" s="231" t="s">
        <v>695</v>
      </c>
      <c r="E758" s="230">
        <v>14491032</v>
      </c>
      <c r="F758" s="230">
        <v>31030</v>
      </c>
      <c r="G758" s="230">
        <v>1</v>
      </c>
      <c r="H758" s="240">
        <v>359.46</v>
      </c>
      <c r="I758" s="240">
        <f t="shared" si="11"/>
        <v>359.46</v>
      </c>
      <c r="J758" s="231" t="s">
        <v>1393</v>
      </c>
      <c r="K758" s="231" t="s">
        <v>1394</v>
      </c>
      <c r="L758" s="232">
        <v>45170</v>
      </c>
      <c r="M758" s="232">
        <v>45199</v>
      </c>
    </row>
    <row r="759" spans="1:13" ht="14.25" customHeight="1" x14ac:dyDescent="0.2">
      <c r="A759" s="231" t="s">
        <v>1589</v>
      </c>
      <c r="B759" s="230">
        <v>113303</v>
      </c>
      <c r="C759" s="230">
        <v>10761</v>
      </c>
      <c r="D759" s="231" t="s">
        <v>697</v>
      </c>
      <c r="E759" s="230">
        <v>14491032</v>
      </c>
      <c r="F759" s="230">
        <v>31040</v>
      </c>
      <c r="G759" s="230">
        <v>1</v>
      </c>
      <c r="H759" s="240">
        <v>359.46</v>
      </c>
      <c r="I759" s="240">
        <f t="shared" si="11"/>
        <v>359.46</v>
      </c>
      <c r="J759" s="231" t="s">
        <v>1393</v>
      </c>
      <c r="K759" s="231" t="s">
        <v>1394</v>
      </c>
      <c r="L759" s="232">
        <v>45170</v>
      </c>
      <c r="M759" s="232">
        <v>45199</v>
      </c>
    </row>
    <row r="760" spans="1:13" ht="14.25" customHeight="1" x14ac:dyDescent="0.2">
      <c r="A760" s="231" t="s">
        <v>1589</v>
      </c>
      <c r="B760" s="230">
        <v>113308</v>
      </c>
      <c r="C760" s="230">
        <v>10743</v>
      </c>
      <c r="D760" s="231" t="s">
        <v>699</v>
      </c>
      <c r="E760" s="230">
        <v>14491032</v>
      </c>
      <c r="F760" s="230">
        <v>31050</v>
      </c>
      <c r="G760" s="230">
        <v>1</v>
      </c>
      <c r="H760" s="240">
        <v>359.46</v>
      </c>
      <c r="I760" s="240">
        <f t="shared" si="11"/>
        <v>359.46</v>
      </c>
      <c r="J760" s="231" t="s">
        <v>1393</v>
      </c>
      <c r="K760" s="231" t="s">
        <v>1394</v>
      </c>
      <c r="L760" s="232">
        <v>45170</v>
      </c>
      <c r="M760" s="232">
        <v>45199</v>
      </c>
    </row>
    <row r="761" spans="1:13" ht="14.25" customHeight="1" x14ac:dyDescent="0.2">
      <c r="A761" s="231" t="s">
        <v>1589</v>
      </c>
      <c r="B761" s="230">
        <v>113310</v>
      </c>
      <c r="C761" s="230">
        <v>10767</v>
      </c>
      <c r="D761" s="231" t="s">
        <v>702</v>
      </c>
      <c r="E761" s="230">
        <v>14491032</v>
      </c>
      <c r="F761" s="230">
        <v>31054</v>
      </c>
      <c r="G761" s="230">
        <v>1</v>
      </c>
      <c r="H761" s="240">
        <v>359.46</v>
      </c>
      <c r="I761" s="240">
        <f t="shared" si="11"/>
        <v>359.46</v>
      </c>
      <c r="J761" s="231" t="s">
        <v>1393</v>
      </c>
      <c r="K761" s="231" t="s">
        <v>1394</v>
      </c>
      <c r="L761" s="232">
        <v>45170</v>
      </c>
      <c r="M761" s="232">
        <v>45199</v>
      </c>
    </row>
    <row r="762" spans="1:13" ht="14.25" customHeight="1" x14ac:dyDescent="0.2">
      <c r="A762" s="231" t="s">
        <v>1589</v>
      </c>
      <c r="B762" s="230">
        <v>113320</v>
      </c>
      <c r="C762" s="230">
        <v>10768</v>
      </c>
      <c r="D762" s="231" t="s">
        <v>706</v>
      </c>
      <c r="E762" s="230">
        <v>14491032</v>
      </c>
      <c r="F762" s="230">
        <v>31074</v>
      </c>
      <c r="G762" s="230">
        <v>1</v>
      </c>
      <c r="H762" s="240">
        <v>359.46</v>
      </c>
      <c r="I762" s="240">
        <f t="shared" si="11"/>
        <v>359.46</v>
      </c>
      <c r="J762" s="231" t="s">
        <v>1393</v>
      </c>
      <c r="K762" s="231" t="s">
        <v>1394</v>
      </c>
      <c r="L762" s="232">
        <v>45170</v>
      </c>
      <c r="M762" s="232">
        <v>45199</v>
      </c>
    </row>
    <row r="763" spans="1:13" ht="14.25" customHeight="1" x14ac:dyDescent="0.2">
      <c r="A763" s="231" t="s">
        <v>1589</v>
      </c>
      <c r="B763" s="230">
        <v>113325</v>
      </c>
      <c r="C763" s="230">
        <v>10768</v>
      </c>
      <c r="D763" s="231" t="s">
        <v>709</v>
      </c>
      <c r="E763" s="230">
        <v>14491032</v>
      </c>
      <c r="F763" s="230">
        <v>31084</v>
      </c>
      <c r="G763" s="230">
        <v>1</v>
      </c>
      <c r="H763" s="240">
        <v>335.49</v>
      </c>
      <c r="I763" s="240">
        <f t="shared" si="11"/>
        <v>335.49</v>
      </c>
      <c r="J763" s="231" t="s">
        <v>1393</v>
      </c>
      <c r="K763" s="231" t="s">
        <v>1394</v>
      </c>
      <c r="L763" s="232">
        <v>45170</v>
      </c>
      <c r="M763" s="232">
        <v>45199</v>
      </c>
    </row>
    <row r="764" spans="1:13" ht="14.25" customHeight="1" x14ac:dyDescent="0.2">
      <c r="A764" s="231" t="s">
        <v>1589</v>
      </c>
      <c r="B764" s="230">
        <v>113327</v>
      </c>
      <c r="C764" s="230">
        <v>10768</v>
      </c>
      <c r="D764" s="231" t="s">
        <v>710</v>
      </c>
      <c r="E764" s="230">
        <v>14491032</v>
      </c>
      <c r="F764" s="230">
        <v>31088</v>
      </c>
      <c r="G764" s="230">
        <v>1</v>
      </c>
      <c r="H764" s="240">
        <v>359.46</v>
      </c>
      <c r="I764" s="240">
        <f t="shared" si="11"/>
        <v>359.46</v>
      </c>
      <c r="J764" s="231" t="s">
        <v>1393</v>
      </c>
      <c r="K764" s="231" t="s">
        <v>1394</v>
      </c>
      <c r="L764" s="232">
        <v>45170</v>
      </c>
      <c r="M764" s="232">
        <v>45199</v>
      </c>
    </row>
    <row r="765" spans="1:13" ht="14.25" customHeight="1" x14ac:dyDescent="0.2">
      <c r="A765" s="231" t="s">
        <v>1589</v>
      </c>
      <c r="B765" s="230">
        <v>113331</v>
      </c>
      <c r="C765" s="230">
        <v>10748</v>
      </c>
      <c r="D765" s="231" t="s">
        <v>713</v>
      </c>
      <c r="E765" s="230">
        <v>14491032</v>
      </c>
      <c r="F765" s="230">
        <v>31096</v>
      </c>
      <c r="G765" s="230">
        <v>1</v>
      </c>
      <c r="H765" s="240">
        <v>359.46</v>
      </c>
      <c r="I765" s="240">
        <f t="shared" si="11"/>
        <v>359.46</v>
      </c>
      <c r="J765" s="231" t="s">
        <v>1393</v>
      </c>
      <c r="K765" s="231" t="s">
        <v>1394</v>
      </c>
      <c r="L765" s="232">
        <v>45170</v>
      </c>
      <c r="M765" s="232">
        <v>45199</v>
      </c>
    </row>
    <row r="766" spans="1:13" ht="14.25" customHeight="1" x14ac:dyDescent="0.2">
      <c r="A766" s="231" t="s">
        <v>1589</v>
      </c>
      <c r="B766" s="230">
        <v>113334</v>
      </c>
      <c r="C766" s="230">
        <v>10745</v>
      </c>
      <c r="D766" s="231" t="s">
        <v>714</v>
      </c>
      <c r="E766" s="230">
        <v>14491032</v>
      </c>
      <c r="F766" s="230">
        <v>31102</v>
      </c>
      <c r="G766" s="230">
        <v>1</v>
      </c>
      <c r="H766" s="240">
        <v>359.46</v>
      </c>
      <c r="I766" s="240">
        <f t="shared" si="11"/>
        <v>359.46</v>
      </c>
      <c r="J766" s="231" t="s">
        <v>1393</v>
      </c>
      <c r="K766" s="231" t="s">
        <v>1394</v>
      </c>
      <c r="L766" s="232">
        <v>45170</v>
      </c>
      <c r="M766" s="232">
        <v>45199</v>
      </c>
    </row>
    <row r="767" spans="1:13" ht="14.25" customHeight="1" x14ac:dyDescent="0.2">
      <c r="A767" s="231" t="s">
        <v>1589</v>
      </c>
      <c r="B767" s="230">
        <v>113335</v>
      </c>
      <c r="C767" s="230">
        <v>10771</v>
      </c>
      <c r="D767" s="231" t="s">
        <v>715</v>
      </c>
      <c r="E767" s="230">
        <v>14491032</v>
      </c>
      <c r="F767" s="230">
        <v>31104</v>
      </c>
      <c r="G767" s="230">
        <v>1</v>
      </c>
      <c r="H767" s="240">
        <v>359.46</v>
      </c>
      <c r="I767" s="240">
        <f t="shared" si="11"/>
        <v>359.46</v>
      </c>
      <c r="J767" s="231" t="s">
        <v>1393</v>
      </c>
      <c r="K767" s="231" t="s">
        <v>1394</v>
      </c>
      <c r="L767" s="232">
        <v>45170</v>
      </c>
      <c r="M767" s="232">
        <v>45199</v>
      </c>
    </row>
    <row r="768" spans="1:13" ht="14.25" customHeight="1" x14ac:dyDescent="0.2">
      <c r="A768" s="231" t="s">
        <v>1589</v>
      </c>
      <c r="B768" s="230">
        <v>113339</v>
      </c>
      <c r="C768" s="230">
        <v>10771</v>
      </c>
      <c r="D768" s="231" t="s">
        <v>717</v>
      </c>
      <c r="E768" s="230">
        <v>14491032</v>
      </c>
      <c r="F768" s="230">
        <v>31112</v>
      </c>
      <c r="G768" s="230">
        <v>1</v>
      </c>
      <c r="H768" s="240">
        <v>359.46</v>
      </c>
      <c r="I768" s="240">
        <f t="shared" si="11"/>
        <v>359.46</v>
      </c>
      <c r="J768" s="231" t="s">
        <v>1393</v>
      </c>
      <c r="K768" s="231" t="s">
        <v>1394</v>
      </c>
      <c r="L768" s="232">
        <v>45170</v>
      </c>
      <c r="M768" s="232">
        <v>45199</v>
      </c>
    </row>
    <row r="769" spans="1:13" ht="14.25" customHeight="1" x14ac:dyDescent="0.2">
      <c r="A769" s="231" t="s">
        <v>1589</v>
      </c>
      <c r="B769" s="230">
        <v>113344</v>
      </c>
      <c r="C769" s="230">
        <v>10762</v>
      </c>
      <c r="D769" s="231" t="s">
        <v>720</v>
      </c>
      <c r="E769" s="230">
        <v>14491032</v>
      </c>
      <c r="F769" s="230">
        <v>31122</v>
      </c>
      <c r="G769" s="230">
        <v>1</v>
      </c>
      <c r="H769" s="240">
        <v>359.46</v>
      </c>
      <c r="I769" s="240">
        <f t="shared" si="11"/>
        <v>359.46</v>
      </c>
      <c r="J769" s="231" t="s">
        <v>1393</v>
      </c>
      <c r="K769" s="231" t="s">
        <v>1394</v>
      </c>
      <c r="L769" s="232">
        <v>45170</v>
      </c>
      <c r="M769" s="232">
        <v>45199</v>
      </c>
    </row>
    <row r="770" spans="1:13" ht="14.25" customHeight="1" x14ac:dyDescent="0.2">
      <c r="A770" s="231" t="s">
        <v>1589</v>
      </c>
      <c r="B770" s="230">
        <v>113349</v>
      </c>
      <c r="C770" s="230">
        <v>10756</v>
      </c>
      <c r="D770" s="231" t="s">
        <v>1287</v>
      </c>
      <c r="E770" s="230">
        <v>14491032</v>
      </c>
      <c r="F770" s="230">
        <v>31132</v>
      </c>
      <c r="G770" s="230">
        <v>1</v>
      </c>
      <c r="H770" s="240">
        <v>359.46</v>
      </c>
      <c r="I770" s="240">
        <f t="shared" si="11"/>
        <v>359.46</v>
      </c>
      <c r="J770" s="231" t="s">
        <v>1393</v>
      </c>
      <c r="K770" s="231" t="s">
        <v>1394</v>
      </c>
      <c r="L770" s="232">
        <v>45170</v>
      </c>
      <c r="M770" s="232">
        <v>45199</v>
      </c>
    </row>
    <row r="771" spans="1:13" ht="14.25" customHeight="1" x14ac:dyDescent="0.2">
      <c r="A771" s="231" t="s">
        <v>1589</v>
      </c>
      <c r="B771" s="230">
        <v>113353</v>
      </c>
      <c r="C771" s="230">
        <v>10755</v>
      </c>
      <c r="D771" s="231" t="s">
        <v>723</v>
      </c>
      <c r="E771" s="230">
        <v>14491032</v>
      </c>
      <c r="F771" s="230">
        <v>31140</v>
      </c>
      <c r="G771" s="230">
        <v>1</v>
      </c>
      <c r="H771" s="240">
        <v>359.46</v>
      </c>
      <c r="I771" s="240">
        <f t="shared" ref="I771:I834" si="12">G771*H771</f>
        <v>359.46</v>
      </c>
      <c r="J771" s="231" t="s">
        <v>1393</v>
      </c>
      <c r="K771" s="231" t="s">
        <v>1394</v>
      </c>
      <c r="L771" s="232">
        <v>45170</v>
      </c>
      <c r="M771" s="232">
        <v>45199</v>
      </c>
    </row>
    <row r="772" spans="1:13" ht="14.25" customHeight="1" x14ac:dyDescent="0.2">
      <c r="A772" s="231" t="s">
        <v>1589</v>
      </c>
      <c r="B772" s="230">
        <v>113361</v>
      </c>
      <c r="C772" s="230">
        <v>10748</v>
      </c>
      <c r="D772" s="231" t="s">
        <v>729</v>
      </c>
      <c r="E772" s="230">
        <v>14491032</v>
      </c>
      <c r="F772" s="230">
        <v>31156</v>
      </c>
      <c r="G772" s="230">
        <v>1</v>
      </c>
      <c r="H772" s="240">
        <v>359.46</v>
      </c>
      <c r="I772" s="240">
        <f t="shared" si="12"/>
        <v>359.46</v>
      </c>
      <c r="J772" s="231" t="s">
        <v>1393</v>
      </c>
      <c r="K772" s="231" t="s">
        <v>1394</v>
      </c>
      <c r="L772" s="232">
        <v>45170</v>
      </c>
      <c r="M772" s="232">
        <v>45199</v>
      </c>
    </row>
    <row r="773" spans="1:13" ht="14.25" customHeight="1" x14ac:dyDescent="0.2">
      <c r="A773" s="231" t="s">
        <v>1589</v>
      </c>
      <c r="B773" s="230">
        <v>113365</v>
      </c>
      <c r="C773" s="230">
        <v>10761</v>
      </c>
      <c r="D773" s="231" t="s">
        <v>648</v>
      </c>
      <c r="E773" s="230">
        <v>14491032</v>
      </c>
      <c r="F773" s="230">
        <v>31164</v>
      </c>
      <c r="G773" s="230">
        <v>1</v>
      </c>
      <c r="H773" s="240">
        <v>359.46</v>
      </c>
      <c r="I773" s="240">
        <f t="shared" si="12"/>
        <v>359.46</v>
      </c>
      <c r="J773" s="231" t="s">
        <v>1393</v>
      </c>
      <c r="K773" s="231" t="s">
        <v>1394</v>
      </c>
      <c r="L773" s="232">
        <v>45170</v>
      </c>
      <c r="M773" s="232">
        <v>45199</v>
      </c>
    </row>
    <row r="774" spans="1:13" ht="14.25" customHeight="1" x14ac:dyDescent="0.2">
      <c r="A774" s="231" t="s">
        <v>1589</v>
      </c>
      <c r="B774" s="230">
        <v>113367</v>
      </c>
      <c r="C774" s="230">
        <v>10768</v>
      </c>
      <c r="D774" s="231" t="s">
        <v>734</v>
      </c>
      <c r="E774" s="230">
        <v>14491032</v>
      </c>
      <c r="F774" s="230">
        <v>31168</v>
      </c>
      <c r="G774" s="230">
        <v>1</v>
      </c>
      <c r="H774" s="240">
        <v>359.46</v>
      </c>
      <c r="I774" s="240">
        <f t="shared" si="12"/>
        <v>359.46</v>
      </c>
      <c r="J774" s="231" t="s">
        <v>1393</v>
      </c>
      <c r="K774" s="231" t="s">
        <v>1394</v>
      </c>
      <c r="L774" s="232">
        <v>45170</v>
      </c>
      <c r="M774" s="232">
        <v>45199</v>
      </c>
    </row>
    <row r="775" spans="1:13" ht="14.25" customHeight="1" x14ac:dyDescent="0.2">
      <c r="A775" s="231" t="s">
        <v>1589</v>
      </c>
      <c r="B775" s="230">
        <v>113389</v>
      </c>
      <c r="C775" s="230">
        <v>10768</v>
      </c>
      <c r="D775" s="231" t="s">
        <v>748</v>
      </c>
      <c r="E775" s="230">
        <v>14491032</v>
      </c>
      <c r="F775" s="230">
        <v>31212</v>
      </c>
      <c r="G775" s="230">
        <v>1</v>
      </c>
      <c r="H775" s="240">
        <v>359.46</v>
      </c>
      <c r="I775" s="240">
        <f t="shared" si="12"/>
        <v>359.46</v>
      </c>
      <c r="J775" s="231" t="s">
        <v>1393</v>
      </c>
      <c r="K775" s="231" t="s">
        <v>1394</v>
      </c>
      <c r="L775" s="232">
        <v>45170</v>
      </c>
      <c r="M775" s="232">
        <v>45199</v>
      </c>
    </row>
    <row r="776" spans="1:13" ht="14.25" customHeight="1" x14ac:dyDescent="0.2">
      <c r="A776" s="231" t="s">
        <v>1589</v>
      </c>
      <c r="B776" s="230">
        <v>113400</v>
      </c>
      <c r="C776" s="230">
        <v>10767</v>
      </c>
      <c r="D776" s="231" t="s">
        <v>757</v>
      </c>
      <c r="E776" s="230">
        <v>14491032</v>
      </c>
      <c r="F776" s="230">
        <v>31234</v>
      </c>
      <c r="G776" s="230">
        <v>1</v>
      </c>
      <c r="H776" s="240">
        <v>359.46</v>
      </c>
      <c r="I776" s="240">
        <f t="shared" si="12"/>
        <v>359.46</v>
      </c>
      <c r="J776" s="231" t="s">
        <v>1393</v>
      </c>
      <c r="K776" s="231" t="s">
        <v>1394</v>
      </c>
      <c r="L776" s="232">
        <v>45170</v>
      </c>
      <c r="M776" s="232">
        <v>45199</v>
      </c>
    </row>
    <row r="777" spans="1:13" ht="14.25" customHeight="1" x14ac:dyDescent="0.2">
      <c r="A777" s="231" t="s">
        <v>1589</v>
      </c>
      <c r="B777" s="230">
        <v>113407</v>
      </c>
      <c r="C777" s="230">
        <v>10745</v>
      </c>
      <c r="D777" s="231" t="s">
        <v>761</v>
      </c>
      <c r="E777" s="230">
        <v>14491032</v>
      </c>
      <c r="F777" s="230">
        <v>31248</v>
      </c>
      <c r="G777" s="230">
        <v>1</v>
      </c>
      <c r="H777" s="240">
        <v>359.46</v>
      </c>
      <c r="I777" s="240">
        <f t="shared" si="12"/>
        <v>359.46</v>
      </c>
      <c r="J777" s="231" t="s">
        <v>1393</v>
      </c>
      <c r="K777" s="231" t="s">
        <v>1394</v>
      </c>
      <c r="L777" s="232">
        <v>45170</v>
      </c>
      <c r="M777" s="232">
        <v>45199</v>
      </c>
    </row>
    <row r="778" spans="1:13" ht="14.25" customHeight="1" x14ac:dyDescent="0.2">
      <c r="A778" s="231" t="s">
        <v>1589</v>
      </c>
      <c r="B778" s="230">
        <v>113419</v>
      </c>
      <c r="C778" s="230">
        <v>10743</v>
      </c>
      <c r="D778" s="231" t="s">
        <v>1316</v>
      </c>
      <c r="E778" s="230">
        <v>14491032</v>
      </c>
      <c r="F778" s="230">
        <v>31272</v>
      </c>
      <c r="G778" s="230">
        <v>1</v>
      </c>
      <c r="H778" s="240">
        <v>359.46</v>
      </c>
      <c r="I778" s="240">
        <f t="shared" si="12"/>
        <v>359.46</v>
      </c>
      <c r="J778" s="231" t="s">
        <v>1393</v>
      </c>
      <c r="K778" s="231" t="s">
        <v>1394</v>
      </c>
      <c r="L778" s="232">
        <v>45170</v>
      </c>
      <c r="M778" s="232">
        <v>45199</v>
      </c>
    </row>
    <row r="779" spans="1:13" ht="14.25" customHeight="1" x14ac:dyDescent="0.2">
      <c r="A779" s="231" t="s">
        <v>1589</v>
      </c>
      <c r="B779" s="230">
        <v>113421</v>
      </c>
      <c r="C779" s="230">
        <v>10761</v>
      </c>
      <c r="D779" s="231" t="s">
        <v>772</v>
      </c>
      <c r="E779" s="230">
        <v>14491032</v>
      </c>
      <c r="F779" s="230">
        <v>31276</v>
      </c>
      <c r="G779" s="230">
        <v>1</v>
      </c>
      <c r="H779" s="240">
        <v>359.46</v>
      </c>
      <c r="I779" s="240">
        <f t="shared" si="12"/>
        <v>359.46</v>
      </c>
      <c r="J779" s="231" t="s">
        <v>1393</v>
      </c>
      <c r="K779" s="231" t="s">
        <v>1394</v>
      </c>
      <c r="L779" s="232">
        <v>45170</v>
      </c>
      <c r="M779" s="232">
        <v>45199</v>
      </c>
    </row>
    <row r="780" spans="1:13" ht="14.25" customHeight="1" x14ac:dyDescent="0.2">
      <c r="A780" s="231" t="s">
        <v>1589</v>
      </c>
      <c r="B780" s="230">
        <v>113433</v>
      </c>
      <c r="C780" s="230">
        <v>10771</v>
      </c>
      <c r="D780" s="231" t="s">
        <v>1352</v>
      </c>
      <c r="E780" s="230">
        <v>14491032</v>
      </c>
      <c r="F780" s="230">
        <v>31300</v>
      </c>
      <c r="G780" s="230">
        <v>1</v>
      </c>
      <c r="H780" s="240">
        <v>359.46</v>
      </c>
      <c r="I780" s="240">
        <f t="shared" si="12"/>
        <v>359.46</v>
      </c>
      <c r="J780" s="231" t="s">
        <v>1393</v>
      </c>
      <c r="K780" s="231" t="s">
        <v>1394</v>
      </c>
      <c r="L780" s="232">
        <v>45170</v>
      </c>
      <c r="M780" s="232">
        <v>45199</v>
      </c>
    </row>
    <row r="781" spans="1:13" ht="14.25" customHeight="1" x14ac:dyDescent="0.2">
      <c r="A781" s="231" t="s">
        <v>1589</v>
      </c>
      <c r="B781" s="230">
        <v>113441</v>
      </c>
      <c r="C781" s="230">
        <v>10761</v>
      </c>
      <c r="D781" s="231" t="s">
        <v>783</v>
      </c>
      <c r="E781" s="230">
        <v>14491032</v>
      </c>
      <c r="F781" s="230">
        <v>31316</v>
      </c>
      <c r="G781" s="230">
        <v>1</v>
      </c>
      <c r="H781" s="240">
        <v>359.46</v>
      </c>
      <c r="I781" s="240">
        <f t="shared" si="12"/>
        <v>359.46</v>
      </c>
      <c r="J781" s="231" t="s">
        <v>1393</v>
      </c>
      <c r="K781" s="231" t="s">
        <v>1394</v>
      </c>
      <c r="L781" s="232">
        <v>45170</v>
      </c>
      <c r="M781" s="232">
        <v>45199</v>
      </c>
    </row>
    <row r="782" spans="1:13" ht="14.25" customHeight="1" x14ac:dyDescent="0.2">
      <c r="A782" s="231" t="s">
        <v>1589</v>
      </c>
      <c r="B782" s="230">
        <v>113447</v>
      </c>
      <c r="C782" s="230">
        <v>10743</v>
      </c>
      <c r="D782" s="231" t="s">
        <v>786</v>
      </c>
      <c r="E782" s="230">
        <v>14491032</v>
      </c>
      <c r="F782" s="230">
        <v>31328</v>
      </c>
      <c r="G782" s="230">
        <v>1</v>
      </c>
      <c r="H782" s="240">
        <v>359.46</v>
      </c>
      <c r="I782" s="240">
        <f t="shared" si="12"/>
        <v>359.46</v>
      </c>
      <c r="J782" s="231" t="s">
        <v>1393</v>
      </c>
      <c r="K782" s="231" t="s">
        <v>1394</v>
      </c>
      <c r="L782" s="232">
        <v>45170</v>
      </c>
      <c r="M782" s="232">
        <v>45199</v>
      </c>
    </row>
    <row r="783" spans="1:13" ht="14.25" customHeight="1" x14ac:dyDescent="0.2">
      <c r="A783" s="231" t="s">
        <v>1589</v>
      </c>
      <c r="B783" s="230">
        <v>113460</v>
      </c>
      <c r="C783" s="230">
        <v>10768</v>
      </c>
      <c r="D783" s="231" t="s">
        <v>793</v>
      </c>
      <c r="E783" s="230">
        <v>14491032</v>
      </c>
      <c r="F783" s="230">
        <v>31354</v>
      </c>
      <c r="G783" s="230">
        <v>1</v>
      </c>
      <c r="H783" s="240">
        <v>359.46</v>
      </c>
      <c r="I783" s="240">
        <f t="shared" si="12"/>
        <v>359.46</v>
      </c>
      <c r="J783" s="231" t="s">
        <v>1393</v>
      </c>
      <c r="K783" s="231" t="s">
        <v>1394</v>
      </c>
      <c r="L783" s="232">
        <v>45170</v>
      </c>
      <c r="M783" s="232">
        <v>45199</v>
      </c>
    </row>
    <row r="784" spans="1:13" ht="14.25" customHeight="1" x14ac:dyDescent="0.2">
      <c r="A784" s="231" t="s">
        <v>1589</v>
      </c>
      <c r="B784" s="230">
        <v>113478</v>
      </c>
      <c r="C784" s="230">
        <v>10762</v>
      </c>
      <c r="D784" s="231" t="s">
        <v>803</v>
      </c>
      <c r="E784" s="230">
        <v>14491032</v>
      </c>
      <c r="F784" s="230">
        <v>31390</v>
      </c>
      <c r="G784" s="230">
        <v>1</v>
      </c>
      <c r="H784" s="240">
        <v>359.46</v>
      </c>
      <c r="I784" s="240">
        <f t="shared" si="12"/>
        <v>359.46</v>
      </c>
      <c r="J784" s="231" t="s">
        <v>1393</v>
      </c>
      <c r="K784" s="231" t="s">
        <v>1394</v>
      </c>
      <c r="L784" s="232">
        <v>45170</v>
      </c>
      <c r="M784" s="232">
        <v>45199</v>
      </c>
    </row>
    <row r="785" spans="1:13" ht="14.25" customHeight="1" x14ac:dyDescent="0.2">
      <c r="A785" s="231" t="s">
        <v>1589</v>
      </c>
      <c r="B785" s="230">
        <v>113482</v>
      </c>
      <c r="C785" s="230">
        <v>10771</v>
      </c>
      <c r="D785" s="231" t="s">
        <v>805</v>
      </c>
      <c r="E785" s="230">
        <v>14491032</v>
      </c>
      <c r="F785" s="230">
        <v>31398</v>
      </c>
      <c r="G785" s="230">
        <v>1</v>
      </c>
      <c r="H785" s="240">
        <v>359.46</v>
      </c>
      <c r="I785" s="240">
        <f t="shared" si="12"/>
        <v>359.46</v>
      </c>
      <c r="J785" s="231" t="s">
        <v>1393</v>
      </c>
      <c r="K785" s="231" t="s">
        <v>1394</v>
      </c>
      <c r="L785" s="232">
        <v>45170</v>
      </c>
      <c r="M785" s="232">
        <v>45199</v>
      </c>
    </row>
    <row r="786" spans="1:13" ht="14.25" customHeight="1" x14ac:dyDescent="0.2">
      <c r="A786" s="231" t="s">
        <v>1589</v>
      </c>
      <c r="B786" s="230">
        <v>113486</v>
      </c>
      <c r="C786" s="230">
        <v>10762</v>
      </c>
      <c r="D786" s="231" t="s">
        <v>806</v>
      </c>
      <c r="E786" s="230">
        <v>14491032</v>
      </c>
      <c r="F786" s="230">
        <v>31406</v>
      </c>
      <c r="G786" s="230">
        <v>1</v>
      </c>
      <c r="H786" s="240">
        <v>359.46</v>
      </c>
      <c r="I786" s="240">
        <f t="shared" si="12"/>
        <v>359.46</v>
      </c>
      <c r="J786" s="231" t="s">
        <v>1393</v>
      </c>
      <c r="K786" s="231" t="s">
        <v>1394</v>
      </c>
      <c r="L786" s="232">
        <v>45170</v>
      </c>
      <c r="M786" s="232">
        <v>45199</v>
      </c>
    </row>
    <row r="787" spans="1:13" ht="14.25" customHeight="1" x14ac:dyDescent="0.2">
      <c r="A787" s="231" t="s">
        <v>1589</v>
      </c>
      <c r="B787" s="230">
        <v>113490</v>
      </c>
      <c r="C787" s="230">
        <v>10771</v>
      </c>
      <c r="D787" s="231" t="s">
        <v>809</v>
      </c>
      <c r="E787" s="230">
        <v>14491032</v>
      </c>
      <c r="F787" s="230">
        <v>31414</v>
      </c>
      <c r="G787" s="230">
        <v>1</v>
      </c>
      <c r="H787" s="240">
        <v>359.46</v>
      </c>
      <c r="I787" s="240">
        <f t="shared" si="12"/>
        <v>359.46</v>
      </c>
      <c r="J787" s="231" t="s">
        <v>1393</v>
      </c>
      <c r="K787" s="231" t="s">
        <v>1394</v>
      </c>
      <c r="L787" s="232">
        <v>45170</v>
      </c>
      <c r="M787" s="232">
        <v>45199</v>
      </c>
    </row>
    <row r="788" spans="1:13" ht="14.25" customHeight="1" x14ac:dyDescent="0.2">
      <c r="A788" s="231" t="s">
        <v>1589</v>
      </c>
      <c r="B788" s="230">
        <v>113508</v>
      </c>
      <c r="C788" s="230">
        <v>10757</v>
      </c>
      <c r="D788" s="231" t="s">
        <v>818</v>
      </c>
      <c r="E788" s="230">
        <v>14491032</v>
      </c>
      <c r="F788" s="230">
        <v>31450</v>
      </c>
      <c r="G788" s="230">
        <v>1</v>
      </c>
      <c r="H788" s="240">
        <v>359.46</v>
      </c>
      <c r="I788" s="240">
        <f t="shared" si="12"/>
        <v>359.46</v>
      </c>
      <c r="J788" s="231" t="s">
        <v>1393</v>
      </c>
      <c r="K788" s="231" t="s">
        <v>1394</v>
      </c>
      <c r="L788" s="232">
        <v>45170</v>
      </c>
      <c r="M788" s="232">
        <v>45199</v>
      </c>
    </row>
    <row r="789" spans="1:13" ht="14.25" customHeight="1" x14ac:dyDescent="0.2">
      <c r="A789" s="231" t="s">
        <v>1589</v>
      </c>
      <c r="B789" s="230">
        <v>113510</v>
      </c>
      <c r="C789" s="230">
        <v>10755</v>
      </c>
      <c r="D789" s="231" t="s">
        <v>819</v>
      </c>
      <c r="E789" s="230">
        <v>14491032</v>
      </c>
      <c r="F789" s="230">
        <v>31454</v>
      </c>
      <c r="G789" s="230">
        <v>1</v>
      </c>
      <c r="H789" s="240">
        <v>359.46</v>
      </c>
      <c r="I789" s="240">
        <f t="shared" si="12"/>
        <v>359.46</v>
      </c>
      <c r="J789" s="231" t="s">
        <v>1393</v>
      </c>
      <c r="K789" s="231" t="s">
        <v>1394</v>
      </c>
      <c r="L789" s="232">
        <v>45170</v>
      </c>
      <c r="M789" s="232">
        <v>45199</v>
      </c>
    </row>
    <row r="790" spans="1:13" ht="14.25" customHeight="1" x14ac:dyDescent="0.2">
      <c r="A790" s="231" t="s">
        <v>1589</v>
      </c>
      <c r="B790" s="230">
        <v>113529</v>
      </c>
      <c r="C790" s="230">
        <v>10755</v>
      </c>
      <c r="D790" s="231" t="s">
        <v>828</v>
      </c>
      <c r="E790" s="230">
        <v>14491032</v>
      </c>
      <c r="F790" s="230">
        <v>31492</v>
      </c>
      <c r="G790" s="230">
        <v>1</v>
      </c>
      <c r="H790" s="240">
        <v>359.46</v>
      </c>
      <c r="I790" s="240">
        <f t="shared" si="12"/>
        <v>359.46</v>
      </c>
      <c r="J790" s="231" t="s">
        <v>1393</v>
      </c>
      <c r="K790" s="231" t="s">
        <v>1394</v>
      </c>
      <c r="L790" s="232">
        <v>45170</v>
      </c>
      <c r="M790" s="232">
        <v>45199</v>
      </c>
    </row>
    <row r="791" spans="1:13" ht="14.25" customHeight="1" x14ac:dyDescent="0.2">
      <c r="A791" s="231" t="s">
        <v>1589</v>
      </c>
      <c r="B791" s="230">
        <v>113535</v>
      </c>
      <c r="C791" s="230">
        <v>10771</v>
      </c>
      <c r="D791" s="231" t="s">
        <v>833</v>
      </c>
      <c r="E791" s="230">
        <v>14491032</v>
      </c>
      <c r="F791" s="230">
        <v>31504</v>
      </c>
      <c r="G791" s="230">
        <v>1</v>
      </c>
      <c r="H791" s="240">
        <v>359.46</v>
      </c>
      <c r="I791" s="240">
        <f t="shared" si="12"/>
        <v>359.46</v>
      </c>
      <c r="J791" s="231" t="s">
        <v>1393</v>
      </c>
      <c r="K791" s="231" t="s">
        <v>1394</v>
      </c>
      <c r="L791" s="232">
        <v>45170</v>
      </c>
      <c r="M791" s="232">
        <v>45199</v>
      </c>
    </row>
    <row r="792" spans="1:13" ht="14.25" customHeight="1" x14ac:dyDescent="0.2">
      <c r="A792" s="231" t="s">
        <v>1589</v>
      </c>
      <c r="B792" s="230">
        <v>113540</v>
      </c>
      <c r="C792" s="230">
        <v>10745</v>
      </c>
      <c r="D792" s="231" t="s">
        <v>836</v>
      </c>
      <c r="E792" s="230">
        <v>14491032</v>
      </c>
      <c r="F792" s="230">
        <v>31514</v>
      </c>
      <c r="G792" s="230">
        <v>1</v>
      </c>
      <c r="H792" s="240">
        <v>359.46</v>
      </c>
      <c r="I792" s="240">
        <f t="shared" si="12"/>
        <v>359.46</v>
      </c>
      <c r="J792" s="231" t="s">
        <v>1393</v>
      </c>
      <c r="K792" s="231" t="s">
        <v>1394</v>
      </c>
      <c r="L792" s="232">
        <v>45170</v>
      </c>
      <c r="M792" s="232">
        <v>45199</v>
      </c>
    </row>
    <row r="793" spans="1:13" ht="14.25" customHeight="1" x14ac:dyDescent="0.2">
      <c r="A793" s="231" t="s">
        <v>1589</v>
      </c>
      <c r="B793" s="230">
        <v>113541</v>
      </c>
      <c r="C793" s="230">
        <v>10771</v>
      </c>
      <c r="D793" s="231" t="s">
        <v>837</v>
      </c>
      <c r="E793" s="230">
        <v>14491032</v>
      </c>
      <c r="F793" s="230">
        <v>31516</v>
      </c>
      <c r="G793" s="230">
        <v>1</v>
      </c>
      <c r="H793" s="240">
        <v>359.46</v>
      </c>
      <c r="I793" s="240">
        <f t="shared" si="12"/>
        <v>359.46</v>
      </c>
      <c r="J793" s="231" t="s">
        <v>1393</v>
      </c>
      <c r="K793" s="231" t="s">
        <v>1394</v>
      </c>
      <c r="L793" s="232">
        <v>45170</v>
      </c>
      <c r="M793" s="232">
        <v>45199</v>
      </c>
    </row>
    <row r="794" spans="1:13" ht="14.25" customHeight="1" x14ac:dyDescent="0.2">
      <c r="A794" s="231" t="s">
        <v>1589</v>
      </c>
      <c r="B794" s="230">
        <v>113543</v>
      </c>
      <c r="C794" s="230">
        <v>10766</v>
      </c>
      <c r="D794" s="231" t="s">
        <v>838</v>
      </c>
      <c r="E794" s="230">
        <v>14491032</v>
      </c>
      <c r="F794" s="230">
        <v>31520</v>
      </c>
      <c r="G794" s="230">
        <v>1</v>
      </c>
      <c r="H794" s="240">
        <v>359.46</v>
      </c>
      <c r="I794" s="240">
        <f t="shared" si="12"/>
        <v>359.46</v>
      </c>
      <c r="J794" s="231" t="s">
        <v>1393</v>
      </c>
      <c r="K794" s="231" t="s">
        <v>1394</v>
      </c>
      <c r="L794" s="232">
        <v>45170</v>
      </c>
      <c r="M794" s="232">
        <v>45199</v>
      </c>
    </row>
    <row r="795" spans="1:13" ht="14.25" customHeight="1" x14ac:dyDescent="0.2">
      <c r="A795" s="231" t="s">
        <v>1589</v>
      </c>
      <c r="B795" s="230">
        <v>113546</v>
      </c>
      <c r="C795" s="230">
        <v>10768</v>
      </c>
      <c r="D795" s="231" t="s">
        <v>840</v>
      </c>
      <c r="E795" s="230">
        <v>14491032</v>
      </c>
      <c r="F795" s="230">
        <v>31526</v>
      </c>
      <c r="G795" s="230">
        <v>1</v>
      </c>
      <c r="H795" s="240">
        <v>359.46</v>
      </c>
      <c r="I795" s="240">
        <f t="shared" si="12"/>
        <v>359.46</v>
      </c>
      <c r="J795" s="231" t="s">
        <v>1393</v>
      </c>
      <c r="K795" s="231" t="s">
        <v>1394</v>
      </c>
      <c r="L795" s="232">
        <v>45170</v>
      </c>
      <c r="M795" s="232">
        <v>45199</v>
      </c>
    </row>
    <row r="796" spans="1:13" ht="14.25" customHeight="1" x14ac:dyDescent="0.2">
      <c r="A796" s="231" t="s">
        <v>1589</v>
      </c>
      <c r="B796" s="230">
        <v>113552</v>
      </c>
      <c r="C796" s="230">
        <v>10768</v>
      </c>
      <c r="D796" s="231" t="s">
        <v>846</v>
      </c>
      <c r="E796" s="230">
        <v>14491032</v>
      </c>
      <c r="F796" s="230">
        <v>31538</v>
      </c>
      <c r="G796" s="230">
        <v>1</v>
      </c>
      <c r="H796" s="240">
        <v>359.46</v>
      </c>
      <c r="I796" s="240">
        <f t="shared" si="12"/>
        <v>359.46</v>
      </c>
      <c r="J796" s="231" t="s">
        <v>1393</v>
      </c>
      <c r="K796" s="231" t="s">
        <v>1394</v>
      </c>
      <c r="L796" s="232">
        <v>45170</v>
      </c>
      <c r="M796" s="232">
        <v>45199</v>
      </c>
    </row>
    <row r="797" spans="1:13" ht="14.25" customHeight="1" x14ac:dyDescent="0.2">
      <c r="A797" s="231" t="s">
        <v>1589</v>
      </c>
      <c r="B797" s="230">
        <v>113565</v>
      </c>
      <c r="C797" s="230">
        <v>10766</v>
      </c>
      <c r="D797" s="231" t="s">
        <v>853</v>
      </c>
      <c r="E797" s="230">
        <v>14491032</v>
      </c>
      <c r="F797" s="230">
        <v>31564</v>
      </c>
      <c r="G797" s="230">
        <v>1</v>
      </c>
      <c r="H797" s="240">
        <v>359.46</v>
      </c>
      <c r="I797" s="240">
        <f t="shared" si="12"/>
        <v>359.46</v>
      </c>
      <c r="J797" s="231" t="s">
        <v>1393</v>
      </c>
      <c r="K797" s="231" t="s">
        <v>1394</v>
      </c>
      <c r="L797" s="232">
        <v>45170</v>
      </c>
      <c r="M797" s="232">
        <v>45199</v>
      </c>
    </row>
    <row r="798" spans="1:13" ht="14.25" customHeight="1" x14ac:dyDescent="0.2">
      <c r="A798" s="231" t="s">
        <v>1589</v>
      </c>
      <c r="B798" s="230">
        <v>113568</v>
      </c>
      <c r="C798" s="230">
        <v>10761</v>
      </c>
      <c r="D798" s="231" t="s">
        <v>855</v>
      </c>
      <c r="E798" s="230">
        <v>14491032</v>
      </c>
      <c r="F798" s="230">
        <v>31570</v>
      </c>
      <c r="G798" s="230">
        <v>1</v>
      </c>
      <c r="H798" s="240">
        <v>359.46</v>
      </c>
      <c r="I798" s="240">
        <f t="shared" si="12"/>
        <v>359.46</v>
      </c>
      <c r="J798" s="231" t="s">
        <v>1393</v>
      </c>
      <c r="K798" s="231" t="s">
        <v>1394</v>
      </c>
      <c r="L798" s="232">
        <v>45170</v>
      </c>
      <c r="M798" s="232">
        <v>45199</v>
      </c>
    </row>
    <row r="799" spans="1:13" ht="14.25" customHeight="1" x14ac:dyDescent="0.2">
      <c r="A799" s="231" t="s">
        <v>1589</v>
      </c>
      <c r="B799" s="230">
        <v>113577</v>
      </c>
      <c r="C799" s="230">
        <v>10767</v>
      </c>
      <c r="D799" s="231" t="s">
        <v>857</v>
      </c>
      <c r="E799" s="230">
        <v>14491032</v>
      </c>
      <c r="F799" s="230">
        <v>31588</v>
      </c>
      <c r="G799" s="230">
        <v>1</v>
      </c>
      <c r="H799" s="240">
        <v>359.46</v>
      </c>
      <c r="I799" s="240">
        <f t="shared" si="12"/>
        <v>359.46</v>
      </c>
      <c r="J799" s="231" t="s">
        <v>1393</v>
      </c>
      <c r="K799" s="231" t="s">
        <v>1394</v>
      </c>
      <c r="L799" s="232">
        <v>45170</v>
      </c>
      <c r="M799" s="232">
        <v>45199</v>
      </c>
    </row>
    <row r="800" spans="1:13" ht="14.25" customHeight="1" x14ac:dyDescent="0.2">
      <c r="A800" s="231" t="s">
        <v>1589</v>
      </c>
      <c r="B800" s="230">
        <v>113592</v>
      </c>
      <c r="C800" s="230">
        <v>10761</v>
      </c>
      <c r="D800" s="231" t="s">
        <v>866</v>
      </c>
      <c r="E800" s="230">
        <v>14491032</v>
      </c>
      <c r="F800" s="230">
        <v>31618</v>
      </c>
      <c r="G800" s="230">
        <v>1</v>
      </c>
      <c r="H800" s="240">
        <v>359.46</v>
      </c>
      <c r="I800" s="240">
        <f t="shared" si="12"/>
        <v>359.46</v>
      </c>
      <c r="J800" s="231" t="s">
        <v>1393</v>
      </c>
      <c r="K800" s="231" t="s">
        <v>1394</v>
      </c>
      <c r="L800" s="232">
        <v>45170</v>
      </c>
      <c r="M800" s="232">
        <v>45199</v>
      </c>
    </row>
    <row r="801" spans="1:13" ht="14.25" customHeight="1" x14ac:dyDescent="0.2">
      <c r="A801" s="231" t="s">
        <v>1589</v>
      </c>
      <c r="B801" s="230">
        <v>113599</v>
      </c>
      <c r="C801" s="230">
        <v>10762</v>
      </c>
      <c r="D801" s="231" t="s">
        <v>869</v>
      </c>
      <c r="E801" s="230">
        <v>14491032</v>
      </c>
      <c r="F801" s="230">
        <v>31632</v>
      </c>
      <c r="G801" s="230">
        <v>1</v>
      </c>
      <c r="H801" s="240">
        <v>359.46</v>
      </c>
      <c r="I801" s="240">
        <f t="shared" si="12"/>
        <v>359.46</v>
      </c>
      <c r="J801" s="231" t="s">
        <v>1393</v>
      </c>
      <c r="K801" s="231" t="s">
        <v>1394</v>
      </c>
      <c r="L801" s="232">
        <v>45170</v>
      </c>
      <c r="M801" s="232">
        <v>45199</v>
      </c>
    </row>
    <row r="802" spans="1:13" ht="14.25" customHeight="1" x14ac:dyDescent="0.2">
      <c r="A802" s="231" t="s">
        <v>1589</v>
      </c>
      <c r="B802" s="230">
        <v>113602</v>
      </c>
      <c r="C802" s="230">
        <v>10755</v>
      </c>
      <c r="D802" s="231" t="s">
        <v>870</v>
      </c>
      <c r="E802" s="230">
        <v>14491032</v>
      </c>
      <c r="F802" s="230">
        <v>31638</v>
      </c>
      <c r="G802" s="230">
        <v>1</v>
      </c>
      <c r="H802" s="240">
        <v>359.46</v>
      </c>
      <c r="I802" s="240">
        <f t="shared" si="12"/>
        <v>359.46</v>
      </c>
      <c r="J802" s="231" t="s">
        <v>1393</v>
      </c>
      <c r="K802" s="231" t="s">
        <v>1394</v>
      </c>
      <c r="L802" s="232">
        <v>45170</v>
      </c>
      <c r="M802" s="232">
        <v>45199</v>
      </c>
    </row>
    <row r="803" spans="1:13" ht="14.25" customHeight="1" x14ac:dyDescent="0.2">
      <c r="A803" s="231" t="s">
        <v>1589</v>
      </c>
      <c r="B803" s="230">
        <v>113607</v>
      </c>
      <c r="C803" s="230">
        <v>10757</v>
      </c>
      <c r="D803" s="231" t="s">
        <v>872</v>
      </c>
      <c r="E803" s="230">
        <v>14491032</v>
      </c>
      <c r="F803" s="230">
        <v>31648</v>
      </c>
      <c r="G803" s="230">
        <v>1</v>
      </c>
      <c r="H803" s="240">
        <v>359.46</v>
      </c>
      <c r="I803" s="240">
        <f t="shared" si="12"/>
        <v>359.46</v>
      </c>
      <c r="J803" s="231" t="s">
        <v>1393</v>
      </c>
      <c r="K803" s="231" t="s">
        <v>1394</v>
      </c>
      <c r="L803" s="232">
        <v>45170</v>
      </c>
      <c r="M803" s="232">
        <v>45199</v>
      </c>
    </row>
    <row r="804" spans="1:13" ht="14.25" customHeight="1" x14ac:dyDescent="0.2">
      <c r="A804" s="231" t="s">
        <v>1589</v>
      </c>
      <c r="B804" s="230">
        <v>113614</v>
      </c>
      <c r="C804" s="230">
        <v>10767</v>
      </c>
      <c r="D804" s="231" t="s">
        <v>781</v>
      </c>
      <c r="E804" s="230">
        <v>14491032</v>
      </c>
      <c r="F804" s="230">
        <v>31662</v>
      </c>
      <c r="G804" s="230">
        <v>1</v>
      </c>
      <c r="H804" s="240">
        <v>359.46</v>
      </c>
      <c r="I804" s="240">
        <f t="shared" si="12"/>
        <v>359.46</v>
      </c>
      <c r="J804" s="231" t="s">
        <v>1393</v>
      </c>
      <c r="K804" s="231" t="s">
        <v>1394</v>
      </c>
      <c r="L804" s="232">
        <v>45170</v>
      </c>
      <c r="M804" s="232">
        <v>45199</v>
      </c>
    </row>
    <row r="805" spans="1:13" ht="14.25" customHeight="1" x14ac:dyDescent="0.2">
      <c r="A805" s="231" t="s">
        <v>1589</v>
      </c>
      <c r="B805" s="230">
        <v>113617</v>
      </c>
      <c r="C805" s="230">
        <v>10761</v>
      </c>
      <c r="D805" s="231" t="s">
        <v>877</v>
      </c>
      <c r="E805" s="230">
        <v>14491032</v>
      </c>
      <c r="F805" s="230">
        <v>31668</v>
      </c>
      <c r="G805" s="230">
        <v>1</v>
      </c>
      <c r="H805" s="240">
        <v>359.46</v>
      </c>
      <c r="I805" s="240">
        <f t="shared" si="12"/>
        <v>359.46</v>
      </c>
      <c r="J805" s="231" t="s">
        <v>1393</v>
      </c>
      <c r="K805" s="231" t="s">
        <v>1394</v>
      </c>
      <c r="L805" s="232">
        <v>45170</v>
      </c>
      <c r="M805" s="232">
        <v>45199</v>
      </c>
    </row>
    <row r="806" spans="1:13" ht="14.25" customHeight="1" x14ac:dyDescent="0.2">
      <c r="A806" s="231" t="s">
        <v>1589</v>
      </c>
      <c r="B806" s="230">
        <v>113618</v>
      </c>
      <c r="C806" s="230">
        <v>10762</v>
      </c>
      <c r="D806" s="231" t="s">
        <v>1355</v>
      </c>
      <c r="E806" s="230">
        <v>14491032</v>
      </c>
      <c r="F806" s="230">
        <v>31670</v>
      </c>
      <c r="G806" s="230">
        <v>1</v>
      </c>
      <c r="H806" s="240">
        <v>359.46</v>
      </c>
      <c r="I806" s="240">
        <f t="shared" si="12"/>
        <v>359.46</v>
      </c>
      <c r="J806" s="231" t="s">
        <v>1393</v>
      </c>
      <c r="K806" s="231" t="s">
        <v>1394</v>
      </c>
      <c r="L806" s="232">
        <v>45170</v>
      </c>
      <c r="M806" s="232">
        <v>45199</v>
      </c>
    </row>
    <row r="807" spans="1:13" ht="14.25" customHeight="1" x14ac:dyDescent="0.2">
      <c r="A807" s="231" t="s">
        <v>1589</v>
      </c>
      <c r="B807" s="230">
        <v>113626</v>
      </c>
      <c r="C807" s="230">
        <v>10771</v>
      </c>
      <c r="D807" s="231" t="s">
        <v>882</v>
      </c>
      <c r="E807" s="230">
        <v>14491032</v>
      </c>
      <c r="F807" s="230">
        <v>31686</v>
      </c>
      <c r="G807" s="230">
        <v>1</v>
      </c>
      <c r="H807" s="240">
        <v>359.46</v>
      </c>
      <c r="I807" s="240">
        <f t="shared" si="12"/>
        <v>359.46</v>
      </c>
      <c r="J807" s="231" t="s">
        <v>1393</v>
      </c>
      <c r="K807" s="231" t="s">
        <v>1394</v>
      </c>
      <c r="L807" s="232">
        <v>45170</v>
      </c>
      <c r="M807" s="232">
        <v>45199</v>
      </c>
    </row>
    <row r="808" spans="1:13" ht="14.25" customHeight="1" x14ac:dyDescent="0.2">
      <c r="A808" s="231" t="s">
        <v>1589</v>
      </c>
      <c r="B808" s="230">
        <v>113628</v>
      </c>
      <c r="C808" s="230">
        <v>10756</v>
      </c>
      <c r="D808" s="231" t="s">
        <v>884</v>
      </c>
      <c r="E808" s="230">
        <v>14491032</v>
      </c>
      <c r="F808" s="230">
        <v>31690</v>
      </c>
      <c r="G808" s="230">
        <v>1</v>
      </c>
      <c r="H808" s="240">
        <v>359.46</v>
      </c>
      <c r="I808" s="240">
        <f t="shared" si="12"/>
        <v>359.46</v>
      </c>
      <c r="J808" s="231" t="s">
        <v>1393</v>
      </c>
      <c r="K808" s="231" t="s">
        <v>1394</v>
      </c>
      <c r="L808" s="232">
        <v>45170</v>
      </c>
      <c r="M808" s="232">
        <v>45199</v>
      </c>
    </row>
    <row r="809" spans="1:13" ht="14.25" customHeight="1" x14ac:dyDescent="0.2">
      <c r="A809" s="231" t="s">
        <v>1589</v>
      </c>
      <c r="B809" s="230">
        <v>113633</v>
      </c>
      <c r="C809" s="230">
        <v>10755</v>
      </c>
      <c r="D809" s="231" t="s">
        <v>887</v>
      </c>
      <c r="E809" s="230">
        <v>14491032</v>
      </c>
      <c r="F809" s="230">
        <v>31700</v>
      </c>
      <c r="G809" s="230">
        <v>1</v>
      </c>
      <c r="H809" s="240">
        <v>359.46</v>
      </c>
      <c r="I809" s="240">
        <f t="shared" si="12"/>
        <v>359.46</v>
      </c>
      <c r="J809" s="231" t="s">
        <v>1393</v>
      </c>
      <c r="K809" s="231" t="s">
        <v>1394</v>
      </c>
      <c r="L809" s="232">
        <v>45170</v>
      </c>
      <c r="M809" s="232">
        <v>45199</v>
      </c>
    </row>
    <row r="810" spans="1:13" ht="14.25" customHeight="1" x14ac:dyDescent="0.2">
      <c r="A810" s="231" t="s">
        <v>1589</v>
      </c>
      <c r="B810" s="230">
        <v>113634</v>
      </c>
      <c r="C810" s="230">
        <v>10761</v>
      </c>
      <c r="D810" s="231" t="s">
        <v>888</v>
      </c>
      <c r="E810" s="230">
        <v>14491032</v>
      </c>
      <c r="F810" s="230">
        <v>31702</v>
      </c>
      <c r="G810" s="230">
        <v>1</v>
      </c>
      <c r="H810" s="240">
        <v>359.46</v>
      </c>
      <c r="I810" s="240">
        <f t="shared" si="12"/>
        <v>359.46</v>
      </c>
      <c r="J810" s="231" t="s">
        <v>1393</v>
      </c>
      <c r="K810" s="231" t="s">
        <v>1394</v>
      </c>
      <c r="L810" s="232">
        <v>45170</v>
      </c>
      <c r="M810" s="232">
        <v>45199</v>
      </c>
    </row>
    <row r="811" spans="1:13" ht="14.25" customHeight="1" x14ac:dyDescent="0.2">
      <c r="A811" s="231" t="s">
        <v>1589</v>
      </c>
      <c r="B811" s="230">
        <v>113635</v>
      </c>
      <c r="C811" s="230">
        <v>10757</v>
      </c>
      <c r="D811" s="231" t="s">
        <v>889</v>
      </c>
      <c r="E811" s="230">
        <v>14491032</v>
      </c>
      <c r="F811" s="230">
        <v>31704</v>
      </c>
      <c r="G811" s="230">
        <v>1</v>
      </c>
      <c r="H811" s="240">
        <v>359.46</v>
      </c>
      <c r="I811" s="240">
        <f t="shared" si="12"/>
        <v>359.46</v>
      </c>
      <c r="J811" s="231" t="s">
        <v>1393</v>
      </c>
      <c r="K811" s="231" t="s">
        <v>1394</v>
      </c>
      <c r="L811" s="232">
        <v>45170</v>
      </c>
      <c r="M811" s="232">
        <v>45199</v>
      </c>
    </row>
    <row r="812" spans="1:13" ht="14.25" customHeight="1" x14ac:dyDescent="0.2">
      <c r="A812" s="231" t="s">
        <v>1589</v>
      </c>
      <c r="B812" s="230">
        <v>113637</v>
      </c>
      <c r="C812" s="230">
        <v>10768</v>
      </c>
      <c r="D812" s="231" t="s">
        <v>891</v>
      </c>
      <c r="E812" s="230">
        <v>14491032</v>
      </c>
      <c r="F812" s="230">
        <v>31708</v>
      </c>
      <c r="G812" s="230">
        <v>1</v>
      </c>
      <c r="H812" s="240">
        <v>359.46</v>
      </c>
      <c r="I812" s="240">
        <f t="shared" si="12"/>
        <v>359.46</v>
      </c>
      <c r="J812" s="231" t="s">
        <v>1393</v>
      </c>
      <c r="K812" s="231" t="s">
        <v>1394</v>
      </c>
      <c r="L812" s="232">
        <v>45170</v>
      </c>
      <c r="M812" s="232">
        <v>45199</v>
      </c>
    </row>
    <row r="813" spans="1:13" ht="14.25" customHeight="1" x14ac:dyDescent="0.2">
      <c r="A813" s="231" t="s">
        <v>1589</v>
      </c>
      <c r="B813" s="230">
        <v>113645</v>
      </c>
      <c r="C813" s="230">
        <v>10757</v>
      </c>
      <c r="D813" s="231" t="s">
        <v>894</v>
      </c>
      <c r="E813" s="230">
        <v>14491032</v>
      </c>
      <c r="F813" s="230">
        <v>31724</v>
      </c>
      <c r="G813" s="230">
        <v>1</v>
      </c>
      <c r="H813" s="240">
        <v>359.46</v>
      </c>
      <c r="I813" s="240">
        <f t="shared" si="12"/>
        <v>359.46</v>
      </c>
      <c r="J813" s="231" t="s">
        <v>1393</v>
      </c>
      <c r="K813" s="231" t="s">
        <v>1394</v>
      </c>
      <c r="L813" s="232">
        <v>45170</v>
      </c>
      <c r="M813" s="232">
        <v>45199</v>
      </c>
    </row>
    <row r="814" spans="1:13" ht="14.25" customHeight="1" x14ac:dyDescent="0.2">
      <c r="A814" s="231" t="s">
        <v>1589</v>
      </c>
      <c r="B814" s="230">
        <v>113649</v>
      </c>
      <c r="C814" s="230">
        <v>10762</v>
      </c>
      <c r="D814" s="231" t="s">
        <v>897</v>
      </c>
      <c r="E814" s="230">
        <v>14491032</v>
      </c>
      <c r="F814" s="230">
        <v>31732</v>
      </c>
      <c r="G814" s="230">
        <v>1</v>
      </c>
      <c r="H814" s="240">
        <v>359.46</v>
      </c>
      <c r="I814" s="240">
        <f t="shared" si="12"/>
        <v>359.46</v>
      </c>
      <c r="J814" s="231" t="s">
        <v>1393</v>
      </c>
      <c r="K814" s="231" t="s">
        <v>1394</v>
      </c>
      <c r="L814" s="232">
        <v>45170</v>
      </c>
      <c r="M814" s="232">
        <v>45199</v>
      </c>
    </row>
    <row r="815" spans="1:13" ht="14.25" customHeight="1" x14ac:dyDescent="0.2">
      <c r="A815" s="231" t="s">
        <v>1589</v>
      </c>
      <c r="B815" s="230">
        <v>113650</v>
      </c>
      <c r="C815" s="230">
        <v>10761</v>
      </c>
      <c r="D815" s="231" t="s">
        <v>898</v>
      </c>
      <c r="E815" s="230">
        <v>14491032</v>
      </c>
      <c r="F815" s="230">
        <v>31734</v>
      </c>
      <c r="G815" s="230">
        <v>1</v>
      </c>
      <c r="H815" s="240">
        <v>359.46</v>
      </c>
      <c r="I815" s="240">
        <f t="shared" si="12"/>
        <v>359.46</v>
      </c>
      <c r="J815" s="231" t="s">
        <v>1393</v>
      </c>
      <c r="K815" s="231" t="s">
        <v>1394</v>
      </c>
      <c r="L815" s="232">
        <v>45170</v>
      </c>
      <c r="M815" s="232">
        <v>45199</v>
      </c>
    </row>
    <row r="816" spans="1:13" ht="14.25" customHeight="1" x14ac:dyDescent="0.2">
      <c r="A816" s="231" t="s">
        <v>1589</v>
      </c>
      <c r="B816" s="230">
        <v>113651</v>
      </c>
      <c r="C816" s="230">
        <v>10762</v>
      </c>
      <c r="D816" s="231" t="s">
        <v>781</v>
      </c>
      <c r="E816" s="230">
        <v>14491032</v>
      </c>
      <c r="F816" s="230">
        <v>31736</v>
      </c>
      <c r="G816" s="230">
        <v>1</v>
      </c>
      <c r="H816" s="240">
        <v>359.46</v>
      </c>
      <c r="I816" s="240">
        <f t="shared" si="12"/>
        <v>359.46</v>
      </c>
      <c r="J816" s="231" t="s">
        <v>1393</v>
      </c>
      <c r="K816" s="231" t="s">
        <v>1394</v>
      </c>
      <c r="L816" s="232">
        <v>45170</v>
      </c>
      <c r="M816" s="232">
        <v>45199</v>
      </c>
    </row>
    <row r="817" spans="1:13" ht="14.25" customHeight="1" x14ac:dyDescent="0.2">
      <c r="A817" s="231" t="s">
        <v>1589</v>
      </c>
      <c r="B817" s="230">
        <v>113654</v>
      </c>
      <c r="C817" s="230">
        <v>10768</v>
      </c>
      <c r="D817" s="231" t="s">
        <v>899</v>
      </c>
      <c r="E817" s="230">
        <v>14491032</v>
      </c>
      <c r="F817" s="230">
        <v>31742</v>
      </c>
      <c r="G817" s="230">
        <v>1</v>
      </c>
      <c r="H817" s="240">
        <v>359.46</v>
      </c>
      <c r="I817" s="240">
        <f t="shared" si="12"/>
        <v>359.46</v>
      </c>
      <c r="J817" s="231" t="s">
        <v>1393</v>
      </c>
      <c r="K817" s="231" t="s">
        <v>1394</v>
      </c>
      <c r="L817" s="232">
        <v>45170</v>
      </c>
      <c r="M817" s="232">
        <v>45199</v>
      </c>
    </row>
    <row r="818" spans="1:13" ht="14.25" customHeight="1" x14ac:dyDescent="0.2">
      <c r="A818" s="231" t="s">
        <v>1589</v>
      </c>
      <c r="B818" s="230">
        <v>113655</v>
      </c>
      <c r="C818" s="230">
        <v>10768</v>
      </c>
      <c r="D818" s="231" t="s">
        <v>900</v>
      </c>
      <c r="E818" s="230">
        <v>14491032</v>
      </c>
      <c r="F818" s="230">
        <v>31744</v>
      </c>
      <c r="G818" s="230">
        <v>1</v>
      </c>
      <c r="H818" s="240">
        <v>359.46</v>
      </c>
      <c r="I818" s="240">
        <f t="shared" si="12"/>
        <v>359.46</v>
      </c>
      <c r="J818" s="231" t="s">
        <v>1393</v>
      </c>
      <c r="K818" s="231" t="s">
        <v>1394</v>
      </c>
      <c r="L818" s="232">
        <v>45170</v>
      </c>
      <c r="M818" s="232">
        <v>45199</v>
      </c>
    </row>
    <row r="819" spans="1:13" ht="14.25" customHeight="1" x14ac:dyDescent="0.2">
      <c r="A819" s="231" t="s">
        <v>1589</v>
      </c>
      <c r="B819" s="230">
        <v>113663</v>
      </c>
      <c r="C819" s="230">
        <v>10756</v>
      </c>
      <c r="D819" s="231" t="s">
        <v>905</v>
      </c>
      <c r="E819" s="230">
        <v>14491032</v>
      </c>
      <c r="F819" s="230">
        <v>31760</v>
      </c>
      <c r="G819" s="230">
        <v>1</v>
      </c>
      <c r="H819" s="240">
        <v>359.46</v>
      </c>
      <c r="I819" s="240">
        <f t="shared" si="12"/>
        <v>359.46</v>
      </c>
      <c r="J819" s="231" t="s">
        <v>1393</v>
      </c>
      <c r="K819" s="231" t="s">
        <v>1394</v>
      </c>
      <c r="L819" s="232">
        <v>45170</v>
      </c>
      <c r="M819" s="232">
        <v>45199</v>
      </c>
    </row>
    <row r="820" spans="1:13" ht="14.25" customHeight="1" x14ac:dyDescent="0.2">
      <c r="A820" s="231" t="s">
        <v>1589</v>
      </c>
      <c r="B820" s="230">
        <v>113666</v>
      </c>
      <c r="C820" s="230">
        <v>10771</v>
      </c>
      <c r="D820" s="231" t="s">
        <v>906</v>
      </c>
      <c r="E820" s="230">
        <v>14491032</v>
      </c>
      <c r="F820" s="230">
        <v>31766</v>
      </c>
      <c r="G820" s="230">
        <v>1</v>
      </c>
      <c r="H820" s="240">
        <v>359.46</v>
      </c>
      <c r="I820" s="240">
        <f t="shared" si="12"/>
        <v>359.46</v>
      </c>
      <c r="J820" s="231" t="s">
        <v>1393</v>
      </c>
      <c r="K820" s="231" t="s">
        <v>1394</v>
      </c>
      <c r="L820" s="232">
        <v>45170</v>
      </c>
      <c r="M820" s="232">
        <v>45199</v>
      </c>
    </row>
    <row r="821" spans="1:13" ht="14.25" customHeight="1" x14ac:dyDescent="0.2">
      <c r="A821" s="231" t="s">
        <v>1589</v>
      </c>
      <c r="B821" s="230">
        <v>113668</v>
      </c>
      <c r="C821" s="230">
        <v>10756</v>
      </c>
      <c r="D821" s="231" t="s">
        <v>908</v>
      </c>
      <c r="E821" s="230">
        <v>14491032</v>
      </c>
      <c r="F821" s="230">
        <v>31770</v>
      </c>
      <c r="G821" s="230">
        <v>1</v>
      </c>
      <c r="H821" s="240">
        <v>359.46</v>
      </c>
      <c r="I821" s="240">
        <f t="shared" si="12"/>
        <v>359.46</v>
      </c>
      <c r="J821" s="231" t="s">
        <v>1393</v>
      </c>
      <c r="K821" s="231" t="s">
        <v>1394</v>
      </c>
      <c r="L821" s="232">
        <v>45170</v>
      </c>
      <c r="M821" s="232">
        <v>45199</v>
      </c>
    </row>
    <row r="822" spans="1:13" ht="14.25" customHeight="1" x14ac:dyDescent="0.2">
      <c r="A822" s="231" t="s">
        <v>1589</v>
      </c>
      <c r="B822" s="230">
        <v>113682</v>
      </c>
      <c r="C822" s="230">
        <v>10748</v>
      </c>
      <c r="D822" s="231" t="s">
        <v>916</v>
      </c>
      <c r="E822" s="230">
        <v>14491032</v>
      </c>
      <c r="F822" s="230">
        <v>31798</v>
      </c>
      <c r="G822" s="230">
        <v>1</v>
      </c>
      <c r="H822" s="240">
        <v>359.46</v>
      </c>
      <c r="I822" s="240">
        <f t="shared" si="12"/>
        <v>359.46</v>
      </c>
      <c r="J822" s="231" t="s">
        <v>1393</v>
      </c>
      <c r="K822" s="231" t="s">
        <v>1394</v>
      </c>
      <c r="L822" s="232">
        <v>45170</v>
      </c>
      <c r="M822" s="232">
        <v>45199</v>
      </c>
    </row>
    <row r="823" spans="1:13" ht="14.25" customHeight="1" x14ac:dyDescent="0.2">
      <c r="A823" s="231" t="s">
        <v>1589</v>
      </c>
      <c r="B823" s="230">
        <v>113692</v>
      </c>
      <c r="C823" s="230">
        <v>10757</v>
      </c>
      <c r="D823" s="231" t="s">
        <v>921</v>
      </c>
      <c r="E823" s="230">
        <v>14491032</v>
      </c>
      <c r="F823" s="230">
        <v>31818</v>
      </c>
      <c r="G823" s="230">
        <v>1</v>
      </c>
      <c r="H823" s="240">
        <v>359.46</v>
      </c>
      <c r="I823" s="240">
        <f t="shared" si="12"/>
        <v>359.46</v>
      </c>
      <c r="J823" s="231" t="s">
        <v>1393</v>
      </c>
      <c r="K823" s="231" t="s">
        <v>1394</v>
      </c>
      <c r="L823" s="232">
        <v>45170</v>
      </c>
      <c r="M823" s="232">
        <v>45199</v>
      </c>
    </row>
    <row r="824" spans="1:13" ht="14.25" customHeight="1" x14ac:dyDescent="0.2">
      <c r="A824" s="231" t="s">
        <v>1589</v>
      </c>
      <c r="B824" s="230">
        <v>113694</v>
      </c>
      <c r="C824" s="230">
        <v>10762</v>
      </c>
      <c r="D824" s="231" t="s">
        <v>923</v>
      </c>
      <c r="E824" s="230">
        <v>14491032</v>
      </c>
      <c r="F824" s="230">
        <v>31822</v>
      </c>
      <c r="G824" s="230">
        <v>1</v>
      </c>
      <c r="H824" s="240">
        <v>359.46</v>
      </c>
      <c r="I824" s="240">
        <f t="shared" si="12"/>
        <v>359.46</v>
      </c>
      <c r="J824" s="231" t="s">
        <v>1393</v>
      </c>
      <c r="K824" s="231" t="s">
        <v>1394</v>
      </c>
      <c r="L824" s="232">
        <v>45170</v>
      </c>
      <c r="M824" s="232">
        <v>45199</v>
      </c>
    </row>
    <row r="825" spans="1:13" ht="14.25" customHeight="1" x14ac:dyDescent="0.2">
      <c r="A825" s="231" t="s">
        <v>1589</v>
      </c>
      <c r="B825" s="230">
        <v>113698</v>
      </c>
      <c r="C825" s="230">
        <v>10755</v>
      </c>
      <c r="D825" s="231" t="s">
        <v>925</v>
      </c>
      <c r="E825" s="230">
        <v>14491032</v>
      </c>
      <c r="F825" s="230">
        <v>31830</v>
      </c>
      <c r="G825" s="230">
        <v>1</v>
      </c>
      <c r="H825" s="240">
        <v>359.46</v>
      </c>
      <c r="I825" s="240">
        <f t="shared" si="12"/>
        <v>359.46</v>
      </c>
      <c r="J825" s="231" t="s">
        <v>1393</v>
      </c>
      <c r="K825" s="231" t="s">
        <v>1394</v>
      </c>
      <c r="L825" s="232">
        <v>45170</v>
      </c>
      <c r="M825" s="232">
        <v>45199</v>
      </c>
    </row>
    <row r="826" spans="1:13" ht="14.25" customHeight="1" x14ac:dyDescent="0.2">
      <c r="A826" s="231" t="s">
        <v>1589</v>
      </c>
      <c r="B826" s="230">
        <v>113714</v>
      </c>
      <c r="C826" s="230">
        <v>10743</v>
      </c>
      <c r="D826" s="231" t="s">
        <v>933</v>
      </c>
      <c r="E826" s="230">
        <v>14491032</v>
      </c>
      <c r="F826" s="230">
        <v>31862</v>
      </c>
      <c r="G826" s="230">
        <v>1</v>
      </c>
      <c r="H826" s="240">
        <v>359.46</v>
      </c>
      <c r="I826" s="240">
        <f t="shared" si="12"/>
        <v>359.46</v>
      </c>
      <c r="J826" s="231" t="s">
        <v>1393</v>
      </c>
      <c r="K826" s="231" t="s">
        <v>1394</v>
      </c>
      <c r="L826" s="232">
        <v>45170</v>
      </c>
      <c r="M826" s="232">
        <v>45199</v>
      </c>
    </row>
    <row r="827" spans="1:13" ht="14.25" customHeight="1" x14ac:dyDescent="0.2">
      <c r="A827" s="231" t="s">
        <v>1589</v>
      </c>
      <c r="B827" s="230">
        <v>113715</v>
      </c>
      <c r="C827" s="230">
        <v>10771</v>
      </c>
      <c r="D827" s="231" t="s">
        <v>934</v>
      </c>
      <c r="E827" s="230">
        <v>14491032</v>
      </c>
      <c r="F827" s="230">
        <v>31864</v>
      </c>
      <c r="G827" s="230">
        <v>1</v>
      </c>
      <c r="H827" s="240">
        <v>359.46</v>
      </c>
      <c r="I827" s="240">
        <f t="shared" si="12"/>
        <v>359.46</v>
      </c>
      <c r="J827" s="231" t="s">
        <v>1393</v>
      </c>
      <c r="K827" s="231" t="s">
        <v>1394</v>
      </c>
      <c r="L827" s="232">
        <v>45170</v>
      </c>
      <c r="M827" s="232">
        <v>45199</v>
      </c>
    </row>
    <row r="828" spans="1:13" ht="14.25" customHeight="1" x14ac:dyDescent="0.2">
      <c r="A828" s="231" t="s">
        <v>1589</v>
      </c>
      <c r="B828" s="230">
        <v>113723</v>
      </c>
      <c r="C828" s="230">
        <v>10771</v>
      </c>
      <c r="D828" s="231" t="s">
        <v>940</v>
      </c>
      <c r="E828" s="230">
        <v>14491032</v>
      </c>
      <c r="F828" s="230">
        <v>31880</v>
      </c>
      <c r="G828" s="230">
        <v>1</v>
      </c>
      <c r="H828" s="240">
        <v>359.46</v>
      </c>
      <c r="I828" s="240">
        <f t="shared" si="12"/>
        <v>359.46</v>
      </c>
      <c r="J828" s="231" t="s">
        <v>1393</v>
      </c>
      <c r="K828" s="231" t="s">
        <v>1394</v>
      </c>
      <c r="L828" s="232">
        <v>45170</v>
      </c>
      <c r="M828" s="232">
        <v>45199</v>
      </c>
    </row>
    <row r="829" spans="1:13" ht="14.25" customHeight="1" x14ac:dyDescent="0.2">
      <c r="A829" s="231" t="s">
        <v>1589</v>
      </c>
      <c r="B829" s="230">
        <v>113725</v>
      </c>
      <c r="C829" s="230">
        <v>10771</v>
      </c>
      <c r="D829" s="231" t="s">
        <v>943</v>
      </c>
      <c r="E829" s="230">
        <v>14491032</v>
      </c>
      <c r="F829" s="230">
        <v>31884</v>
      </c>
      <c r="G829" s="230">
        <v>1</v>
      </c>
      <c r="H829" s="240">
        <v>359.46</v>
      </c>
      <c r="I829" s="240">
        <f t="shared" si="12"/>
        <v>359.46</v>
      </c>
      <c r="J829" s="231" t="s">
        <v>1393</v>
      </c>
      <c r="K829" s="231" t="s">
        <v>1394</v>
      </c>
      <c r="L829" s="232">
        <v>45170</v>
      </c>
      <c r="M829" s="232">
        <v>45199</v>
      </c>
    </row>
    <row r="830" spans="1:13" ht="14.25" customHeight="1" x14ac:dyDescent="0.2">
      <c r="A830" s="231" t="s">
        <v>1589</v>
      </c>
      <c r="B830" s="230">
        <v>113729</v>
      </c>
      <c r="C830" s="230">
        <v>10743</v>
      </c>
      <c r="D830" s="231" t="s">
        <v>947</v>
      </c>
      <c r="E830" s="230">
        <v>14491032</v>
      </c>
      <c r="F830" s="230">
        <v>31892</v>
      </c>
      <c r="G830" s="230">
        <v>1</v>
      </c>
      <c r="H830" s="240">
        <v>359.46</v>
      </c>
      <c r="I830" s="240">
        <f t="shared" si="12"/>
        <v>359.46</v>
      </c>
      <c r="J830" s="231" t="s">
        <v>1393</v>
      </c>
      <c r="K830" s="231" t="s">
        <v>1394</v>
      </c>
      <c r="L830" s="232">
        <v>45170</v>
      </c>
      <c r="M830" s="232">
        <v>45199</v>
      </c>
    </row>
    <row r="831" spans="1:13" ht="14.25" customHeight="1" x14ac:dyDescent="0.2">
      <c r="A831" s="231" t="s">
        <v>1589</v>
      </c>
      <c r="B831" s="230">
        <v>113733</v>
      </c>
      <c r="C831" s="230">
        <v>10771</v>
      </c>
      <c r="D831" s="231" t="s">
        <v>949</v>
      </c>
      <c r="E831" s="230">
        <v>14491032</v>
      </c>
      <c r="F831" s="230">
        <v>31900</v>
      </c>
      <c r="G831" s="230">
        <v>1</v>
      </c>
      <c r="H831" s="240">
        <v>359.46</v>
      </c>
      <c r="I831" s="240">
        <f t="shared" si="12"/>
        <v>359.46</v>
      </c>
      <c r="J831" s="231" t="s">
        <v>1393</v>
      </c>
      <c r="K831" s="231" t="s">
        <v>1394</v>
      </c>
      <c r="L831" s="232">
        <v>45170</v>
      </c>
      <c r="M831" s="232">
        <v>45199</v>
      </c>
    </row>
    <row r="832" spans="1:13" ht="14.25" customHeight="1" x14ac:dyDescent="0.2">
      <c r="A832" s="231" t="s">
        <v>1589</v>
      </c>
      <c r="B832" s="230">
        <v>113734</v>
      </c>
      <c r="C832" s="230">
        <v>10743</v>
      </c>
      <c r="D832" s="231" t="s">
        <v>951</v>
      </c>
      <c r="E832" s="230">
        <v>14491032</v>
      </c>
      <c r="F832" s="230">
        <v>31902</v>
      </c>
      <c r="G832" s="230">
        <v>1</v>
      </c>
      <c r="H832" s="240">
        <v>359.46</v>
      </c>
      <c r="I832" s="240">
        <f t="shared" si="12"/>
        <v>359.46</v>
      </c>
      <c r="J832" s="231" t="s">
        <v>1393</v>
      </c>
      <c r="K832" s="231" t="s">
        <v>1394</v>
      </c>
      <c r="L832" s="232">
        <v>45170</v>
      </c>
      <c r="M832" s="232">
        <v>45199</v>
      </c>
    </row>
    <row r="833" spans="1:13" ht="14.25" customHeight="1" x14ac:dyDescent="0.2">
      <c r="A833" s="231" t="s">
        <v>1589</v>
      </c>
      <c r="B833" s="230">
        <v>113735</v>
      </c>
      <c r="C833" s="230">
        <v>10743</v>
      </c>
      <c r="D833" s="231" t="s">
        <v>953</v>
      </c>
      <c r="E833" s="230">
        <v>14491032</v>
      </c>
      <c r="F833" s="230">
        <v>31904</v>
      </c>
      <c r="G833" s="230">
        <v>1</v>
      </c>
      <c r="H833" s="240">
        <v>359.46</v>
      </c>
      <c r="I833" s="240">
        <f t="shared" si="12"/>
        <v>359.46</v>
      </c>
      <c r="J833" s="231" t="s">
        <v>1393</v>
      </c>
      <c r="K833" s="231" t="s">
        <v>1394</v>
      </c>
      <c r="L833" s="232">
        <v>45170</v>
      </c>
      <c r="M833" s="232">
        <v>45199</v>
      </c>
    </row>
    <row r="834" spans="1:13" ht="14.25" customHeight="1" x14ac:dyDescent="0.2">
      <c r="A834" s="231" t="s">
        <v>1589</v>
      </c>
      <c r="B834" s="230">
        <v>113760</v>
      </c>
      <c r="C834" s="230">
        <v>10743</v>
      </c>
      <c r="D834" s="231" t="s">
        <v>1518</v>
      </c>
      <c r="E834" s="230">
        <v>14491032</v>
      </c>
      <c r="F834" s="230">
        <v>31961</v>
      </c>
      <c r="G834" s="230">
        <v>1</v>
      </c>
      <c r="H834" s="240">
        <v>359.46</v>
      </c>
      <c r="I834" s="240">
        <f t="shared" si="12"/>
        <v>359.46</v>
      </c>
      <c r="J834" s="231" t="s">
        <v>1393</v>
      </c>
      <c r="K834" s="231" t="s">
        <v>1395</v>
      </c>
      <c r="L834" s="232">
        <v>45170</v>
      </c>
      <c r="M834" s="232">
        <v>45199</v>
      </c>
    </row>
    <row r="835" spans="1:13" ht="14.25" customHeight="1" x14ac:dyDescent="0.2">
      <c r="A835" s="231" t="s">
        <v>1589</v>
      </c>
      <c r="B835" s="230">
        <v>113764</v>
      </c>
      <c r="C835" s="230">
        <v>10743</v>
      </c>
      <c r="D835" s="231" t="s">
        <v>970</v>
      </c>
      <c r="E835" s="230">
        <v>14491032</v>
      </c>
      <c r="F835" s="230">
        <v>31969</v>
      </c>
      <c r="G835" s="230">
        <v>1</v>
      </c>
      <c r="H835" s="240">
        <v>359.46</v>
      </c>
      <c r="I835" s="240">
        <f t="shared" ref="I835:I898" si="13">G835*H835</f>
        <v>359.46</v>
      </c>
      <c r="J835" s="231" t="s">
        <v>1393</v>
      </c>
      <c r="K835" s="231" t="s">
        <v>1395</v>
      </c>
      <c r="L835" s="232">
        <v>45170</v>
      </c>
      <c r="M835" s="232">
        <v>45199</v>
      </c>
    </row>
    <row r="836" spans="1:13" ht="14.25" customHeight="1" x14ac:dyDescent="0.2">
      <c r="A836" s="231" t="s">
        <v>1589</v>
      </c>
      <c r="B836" s="230">
        <v>113766</v>
      </c>
      <c r="C836" s="230">
        <v>10743</v>
      </c>
      <c r="D836" s="231" t="s">
        <v>971</v>
      </c>
      <c r="E836" s="230">
        <v>14491032</v>
      </c>
      <c r="F836" s="230">
        <v>31978</v>
      </c>
      <c r="G836" s="230">
        <v>1</v>
      </c>
      <c r="H836" s="240">
        <v>359.46</v>
      </c>
      <c r="I836" s="240">
        <f t="shared" si="13"/>
        <v>359.46</v>
      </c>
      <c r="J836" s="231" t="s">
        <v>1393</v>
      </c>
      <c r="K836" s="231" t="s">
        <v>1394</v>
      </c>
      <c r="L836" s="232">
        <v>45170</v>
      </c>
      <c r="M836" s="232">
        <v>45199</v>
      </c>
    </row>
    <row r="837" spans="1:13" ht="14.25" customHeight="1" x14ac:dyDescent="0.2">
      <c r="A837" s="231" t="s">
        <v>1589</v>
      </c>
      <c r="B837" s="230">
        <v>113769</v>
      </c>
      <c r="C837" s="230">
        <v>10743</v>
      </c>
      <c r="D837" s="231" t="s">
        <v>973</v>
      </c>
      <c r="E837" s="230">
        <v>14491032</v>
      </c>
      <c r="F837" s="230">
        <v>31984</v>
      </c>
      <c r="G837" s="230">
        <v>1</v>
      </c>
      <c r="H837" s="240">
        <v>359.46</v>
      </c>
      <c r="I837" s="240">
        <f t="shared" si="13"/>
        <v>359.46</v>
      </c>
      <c r="J837" s="231" t="s">
        <v>1393</v>
      </c>
      <c r="K837" s="231" t="s">
        <v>1394</v>
      </c>
      <c r="L837" s="232">
        <v>45170</v>
      </c>
      <c r="M837" s="232">
        <v>45199</v>
      </c>
    </row>
    <row r="838" spans="1:13" ht="14.25" customHeight="1" x14ac:dyDescent="0.2">
      <c r="A838" s="231" t="s">
        <v>1589</v>
      </c>
      <c r="B838" s="230">
        <v>113763</v>
      </c>
      <c r="C838" s="230">
        <v>10771</v>
      </c>
      <c r="D838" s="231" t="s">
        <v>969</v>
      </c>
      <c r="E838" s="230">
        <v>14491032</v>
      </c>
      <c r="F838" s="230">
        <v>31992</v>
      </c>
      <c r="G838" s="230">
        <v>1</v>
      </c>
      <c r="H838" s="240">
        <v>359.46</v>
      </c>
      <c r="I838" s="240">
        <f t="shared" si="13"/>
        <v>359.46</v>
      </c>
      <c r="J838" s="231" t="s">
        <v>1393</v>
      </c>
      <c r="K838" s="231" t="s">
        <v>1394</v>
      </c>
      <c r="L838" s="232">
        <v>45170</v>
      </c>
      <c r="M838" s="232">
        <v>45199</v>
      </c>
    </row>
    <row r="839" spans="1:13" ht="14.25" customHeight="1" x14ac:dyDescent="0.2">
      <c r="A839" s="231" t="s">
        <v>1589</v>
      </c>
      <c r="B839" s="230">
        <v>113775</v>
      </c>
      <c r="C839" s="230">
        <v>10771</v>
      </c>
      <c r="D839" s="231" t="s">
        <v>1331</v>
      </c>
      <c r="E839" s="230">
        <v>14491032</v>
      </c>
      <c r="F839" s="230">
        <v>31997</v>
      </c>
      <c r="G839" s="230">
        <v>1</v>
      </c>
      <c r="H839" s="240">
        <v>359.46</v>
      </c>
      <c r="I839" s="240">
        <f t="shared" si="13"/>
        <v>359.46</v>
      </c>
      <c r="J839" s="231" t="s">
        <v>1393</v>
      </c>
      <c r="K839" s="231" t="s">
        <v>1394</v>
      </c>
      <c r="L839" s="232">
        <v>45170</v>
      </c>
      <c r="M839" s="232">
        <v>45199</v>
      </c>
    </row>
    <row r="840" spans="1:13" ht="14.25" customHeight="1" x14ac:dyDescent="0.2">
      <c r="A840" s="231" t="s">
        <v>1589</v>
      </c>
      <c r="B840" s="230">
        <v>113776</v>
      </c>
      <c r="C840" s="230">
        <v>10771</v>
      </c>
      <c r="D840" s="231" t="s">
        <v>978</v>
      </c>
      <c r="E840" s="230">
        <v>14491032</v>
      </c>
      <c r="F840" s="230">
        <v>31999</v>
      </c>
      <c r="G840" s="230">
        <v>1</v>
      </c>
      <c r="H840" s="240">
        <v>359.46</v>
      </c>
      <c r="I840" s="240">
        <f t="shared" si="13"/>
        <v>359.46</v>
      </c>
      <c r="J840" s="231" t="s">
        <v>1393</v>
      </c>
      <c r="K840" s="231" t="s">
        <v>1394</v>
      </c>
      <c r="L840" s="232">
        <v>45170</v>
      </c>
      <c r="M840" s="232">
        <v>45199</v>
      </c>
    </row>
    <row r="841" spans="1:13" ht="14.25" customHeight="1" x14ac:dyDescent="0.2">
      <c r="A841" s="231" t="s">
        <v>1589</v>
      </c>
      <c r="B841" s="230">
        <v>113782</v>
      </c>
      <c r="C841" s="230">
        <v>10743</v>
      </c>
      <c r="D841" s="231" t="s">
        <v>1361</v>
      </c>
      <c r="E841" s="230">
        <v>14491032</v>
      </c>
      <c r="F841" s="230">
        <v>32014</v>
      </c>
      <c r="G841" s="230">
        <v>1</v>
      </c>
      <c r="H841" s="240">
        <v>359.46</v>
      </c>
      <c r="I841" s="240">
        <f t="shared" si="13"/>
        <v>359.46</v>
      </c>
      <c r="J841" s="231" t="s">
        <v>1393</v>
      </c>
      <c r="K841" s="231" t="s">
        <v>1394</v>
      </c>
      <c r="L841" s="232">
        <v>45170</v>
      </c>
      <c r="M841" s="232">
        <v>45199</v>
      </c>
    </row>
    <row r="842" spans="1:13" ht="14.25" customHeight="1" x14ac:dyDescent="0.2">
      <c r="A842" s="231" t="s">
        <v>1589</v>
      </c>
      <c r="B842" s="230">
        <v>113783</v>
      </c>
      <c r="C842" s="230">
        <v>10743</v>
      </c>
      <c r="D842" s="231" t="s">
        <v>1374</v>
      </c>
      <c r="E842" s="230">
        <v>14491032</v>
      </c>
      <c r="F842" s="230">
        <v>32017</v>
      </c>
      <c r="G842" s="230">
        <v>1</v>
      </c>
      <c r="H842" s="240">
        <v>359.46</v>
      </c>
      <c r="I842" s="240">
        <f t="shared" si="13"/>
        <v>359.46</v>
      </c>
      <c r="J842" s="231" t="s">
        <v>1393</v>
      </c>
      <c r="K842" s="231" t="s">
        <v>1394</v>
      </c>
      <c r="L842" s="232">
        <v>45170</v>
      </c>
      <c r="M842" s="232">
        <v>45199</v>
      </c>
    </row>
    <row r="843" spans="1:13" ht="14.25" customHeight="1" x14ac:dyDescent="0.2">
      <c r="A843" s="231" t="s">
        <v>1589</v>
      </c>
      <c r="B843" s="230">
        <v>113785</v>
      </c>
      <c r="C843" s="230">
        <v>10768</v>
      </c>
      <c r="D843" s="231" t="s">
        <v>983</v>
      </c>
      <c r="E843" s="230">
        <v>14491032</v>
      </c>
      <c r="F843" s="230">
        <v>32021</v>
      </c>
      <c r="G843" s="230">
        <v>1</v>
      </c>
      <c r="H843" s="240">
        <v>359.46</v>
      </c>
      <c r="I843" s="240">
        <f t="shared" si="13"/>
        <v>359.46</v>
      </c>
      <c r="J843" s="231" t="s">
        <v>1393</v>
      </c>
      <c r="K843" s="231" t="s">
        <v>1394</v>
      </c>
      <c r="L843" s="232">
        <v>45170</v>
      </c>
      <c r="M843" s="232">
        <v>45199</v>
      </c>
    </row>
    <row r="844" spans="1:13" ht="14.25" customHeight="1" x14ac:dyDescent="0.2">
      <c r="A844" s="231" t="s">
        <v>1589</v>
      </c>
      <c r="B844" s="230">
        <v>113792</v>
      </c>
      <c r="C844" s="230">
        <v>10771</v>
      </c>
      <c r="D844" s="231" t="s">
        <v>984</v>
      </c>
      <c r="E844" s="230">
        <v>14491032</v>
      </c>
      <c r="F844" s="230">
        <v>32035</v>
      </c>
      <c r="G844" s="230">
        <v>1</v>
      </c>
      <c r="H844" s="240">
        <v>359.46</v>
      </c>
      <c r="I844" s="240">
        <f t="shared" si="13"/>
        <v>359.46</v>
      </c>
      <c r="J844" s="231" t="s">
        <v>1393</v>
      </c>
      <c r="K844" s="231" t="s">
        <v>1394</v>
      </c>
      <c r="L844" s="232">
        <v>45170</v>
      </c>
      <c r="M844" s="232">
        <v>45199</v>
      </c>
    </row>
    <row r="845" spans="1:13" ht="14.25" customHeight="1" x14ac:dyDescent="0.2">
      <c r="A845" s="231" t="s">
        <v>1589</v>
      </c>
      <c r="B845" s="230">
        <v>113803</v>
      </c>
      <c r="C845" s="230">
        <v>10761</v>
      </c>
      <c r="D845" s="231" t="s">
        <v>987</v>
      </c>
      <c r="E845" s="230">
        <v>14491032</v>
      </c>
      <c r="F845" s="230">
        <v>32065</v>
      </c>
      <c r="G845" s="230">
        <v>1</v>
      </c>
      <c r="H845" s="240">
        <v>359.46</v>
      </c>
      <c r="I845" s="240">
        <f t="shared" si="13"/>
        <v>359.46</v>
      </c>
      <c r="J845" s="231" t="s">
        <v>1393</v>
      </c>
      <c r="K845" s="231" t="s">
        <v>1394</v>
      </c>
      <c r="L845" s="232">
        <v>45170</v>
      </c>
      <c r="M845" s="232">
        <v>45199</v>
      </c>
    </row>
    <row r="846" spans="1:13" ht="14.25" customHeight="1" x14ac:dyDescent="0.2">
      <c r="A846" s="231" t="s">
        <v>1589</v>
      </c>
      <c r="B846" s="230">
        <v>113899</v>
      </c>
      <c r="C846" s="230">
        <v>10761</v>
      </c>
      <c r="D846" s="231" t="s">
        <v>990</v>
      </c>
      <c r="E846" s="230">
        <v>14491032</v>
      </c>
      <c r="F846" s="230">
        <v>33755</v>
      </c>
      <c r="G846" s="230">
        <v>1</v>
      </c>
      <c r="H846" s="240">
        <v>359.46</v>
      </c>
      <c r="I846" s="240">
        <f t="shared" si="13"/>
        <v>359.46</v>
      </c>
      <c r="J846" s="231" t="s">
        <v>1393</v>
      </c>
      <c r="K846" s="231" t="s">
        <v>1394</v>
      </c>
      <c r="L846" s="232">
        <v>45170</v>
      </c>
      <c r="M846" s="232">
        <v>45199</v>
      </c>
    </row>
    <row r="847" spans="1:13" ht="14.25" customHeight="1" x14ac:dyDescent="0.2">
      <c r="A847" s="231" t="s">
        <v>1589</v>
      </c>
      <c r="B847" s="230">
        <v>113922</v>
      </c>
      <c r="C847" s="230">
        <v>10743</v>
      </c>
      <c r="D847" s="231" t="s">
        <v>992</v>
      </c>
      <c r="E847" s="230">
        <v>14491032</v>
      </c>
      <c r="F847" s="230">
        <v>33814</v>
      </c>
      <c r="G847" s="230">
        <v>1</v>
      </c>
      <c r="H847" s="240">
        <v>359.46</v>
      </c>
      <c r="I847" s="240">
        <f t="shared" si="13"/>
        <v>359.46</v>
      </c>
      <c r="J847" s="231" t="s">
        <v>1393</v>
      </c>
      <c r="K847" s="231" t="s">
        <v>1394</v>
      </c>
      <c r="L847" s="232">
        <v>45170</v>
      </c>
      <c r="M847" s="232">
        <v>45199</v>
      </c>
    </row>
    <row r="848" spans="1:13" ht="14.25" customHeight="1" x14ac:dyDescent="0.2">
      <c r="A848" s="231" t="s">
        <v>1589</v>
      </c>
      <c r="B848" s="230">
        <v>113932</v>
      </c>
      <c r="C848" s="230">
        <v>10743</v>
      </c>
      <c r="D848" s="231" t="s">
        <v>997</v>
      </c>
      <c r="E848" s="230">
        <v>14491032</v>
      </c>
      <c r="F848" s="230">
        <v>33839</v>
      </c>
      <c r="G848" s="230">
        <v>1</v>
      </c>
      <c r="H848" s="240">
        <v>359.46</v>
      </c>
      <c r="I848" s="240">
        <f t="shared" si="13"/>
        <v>359.46</v>
      </c>
      <c r="J848" s="231" t="s">
        <v>1393</v>
      </c>
      <c r="K848" s="231" t="s">
        <v>1394</v>
      </c>
      <c r="L848" s="232">
        <v>45170</v>
      </c>
      <c r="M848" s="232">
        <v>45199</v>
      </c>
    </row>
    <row r="849" spans="1:13" ht="14.25" customHeight="1" x14ac:dyDescent="0.2">
      <c r="A849" s="231" t="s">
        <v>1589</v>
      </c>
      <c r="B849" s="230">
        <v>114004</v>
      </c>
      <c r="C849" s="230">
        <v>10771</v>
      </c>
      <c r="D849" s="231" t="s">
        <v>998</v>
      </c>
      <c r="E849" s="230">
        <v>14491032</v>
      </c>
      <c r="F849" s="230">
        <v>34037</v>
      </c>
      <c r="G849" s="230">
        <v>1</v>
      </c>
      <c r="H849" s="240">
        <v>359.46</v>
      </c>
      <c r="I849" s="240">
        <f t="shared" si="13"/>
        <v>359.46</v>
      </c>
      <c r="J849" s="231" t="s">
        <v>1393</v>
      </c>
      <c r="K849" s="231" t="s">
        <v>1394</v>
      </c>
      <c r="L849" s="232">
        <v>45170</v>
      </c>
      <c r="M849" s="232">
        <v>45199</v>
      </c>
    </row>
    <row r="850" spans="1:13" ht="14.25" customHeight="1" x14ac:dyDescent="0.2">
      <c r="A850" s="231" t="s">
        <v>1589</v>
      </c>
      <c r="B850" s="230">
        <v>114099</v>
      </c>
      <c r="C850" s="230">
        <v>10748</v>
      </c>
      <c r="D850" s="231" t="s">
        <v>1007</v>
      </c>
      <c r="E850" s="230">
        <v>14491032</v>
      </c>
      <c r="F850" s="230">
        <v>34348</v>
      </c>
      <c r="G850" s="230">
        <v>1</v>
      </c>
      <c r="H850" s="240">
        <v>359.46</v>
      </c>
      <c r="I850" s="240">
        <f t="shared" si="13"/>
        <v>359.46</v>
      </c>
      <c r="J850" s="231" t="s">
        <v>1393</v>
      </c>
      <c r="K850" s="231" t="s">
        <v>1394</v>
      </c>
      <c r="L850" s="232">
        <v>45170</v>
      </c>
      <c r="M850" s="232">
        <v>45199</v>
      </c>
    </row>
    <row r="851" spans="1:13" ht="14.25" customHeight="1" x14ac:dyDescent="0.2">
      <c r="A851" s="231" t="s">
        <v>1589</v>
      </c>
      <c r="B851" s="230">
        <v>114105</v>
      </c>
      <c r="C851" s="230">
        <v>10757</v>
      </c>
      <c r="D851" s="231" t="s">
        <v>1009</v>
      </c>
      <c r="E851" s="230">
        <v>14491032</v>
      </c>
      <c r="F851" s="230">
        <v>34359</v>
      </c>
      <c r="G851" s="230">
        <v>1</v>
      </c>
      <c r="H851" s="240">
        <v>359.46</v>
      </c>
      <c r="I851" s="240">
        <f t="shared" si="13"/>
        <v>359.46</v>
      </c>
      <c r="J851" s="231" t="s">
        <v>1393</v>
      </c>
      <c r="K851" s="231" t="s">
        <v>1394</v>
      </c>
      <c r="L851" s="232">
        <v>45170</v>
      </c>
      <c r="M851" s="232">
        <v>45199</v>
      </c>
    </row>
    <row r="852" spans="1:13" ht="14.25" customHeight="1" x14ac:dyDescent="0.2">
      <c r="A852" s="231" t="s">
        <v>1589</v>
      </c>
      <c r="B852" s="230">
        <v>114120</v>
      </c>
      <c r="C852" s="230">
        <v>10762</v>
      </c>
      <c r="D852" s="231" t="s">
        <v>1014</v>
      </c>
      <c r="E852" s="230">
        <v>14491032</v>
      </c>
      <c r="F852" s="230">
        <v>34391</v>
      </c>
      <c r="G852" s="230">
        <v>1</v>
      </c>
      <c r="H852" s="240">
        <v>359.46</v>
      </c>
      <c r="I852" s="240">
        <f t="shared" si="13"/>
        <v>359.46</v>
      </c>
      <c r="J852" s="231" t="s">
        <v>1393</v>
      </c>
      <c r="K852" s="231" t="s">
        <v>1394</v>
      </c>
      <c r="L852" s="232">
        <v>45170</v>
      </c>
      <c r="M852" s="232">
        <v>45199</v>
      </c>
    </row>
    <row r="853" spans="1:13" ht="14.25" customHeight="1" x14ac:dyDescent="0.2">
      <c r="A853" s="231" t="s">
        <v>1589</v>
      </c>
      <c r="B853" s="230">
        <v>114124</v>
      </c>
      <c r="C853" s="230">
        <v>10761</v>
      </c>
      <c r="D853" s="231" t="s">
        <v>1015</v>
      </c>
      <c r="E853" s="230">
        <v>14491032</v>
      </c>
      <c r="F853" s="230">
        <v>34400</v>
      </c>
      <c r="G853" s="230">
        <v>1</v>
      </c>
      <c r="H853" s="240">
        <v>359.46</v>
      </c>
      <c r="I853" s="240">
        <f t="shared" si="13"/>
        <v>359.46</v>
      </c>
      <c r="J853" s="231" t="s">
        <v>1393</v>
      </c>
      <c r="K853" s="231" t="s">
        <v>1394</v>
      </c>
      <c r="L853" s="232">
        <v>45170</v>
      </c>
      <c r="M853" s="232">
        <v>45199</v>
      </c>
    </row>
    <row r="854" spans="1:13" ht="14.25" customHeight="1" x14ac:dyDescent="0.2">
      <c r="A854" s="231" t="s">
        <v>1589</v>
      </c>
      <c r="B854" s="230">
        <v>114127</v>
      </c>
      <c r="C854" s="230">
        <v>10757</v>
      </c>
      <c r="D854" s="231" t="s">
        <v>1017</v>
      </c>
      <c r="E854" s="230">
        <v>14491032</v>
      </c>
      <c r="F854" s="230">
        <v>34406</v>
      </c>
      <c r="G854" s="230">
        <v>1</v>
      </c>
      <c r="H854" s="240">
        <v>359.46</v>
      </c>
      <c r="I854" s="240">
        <f t="shared" si="13"/>
        <v>359.46</v>
      </c>
      <c r="J854" s="231" t="s">
        <v>1393</v>
      </c>
      <c r="K854" s="231" t="s">
        <v>1394</v>
      </c>
      <c r="L854" s="232">
        <v>45170</v>
      </c>
      <c r="M854" s="232">
        <v>45199</v>
      </c>
    </row>
    <row r="855" spans="1:13" ht="14.25" customHeight="1" x14ac:dyDescent="0.2">
      <c r="A855" s="231" t="s">
        <v>1589</v>
      </c>
      <c r="B855" s="230">
        <v>114128</v>
      </c>
      <c r="C855" s="230">
        <v>10768</v>
      </c>
      <c r="D855" s="231" t="s">
        <v>1018</v>
      </c>
      <c r="E855" s="230">
        <v>14491032</v>
      </c>
      <c r="F855" s="230">
        <v>34408</v>
      </c>
      <c r="G855" s="230">
        <v>1</v>
      </c>
      <c r="H855" s="240">
        <v>359.46</v>
      </c>
      <c r="I855" s="240">
        <f t="shared" si="13"/>
        <v>359.46</v>
      </c>
      <c r="J855" s="231" t="s">
        <v>1393</v>
      </c>
      <c r="K855" s="231" t="s">
        <v>1394</v>
      </c>
      <c r="L855" s="232">
        <v>45170</v>
      </c>
      <c r="M855" s="232">
        <v>45199</v>
      </c>
    </row>
    <row r="856" spans="1:13" ht="14.25" customHeight="1" x14ac:dyDescent="0.2">
      <c r="A856" s="231" t="s">
        <v>1589</v>
      </c>
      <c r="B856" s="230">
        <v>114255</v>
      </c>
      <c r="C856" s="230">
        <v>10766</v>
      </c>
      <c r="D856" s="231" t="s">
        <v>1023</v>
      </c>
      <c r="E856" s="230">
        <v>14491032</v>
      </c>
      <c r="F856" s="230">
        <v>35789</v>
      </c>
      <c r="G856" s="230">
        <v>1</v>
      </c>
      <c r="H856" s="240">
        <v>359.46</v>
      </c>
      <c r="I856" s="240">
        <f t="shared" si="13"/>
        <v>359.46</v>
      </c>
      <c r="J856" s="231" t="s">
        <v>1393</v>
      </c>
      <c r="K856" s="231" t="s">
        <v>1394</v>
      </c>
      <c r="L856" s="232">
        <v>45170</v>
      </c>
      <c r="M856" s="232">
        <v>45199</v>
      </c>
    </row>
    <row r="857" spans="1:13" ht="14.25" customHeight="1" x14ac:dyDescent="0.2">
      <c r="A857" s="231" t="s">
        <v>1589</v>
      </c>
      <c r="B857" s="230">
        <v>114256</v>
      </c>
      <c r="C857" s="230">
        <v>10771</v>
      </c>
      <c r="D857" s="231" t="s">
        <v>1024</v>
      </c>
      <c r="E857" s="230">
        <v>14491032</v>
      </c>
      <c r="F857" s="230">
        <v>35791</v>
      </c>
      <c r="G857" s="230">
        <v>1</v>
      </c>
      <c r="H857" s="240">
        <v>359.46</v>
      </c>
      <c r="I857" s="240">
        <f t="shared" si="13"/>
        <v>359.46</v>
      </c>
      <c r="J857" s="231" t="s">
        <v>1393</v>
      </c>
      <c r="K857" s="231" t="s">
        <v>1394</v>
      </c>
      <c r="L857" s="232">
        <v>45170</v>
      </c>
      <c r="M857" s="232">
        <v>45199</v>
      </c>
    </row>
    <row r="858" spans="1:13" ht="14.25" customHeight="1" x14ac:dyDescent="0.2">
      <c r="A858" s="231" t="s">
        <v>1589</v>
      </c>
      <c r="B858" s="230">
        <v>114385</v>
      </c>
      <c r="C858" s="230">
        <v>10771</v>
      </c>
      <c r="D858" s="231" t="s">
        <v>1338</v>
      </c>
      <c r="E858" s="230">
        <v>14491032</v>
      </c>
      <c r="F858" s="230">
        <v>35858</v>
      </c>
      <c r="G858" s="230">
        <v>1</v>
      </c>
      <c r="H858" s="240">
        <v>359.46</v>
      </c>
      <c r="I858" s="240">
        <f t="shared" si="13"/>
        <v>359.46</v>
      </c>
      <c r="J858" s="231" t="s">
        <v>1393</v>
      </c>
      <c r="K858" s="231" t="s">
        <v>1394</v>
      </c>
      <c r="L858" s="232">
        <v>45170</v>
      </c>
      <c r="M858" s="232">
        <v>45199</v>
      </c>
    </row>
    <row r="859" spans="1:13" ht="14.25" customHeight="1" x14ac:dyDescent="0.2">
      <c r="A859" s="231" t="s">
        <v>1589</v>
      </c>
      <c r="B859" s="230">
        <v>114506</v>
      </c>
      <c r="C859" s="230">
        <v>10771</v>
      </c>
      <c r="D859" s="231" t="s">
        <v>1046</v>
      </c>
      <c r="E859" s="230">
        <v>14491032</v>
      </c>
      <c r="F859" s="230">
        <v>35894</v>
      </c>
      <c r="G859" s="230">
        <v>1</v>
      </c>
      <c r="H859" s="240">
        <v>359.46</v>
      </c>
      <c r="I859" s="240">
        <f t="shared" si="13"/>
        <v>359.46</v>
      </c>
      <c r="J859" s="231" t="s">
        <v>1393</v>
      </c>
      <c r="K859" s="231" t="s">
        <v>1394</v>
      </c>
      <c r="L859" s="232">
        <v>45170</v>
      </c>
      <c r="M859" s="232">
        <v>45199</v>
      </c>
    </row>
    <row r="860" spans="1:13" ht="14.25" customHeight="1" x14ac:dyDescent="0.2">
      <c r="A860" s="231" t="s">
        <v>1589</v>
      </c>
      <c r="B860" s="230">
        <v>114523</v>
      </c>
      <c r="C860" s="230">
        <v>10759</v>
      </c>
      <c r="D860" s="231" t="s">
        <v>1049</v>
      </c>
      <c r="E860" s="230">
        <v>14491032</v>
      </c>
      <c r="F860" s="230">
        <v>36326</v>
      </c>
      <c r="G860" s="230">
        <v>1</v>
      </c>
      <c r="H860" s="240">
        <v>359.46</v>
      </c>
      <c r="I860" s="240">
        <f t="shared" si="13"/>
        <v>359.46</v>
      </c>
      <c r="J860" s="231" t="s">
        <v>1393</v>
      </c>
      <c r="K860" s="231" t="s">
        <v>1394</v>
      </c>
      <c r="L860" s="232">
        <v>45170</v>
      </c>
      <c r="M860" s="232">
        <v>45199</v>
      </c>
    </row>
    <row r="861" spans="1:13" ht="14.25" customHeight="1" x14ac:dyDescent="0.2">
      <c r="A861" s="231" t="s">
        <v>1589</v>
      </c>
      <c r="B861" s="230">
        <v>114525</v>
      </c>
      <c r="C861" s="230">
        <v>10756</v>
      </c>
      <c r="D861" s="231" t="s">
        <v>1336</v>
      </c>
      <c r="E861" s="230">
        <v>14491032</v>
      </c>
      <c r="F861" s="230">
        <v>36330</v>
      </c>
      <c r="G861" s="230">
        <v>1</v>
      </c>
      <c r="H861" s="240">
        <v>359.46</v>
      </c>
      <c r="I861" s="240">
        <f t="shared" si="13"/>
        <v>359.46</v>
      </c>
      <c r="J861" s="231" t="s">
        <v>1393</v>
      </c>
      <c r="K861" s="231" t="s">
        <v>1394</v>
      </c>
      <c r="L861" s="232">
        <v>45170</v>
      </c>
      <c r="M861" s="232">
        <v>45199</v>
      </c>
    </row>
    <row r="862" spans="1:13" ht="14.25" customHeight="1" x14ac:dyDescent="0.2">
      <c r="A862" s="231" t="s">
        <v>1589</v>
      </c>
      <c r="B862" s="230">
        <v>114526</v>
      </c>
      <c r="C862" s="230">
        <v>10768</v>
      </c>
      <c r="D862" s="231" t="s">
        <v>1051</v>
      </c>
      <c r="E862" s="230">
        <v>14491032</v>
      </c>
      <c r="F862" s="230">
        <v>36332</v>
      </c>
      <c r="G862" s="230">
        <v>1</v>
      </c>
      <c r="H862" s="240">
        <v>359.46</v>
      </c>
      <c r="I862" s="240">
        <f t="shared" si="13"/>
        <v>359.46</v>
      </c>
      <c r="J862" s="231" t="s">
        <v>1393</v>
      </c>
      <c r="K862" s="231" t="s">
        <v>1394</v>
      </c>
      <c r="L862" s="232">
        <v>45170</v>
      </c>
      <c r="M862" s="232">
        <v>45199</v>
      </c>
    </row>
    <row r="863" spans="1:13" ht="14.25" customHeight="1" x14ac:dyDescent="0.2">
      <c r="A863" s="231" t="s">
        <v>1589</v>
      </c>
      <c r="B863" s="230">
        <v>114529</v>
      </c>
      <c r="C863" s="230">
        <v>10757</v>
      </c>
      <c r="D863" s="231" t="s">
        <v>1053</v>
      </c>
      <c r="E863" s="230">
        <v>14491032</v>
      </c>
      <c r="F863" s="230">
        <v>36336</v>
      </c>
      <c r="G863" s="230">
        <v>1</v>
      </c>
      <c r="H863" s="240">
        <v>359.46</v>
      </c>
      <c r="I863" s="240">
        <f t="shared" si="13"/>
        <v>359.46</v>
      </c>
      <c r="J863" s="231" t="s">
        <v>1393</v>
      </c>
      <c r="K863" s="231" t="s">
        <v>1394</v>
      </c>
      <c r="L863" s="232">
        <v>45170</v>
      </c>
      <c r="M863" s="232">
        <v>45199</v>
      </c>
    </row>
    <row r="864" spans="1:13" ht="14.25" customHeight="1" x14ac:dyDescent="0.2">
      <c r="A864" s="231" t="s">
        <v>1589</v>
      </c>
      <c r="B864" s="230">
        <v>114607</v>
      </c>
      <c r="C864" s="230">
        <v>10771</v>
      </c>
      <c r="D864" s="231" t="s">
        <v>1063</v>
      </c>
      <c r="E864" s="230">
        <v>14491032</v>
      </c>
      <c r="F864" s="230">
        <v>36532</v>
      </c>
      <c r="G864" s="230">
        <v>1</v>
      </c>
      <c r="H864" s="240">
        <v>359.46</v>
      </c>
      <c r="I864" s="240">
        <f t="shared" si="13"/>
        <v>359.46</v>
      </c>
      <c r="J864" s="231" t="s">
        <v>1393</v>
      </c>
      <c r="K864" s="231" t="s">
        <v>1394</v>
      </c>
      <c r="L864" s="232">
        <v>45170</v>
      </c>
      <c r="M864" s="232">
        <v>45199</v>
      </c>
    </row>
    <row r="865" spans="1:13" ht="14.25" customHeight="1" x14ac:dyDescent="0.2">
      <c r="A865" s="231" t="s">
        <v>1589</v>
      </c>
      <c r="B865" s="230">
        <v>114641</v>
      </c>
      <c r="C865" s="230">
        <v>10757</v>
      </c>
      <c r="D865" s="231" t="s">
        <v>1508</v>
      </c>
      <c r="E865" s="230">
        <v>14491032</v>
      </c>
      <c r="F865" s="230">
        <v>36691</v>
      </c>
      <c r="G865" s="230">
        <v>1</v>
      </c>
      <c r="H865" s="240">
        <v>359.46</v>
      </c>
      <c r="I865" s="240">
        <f t="shared" si="13"/>
        <v>359.46</v>
      </c>
      <c r="J865" s="231" t="s">
        <v>1393</v>
      </c>
      <c r="K865" s="231" t="s">
        <v>1394</v>
      </c>
      <c r="L865" s="232">
        <v>45170</v>
      </c>
      <c r="M865" s="232">
        <v>45199</v>
      </c>
    </row>
    <row r="866" spans="1:13" ht="14.25" customHeight="1" x14ac:dyDescent="0.2">
      <c r="A866" s="231" t="s">
        <v>1589</v>
      </c>
      <c r="B866" s="230">
        <v>114757</v>
      </c>
      <c r="C866" s="230">
        <v>10763</v>
      </c>
      <c r="D866" s="231" t="s">
        <v>1097</v>
      </c>
      <c r="E866" s="230">
        <v>14491032</v>
      </c>
      <c r="F866" s="230">
        <v>36962</v>
      </c>
      <c r="G866" s="230">
        <v>1</v>
      </c>
      <c r="H866" s="240">
        <v>359.46</v>
      </c>
      <c r="I866" s="240">
        <f t="shared" si="13"/>
        <v>359.46</v>
      </c>
      <c r="J866" s="231" t="s">
        <v>1393</v>
      </c>
      <c r="K866" s="231" t="s">
        <v>1394</v>
      </c>
      <c r="L866" s="232">
        <v>45170</v>
      </c>
      <c r="M866" s="232">
        <v>45199</v>
      </c>
    </row>
    <row r="867" spans="1:13" ht="14.25" customHeight="1" x14ac:dyDescent="0.2">
      <c r="A867" s="231" t="s">
        <v>1589</v>
      </c>
      <c r="B867" s="230">
        <v>114760</v>
      </c>
      <c r="C867" s="230">
        <v>10768</v>
      </c>
      <c r="D867" s="231" t="s">
        <v>1098</v>
      </c>
      <c r="E867" s="230">
        <v>14491032</v>
      </c>
      <c r="F867" s="230">
        <v>36968</v>
      </c>
      <c r="G867" s="230">
        <v>1</v>
      </c>
      <c r="H867" s="240">
        <v>359.46</v>
      </c>
      <c r="I867" s="240">
        <f t="shared" si="13"/>
        <v>359.46</v>
      </c>
      <c r="J867" s="231" t="s">
        <v>1393</v>
      </c>
      <c r="K867" s="231" t="s">
        <v>1394</v>
      </c>
      <c r="L867" s="232">
        <v>45170</v>
      </c>
      <c r="M867" s="232">
        <v>45199</v>
      </c>
    </row>
    <row r="868" spans="1:13" ht="14.25" customHeight="1" x14ac:dyDescent="0.2">
      <c r="A868" s="231" t="s">
        <v>1589</v>
      </c>
      <c r="B868" s="230">
        <v>114761</v>
      </c>
      <c r="C868" s="230">
        <v>10763</v>
      </c>
      <c r="D868" s="231" t="s">
        <v>1099</v>
      </c>
      <c r="E868" s="230">
        <v>14491032</v>
      </c>
      <c r="F868" s="230">
        <v>36970</v>
      </c>
      <c r="G868" s="230">
        <v>1</v>
      </c>
      <c r="H868" s="240">
        <v>359.46</v>
      </c>
      <c r="I868" s="240">
        <f t="shared" si="13"/>
        <v>359.46</v>
      </c>
      <c r="J868" s="231" t="s">
        <v>1393</v>
      </c>
      <c r="K868" s="231" t="s">
        <v>1394</v>
      </c>
      <c r="L868" s="232">
        <v>45170</v>
      </c>
      <c r="M868" s="232">
        <v>45199</v>
      </c>
    </row>
    <row r="869" spans="1:13" ht="14.25" customHeight="1" x14ac:dyDescent="0.2">
      <c r="A869" s="231" t="s">
        <v>1589</v>
      </c>
      <c r="B869" s="230">
        <v>114763</v>
      </c>
      <c r="C869" s="230">
        <v>10768</v>
      </c>
      <c r="D869" s="231" t="s">
        <v>1100</v>
      </c>
      <c r="E869" s="230">
        <v>14491032</v>
      </c>
      <c r="F869" s="230">
        <v>36974</v>
      </c>
      <c r="G869" s="230">
        <v>1</v>
      </c>
      <c r="H869" s="240">
        <v>359.46</v>
      </c>
      <c r="I869" s="240">
        <f t="shared" si="13"/>
        <v>359.46</v>
      </c>
      <c r="J869" s="231" t="s">
        <v>1393</v>
      </c>
      <c r="K869" s="231" t="s">
        <v>1394</v>
      </c>
      <c r="L869" s="232">
        <v>45170</v>
      </c>
      <c r="M869" s="232">
        <v>45199</v>
      </c>
    </row>
    <row r="870" spans="1:13" ht="14.25" customHeight="1" x14ac:dyDescent="0.2">
      <c r="A870" s="231" t="s">
        <v>1589</v>
      </c>
      <c r="B870" s="230">
        <v>114765</v>
      </c>
      <c r="C870" s="230">
        <v>10768</v>
      </c>
      <c r="D870" s="231" t="s">
        <v>1101</v>
      </c>
      <c r="E870" s="230">
        <v>14491032</v>
      </c>
      <c r="F870" s="230">
        <v>36978</v>
      </c>
      <c r="G870" s="230">
        <v>1</v>
      </c>
      <c r="H870" s="240">
        <v>359.46</v>
      </c>
      <c r="I870" s="240">
        <f t="shared" si="13"/>
        <v>359.46</v>
      </c>
      <c r="J870" s="231" t="s">
        <v>1393</v>
      </c>
      <c r="K870" s="231" t="s">
        <v>1394</v>
      </c>
      <c r="L870" s="232">
        <v>45170</v>
      </c>
      <c r="M870" s="232">
        <v>45199</v>
      </c>
    </row>
    <row r="871" spans="1:13" ht="14.25" customHeight="1" x14ac:dyDescent="0.2">
      <c r="A871" s="231" t="s">
        <v>1589</v>
      </c>
      <c r="B871" s="230">
        <v>114770</v>
      </c>
      <c r="C871" s="230">
        <v>10768</v>
      </c>
      <c r="D871" s="231" t="s">
        <v>1348</v>
      </c>
      <c r="E871" s="230">
        <v>14491032</v>
      </c>
      <c r="F871" s="230">
        <v>36988</v>
      </c>
      <c r="G871" s="230">
        <v>1</v>
      </c>
      <c r="H871" s="240">
        <v>359.46</v>
      </c>
      <c r="I871" s="240">
        <f t="shared" si="13"/>
        <v>359.46</v>
      </c>
      <c r="J871" s="231" t="s">
        <v>1393</v>
      </c>
      <c r="K871" s="231" t="s">
        <v>1394</v>
      </c>
      <c r="L871" s="232">
        <v>45170</v>
      </c>
      <c r="M871" s="232">
        <v>45199</v>
      </c>
    </row>
    <row r="872" spans="1:13" ht="14.25" customHeight="1" x14ac:dyDescent="0.2">
      <c r="A872" s="231" t="s">
        <v>1589</v>
      </c>
      <c r="B872" s="230">
        <v>114800</v>
      </c>
      <c r="C872" s="230">
        <v>10763</v>
      </c>
      <c r="D872" s="231" t="s">
        <v>1106</v>
      </c>
      <c r="E872" s="230">
        <v>14491032</v>
      </c>
      <c r="F872" s="230">
        <v>37065</v>
      </c>
      <c r="G872" s="230">
        <v>1</v>
      </c>
      <c r="H872" s="240">
        <v>359.46</v>
      </c>
      <c r="I872" s="240">
        <f t="shared" si="13"/>
        <v>359.46</v>
      </c>
      <c r="J872" s="231" t="s">
        <v>1393</v>
      </c>
      <c r="K872" s="231" t="s">
        <v>1394</v>
      </c>
      <c r="L872" s="232">
        <v>45170</v>
      </c>
      <c r="M872" s="232">
        <v>45199</v>
      </c>
    </row>
    <row r="873" spans="1:13" ht="14.25" customHeight="1" x14ac:dyDescent="0.2">
      <c r="A873" s="231" t="s">
        <v>1589</v>
      </c>
      <c r="B873" s="230">
        <v>114805</v>
      </c>
      <c r="C873" s="230">
        <v>10761</v>
      </c>
      <c r="D873" s="231" t="s">
        <v>1107</v>
      </c>
      <c r="E873" s="230">
        <v>14491032</v>
      </c>
      <c r="F873" s="230">
        <v>37079</v>
      </c>
      <c r="G873" s="230">
        <v>1</v>
      </c>
      <c r="H873" s="240">
        <v>359.46</v>
      </c>
      <c r="I873" s="240">
        <f t="shared" si="13"/>
        <v>359.46</v>
      </c>
      <c r="J873" s="231" t="s">
        <v>1393</v>
      </c>
      <c r="K873" s="231" t="s">
        <v>1394</v>
      </c>
      <c r="L873" s="232">
        <v>45170</v>
      </c>
      <c r="M873" s="232">
        <v>45199</v>
      </c>
    </row>
    <row r="874" spans="1:13" ht="14.25" customHeight="1" x14ac:dyDescent="0.2">
      <c r="A874" s="231" t="s">
        <v>1589</v>
      </c>
      <c r="B874" s="230">
        <v>114907</v>
      </c>
      <c r="C874" s="230">
        <v>10758</v>
      </c>
      <c r="D874" s="231" t="s">
        <v>1108</v>
      </c>
      <c r="E874" s="230">
        <v>14491032</v>
      </c>
      <c r="F874" s="230">
        <v>37597</v>
      </c>
      <c r="G874" s="230">
        <v>1</v>
      </c>
      <c r="H874" s="240">
        <v>359.46</v>
      </c>
      <c r="I874" s="240">
        <f t="shared" si="13"/>
        <v>359.46</v>
      </c>
      <c r="J874" s="231" t="s">
        <v>1393</v>
      </c>
      <c r="K874" s="231" t="s">
        <v>1394</v>
      </c>
      <c r="L874" s="232">
        <v>45170</v>
      </c>
      <c r="M874" s="232">
        <v>45199</v>
      </c>
    </row>
    <row r="875" spans="1:13" ht="14.25" customHeight="1" x14ac:dyDescent="0.2">
      <c r="A875" s="231" t="s">
        <v>1589</v>
      </c>
      <c r="B875" s="230">
        <v>114910</v>
      </c>
      <c r="C875" s="230">
        <v>10761</v>
      </c>
      <c r="D875" s="231" t="s">
        <v>1109</v>
      </c>
      <c r="E875" s="230">
        <v>14491032</v>
      </c>
      <c r="F875" s="230">
        <v>37603</v>
      </c>
      <c r="G875" s="230">
        <v>1</v>
      </c>
      <c r="H875" s="240">
        <v>359.46</v>
      </c>
      <c r="I875" s="240">
        <f t="shared" si="13"/>
        <v>359.46</v>
      </c>
      <c r="J875" s="231" t="s">
        <v>1393</v>
      </c>
      <c r="K875" s="231" t="s">
        <v>1394</v>
      </c>
      <c r="L875" s="232">
        <v>45170</v>
      </c>
      <c r="M875" s="232">
        <v>45199</v>
      </c>
    </row>
    <row r="876" spans="1:13" ht="14.25" customHeight="1" x14ac:dyDescent="0.2">
      <c r="A876" s="231" t="s">
        <v>1589</v>
      </c>
      <c r="B876" s="230">
        <v>114913</v>
      </c>
      <c r="C876" s="230">
        <v>10771</v>
      </c>
      <c r="D876" s="231" t="s">
        <v>1330</v>
      </c>
      <c r="E876" s="230">
        <v>14491032</v>
      </c>
      <c r="F876" s="230">
        <v>37609</v>
      </c>
      <c r="G876" s="230">
        <v>1</v>
      </c>
      <c r="H876" s="240">
        <v>359.46</v>
      </c>
      <c r="I876" s="240">
        <f t="shared" si="13"/>
        <v>359.46</v>
      </c>
      <c r="J876" s="231" t="s">
        <v>1393</v>
      </c>
      <c r="K876" s="231" t="s">
        <v>1394</v>
      </c>
      <c r="L876" s="232">
        <v>45170</v>
      </c>
      <c r="M876" s="232">
        <v>45199</v>
      </c>
    </row>
    <row r="877" spans="1:13" ht="14.25" customHeight="1" x14ac:dyDescent="0.2">
      <c r="A877" s="231" t="s">
        <v>1589</v>
      </c>
      <c r="B877" s="230">
        <v>114916</v>
      </c>
      <c r="C877" s="230">
        <v>10771</v>
      </c>
      <c r="D877" s="231" t="s">
        <v>1111</v>
      </c>
      <c r="E877" s="230">
        <v>14491032</v>
      </c>
      <c r="F877" s="230">
        <v>37614</v>
      </c>
      <c r="G877" s="230">
        <v>1</v>
      </c>
      <c r="H877" s="240">
        <v>359.46</v>
      </c>
      <c r="I877" s="240">
        <f t="shared" si="13"/>
        <v>359.46</v>
      </c>
      <c r="J877" s="231" t="s">
        <v>1393</v>
      </c>
      <c r="K877" s="231" t="s">
        <v>1394</v>
      </c>
      <c r="L877" s="232">
        <v>45170</v>
      </c>
      <c r="M877" s="232">
        <v>45199</v>
      </c>
    </row>
    <row r="878" spans="1:13" ht="14.25" customHeight="1" x14ac:dyDescent="0.2">
      <c r="A878" s="231" t="s">
        <v>1589</v>
      </c>
      <c r="B878" s="230">
        <v>114918</v>
      </c>
      <c r="C878" s="230">
        <v>10758</v>
      </c>
      <c r="D878" s="231" t="s">
        <v>1112</v>
      </c>
      <c r="E878" s="230">
        <v>14491032</v>
      </c>
      <c r="F878" s="230">
        <v>37618</v>
      </c>
      <c r="G878" s="230">
        <v>1</v>
      </c>
      <c r="H878" s="240">
        <v>359.46</v>
      </c>
      <c r="I878" s="240">
        <f t="shared" si="13"/>
        <v>359.46</v>
      </c>
      <c r="J878" s="231" t="s">
        <v>1393</v>
      </c>
      <c r="K878" s="231" t="s">
        <v>1394</v>
      </c>
      <c r="L878" s="232">
        <v>45170</v>
      </c>
      <c r="M878" s="232">
        <v>45199</v>
      </c>
    </row>
    <row r="879" spans="1:13" ht="14.25" customHeight="1" x14ac:dyDescent="0.2">
      <c r="A879" s="231" t="s">
        <v>1589</v>
      </c>
      <c r="B879" s="230">
        <v>114923</v>
      </c>
      <c r="C879" s="230">
        <v>10757</v>
      </c>
      <c r="D879" s="231" t="s">
        <v>1114</v>
      </c>
      <c r="E879" s="230">
        <v>14491032</v>
      </c>
      <c r="F879" s="230">
        <v>37626</v>
      </c>
      <c r="G879" s="230">
        <v>1</v>
      </c>
      <c r="H879" s="240">
        <v>359.46</v>
      </c>
      <c r="I879" s="240">
        <f t="shared" si="13"/>
        <v>359.46</v>
      </c>
      <c r="J879" s="231" t="s">
        <v>1393</v>
      </c>
      <c r="K879" s="231" t="s">
        <v>1394</v>
      </c>
      <c r="L879" s="232">
        <v>45170</v>
      </c>
      <c r="M879" s="232">
        <v>45199</v>
      </c>
    </row>
    <row r="880" spans="1:13" ht="14.25" customHeight="1" x14ac:dyDescent="0.2">
      <c r="A880" s="231" t="s">
        <v>1589</v>
      </c>
      <c r="B880" s="230">
        <v>114925</v>
      </c>
      <c r="C880" s="230">
        <v>10771</v>
      </c>
      <c r="D880" s="231" t="s">
        <v>1115</v>
      </c>
      <c r="E880" s="230">
        <v>14491032</v>
      </c>
      <c r="F880" s="230">
        <v>37628</v>
      </c>
      <c r="G880" s="230">
        <v>1</v>
      </c>
      <c r="H880" s="240">
        <v>359.46</v>
      </c>
      <c r="I880" s="240">
        <f t="shared" si="13"/>
        <v>359.46</v>
      </c>
      <c r="J880" s="231" t="s">
        <v>1393</v>
      </c>
      <c r="K880" s="231" t="s">
        <v>1394</v>
      </c>
      <c r="L880" s="232">
        <v>45170</v>
      </c>
      <c r="M880" s="232">
        <v>45199</v>
      </c>
    </row>
    <row r="881" spans="1:13" ht="14.25" customHeight="1" x14ac:dyDescent="0.2">
      <c r="A881" s="231" t="s">
        <v>1589</v>
      </c>
      <c r="B881" s="230">
        <v>114926</v>
      </c>
      <c r="C881" s="230">
        <v>10763</v>
      </c>
      <c r="D881" s="231" t="s">
        <v>1116</v>
      </c>
      <c r="E881" s="230">
        <v>14491032</v>
      </c>
      <c r="F881" s="230">
        <v>37630</v>
      </c>
      <c r="G881" s="230">
        <v>1</v>
      </c>
      <c r="H881" s="240">
        <v>359.46</v>
      </c>
      <c r="I881" s="240">
        <f t="shared" si="13"/>
        <v>359.46</v>
      </c>
      <c r="J881" s="231" t="s">
        <v>1393</v>
      </c>
      <c r="K881" s="231" t="s">
        <v>1394</v>
      </c>
      <c r="L881" s="232">
        <v>45170</v>
      </c>
      <c r="M881" s="232">
        <v>45199</v>
      </c>
    </row>
    <row r="882" spans="1:13" ht="14.25" customHeight="1" x14ac:dyDescent="0.2">
      <c r="A882" s="231" t="s">
        <v>1589</v>
      </c>
      <c r="B882" s="230">
        <v>114927</v>
      </c>
      <c r="C882" s="230">
        <v>10758</v>
      </c>
      <c r="D882" s="231" t="s">
        <v>1362</v>
      </c>
      <c r="E882" s="230">
        <v>14491032</v>
      </c>
      <c r="F882" s="230">
        <v>37632</v>
      </c>
      <c r="G882" s="230">
        <v>1</v>
      </c>
      <c r="H882" s="240">
        <v>359.46</v>
      </c>
      <c r="I882" s="240">
        <f t="shared" si="13"/>
        <v>359.46</v>
      </c>
      <c r="J882" s="231" t="s">
        <v>1393</v>
      </c>
      <c r="K882" s="231" t="s">
        <v>1394</v>
      </c>
      <c r="L882" s="232">
        <v>45170</v>
      </c>
      <c r="M882" s="232">
        <v>45199</v>
      </c>
    </row>
    <row r="883" spans="1:13" ht="14.25" customHeight="1" x14ac:dyDescent="0.2">
      <c r="A883" s="231" t="s">
        <v>1589</v>
      </c>
      <c r="B883" s="230">
        <v>114928</v>
      </c>
      <c r="C883" s="230">
        <v>10757</v>
      </c>
      <c r="D883" s="231" t="s">
        <v>1118</v>
      </c>
      <c r="E883" s="230">
        <v>14491032</v>
      </c>
      <c r="F883" s="230">
        <v>37634</v>
      </c>
      <c r="G883" s="230">
        <v>1</v>
      </c>
      <c r="H883" s="240">
        <v>359.46</v>
      </c>
      <c r="I883" s="240">
        <f t="shared" si="13"/>
        <v>359.46</v>
      </c>
      <c r="J883" s="231" t="s">
        <v>1393</v>
      </c>
      <c r="K883" s="231" t="s">
        <v>1394</v>
      </c>
      <c r="L883" s="232">
        <v>45170</v>
      </c>
      <c r="M883" s="232">
        <v>45199</v>
      </c>
    </row>
    <row r="884" spans="1:13" ht="14.25" customHeight="1" x14ac:dyDescent="0.2">
      <c r="A884" s="231" t="s">
        <v>1589</v>
      </c>
      <c r="B884" s="230">
        <v>114933</v>
      </c>
      <c r="C884" s="230">
        <v>10767</v>
      </c>
      <c r="D884" s="231" t="s">
        <v>1120</v>
      </c>
      <c r="E884" s="230">
        <v>14491032</v>
      </c>
      <c r="F884" s="230">
        <v>37644</v>
      </c>
      <c r="G884" s="230">
        <v>1</v>
      </c>
      <c r="H884" s="240">
        <v>359.46</v>
      </c>
      <c r="I884" s="240">
        <f t="shared" si="13"/>
        <v>359.46</v>
      </c>
      <c r="J884" s="231" t="s">
        <v>1393</v>
      </c>
      <c r="K884" s="231" t="s">
        <v>1394</v>
      </c>
      <c r="L884" s="232">
        <v>45170</v>
      </c>
      <c r="M884" s="232">
        <v>45199</v>
      </c>
    </row>
    <row r="885" spans="1:13" ht="14.25" customHeight="1" x14ac:dyDescent="0.2">
      <c r="A885" s="231" t="s">
        <v>1589</v>
      </c>
      <c r="B885" s="230">
        <v>114934</v>
      </c>
      <c r="C885" s="230">
        <v>10771</v>
      </c>
      <c r="D885" s="231" t="s">
        <v>1121</v>
      </c>
      <c r="E885" s="230">
        <v>14491032</v>
      </c>
      <c r="F885" s="230">
        <v>37646</v>
      </c>
      <c r="G885" s="230">
        <v>1</v>
      </c>
      <c r="H885" s="240">
        <v>359.46</v>
      </c>
      <c r="I885" s="240">
        <f t="shared" si="13"/>
        <v>359.46</v>
      </c>
      <c r="J885" s="231" t="s">
        <v>1393</v>
      </c>
      <c r="K885" s="231" t="s">
        <v>1394</v>
      </c>
      <c r="L885" s="232">
        <v>45170</v>
      </c>
      <c r="M885" s="232">
        <v>45199</v>
      </c>
    </row>
    <row r="886" spans="1:13" ht="14.25" customHeight="1" x14ac:dyDescent="0.2">
      <c r="A886" s="231" t="s">
        <v>1589</v>
      </c>
      <c r="B886" s="230">
        <v>114937</v>
      </c>
      <c r="C886" s="230">
        <v>10758</v>
      </c>
      <c r="D886" s="231" t="s">
        <v>1122</v>
      </c>
      <c r="E886" s="230">
        <v>14491032</v>
      </c>
      <c r="F886" s="230">
        <v>37652</v>
      </c>
      <c r="G886" s="230">
        <v>1</v>
      </c>
      <c r="H886" s="240">
        <v>323.51</v>
      </c>
      <c r="I886" s="240">
        <f t="shared" si="13"/>
        <v>323.51</v>
      </c>
      <c r="J886" s="231" t="s">
        <v>1393</v>
      </c>
      <c r="K886" s="231" t="s">
        <v>1394</v>
      </c>
      <c r="L886" s="232">
        <v>45170</v>
      </c>
      <c r="M886" s="232">
        <v>45199</v>
      </c>
    </row>
    <row r="887" spans="1:13" ht="14.25" customHeight="1" x14ac:dyDescent="0.2">
      <c r="A887" s="231" t="s">
        <v>1589</v>
      </c>
      <c r="B887" s="230">
        <v>114939</v>
      </c>
      <c r="C887" s="230">
        <v>10763</v>
      </c>
      <c r="D887" s="231" t="s">
        <v>1124</v>
      </c>
      <c r="E887" s="230">
        <v>14491032</v>
      </c>
      <c r="F887" s="230">
        <v>37656</v>
      </c>
      <c r="G887" s="230">
        <v>1</v>
      </c>
      <c r="H887" s="240">
        <v>359.46</v>
      </c>
      <c r="I887" s="240">
        <f t="shared" si="13"/>
        <v>359.46</v>
      </c>
      <c r="J887" s="231" t="s">
        <v>1393</v>
      </c>
      <c r="K887" s="231" t="s">
        <v>1394</v>
      </c>
      <c r="L887" s="232">
        <v>45170</v>
      </c>
      <c r="M887" s="232">
        <v>45199</v>
      </c>
    </row>
    <row r="888" spans="1:13" ht="14.25" customHeight="1" x14ac:dyDescent="0.2">
      <c r="A888" s="231" t="s">
        <v>1589</v>
      </c>
      <c r="B888" s="230">
        <v>114941</v>
      </c>
      <c r="C888" s="230">
        <v>10758</v>
      </c>
      <c r="D888" s="231" t="s">
        <v>1720</v>
      </c>
      <c r="E888" s="230">
        <v>14491032</v>
      </c>
      <c r="F888" s="230">
        <v>37658</v>
      </c>
      <c r="G888" s="230">
        <v>1</v>
      </c>
      <c r="H888" s="240">
        <v>359.46</v>
      </c>
      <c r="I888" s="240">
        <f t="shared" si="13"/>
        <v>359.46</v>
      </c>
      <c r="J888" s="231" t="s">
        <v>1393</v>
      </c>
      <c r="K888" s="231" t="s">
        <v>1394</v>
      </c>
      <c r="L888" s="232">
        <v>45170</v>
      </c>
      <c r="M888" s="232">
        <v>45199</v>
      </c>
    </row>
    <row r="889" spans="1:13" ht="14.25" customHeight="1" x14ac:dyDescent="0.2">
      <c r="A889" s="231" t="s">
        <v>1589</v>
      </c>
      <c r="B889" s="230">
        <v>114942</v>
      </c>
      <c r="C889" s="230">
        <v>10761</v>
      </c>
      <c r="D889" s="231" t="s">
        <v>1126</v>
      </c>
      <c r="E889" s="230">
        <v>14491032</v>
      </c>
      <c r="F889" s="230">
        <v>37660</v>
      </c>
      <c r="G889" s="230">
        <v>1</v>
      </c>
      <c r="H889" s="240">
        <v>359.46</v>
      </c>
      <c r="I889" s="240">
        <f t="shared" si="13"/>
        <v>359.46</v>
      </c>
      <c r="J889" s="231" t="s">
        <v>1393</v>
      </c>
      <c r="K889" s="231" t="s">
        <v>1394</v>
      </c>
      <c r="L889" s="232">
        <v>45170</v>
      </c>
      <c r="M889" s="232">
        <v>45199</v>
      </c>
    </row>
    <row r="890" spans="1:13" ht="14.25" customHeight="1" x14ac:dyDescent="0.2">
      <c r="A890" s="231" t="s">
        <v>1589</v>
      </c>
      <c r="B890" s="230">
        <v>114943</v>
      </c>
      <c r="C890" s="230">
        <v>10758</v>
      </c>
      <c r="D890" s="231" t="s">
        <v>1127</v>
      </c>
      <c r="E890" s="230">
        <v>14491032</v>
      </c>
      <c r="F890" s="230">
        <v>37662</v>
      </c>
      <c r="G890" s="230">
        <v>1</v>
      </c>
      <c r="H890" s="240">
        <v>359.46</v>
      </c>
      <c r="I890" s="240">
        <f t="shared" si="13"/>
        <v>359.46</v>
      </c>
      <c r="J890" s="231" t="s">
        <v>1393</v>
      </c>
      <c r="K890" s="231" t="s">
        <v>1394</v>
      </c>
      <c r="L890" s="232">
        <v>45170</v>
      </c>
      <c r="M890" s="232">
        <v>45199</v>
      </c>
    </row>
    <row r="891" spans="1:13" ht="14.25" customHeight="1" x14ac:dyDescent="0.2">
      <c r="A891" s="231" t="s">
        <v>1589</v>
      </c>
      <c r="B891" s="230">
        <v>114944</v>
      </c>
      <c r="C891" s="230">
        <v>10757</v>
      </c>
      <c r="D891" s="231" t="s">
        <v>1128</v>
      </c>
      <c r="E891" s="230">
        <v>14491032</v>
      </c>
      <c r="F891" s="230">
        <v>37664</v>
      </c>
      <c r="G891" s="230">
        <v>1</v>
      </c>
      <c r="H891" s="240">
        <v>359.46</v>
      </c>
      <c r="I891" s="240">
        <f t="shared" si="13"/>
        <v>359.46</v>
      </c>
      <c r="J891" s="231" t="s">
        <v>1393</v>
      </c>
      <c r="K891" s="231" t="s">
        <v>1394</v>
      </c>
      <c r="L891" s="232">
        <v>45170</v>
      </c>
      <c r="M891" s="232">
        <v>45199</v>
      </c>
    </row>
    <row r="892" spans="1:13" ht="14.25" customHeight="1" x14ac:dyDescent="0.2">
      <c r="A892" s="231" t="s">
        <v>1589</v>
      </c>
      <c r="B892" s="230">
        <v>114948</v>
      </c>
      <c r="C892" s="230">
        <v>10757</v>
      </c>
      <c r="D892" s="231" t="s">
        <v>1102</v>
      </c>
      <c r="E892" s="230">
        <v>14491032</v>
      </c>
      <c r="F892" s="230">
        <v>37672</v>
      </c>
      <c r="G892" s="230">
        <v>1</v>
      </c>
      <c r="H892" s="240">
        <v>359.46</v>
      </c>
      <c r="I892" s="240">
        <f t="shared" si="13"/>
        <v>359.46</v>
      </c>
      <c r="J892" s="231" t="s">
        <v>1393</v>
      </c>
      <c r="K892" s="231" t="s">
        <v>1394</v>
      </c>
      <c r="L892" s="232">
        <v>45170</v>
      </c>
      <c r="M892" s="232">
        <v>45199</v>
      </c>
    </row>
    <row r="893" spans="1:13" ht="14.25" customHeight="1" x14ac:dyDescent="0.2">
      <c r="A893" s="231" t="s">
        <v>1589</v>
      </c>
      <c r="B893" s="230">
        <v>114949</v>
      </c>
      <c r="C893" s="230">
        <v>10762</v>
      </c>
      <c r="D893" s="231" t="s">
        <v>1103</v>
      </c>
      <c r="E893" s="230">
        <v>14491032</v>
      </c>
      <c r="F893" s="230">
        <v>37674</v>
      </c>
      <c r="G893" s="230">
        <v>1</v>
      </c>
      <c r="H893" s="240">
        <v>359.46</v>
      </c>
      <c r="I893" s="240">
        <f t="shared" si="13"/>
        <v>359.46</v>
      </c>
      <c r="J893" s="231" t="s">
        <v>1393</v>
      </c>
      <c r="K893" s="231" t="s">
        <v>1394</v>
      </c>
      <c r="L893" s="232">
        <v>45170</v>
      </c>
      <c r="M893" s="232">
        <v>45199</v>
      </c>
    </row>
    <row r="894" spans="1:13" ht="14.25" customHeight="1" x14ac:dyDescent="0.2">
      <c r="A894" s="231" t="s">
        <v>1589</v>
      </c>
      <c r="B894" s="230">
        <v>114953</v>
      </c>
      <c r="C894" s="230">
        <v>10768</v>
      </c>
      <c r="D894" s="231" t="s">
        <v>1129</v>
      </c>
      <c r="E894" s="230">
        <v>14491032</v>
      </c>
      <c r="F894" s="230">
        <v>37682</v>
      </c>
      <c r="G894" s="230">
        <v>1</v>
      </c>
      <c r="H894" s="240">
        <v>359.46</v>
      </c>
      <c r="I894" s="240">
        <f t="shared" si="13"/>
        <v>359.46</v>
      </c>
      <c r="J894" s="231" t="s">
        <v>1393</v>
      </c>
      <c r="K894" s="231" t="s">
        <v>1394</v>
      </c>
      <c r="L894" s="232">
        <v>45170</v>
      </c>
      <c r="M894" s="232">
        <v>45199</v>
      </c>
    </row>
    <row r="895" spans="1:13" ht="14.25" customHeight="1" x14ac:dyDescent="0.2">
      <c r="A895" s="231" t="s">
        <v>1589</v>
      </c>
      <c r="B895" s="230">
        <v>114954</v>
      </c>
      <c r="C895" s="230">
        <v>10763</v>
      </c>
      <c r="D895" s="231" t="s">
        <v>1130</v>
      </c>
      <c r="E895" s="230">
        <v>14491032</v>
      </c>
      <c r="F895" s="230">
        <v>37684</v>
      </c>
      <c r="G895" s="230">
        <v>1</v>
      </c>
      <c r="H895" s="240">
        <v>359.46</v>
      </c>
      <c r="I895" s="240">
        <f t="shared" si="13"/>
        <v>359.46</v>
      </c>
      <c r="J895" s="231" t="s">
        <v>1393</v>
      </c>
      <c r="K895" s="231" t="s">
        <v>1394</v>
      </c>
      <c r="L895" s="232">
        <v>45170</v>
      </c>
      <c r="M895" s="232">
        <v>45199</v>
      </c>
    </row>
    <row r="896" spans="1:13" ht="14.25" customHeight="1" x14ac:dyDescent="0.2">
      <c r="A896" s="231" t="s">
        <v>1589</v>
      </c>
      <c r="B896" s="230">
        <v>114955</v>
      </c>
      <c r="C896" s="230">
        <v>10768</v>
      </c>
      <c r="D896" s="231" t="s">
        <v>1131</v>
      </c>
      <c r="E896" s="230">
        <v>14491032</v>
      </c>
      <c r="F896" s="230">
        <v>37686</v>
      </c>
      <c r="G896" s="230">
        <v>1</v>
      </c>
      <c r="H896" s="240">
        <v>359.46</v>
      </c>
      <c r="I896" s="240">
        <f t="shared" si="13"/>
        <v>359.46</v>
      </c>
      <c r="J896" s="231" t="s">
        <v>1393</v>
      </c>
      <c r="K896" s="231" t="s">
        <v>1394</v>
      </c>
      <c r="L896" s="232">
        <v>45170</v>
      </c>
      <c r="M896" s="232">
        <v>45199</v>
      </c>
    </row>
    <row r="897" spans="1:13" ht="14.25" customHeight="1" x14ac:dyDescent="0.2">
      <c r="A897" s="231" t="s">
        <v>1589</v>
      </c>
      <c r="B897" s="230">
        <v>114958</v>
      </c>
      <c r="C897" s="230">
        <v>10768</v>
      </c>
      <c r="D897" s="231" t="s">
        <v>1132</v>
      </c>
      <c r="E897" s="230">
        <v>14491032</v>
      </c>
      <c r="F897" s="230">
        <v>37692</v>
      </c>
      <c r="G897" s="230">
        <v>1</v>
      </c>
      <c r="H897" s="240">
        <v>359.46</v>
      </c>
      <c r="I897" s="240">
        <f t="shared" si="13"/>
        <v>359.46</v>
      </c>
      <c r="J897" s="231" t="s">
        <v>1393</v>
      </c>
      <c r="K897" s="231" t="s">
        <v>1394</v>
      </c>
      <c r="L897" s="232">
        <v>45170</v>
      </c>
      <c r="M897" s="232">
        <v>45199</v>
      </c>
    </row>
    <row r="898" spans="1:13" ht="14.25" customHeight="1" x14ac:dyDescent="0.2">
      <c r="A898" s="231" t="s">
        <v>1589</v>
      </c>
      <c r="B898" s="230">
        <v>114963</v>
      </c>
      <c r="C898" s="230">
        <v>10757</v>
      </c>
      <c r="D898" s="231" t="s">
        <v>1133</v>
      </c>
      <c r="E898" s="230">
        <v>14491032</v>
      </c>
      <c r="F898" s="230">
        <v>37703</v>
      </c>
      <c r="G898" s="230">
        <v>1</v>
      </c>
      <c r="H898" s="240">
        <v>359.46</v>
      </c>
      <c r="I898" s="240">
        <f t="shared" si="13"/>
        <v>359.46</v>
      </c>
      <c r="J898" s="231" t="s">
        <v>1393</v>
      </c>
      <c r="K898" s="231" t="s">
        <v>1394</v>
      </c>
      <c r="L898" s="232">
        <v>45170</v>
      </c>
      <c r="M898" s="232">
        <v>45199</v>
      </c>
    </row>
    <row r="899" spans="1:13" ht="14.25" customHeight="1" x14ac:dyDescent="0.2">
      <c r="A899" s="231" t="s">
        <v>1589</v>
      </c>
      <c r="B899" s="230">
        <v>114966</v>
      </c>
      <c r="C899" s="230">
        <v>10766</v>
      </c>
      <c r="D899" s="231" t="s">
        <v>1134</v>
      </c>
      <c r="E899" s="230">
        <v>14491032</v>
      </c>
      <c r="F899" s="230">
        <v>37709</v>
      </c>
      <c r="G899" s="230">
        <v>1</v>
      </c>
      <c r="H899" s="240">
        <v>359.46</v>
      </c>
      <c r="I899" s="240">
        <f t="shared" ref="I899:I962" si="14">G899*H899</f>
        <v>359.46</v>
      </c>
      <c r="J899" s="231" t="s">
        <v>1393</v>
      </c>
      <c r="K899" s="231" t="s">
        <v>1394</v>
      </c>
      <c r="L899" s="232">
        <v>45170</v>
      </c>
      <c r="M899" s="232">
        <v>45199</v>
      </c>
    </row>
    <row r="900" spans="1:13" ht="14.25" customHeight="1" x14ac:dyDescent="0.2">
      <c r="A900" s="231" t="s">
        <v>1589</v>
      </c>
      <c r="B900" s="230">
        <v>114968</v>
      </c>
      <c r="C900" s="230">
        <v>10758</v>
      </c>
      <c r="D900" s="231" t="s">
        <v>1135</v>
      </c>
      <c r="E900" s="230">
        <v>14491032</v>
      </c>
      <c r="F900" s="230">
        <v>37713</v>
      </c>
      <c r="G900" s="230">
        <v>1</v>
      </c>
      <c r="H900" s="240">
        <v>359.46</v>
      </c>
      <c r="I900" s="240">
        <f t="shared" si="14"/>
        <v>359.46</v>
      </c>
      <c r="J900" s="231" t="s">
        <v>1393</v>
      </c>
      <c r="K900" s="231" t="s">
        <v>1394</v>
      </c>
      <c r="L900" s="232">
        <v>45170</v>
      </c>
      <c r="M900" s="232">
        <v>45199</v>
      </c>
    </row>
    <row r="901" spans="1:13" ht="14.25" customHeight="1" x14ac:dyDescent="0.2">
      <c r="A901" s="231" t="s">
        <v>1589</v>
      </c>
      <c r="B901" s="230">
        <v>114973</v>
      </c>
      <c r="C901" s="230">
        <v>10745</v>
      </c>
      <c r="D901" s="231" t="s">
        <v>1136</v>
      </c>
      <c r="E901" s="230">
        <v>14491032</v>
      </c>
      <c r="F901" s="230">
        <v>37723</v>
      </c>
      <c r="G901" s="230">
        <v>1</v>
      </c>
      <c r="H901" s="240">
        <v>359.46</v>
      </c>
      <c r="I901" s="240">
        <f t="shared" si="14"/>
        <v>359.46</v>
      </c>
      <c r="J901" s="231" t="s">
        <v>1393</v>
      </c>
      <c r="K901" s="231" t="s">
        <v>1394</v>
      </c>
      <c r="L901" s="232">
        <v>45170</v>
      </c>
      <c r="M901" s="232">
        <v>45199</v>
      </c>
    </row>
    <row r="902" spans="1:13" ht="14.25" customHeight="1" x14ac:dyDescent="0.2">
      <c r="A902" s="231" t="s">
        <v>1589</v>
      </c>
      <c r="B902" s="230">
        <v>114976</v>
      </c>
      <c r="C902" s="230">
        <v>10745</v>
      </c>
      <c r="D902" s="231" t="s">
        <v>1137</v>
      </c>
      <c r="E902" s="230">
        <v>14491032</v>
      </c>
      <c r="F902" s="230">
        <v>37729</v>
      </c>
      <c r="G902" s="230">
        <v>1</v>
      </c>
      <c r="H902" s="240">
        <v>359.46</v>
      </c>
      <c r="I902" s="240">
        <f t="shared" si="14"/>
        <v>359.46</v>
      </c>
      <c r="J902" s="231" t="s">
        <v>1393</v>
      </c>
      <c r="K902" s="231" t="s">
        <v>1394</v>
      </c>
      <c r="L902" s="232">
        <v>45170</v>
      </c>
      <c r="M902" s="232">
        <v>45199</v>
      </c>
    </row>
    <row r="903" spans="1:13" ht="14.25" customHeight="1" x14ac:dyDescent="0.2">
      <c r="A903" s="231" t="s">
        <v>1589</v>
      </c>
      <c r="B903" s="230">
        <v>114977</v>
      </c>
      <c r="C903" s="230">
        <v>10757</v>
      </c>
      <c r="D903" s="231" t="s">
        <v>1138</v>
      </c>
      <c r="E903" s="230">
        <v>14491032</v>
      </c>
      <c r="F903" s="230">
        <v>37731</v>
      </c>
      <c r="G903" s="230">
        <v>1</v>
      </c>
      <c r="H903" s="240">
        <v>359.46</v>
      </c>
      <c r="I903" s="240">
        <f t="shared" si="14"/>
        <v>359.46</v>
      </c>
      <c r="J903" s="231" t="s">
        <v>1393</v>
      </c>
      <c r="K903" s="231" t="s">
        <v>1394</v>
      </c>
      <c r="L903" s="232">
        <v>45170</v>
      </c>
      <c r="M903" s="232">
        <v>45199</v>
      </c>
    </row>
    <row r="904" spans="1:13" ht="14.25" customHeight="1" x14ac:dyDescent="0.2">
      <c r="A904" s="231" t="s">
        <v>1589</v>
      </c>
      <c r="B904" s="230">
        <v>114981</v>
      </c>
      <c r="C904" s="230">
        <v>10745</v>
      </c>
      <c r="D904" s="231" t="s">
        <v>1140</v>
      </c>
      <c r="E904" s="230">
        <v>14491032</v>
      </c>
      <c r="F904" s="230">
        <v>37739</v>
      </c>
      <c r="G904" s="230">
        <v>1</v>
      </c>
      <c r="H904" s="240">
        <v>359.46</v>
      </c>
      <c r="I904" s="240">
        <f t="shared" si="14"/>
        <v>359.46</v>
      </c>
      <c r="J904" s="231" t="s">
        <v>1393</v>
      </c>
      <c r="K904" s="231" t="s">
        <v>1394</v>
      </c>
      <c r="L904" s="232">
        <v>45170</v>
      </c>
      <c r="M904" s="232">
        <v>45199</v>
      </c>
    </row>
    <row r="905" spans="1:13" ht="14.25" customHeight="1" x14ac:dyDescent="0.2">
      <c r="A905" s="231" t="s">
        <v>1589</v>
      </c>
      <c r="B905" s="230">
        <v>114988</v>
      </c>
      <c r="C905" s="230">
        <v>10745</v>
      </c>
      <c r="D905" s="231" t="s">
        <v>1141</v>
      </c>
      <c r="E905" s="230">
        <v>14491032</v>
      </c>
      <c r="F905" s="230">
        <v>37750</v>
      </c>
      <c r="G905" s="230">
        <v>1</v>
      </c>
      <c r="H905" s="240">
        <v>359.46</v>
      </c>
      <c r="I905" s="240">
        <f t="shared" si="14"/>
        <v>359.46</v>
      </c>
      <c r="J905" s="231" t="s">
        <v>1393</v>
      </c>
      <c r="K905" s="231" t="s">
        <v>1394</v>
      </c>
      <c r="L905" s="232">
        <v>45170</v>
      </c>
      <c r="M905" s="232">
        <v>45199</v>
      </c>
    </row>
    <row r="906" spans="1:13" ht="14.25" customHeight="1" x14ac:dyDescent="0.2">
      <c r="A906" s="231" t="s">
        <v>1589</v>
      </c>
      <c r="B906" s="230">
        <v>114990</v>
      </c>
      <c r="C906" s="230">
        <v>10745</v>
      </c>
      <c r="D906" s="231" t="s">
        <v>1569</v>
      </c>
      <c r="E906" s="230">
        <v>14491032</v>
      </c>
      <c r="F906" s="230">
        <v>37754</v>
      </c>
      <c r="G906" s="230">
        <v>1</v>
      </c>
      <c r="H906" s="240">
        <v>359.46</v>
      </c>
      <c r="I906" s="240">
        <f t="shared" si="14"/>
        <v>359.46</v>
      </c>
      <c r="J906" s="231" t="s">
        <v>1393</v>
      </c>
      <c r="K906" s="231" t="s">
        <v>1394</v>
      </c>
      <c r="L906" s="232">
        <v>45170</v>
      </c>
      <c r="M906" s="232">
        <v>45199</v>
      </c>
    </row>
    <row r="907" spans="1:13" ht="14.25" customHeight="1" x14ac:dyDescent="0.2">
      <c r="A907" s="231" t="s">
        <v>1589</v>
      </c>
      <c r="B907" s="230">
        <v>114991</v>
      </c>
      <c r="C907" s="230">
        <v>10758</v>
      </c>
      <c r="D907" s="231" t="s">
        <v>1142</v>
      </c>
      <c r="E907" s="230">
        <v>14491032</v>
      </c>
      <c r="F907" s="230">
        <v>37756</v>
      </c>
      <c r="G907" s="230">
        <v>1</v>
      </c>
      <c r="H907" s="240">
        <v>359.46</v>
      </c>
      <c r="I907" s="240">
        <f t="shared" si="14"/>
        <v>359.46</v>
      </c>
      <c r="J907" s="231" t="s">
        <v>1393</v>
      </c>
      <c r="K907" s="231" t="s">
        <v>1394</v>
      </c>
      <c r="L907" s="232">
        <v>45170</v>
      </c>
      <c r="M907" s="232">
        <v>45199</v>
      </c>
    </row>
    <row r="908" spans="1:13" ht="14.25" customHeight="1" x14ac:dyDescent="0.2">
      <c r="A908" s="231" t="s">
        <v>1589</v>
      </c>
      <c r="B908" s="230">
        <v>114922</v>
      </c>
      <c r="C908" s="230">
        <v>10761</v>
      </c>
      <c r="D908" s="231" t="s">
        <v>1113</v>
      </c>
      <c r="E908" s="230">
        <v>14491032</v>
      </c>
      <c r="F908" s="230">
        <v>37758</v>
      </c>
      <c r="G908" s="230">
        <v>1</v>
      </c>
      <c r="H908" s="240">
        <v>359.46</v>
      </c>
      <c r="I908" s="240">
        <f t="shared" si="14"/>
        <v>359.46</v>
      </c>
      <c r="J908" s="231" t="s">
        <v>1393</v>
      </c>
      <c r="K908" s="231" t="s">
        <v>1394</v>
      </c>
      <c r="L908" s="232">
        <v>45170</v>
      </c>
      <c r="M908" s="232">
        <v>45199</v>
      </c>
    </row>
    <row r="909" spans="1:13" ht="14.25" customHeight="1" x14ac:dyDescent="0.2">
      <c r="A909" s="231" t="s">
        <v>1589</v>
      </c>
      <c r="B909" s="230">
        <v>114924</v>
      </c>
      <c r="C909" s="230">
        <v>10766</v>
      </c>
      <c r="D909" s="231" t="s">
        <v>593</v>
      </c>
      <c r="E909" s="230">
        <v>14491032</v>
      </c>
      <c r="F909" s="230">
        <v>37760</v>
      </c>
      <c r="G909" s="230">
        <v>1</v>
      </c>
      <c r="H909" s="240">
        <v>359.46</v>
      </c>
      <c r="I909" s="240">
        <f t="shared" si="14"/>
        <v>359.46</v>
      </c>
      <c r="J909" s="231" t="s">
        <v>1393</v>
      </c>
      <c r="K909" s="231" t="s">
        <v>1394</v>
      </c>
      <c r="L909" s="232">
        <v>45170</v>
      </c>
      <c r="M909" s="232">
        <v>45199</v>
      </c>
    </row>
    <row r="910" spans="1:13" ht="14.25" customHeight="1" x14ac:dyDescent="0.2">
      <c r="A910" s="231" t="s">
        <v>1589</v>
      </c>
      <c r="B910" s="230">
        <v>114940</v>
      </c>
      <c r="C910" s="230">
        <v>10757</v>
      </c>
      <c r="D910" s="231" t="s">
        <v>1125</v>
      </c>
      <c r="E910" s="230">
        <v>14491032</v>
      </c>
      <c r="F910" s="230">
        <v>37762</v>
      </c>
      <c r="G910" s="230">
        <v>1</v>
      </c>
      <c r="H910" s="240">
        <v>359.46</v>
      </c>
      <c r="I910" s="240">
        <f t="shared" si="14"/>
        <v>359.46</v>
      </c>
      <c r="J910" s="231" t="s">
        <v>1393</v>
      </c>
      <c r="K910" s="231" t="s">
        <v>1394</v>
      </c>
      <c r="L910" s="232">
        <v>45170</v>
      </c>
      <c r="M910" s="232">
        <v>45199</v>
      </c>
    </row>
    <row r="911" spans="1:13" ht="14.25" customHeight="1" x14ac:dyDescent="0.2">
      <c r="A911" s="231" t="s">
        <v>1589</v>
      </c>
      <c r="B911" s="230">
        <v>115012</v>
      </c>
      <c r="C911" s="230">
        <v>10758</v>
      </c>
      <c r="D911" s="231" t="s">
        <v>1144</v>
      </c>
      <c r="E911" s="230">
        <v>14491032</v>
      </c>
      <c r="F911" s="230">
        <v>37808</v>
      </c>
      <c r="G911" s="230">
        <v>1</v>
      </c>
      <c r="H911" s="240">
        <v>299.55</v>
      </c>
      <c r="I911" s="240">
        <f t="shared" si="14"/>
        <v>299.55</v>
      </c>
      <c r="J911" s="231" t="s">
        <v>1393</v>
      </c>
      <c r="K911" s="231" t="s">
        <v>1394</v>
      </c>
      <c r="L911" s="232">
        <v>45170</v>
      </c>
      <c r="M911" s="232">
        <v>45199</v>
      </c>
    </row>
    <row r="912" spans="1:13" ht="14.25" customHeight="1" x14ac:dyDescent="0.2">
      <c r="A912" s="231" t="s">
        <v>1589</v>
      </c>
      <c r="B912" s="230">
        <v>115229</v>
      </c>
      <c r="C912" s="230">
        <v>10743</v>
      </c>
      <c r="D912" s="231" t="s">
        <v>1151</v>
      </c>
      <c r="E912" s="230">
        <v>14491032</v>
      </c>
      <c r="F912" s="230">
        <v>38512</v>
      </c>
      <c r="G912" s="230">
        <v>1</v>
      </c>
      <c r="H912" s="240">
        <v>359.46</v>
      </c>
      <c r="I912" s="240">
        <f t="shared" si="14"/>
        <v>359.46</v>
      </c>
      <c r="J912" s="231" t="s">
        <v>1393</v>
      </c>
      <c r="K912" s="231" t="s">
        <v>1394</v>
      </c>
      <c r="L912" s="232">
        <v>45170</v>
      </c>
      <c r="M912" s="232">
        <v>45199</v>
      </c>
    </row>
    <row r="913" spans="1:13" ht="14.25" customHeight="1" x14ac:dyDescent="0.2">
      <c r="A913" s="231" t="s">
        <v>1589</v>
      </c>
      <c r="B913" s="230">
        <v>115231</v>
      </c>
      <c r="C913" s="230">
        <v>10757</v>
      </c>
      <c r="D913" s="231" t="s">
        <v>1152</v>
      </c>
      <c r="E913" s="230">
        <v>14491032</v>
      </c>
      <c r="F913" s="230">
        <v>38517</v>
      </c>
      <c r="G913" s="230">
        <v>1</v>
      </c>
      <c r="H913" s="240">
        <v>359.46</v>
      </c>
      <c r="I913" s="240">
        <f t="shared" si="14"/>
        <v>359.46</v>
      </c>
      <c r="J913" s="231" t="s">
        <v>1393</v>
      </c>
      <c r="K913" s="231" t="s">
        <v>1394</v>
      </c>
      <c r="L913" s="232">
        <v>45170</v>
      </c>
      <c r="M913" s="232">
        <v>45199</v>
      </c>
    </row>
    <row r="914" spans="1:13" ht="14.25" customHeight="1" x14ac:dyDescent="0.2">
      <c r="A914" s="231" t="s">
        <v>1589</v>
      </c>
      <c r="B914" s="230">
        <v>115397</v>
      </c>
      <c r="C914" s="230">
        <v>10757</v>
      </c>
      <c r="D914" s="231" t="s">
        <v>1155</v>
      </c>
      <c r="E914" s="230">
        <v>14491032</v>
      </c>
      <c r="F914" s="230">
        <v>39000</v>
      </c>
      <c r="G914" s="230">
        <v>1</v>
      </c>
      <c r="H914" s="240">
        <v>359.46</v>
      </c>
      <c r="I914" s="240">
        <f t="shared" si="14"/>
        <v>359.46</v>
      </c>
      <c r="J914" s="231" t="s">
        <v>1393</v>
      </c>
      <c r="K914" s="231" t="s">
        <v>1394</v>
      </c>
      <c r="L914" s="232">
        <v>45170</v>
      </c>
      <c r="M914" s="232">
        <v>45199</v>
      </c>
    </row>
    <row r="915" spans="1:13" ht="14.25" customHeight="1" x14ac:dyDescent="0.2">
      <c r="A915" s="231" t="s">
        <v>1589</v>
      </c>
      <c r="B915" s="230">
        <v>115796</v>
      </c>
      <c r="C915" s="230">
        <v>10743</v>
      </c>
      <c r="D915" s="231" t="s">
        <v>1358</v>
      </c>
      <c r="E915" s="230">
        <v>14491032</v>
      </c>
      <c r="F915" s="230">
        <v>40250</v>
      </c>
      <c r="G915" s="230">
        <v>1</v>
      </c>
      <c r="H915" s="240">
        <v>359.46</v>
      </c>
      <c r="I915" s="240">
        <f t="shared" si="14"/>
        <v>359.46</v>
      </c>
      <c r="J915" s="231" t="s">
        <v>1393</v>
      </c>
      <c r="K915" s="231" t="s">
        <v>1394</v>
      </c>
      <c r="L915" s="232">
        <v>45170</v>
      </c>
      <c r="M915" s="232">
        <v>45199</v>
      </c>
    </row>
    <row r="916" spans="1:13" ht="14.25" customHeight="1" x14ac:dyDescent="0.2">
      <c r="A916" s="231" t="s">
        <v>1589</v>
      </c>
      <c r="B916" s="230">
        <v>116072</v>
      </c>
      <c r="C916" s="230">
        <v>10743</v>
      </c>
      <c r="D916" s="231" t="s">
        <v>1183</v>
      </c>
      <c r="E916" s="230">
        <v>14491032</v>
      </c>
      <c r="F916" s="230">
        <v>41062</v>
      </c>
      <c r="G916" s="230">
        <v>1</v>
      </c>
      <c r="H916" s="240">
        <v>359.46</v>
      </c>
      <c r="I916" s="240">
        <f t="shared" si="14"/>
        <v>359.46</v>
      </c>
      <c r="J916" s="231" t="s">
        <v>1393</v>
      </c>
      <c r="K916" s="231" t="s">
        <v>1394</v>
      </c>
      <c r="L916" s="232">
        <v>45170</v>
      </c>
      <c r="M916" s="232">
        <v>45199</v>
      </c>
    </row>
    <row r="917" spans="1:13" ht="14.25" customHeight="1" x14ac:dyDescent="0.2">
      <c r="A917" s="231" t="s">
        <v>1589</v>
      </c>
      <c r="B917" s="230">
        <v>116076</v>
      </c>
      <c r="C917" s="230">
        <v>10771</v>
      </c>
      <c r="D917" s="231" t="s">
        <v>1184</v>
      </c>
      <c r="E917" s="230">
        <v>14491032</v>
      </c>
      <c r="F917" s="230">
        <v>41072</v>
      </c>
      <c r="G917" s="230">
        <v>1</v>
      </c>
      <c r="H917" s="240">
        <v>359.46</v>
      </c>
      <c r="I917" s="240">
        <f t="shared" si="14"/>
        <v>359.46</v>
      </c>
      <c r="J917" s="231" t="s">
        <v>1393</v>
      </c>
      <c r="K917" s="231" t="s">
        <v>1394</v>
      </c>
      <c r="L917" s="232">
        <v>45170</v>
      </c>
      <c r="M917" s="232">
        <v>45199</v>
      </c>
    </row>
    <row r="918" spans="1:13" ht="14.25" customHeight="1" x14ac:dyDescent="0.2">
      <c r="A918" s="231" t="s">
        <v>1589</v>
      </c>
      <c r="B918" s="230">
        <v>116085</v>
      </c>
      <c r="C918" s="230">
        <v>10756</v>
      </c>
      <c r="D918" s="231" t="s">
        <v>1185</v>
      </c>
      <c r="E918" s="230">
        <v>14491032</v>
      </c>
      <c r="F918" s="230">
        <v>41097</v>
      </c>
      <c r="G918" s="230">
        <v>1</v>
      </c>
      <c r="H918" s="240">
        <v>359.46</v>
      </c>
      <c r="I918" s="240">
        <f t="shared" si="14"/>
        <v>359.46</v>
      </c>
      <c r="J918" s="231" t="s">
        <v>1393</v>
      </c>
      <c r="K918" s="231" t="s">
        <v>1394</v>
      </c>
      <c r="L918" s="232">
        <v>45170</v>
      </c>
      <c r="M918" s="232">
        <v>45199</v>
      </c>
    </row>
    <row r="919" spans="1:13" ht="14.25" customHeight="1" x14ac:dyDescent="0.2">
      <c r="A919" s="231" t="s">
        <v>1589</v>
      </c>
      <c r="B919" s="230">
        <v>116087</v>
      </c>
      <c r="C919" s="230">
        <v>10757</v>
      </c>
      <c r="D919" s="231" t="s">
        <v>1186</v>
      </c>
      <c r="E919" s="230">
        <v>14491032</v>
      </c>
      <c r="F919" s="230">
        <v>41101</v>
      </c>
      <c r="G919" s="230">
        <v>1</v>
      </c>
      <c r="H919" s="240">
        <v>359.46</v>
      </c>
      <c r="I919" s="240">
        <f t="shared" si="14"/>
        <v>359.46</v>
      </c>
      <c r="J919" s="231" t="s">
        <v>1393</v>
      </c>
      <c r="K919" s="231" t="s">
        <v>1394</v>
      </c>
      <c r="L919" s="232">
        <v>45170</v>
      </c>
      <c r="M919" s="232">
        <v>45199</v>
      </c>
    </row>
    <row r="920" spans="1:13" ht="14.25" customHeight="1" x14ac:dyDescent="0.2">
      <c r="A920" s="231" t="s">
        <v>1589</v>
      </c>
      <c r="B920" s="230">
        <v>116109</v>
      </c>
      <c r="C920" s="230">
        <v>10763</v>
      </c>
      <c r="D920" s="231" t="s">
        <v>1187</v>
      </c>
      <c r="E920" s="230">
        <v>14491032</v>
      </c>
      <c r="F920" s="230">
        <v>41155</v>
      </c>
      <c r="G920" s="230">
        <v>1</v>
      </c>
      <c r="H920" s="240">
        <v>359.46</v>
      </c>
      <c r="I920" s="240">
        <f t="shared" si="14"/>
        <v>359.46</v>
      </c>
      <c r="J920" s="231" t="s">
        <v>1393</v>
      </c>
      <c r="K920" s="231" t="s">
        <v>1394</v>
      </c>
      <c r="L920" s="232">
        <v>45170</v>
      </c>
      <c r="M920" s="232">
        <v>45199</v>
      </c>
    </row>
    <row r="921" spans="1:13" ht="14.25" customHeight="1" x14ac:dyDescent="0.2">
      <c r="A921" s="231" t="s">
        <v>1589</v>
      </c>
      <c r="B921" s="230">
        <v>116110</v>
      </c>
      <c r="C921" s="230">
        <v>10763</v>
      </c>
      <c r="D921" s="231" t="s">
        <v>1188</v>
      </c>
      <c r="E921" s="230">
        <v>14491032</v>
      </c>
      <c r="F921" s="230">
        <v>41157</v>
      </c>
      <c r="G921" s="230">
        <v>1</v>
      </c>
      <c r="H921" s="240">
        <v>359.46</v>
      </c>
      <c r="I921" s="240">
        <f t="shared" si="14"/>
        <v>359.46</v>
      </c>
      <c r="J921" s="231" t="s">
        <v>1393</v>
      </c>
      <c r="K921" s="231" t="s">
        <v>1394</v>
      </c>
      <c r="L921" s="232">
        <v>45170</v>
      </c>
      <c r="M921" s="232">
        <v>45199</v>
      </c>
    </row>
    <row r="922" spans="1:13" ht="14.25" customHeight="1" x14ac:dyDescent="0.2">
      <c r="A922" s="231" t="s">
        <v>1589</v>
      </c>
      <c r="B922" s="230">
        <v>116111</v>
      </c>
      <c r="C922" s="230">
        <v>10768</v>
      </c>
      <c r="D922" s="231" t="s">
        <v>1189</v>
      </c>
      <c r="E922" s="230">
        <v>14491032</v>
      </c>
      <c r="F922" s="230">
        <v>41159</v>
      </c>
      <c r="G922" s="230">
        <v>1</v>
      </c>
      <c r="H922" s="240">
        <v>359.46</v>
      </c>
      <c r="I922" s="240">
        <f t="shared" si="14"/>
        <v>359.46</v>
      </c>
      <c r="J922" s="231" t="s">
        <v>1393</v>
      </c>
      <c r="K922" s="231" t="s">
        <v>1394</v>
      </c>
      <c r="L922" s="232">
        <v>45170</v>
      </c>
      <c r="M922" s="232">
        <v>45199</v>
      </c>
    </row>
    <row r="923" spans="1:13" ht="14.25" customHeight="1" x14ac:dyDescent="0.2">
      <c r="A923" s="231" t="s">
        <v>1589</v>
      </c>
      <c r="B923" s="230">
        <v>116112</v>
      </c>
      <c r="C923" s="230">
        <v>10745</v>
      </c>
      <c r="D923" s="231" t="s">
        <v>1190</v>
      </c>
      <c r="E923" s="230">
        <v>14491032</v>
      </c>
      <c r="F923" s="230">
        <v>41161</v>
      </c>
      <c r="G923" s="230">
        <v>1</v>
      </c>
      <c r="H923" s="240">
        <v>359.46</v>
      </c>
      <c r="I923" s="240">
        <f t="shared" si="14"/>
        <v>359.46</v>
      </c>
      <c r="J923" s="231" t="s">
        <v>1393</v>
      </c>
      <c r="K923" s="231" t="s">
        <v>1394</v>
      </c>
      <c r="L923" s="232">
        <v>45170</v>
      </c>
      <c r="M923" s="232">
        <v>45199</v>
      </c>
    </row>
    <row r="924" spans="1:13" ht="14.25" customHeight="1" x14ac:dyDescent="0.2">
      <c r="A924" s="231" t="s">
        <v>1589</v>
      </c>
      <c r="B924" s="230">
        <v>116132</v>
      </c>
      <c r="C924" s="230">
        <v>10761</v>
      </c>
      <c r="D924" s="231" t="s">
        <v>1191</v>
      </c>
      <c r="E924" s="230">
        <v>14491032</v>
      </c>
      <c r="F924" s="230">
        <v>41266</v>
      </c>
      <c r="G924" s="230">
        <v>1</v>
      </c>
      <c r="H924" s="240">
        <v>359.46</v>
      </c>
      <c r="I924" s="240">
        <f t="shared" si="14"/>
        <v>359.46</v>
      </c>
      <c r="J924" s="231" t="s">
        <v>1393</v>
      </c>
      <c r="K924" s="231" t="s">
        <v>1394</v>
      </c>
      <c r="L924" s="232">
        <v>45170</v>
      </c>
      <c r="M924" s="232">
        <v>45199</v>
      </c>
    </row>
    <row r="925" spans="1:13" ht="14.25" customHeight="1" x14ac:dyDescent="0.2">
      <c r="A925" s="231" t="s">
        <v>1589</v>
      </c>
      <c r="B925" s="230">
        <v>116133</v>
      </c>
      <c r="C925" s="230">
        <v>10743</v>
      </c>
      <c r="D925" s="231" t="s">
        <v>1192</v>
      </c>
      <c r="E925" s="230">
        <v>14491032</v>
      </c>
      <c r="F925" s="230">
        <v>41268</v>
      </c>
      <c r="G925" s="230">
        <v>1</v>
      </c>
      <c r="H925" s="240">
        <v>359.46</v>
      </c>
      <c r="I925" s="240">
        <f t="shared" si="14"/>
        <v>359.46</v>
      </c>
      <c r="J925" s="231" t="s">
        <v>1393</v>
      </c>
      <c r="K925" s="231" t="s">
        <v>1394</v>
      </c>
      <c r="L925" s="232">
        <v>45170</v>
      </c>
      <c r="M925" s="232">
        <v>45199</v>
      </c>
    </row>
    <row r="926" spans="1:13" ht="14.25" customHeight="1" x14ac:dyDescent="0.2">
      <c r="A926" s="231" t="s">
        <v>1589</v>
      </c>
      <c r="B926" s="230">
        <v>116386</v>
      </c>
      <c r="C926" s="230">
        <v>10766</v>
      </c>
      <c r="D926" s="231" t="s">
        <v>1215</v>
      </c>
      <c r="E926" s="230">
        <v>14491032</v>
      </c>
      <c r="F926" s="230">
        <v>42042</v>
      </c>
      <c r="G926" s="230">
        <v>1</v>
      </c>
      <c r="H926" s="240">
        <v>359.46</v>
      </c>
      <c r="I926" s="240">
        <f t="shared" si="14"/>
        <v>359.46</v>
      </c>
      <c r="J926" s="231" t="s">
        <v>1393</v>
      </c>
      <c r="K926" s="231" t="s">
        <v>1394</v>
      </c>
      <c r="L926" s="232">
        <v>45170</v>
      </c>
      <c r="M926" s="232">
        <v>45199</v>
      </c>
    </row>
    <row r="927" spans="1:13" ht="14.25" customHeight="1" x14ac:dyDescent="0.2">
      <c r="A927" s="231" t="s">
        <v>1589</v>
      </c>
      <c r="B927" s="230">
        <v>116388</v>
      </c>
      <c r="C927" s="230">
        <v>10768</v>
      </c>
      <c r="D927" s="231" t="s">
        <v>1216</v>
      </c>
      <c r="E927" s="230">
        <v>14491032</v>
      </c>
      <c r="F927" s="230">
        <v>42044</v>
      </c>
      <c r="G927" s="230">
        <v>1</v>
      </c>
      <c r="H927" s="240">
        <v>359.46</v>
      </c>
      <c r="I927" s="240">
        <f t="shared" si="14"/>
        <v>359.46</v>
      </c>
      <c r="J927" s="231" t="s">
        <v>1393</v>
      </c>
      <c r="K927" s="231" t="s">
        <v>1394</v>
      </c>
      <c r="L927" s="232">
        <v>45170</v>
      </c>
      <c r="M927" s="232">
        <v>45199</v>
      </c>
    </row>
    <row r="928" spans="1:13" ht="14.25" customHeight="1" x14ac:dyDescent="0.2">
      <c r="A928" s="231" t="s">
        <v>1589</v>
      </c>
      <c r="B928" s="230">
        <v>116729</v>
      </c>
      <c r="C928" s="230">
        <v>10762</v>
      </c>
      <c r="D928" s="231" t="s">
        <v>1225</v>
      </c>
      <c r="E928" s="230">
        <v>14491032</v>
      </c>
      <c r="F928" s="230">
        <v>42845</v>
      </c>
      <c r="G928" s="230">
        <v>1</v>
      </c>
      <c r="H928" s="240">
        <v>359.46</v>
      </c>
      <c r="I928" s="240">
        <f t="shared" si="14"/>
        <v>359.46</v>
      </c>
      <c r="J928" s="231" t="s">
        <v>1393</v>
      </c>
      <c r="K928" s="231" t="s">
        <v>1394</v>
      </c>
      <c r="L928" s="232">
        <v>45170</v>
      </c>
      <c r="M928" s="232">
        <v>45199</v>
      </c>
    </row>
    <row r="929" spans="1:13" ht="14.25" customHeight="1" x14ac:dyDescent="0.2">
      <c r="A929" s="231" t="s">
        <v>1589</v>
      </c>
      <c r="B929" s="230">
        <v>116730</v>
      </c>
      <c r="C929" s="230">
        <v>10768</v>
      </c>
      <c r="D929" s="231" t="s">
        <v>1226</v>
      </c>
      <c r="E929" s="230">
        <v>14491032</v>
      </c>
      <c r="F929" s="230">
        <v>42847</v>
      </c>
      <c r="G929" s="230">
        <v>1</v>
      </c>
      <c r="H929" s="240">
        <v>359.46</v>
      </c>
      <c r="I929" s="240">
        <f t="shared" si="14"/>
        <v>359.46</v>
      </c>
      <c r="J929" s="231" t="s">
        <v>1393</v>
      </c>
      <c r="K929" s="231" t="s">
        <v>1394</v>
      </c>
      <c r="L929" s="232">
        <v>45170</v>
      </c>
      <c r="M929" s="232">
        <v>45199</v>
      </c>
    </row>
    <row r="930" spans="1:13" ht="14.25" customHeight="1" x14ac:dyDescent="0.2">
      <c r="A930" s="231" t="s">
        <v>1589</v>
      </c>
      <c r="B930" s="230">
        <v>116731</v>
      </c>
      <c r="C930" s="230">
        <v>10757</v>
      </c>
      <c r="D930" s="231" t="s">
        <v>1227</v>
      </c>
      <c r="E930" s="230">
        <v>14491032</v>
      </c>
      <c r="F930" s="230">
        <v>42849</v>
      </c>
      <c r="G930" s="230">
        <v>1</v>
      </c>
      <c r="H930" s="240">
        <v>359.46</v>
      </c>
      <c r="I930" s="240">
        <f t="shared" si="14"/>
        <v>359.46</v>
      </c>
      <c r="J930" s="231" t="s">
        <v>1393</v>
      </c>
      <c r="K930" s="231" t="s">
        <v>1394</v>
      </c>
      <c r="L930" s="232">
        <v>45170</v>
      </c>
      <c r="M930" s="232">
        <v>45199</v>
      </c>
    </row>
    <row r="931" spans="1:13" ht="14.25" customHeight="1" x14ac:dyDescent="0.2">
      <c r="A931" s="231" t="s">
        <v>1589</v>
      </c>
      <c r="B931" s="230">
        <v>116738</v>
      </c>
      <c r="C931" s="230">
        <v>10743</v>
      </c>
      <c r="D931" s="231" t="s">
        <v>1342</v>
      </c>
      <c r="E931" s="230">
        <v>14491032</v>
      </c>
      <c r="F931" s="230">
        <v>42864</v>
      </c>
      <c r="G931" s="230">
        <v>1</v>
      </c>
      <c r="H931" s="240">
        <v>359.46</v>
      </c>
      <c r="I931" s="240">
        <f t="shared" si="14"/>
        <v>359.46</v>
      </c>
      <c r="J931" s="231" t="s">
        <v>1393</v>
      </c>
      <c r="K931" s="231" t="s">
        <v>1395</v>
      </c>
      <c r="L931" s="232">
        <v>45170</v>
      </c>
      <c r="M931" s="232">
        <v>45199</v>
      </c>
    </row>
    <row r="932" spans="1:13" ht="14.25" customHeight="1" x14ac:dyDescent="0.2">
      <c r="A932" s="231" t="s">
        <v>1589</v>
      </c>
      <c r="B932" s="230">
        <v>116804</v>
      </c>
      <c r="C932" s="230">
        <v>10771</v>
      </c>
      <c r="D932" s="231" t="s">
        <v>1229</v>
      </c>
      <c r="E932" s="230">
        <v>14491032</v>
      </c>
      <c r="F932" s="230">
        <v>43071</v>
      </c>
      <c r="G932" s="230">
        <v>1</v>
      </c>
      <c r="H932" s="240">
        <v>347.47</v>
      </c>
      <c r="I932" s="240">
        <f t="shared" si="14"/>
        <v>347.47</v>
      </c>
      <c r="J932" s="231" t="s">
        <v>1393</v>
      </c>
      <c r="K932" s="231" t="s">
        <v>1394</v>
      </c>
      <c r="L932" s="232">
        <v>45170</v>
      </c>
      <c r="M932" s="232">
        <v>45199</v>
      </c>
    </row>
    <row r="933" spans="1:13" ht="14.25" customHeight="1" x14ac:dyDescent="0.2">
      <c r="A933" s="231" t="s">
        <v>1589</v>
      </c>
      <c r="B933" s="230">
        <v>116977</v>
      </c>
      <c r="C933" s="230">
        <v>10757</v>
      </c>
      <c r="D933" s="231" t="s">
        <v>1245</v>
      </c>
      <c r="E933" s="230">
        <v>14491032</v>
      </c>
      <c r="F933" s="230">
        <v>43464</v>
      </c>
      <c r="G933" s="230">
        <v>1</v>
      </c>
      <c r="H933" s="240">
        <v>359.46</v>
      </c>
      <c r="I933" s="240">
        <f t="shared" si="14"/>
        <v>359.46</v>
      </c>
      <c r="J933" s="231" t="s">
        <v>1393</v>
      </c>
      <c r="K933" s="231" t="s">
        <v>1394</v>
      </c>
      <c r="L933" s="232">
        <v>45170</v>
      </c>
      <c r="M933" s="232">
        <v>45199</v>
      </c>
    </row>
    <row r="934" spans="1:13" ht="14.25" customHeight="1" x14ac:dyDescent="0.2">
      <c r="A934" s="231" t="s">
        <v>1589</v>
      </c>
      <c r="B934" s="230">
        <v>116980</v>
      </c>
      <c r="C934" s="230">
        <v>10757</v>
      </c>
      <c r="D934" s="231" t="s">
        <v>1247</v>
      </c>
      <c r="E934" s="230">
        <v>14491032</v>
      </c>
      <c r="F934" s="230">
        <v>43470</v>
      </c>
      <c r="G934" s="230">
        <v>1</v>
      </c>
      <c r="H934" s="240">
        <v>359.46</v>
      </c>
      <c r="I934" s="240">
        <f t="shared" si="14"/>
        <v>359.46</v>
      </c>
      <c r="J934" s="231" t="s">
        <v>1393</v>
      </c>
      <c r="K934" s="231" t="s">
        <v>1394</v>
      </c>
      <c r="L934" s="232">
        <v>45170</v>
      </c>
      <c r="M934" s="232">
        <v>45199</v>
      </c>
    </row>
    <row r="935" spans="1:13" ht="14.25" customHeight="1" x14ac:dyDescent="0.2">
      <c r="A935" s="231" t="s">
        <v>1589</v>
      </c>
      <c r="B935" s="230">
        <v>117238</v>
      </c>
      <c r="C935" s="230">
        <v>10755</v>
      </c>
      <c r="D935" s="231" t="s">
        <v>1260</v>
      </c>
      <c r="E935" s="230">
        <v>14491032</v>
      </c>
      <c r="F935" s="230">
        <v>44092</v>
      </c>
      <c r="G935" s="230">
        <v>1</v>
      </c>
      <c r="H935" s="240">
        <v>359.46</v>
      </c>
      <c r="I935" s="240">
        <f t="shared" si="14"/>
        <v>359.46</v>
      </c>
      <c r="J935" s="231" t="s">
        <v>1393</v>
      </c>
      <c r="K935" s="231" t="s">
        <v>1394</v>
      </c>
      <c r="L935" s="232">
        <v>45170</v>
      </c>
      <c r="M935" s="232">
        <v>45199</v>
      </c>
    </row>
    <row r="936" spans="1:13" ht="14.25" customHeight="1" x14ac:dyDescent="0.2">
      <c r="A936" s="231" t="s">
        <v>1589</v>
      </c>
      <c r="B936" s="230">
        <v>117245</v>
      </c>
      <c r="C936" s="230">
        <v>10748</v>
      </c>
      <c r="D936" s="231" t="s">
        <v>1080</v>
      </c>
      <c r="E936" s="230">
        <v>14491032</v>
      </c>
      <c r="F936" s="230">
        <v>44106</v>
      </c>
      <c r="G936" s="230">
        <v>1</v>
      </c>
      <c r="H936" s="240">
        <v>359.46</v>
      </c>
      <c r="I936" s="240">
        <f t="shared" si="14"/>
        <v>359.46</v>
      </c>
      <c r="J936" s="231" t="s">
        <v>1393</v>
      </c>
      <c r="K936" s="231" t="s">
        <v>1394</v>
      </c>
      <c r="L936" s="232">
        <v>45170</v>
      </c>
      <c r="M936" s="232">
        <v>45199</v>
      </c>
    </row>
    <row r="937" spans="1:13" ht="14.25" customHeight="1" x14ac:dyDescent="0.2">
      <c r="A937" s="231" t="s">
        <v>1589</v>
      </c>
      <c r="B937" s="230">
        <v>117290</v>
      </c>
      <c r="C937" s="230">
        <v>10771</v>
      </c>
      <c r="D937" s="231" t="s">
        <v>1266</v>
      </c>
      <c r="E937" s="230">
        <v>14491032</v>
      </c>
      <c r="F937" s="230">
        <v>44211</v>
      </c>
      <c r="G937" s="230">
        <v>1</v>
      </c>
      <c r="H937" s="240">
        <v>359.46</v>
      </c>
      <c r="I937" s="240">
        <f t="shared" si="14"/>
        <v>359.46</v>
      </c>
      <c r="J937" s="231" t="s">
        <v>1393</v>
      </c>
      <c r="K937" s="231" t="s">
        <v>1394</v>
      </c>
      <c r="L937" s="232">
        <v>45170</v>
      </c>
      <c r="M937" s="232">
        <v>45199</v>
      </c>
    </row>
    <row r="938" spans="1:13" ht="14.25" customHeight="1" x14ac:dyDescent="0.2">
      <c r="A938" s="231" t="s">
        <v>1589</v>
      </c>
      <c r="B938" s="230">
        <v>117358</v>
      </c>
      <c r="C938" s="230">
        <v>10768</v>
      </c>
      <c r="D938" s="231" t="s">
        <v>1268</v>
      </c>
      <c r="E938" s="230">
        <v>14491032</v>
      </c>
      <c r="F938" s="230">
        <v>44388</v>
      </c>
      <c r="G938" s="230">
        <v>1</v>
      </c>
      <c r="H938" s="240">
        <v>359.46</v>
      </c>
      <c r="I938" s="240">
        <f t="shared" si="14"/>
        <v>359.46</v>
      </c>
      <c r="J938" s="231" t="s">
        <v>1393</v>
      </c>
      <c r="K938" s="231" t="s">
        <v>1394</v>
      </c>
      <c r="L938" s="232">
        <v>45170</v>
      </c>
      <c r="M938" s="232">
        <v>45199</v>
      </c>
    </row>
    <row r="939" spans="1:13" ht="14.25" customHeight="1" x14ac:dyDescent="0.2">
      <c r="A939" s="231" t="s">
        <v>1589</v>
      </c>
      <c r="B939" s="230">
        <v>117359</v>
      </c>
      <c r="C939" s="230">
        <v>10768</v>
      </c>
      <c r="D939" s="231" t="s">
        <v>1269</v>
      </c>
      <c r="E939" s="230">
        <v>14491032</v>
      </c>
      <c r="F939" s="230">
        <v>44390</v>
      </c>
      <c r="G939" s="230">
        <v>1</v>
      </c>
      <c r="H939" s="240">
        <v>359.46</v>
      </c>
      <c r="I939" s="240">
        <f t="shared" si="14"/>
        <v>359.46</v>
      </c>
      <c r="J939" s="231" t="s">
        <v>1393</v>
      </c>
      <c r="K939" s="231" t="s">
        <v>1394</v>
      </c>
      <c r="L939" s="232">
        <v>45170</v>
      </c>
      <c r="M939" s="232">
        <v>45199</v>
      </c>
    </row>
    <row r="940" spans="1:13" ht="14.25" customHeight="1" x14ac:dyDescent="0.2">
      <c r="A940" s="231" t="s">
        <v>1589</v>
      </c>
      <c r="B940" s="230">
        <v>117362</v>
      </c>
      <c r="C940" s="230">
        <v>10745</v>
      </c>
      <c r="D940" s="231" t="s">
        <v>1270</v>
      </c>
      <c r="E940" s="230">
        <v>14491032</v>
      </c>
      <c r="F940" s="230">
        <v>44397</v>
      </c>
      <c r="G940" s="230">
        <v>1</v>
      </c>
      <c r="H940" s="240">
        <v>359.46</v>
      </c>
      <c r="I940" s="240">
        <f t="shared" si="14"/>
        <v>359.46</v>
      </c>
      <c r="J940" s="231" t="s">
        <v>1393</v>
      </c>
      <c r="K940" s="231" t="s">
        <v>1394</v>
      </c>
      <c r="L940" s="232">
        <v>45170</v>
      </c>
      <c r="M940" s="232">
        <v>45199</v>
      </c>
    </row>
    <row r="941" spans="1:13" ht="14.25" customHeight="1" x14ac:dyDescent="0.2">
      <c r="A941" s="231" t="s">
        <v>1589</v>
      </c>
      <c r="B941" s="230">
        <v>117398</v>
      </c>
      <c r="C941" s="230">
        <v>10743</v>
      </c>
      <c r="D941" s="231" t="s">
        <v>1339</v>
      </c>
      <c r="E941" s="230">
        <v>14491032</v>
      </c>
      <c r="F941" s="230">
        <v>44509</v>
      </c>
      <c r="G941" s="230">
        <v>1</v>
      </c>
      <c r="H941" s="240">
        <v>359.46</v>
      </c>
      <c r="I941" s="240">
        <f t="shared" si="14"/>
        <v>359.46</v>
      </c>
      <c r="J941" s="231" t="s">
        <v>1393</v>
      </c>
      <c r="K941" s="231" t="s">
        <v>1395</v>
      </c>
      <c r="L941" s="232">
        <v>45170</v>
      </c>
      <c r="M941" s="232">
        <v>45199</v>
      </c>
    </row>
    <row r="942" spans="1:13" ht="14.25" customHeight="1" x14ac:dyDescent="0.2">
      <c r="A942" s="231" t="s">
        <v>1589</v>
      </c>
      <c r="B942" s="230">
        <v>117410</v>
      </c>
      <c r="C942" s="230">
        <v>10743</v>
      </c>
      <c r="D942" s="231" t="s">
        <v>1278</v>
      </c>
      <c r="E942" s="230">
        <v>14491032</v>
      </c>
      <c r="F942" s="230">
        <v>44522</v>
      </c>
      <c r="G942" s="230">
        <v>1</v>
      </c>
      <c r="H942" s="240">
        <v>359.46</v>
      </c>
      <c r="I942" s="240">
        <f t="shared" si="14"/>
        <v>359.46</v>
      </c>
      <c r="J942" s="231" t="s">
        <v>1393</v>
      </c>
      <c r="K942" s="231" t="s">
        <v>1394</v>
      </c>
      <c r="L942" s="232">
        <v>45170</v>
      </c>
      <c r="M942" s="232">
        <v>45199</v>
      </c>
    </row>
    <row r="943" spans="1:13" ht="14.25" customHeight="1" x14ac:dyDescent="0.2">
      <c r="A943" s="231" t="s">
        <v>1589</v>
      </c>
      <c r="B943" s="230">
        <v>118642</v>
      </c>
      <c r="C943" s="230">
        <v>10771</v>
      </c>
      <c r="D943" s="231" t="s">
        <v>1415</v>
      </c>
      <c r="E943" s="230">
        <v>14491032</v>
      </c>
      <c r="F943" s="230">
        <v>47179</v>
      </c>
      <c r="G943" s="230">
        <v>1</v>
      </c>
      <c r="H943" s="240">
        <v>359.46</v>
      </c>
      <c r="I943" s="240">
        <f t="shared" si="14"/>
        <v>359.46</v>
      </c>
      <c r="J943" s="231" t="s">
        <v>1393</v>
      </c>
      <c r="K943" s="231" t="s">
        <v>1394</v>
      </c>
      <c r="L943" s="232">
        <v>45170</v>
      </c>
      <c r="M943" s="232">
        <v>45199</v>
      </c>
    </row>
    <row r="944" spans="1:13" ht="14.25" customHeight="1" x14ac:dyDescent="0.2">
      <c r="A944" s="231" t="s">
        <v>1589</v>
      </c>
      <c r="B944" s="230">
        <v>118649</v>
      </c>
      <c r="C944" s="230">
        <v>10761</v>
      </c>
      <c r="D944" s="231" t="s">
        <v>1409</v>
      </c>
      <c r="E944" s="230">
        <v>14491032</v>
      </c>
      <c r="F944" s="230">
        <v>47191</v>
      </c>
      <c r="G944" s="230">
        <v>1</v>
      </c>
      <c r="H944" s="240">
        <v>359.46</v>
      </c>
      <c r="I944" s="240">
        <f t="shared" si="14"/>
        <v>359.46</v>
      </c>
      <c r="J944" s="231" t="s">
        <v>1393</v>
      </c>
      <c r="K944" s="231" t="s">
        <v>1394</v>
      </c>
      <c r="L944" s="232">
        <v>45170</v>
      </c>
      <c r="M944" s="232">
        <v>45199</v>
      </c>
    </row>
    <row r="945" spans="1:13" ht="14.25" customHeight="1" x14ac:dyDescent="0.2">
      <c r="A945" s="231" t="s">
        <v>1589</v>
      </c>
      <c r="B945" s="230">
        <v>118650</v>
      </c>
      <c r="C945" s="230">
        <v>10761</v>
      </c>
      <c r="D945" s="231" t="s">
        <v>1402</v>
      </c>
      <c r="E945" s="230">
        <v>14491032</v>
      </c>
      <c r="F945" s="230">
        <v>47193</v>
      </c>
      <c r="G945" s="230">
        <v>1</v>
      </c>
      <c r="H945" s="240">
        <v>359.46</v>
      </c>
      <c r="I945" s="240">
        <f t="shared" si="14"/>
        <v>359.46</v>
      </c>
      <c r="J945" s="231" t="s">
        <v>1393</v>
      </c>
      <c r="K945" s="231" t="s">
        <v>1394</v>
      </c>
      <c r="L945" s="232">
        <v>45170</v>
      </c>
      <c r="M945" s="232">
        <v>45199</v>
      </c>
    </row>
    <row r="946" spans="1:13" ht="14.25" customHeight="1" x14ac:dyDescent="0.2">
      <c r="A946" s="231" t="s">
        <v>1589</v>
      </c>
      <c r="B946" s="230">
        <v>118993</v>
      </c>
      <c r="C946" s="230">
        <v>10771</v>
      </c>
      <c r="D946" s="231" t="s">
        <v>1433</v>
      </c>
      <c r="E946" s="230">
        <v>14491032</v>
      </c>
      <c r="F946" s="230">
        <v>47939</v>
      </c>
      <c r="G946" s="230">
        <v>1</v>
      </c>
      <c r="H946" s="240">
        <v>359.46</v>
      </c>
      <c r="I946" s="240">
        <f t="shared" si="14"/>
        <v>359.46</v>
      </c>
      <c r="J946" s="231" t="s">
        <v>1393</v>
      </c>
      <c r="K946" s="231" t="s">
        <v>1394</v>
      </c>
      <c r="L946" s="232">
        <v>45170</v>
      </c>
      <c r="M946" s="232">
        <v>45199</v>
      </c>
    </row>
    <row r="947" spans="1:13" ht="14.25" customHeight="1" x14ac:dyDescent="0.2">
      <c r="A947" s="231" t="s">
        <v>1589</v>
      </c>
      <c r="B947" s="230">
        <v>118994</v>
      </c>
      <c r="C947" s="230">
        <v>10767</v>
      </c>
      <c r="D947" s="231" t="s">
        <v>1435</v>
      </c>
      <c r="E947" s="230">
        <v>14491032</v>
      </c>
      <c r="F947" s="230">
        <v>47941</v>
      </c>
      <c r="G947" s="230">
        <v>1</v>
      </c>
      <c r="H947" s="240">
        <v>359.46</v>
      </c>
      <c r="I947" s="240">
        <f t="shared" si="14"/>
        <v>359.46</v>
      </c>
      <c r="J947" s="231" t="s">
        <v>1393</v>
      </c>
      <c r="K947" s="231" t="s">
        <v>1394</v>
      </c>
      <c r="L947" s="232">
        <v>45170</v>
      </c>
      <c r="M947" s="232">
        <v>45199</v>
      </c>
    </row>
    <row r="948" spans="1:13" ht="14.25" customHeight="1" x14ac:dyDescent="0.2">
      <c r="A948" s="231" t="s">
        <v>1589</v>
      </c>
      <c r="B948" s="230">
        <v>118995</v>
      </c>
      <c r="C948" s="230">
        <v>10761</v>
      </c>
      <c r="D948" s="231" t="s">
        <v>1434</v>
      </c>
      <c r="E948" s="230">
        <v>14491032</v>
      </c>
      <c r="F948" s="230">
        <v>47943</v>
      </c>
      <c r="G948" s="230">
        <v>1</v>
      </c>
      <c r="H948" s="240">
        <v>359.46</v>
      </c>
      <c r="I948" s="240">
        <f t="shared" si="14"/>
        <v>359.46</v>
      </c>
      <c r="J948" s="231" t="s">
        <v>1393</v>
      </c>
      <c r="K948" s="231" t="s">
        <v>1394</v>
      </c>
      <c r="L948" s="232">
        <v>45170</v>
      </c>
      <c r="M948" s="232">
        <v>45199</v>
      </c>
    </row>
    <row r="949" spans="1:13" ht="14.25" customHeight="1" x14ac:dyDescent="0.2">
      <c r="A949" s="231" t="s">
        <v>1589</v>
      </c>
      <c r="B949" s="230">
        <v>119109</v>
      </c>
      <c r="C949" s="230">
        <v>10757</v>
      </c>
      <c r="D949" s="231" t="s">
        <v>1440</v>
      </c>
      <c r="E949" s="230">
        <v>14491032</v>
      </c>
      <c r="F949" s="230">
        <v>48240</v>
      </c>
      <c r="G949" s="230">
        <v>1</v>
      </c>
      <c r="H949" s="240">
        <v>359.46</v>
      </c>
      <c r="I949" s="240">
        <f t="shared" si="14"/>
        <v>359.46</v>
      </c>
      <c r="J949" s="231" t="s">
        <v>1393</v>
      </c>
      <c r="K949" s="231" t="s">
        <v>1394</v>
      </c>
      <c r="L949" s="232">
        <v>45170</v>
      </c>
      <c r="M949" s="232">
        <v>45199</v>
      </c>
    </row>
    <row r="950" spans="1:13" ht="14.25" customHeight="1" x14ac:dyDescent="0.2">
      <c r="A950" s="231" t="s">
        <v>1589</v>
      </c>
      <c r="B950" s="230">
        <v>119111</v>
      </c>
      <c r="C950" s="230">
        <v>10771</v>
      </c>
      <c r="D950" s="231" t="s">
        <v>1442</v>
      </c>
      <c r="E950" s="230">
        <v>14491032</v>
      </c>
      <c r="F950" s="230">
        <v>48244</v>
      </c>
      <c r="G950" s="230">
        <v>1</v>
      </c>
      <c r="H950" s="240">
        <v>359.46</v>
      </c>
      <c r="I950" s="240">
        <f t="shared" si="14"/>
        <v>359.46</v>
      </c>
      <c r="J950" s="231" t="s">
        <v>1393</v>
      </c>
      <c r="K950" s="231" t="s">
        <v>1394</v>
      </c>
      <c r="L950" s="232">
        <v>45170</v>
      </c>
      <c r="M950" s="232">
        <v>45199</v>
      </c>
    </row>
    <row r="951" spans="1:13" ht="14.25" customHeight="1" x14ac:dyDescent="0.2">
      <c r="A951" s="231" t="s">
        <v>1589</v>
      </c>
      <c r="B951" s="230">
        <v>119113</v>
      </c>
      <c r="C951" s="230">
        <v>10758</v>
      </c>
      <c r="D951" s="231" t="s">
        <v>1441</v>
      </c>
      <c r="E951" s="230">
        <v>14491032</v>
      </c>
      <c r="F951" s="230">
        <v>48248</v>
      </c>
      <c r="G951" s="230">
        <v>1</v>
      </c>
      <c r="H951" s="240">
        <v>359.46</v>
      </c>
      <c r="I951" s="240">
        <f t="shared" si="14"/>
        <v>359.46</v>
      </c>
      <c r="J951" s="231" t="s">
        <v>1393</v>
      </c>
      <c r="K951" s="231" t="s">
        <v>1394</v>
      </c>
      <c r="L951" s="232">
        <v>45170</v>
      </c>
      <c r="M951" s="232">
        <v>45199</v>
      </c>
    </row>
    <row r="952" spans="1:13" ht="14.25" customHeight="1" x14ac:dyDescent="0.2">
      <c r="A952" s="231" t="s">
        <v>1589</v>
      </c>
      <c r="B952" s="230">
        <v>119124</v>
      </c>
      <c r="C952" s="230">
        <v>10761</v>
      </c>
      <c r="D952" s="231" t="s">
        <v>1445</v>
      </c>
      <c r="E952" s="230">
        <v>14491032</v>
      </c>
      <c r="F952" s="230">
        <v>48274</v>
      </c>
      <c r="G952" s="230">
        <v>1</v>
      </c>
      <c r="H952" s="240">
        <v>359.46</v>
      </c>
      <c r="I952" s="240">
        <f t="shared" si="14"/>
        <v>359.46</v>
      </c>
      <c r="J952" s="231" t="s">
        <v>1393</v>
      </c>
      <c r="K952" s="231" t="s">
        <v>1394</v>
      </c>
      <c r="L952" s="232">
        <v>45170</v>
      </c>
      <c r="M952" s="232">
        <v>45199</v>
      </c>
    </row>
    <row r="953" spans="1:13" ht="14.25" customHeight="1" x14ac:dyDescent="0.2">
      <c r="A953" s="231" t="s">
        <v>1589</v>
      </c>
      <c r="B953" s="230">
        <v>119125</v>
      </c>
      <c r="C953" s="230">
        <v>10761</v>
      </c>
      <c r="D953" s="231" t="s">
        <v>1448</v>
      </c>
      <c r="E953" s="230">
        <v>14491032</v>
      </c>
      <c r="F953" s="230">
        <v>48276</v>
      </c>
      <c r="G953" s="230">
        <v>1</v>
      </c>
      <c r="H953" s="240">
        <v>359.46</v>
      </c>
      <c r="I953" s="240">
        <f t="shared" si="14"/>
        <v>359.46</v>
      </c>
      <c r="J953" s="231" t="s">
        <v>1393</v>
      </c>
      <c r="K953" s="231" t="s">
        <v>1394</v>
      </c>
      <c r="L953" s="232">
        <v>45170</v>
      </c>
      <c r="M953" s="232">
        <v>45199</v>
      </c>
    </row>
    <row r="954" spans="1:13" ht="14.25" customHeight="1" x14ac:dyDescent="0.2">
      <c r="A954" s="231" t="s">
        <v>1589</v>
      </c>
      <c r="B954" s="230">
        <v>119126</v>
      </c>
      <c r="C954" s="230">
        <v>10757</v>
      </c>
      <c r="D954" s="231" t="s">
        <v>1446</v>
      </c>
      <c r="E954" s="230">
        <v>14491032</v>
      </c>
      <c r="F954" s="230">
        <v>48278</v>
      </c>
      <c r="G954" s="230">
        <v>1</v>
      </c>
      <c r="H954" s="240">
        <v>359.46</v>
      </c>
      <c r="I954" s="240">
        <f t="shared" si="14"/>
        <v>359.46</v>
      </c>
      <c r="J954" s="231" t="s">
        <v>1393</v>
      </c>
      <c r="K954" s="231" t="s">
        <v>1394</v>
      </c>
      <c r="L954" s="232">
        <v>45170</v>
      </c>
      <c r="M954" s="232">
        <v>45199</v>
      </c>
    </row>
    <row r="955" spans="1:13" ht="14.25" customHeight="1" x14ac:dyDescent="0.2">
      <c r="A955" s="231" t="s">
        <v>1589</v>
      </c>
      <c r="B955" s="230">
        <v>119342</v>
      </c>
      <c r="C955" s="230">
        <v>10743</v>
      </c>
      <c r="D955" s="231" t="s">
        <v>1459</v>
      </c>
      <c r="E955" s="230">
        <v>14491032</v>
      </c>
      <c r="F955" s="230">
        <v>48824</v>
      </c>
      <c r="G955" s="230">
        <v>1</v>
      </c>
      <c r="H955" s="240">
        <v>359.46</v>
      </c>
      <c r="I955" s="240">
        <f t="shared" si="14"/>
        <v>359.46</v>
      </c>
      <c r="J955" s="231" t="s">
        <v>1393</v>
      </c>
      <c r="K955" s="231" t="s">
        <v>1395</v>
      </c>
      <c r="L955" s="232">
        <v>45170</v>
      </c>
      <c r="M955" s="232">
        <v>45199</v>
      </c>
    </row>
    <row r="956" spans="1:13" ht="14.25" customHeight="1" x14ac:dyDescent="0.2">
      <c r="A956" s="231" t="s">
        <v>1589</v>
      </c>
      <c r="B956" s="230">
        <v>119632</v>
      </c>
      <c r="C956" s="230">
        <v>10757</v>
      </c>
      <c r="D956" s="231" t="s">
        <v>1471</v>
      </c>
      <c r="E956" s="230">
        <v>14491032</v>
      </c>
      <c r="F956" s="230">
        <v>49572</v>
      </c>
      <c r="G956" s="230">
        <v>1</v>
      </c>
      <c r="H956" s="240">
        <v>359.46</v>
      </c>
      <c r="I956" s="240">
        <f t="shared" si="14"/>
        <v>359.46</v>
      </c>
      <c r="J956" s="231" t="s">
        <v>1393</v>
      </c>
      <c r="K956" s="231" t="s">
        <v>1394</v>
      </c>
      <c r="L956" s="232">
        <v>45170</v>
      </c>
      <c r="M956" s="232">
        <v>45199</v>
      </c>
    </row>
    <row r="957" spans="1:13" ht="14.25" customHeight="1" x14ac:dyDescent="0.2">
      <c r="A957" s="231" t="s">
        <v>1589</v>
      </c>
      <c r="B957" s="230">
        <v>119647</v>
      </c>
      <c r="C957" s="230">
        <v>10743</v>
      </c>
      <c r="D957" s="231" t="s">
        <v>1474</v>
      </c>
      <c r="E957" s="230">
        <v>14491032</v>
      </c>
      <c r="F957" s="230">
        <v>49609</v>
      </c>
      <c r="G957" s="230">
        <v>1</v>
      </c>
      <c r="H957" s="240">
        <v>359.46</v>
      </c>
      <c r="I957" s="240">
        <f t="shared" si="14"/>
        <v>359.46</v>
      </c>
      <c r="J957" s="231" t="s">
        <v>1393</v>
      </c>
      <c r="K957" s="231" t="s">
        <v>1394</v>
      </c>
      <c r="L957" s="232">
        <v>45170</v>
      </c>
      <c r="M957" s="232">
        <v>45199</v>
      </c>
    </row>
    <row r="958" spans="1:13" ht="14.25" customHeight="1" x14ac:dyDescent="0.2">
      <c r="A958" s="231" t="s">
        <v>1589</v>
      </c>
      <c r="B958" s="230">
        <v>119662</v>
      </c>
      <c r="C958" s="230">
        <v>10748</v>
      </c>
      <c r="D958" s="231" t="s">
        <v>1466</v>
      </c>
      <c r="E958" s="230">
        <v>14491032</v>
      </c>
      <c r="F958" s="230">
        <v>49649</v>
      </c>
      <c r="G958" s="230">
        <v>1</v>
      </c>
      <c r="H958" s="240">
        <v>359.46</v>
      </c>
      <c r="I958" s="240">
        <f t="shared" si="14"/>
        <v>359.46</v>
      </c>
      <c r="J958" s="231" t="s">
        <v>1393</v>
      </c>
      <c r="K958" s="231" t="s">
        <v>1394</v>
      </c>
      <c r="L958" s="232">
        <v>45170</v>
      </c>
      <c r="M958" s="232">
        <v>45199</v>
      </c>
    </row>
    <row r="959" spans="1:13" ht="14.25" customHeight="1" x14ac:dyDescent="0.2">
      <c r="A959" s="231" t="s">
        <v>1589</v>
      </c>
      <c r="B959" s="230">
        <v>119675</v>
      </c>
      <c r="C959" s="230">
        <v>10757</v>
      </c>
      <c r="D959" s="231" t="s">
        <v>1479</v>
      </c>
      <c r="E959" s="230">
        <v>14491032</v>
      </c>
      <c r="F959" s="230">
        <v>49679</v>
      </c>
      <c r="G959" s="230">
        <v>1</v>
      </c>
      <c r="H959" s="240">
        <v>359.46</v>
      </c>
      <c r="I959" s="240">
        <f t="shared" si="14"/>
        <v>359.46</v>
      </c>
      <c r="J959" s="231" t="s">
        <v>1393</v>
      </c>
      <c r="K959" s="231" t="s">
        <v>1394</v>
      </c>
      <c r="L959" s="232">
        <v>45170</v>
      </c>
      <c r="M959" s="232">
        <v>45199</v>
      </c>
    </row>
    <row r="960" spans="1:13" ht="14.25" customHeight="1" x14ac:dyDescent="0.2">
      <c r="A960" s="231" t="s">
        <v>1589</v>
      </c>
      <c r="B960" s="230">
        <v>119742</v>
      </c>
      <c r="C960" s="230">
        <v>10771</v>
      </c>
      <c r="D960" s="231" t="s">
        <v>1166</v>
      </c>
      <c r="E960" s="230">
        <v>14491032</v>
      </c>
      <c r="F960" s="230">
        <v>49827</v>
      </c>
      <c r="G960" s="230">
        <v>1</v>
      </c>
      <c r="H960" s="240">
        <v>359.46</v>
      </c>
      <c r="I960" s="240">
        <f t="shared" si="14"/>
        <v>359.46</v>
      </c>
      <c r="J960" s="231" t="s">
        <v>1393</v>
      </c>
      <c r="K960" s="231" t="s">
        <v>1394</v>
      </c>
      <c r="L960" s="232">
        <v>45170</v>
      </c>
      <c r="M960" s="232">
        <v>45199</v>
      </c>
    </row>
    <row r="961" spans="1:13" ht="14.25" customHeight="1" x14ac:dyDescent="0.2">
      <c r="A961" s="231" t="s">
        <v>1589</v>
      </c>
      <c r="B961" s="230">
        <v>119920</v>
      </c>
      <c r="C961" s="230">
        <v>10761</v>
      </c>
      <c r="D961" s="231" t="s">
        <v>1495</v>
      </c>
      <c r="E961" s="230">
        <v>14491032</v>
      </c>
      <c r="F961" s="230">
        <v>50245</v>
      </c>
      <c r="G961" s="230">
        <v>1</v>
      </c>
      <c r="H961" s="240">
        <v>359.46</v>
      </c>
      <c r="I961" s="240">
        <f t="shared" si="14"/>
        <v>359.46</v>
      </c>
      <c r="J961" s="231" t="s">
        <v>1393</v>
      </c>
      <c r="K961" s="231" t="s">
        <v>1394</v>
      </c>
      <c r="L961" s="232">
        <v>45170</v>
      </c>
      <c r="M961" s="232">
        <v>45199</v>
      </c>
    </row>
    <row r="962" spans="1:13" ht="14.25" customHeight="1" x14ac:dyDescent="0.2">
      <c r="A962" s="231" t="s">
        <v>1589</v>
      </c>
      <c r="B962" s="230">
        <v>119922</v>
      </c>
      <c r="C962" s="230">
        <v>10766</v>
      </c>
      <c r="D962" s="231" t="s">
        <v>1487</v>
      </c>
      <c r="E962" s="230">
        <v>14491032</v>
      </c>
      <c r="F962" s="230">
        <v>50249</v>
      </c>
      <c r="G962" s="230">
        <v>1</v>
      </c>
      <c r="H962" s="240">
        <v>347.47</v>
      </c>
      <c r="I962" s="240">
        <f t="shared" si="14"/>
        <v>347.47</v>
      </c>
      <c r="J962" s="231" t="s">
        <v>1393</v>
      </c>
      <c r="K962" s="231" t="s">
        <v>1394</v>
      </c>
      <c r="L962" s="232">
        <v>45170</v>
      </c>
      <c r="M962" s="232">
        <v>45199</v>
      </c>
    </row>
    <row r="963" spans="1:13" ht="14.25" customHeight="1" x14ac:dyDescent="0.2">
      <c r="A963" s="231" t="s">
        <v>1589</v>
      </c>
      <c r="B963" s="230">
        <v>119924</v>
      </c>
      <c r="C963" s="230">
        <v>10766</v>
      </c>
      <c r="D963" s="231" t="s">
        <v>1488</v>
      </c>
      <c r="E963" s="230">
        <v>14491032</v>
      </c>
      <c r="F963" s="230">
        <v>50252</v>
      </c>
      <c r="G963" s="230">
        <v>1</v>
      </c>
      <c r="H963" s="240">
        <v>347.47</v>
      </c>
      <c r="I963" s="240">
        <f t="shared" ref="I963:I1026" si="15">G963*H963</f>
        <v>347.47</v>
      </c>
      <c r="J963" s="231" t="s">
        <v>1393</v>
      </c>
      <c r="K963" s="231" t="s">
        <v>1394</v>
      </c>
      <c r="L963" s="232">
        <v>45170</v>
      </c>
      <c r="M963" s="232">
        <v>45199</v>
      </c>
    </row>
    <row r="964" spans="1:13" ht="14.25" customHeight="1" x14ac:dyDescent="0.2">
      <c r="A964" s="231" t="s">
        <v>1589</v>
      </c>
      <c r="B964" s="230">
        <v>119925</v>
      </c>
      <c r="C964" s="230">
        <v>10766</v>
      </c>
      <c r="D964" s="231" t="s">
        <v>1496</v>
      </c>
      <c r="E964" s="230">
        <v>14491032</v>
      </c>
      <c r="F964" s="230">
        <v>50254</v>
      </c>
      <c r="G964" s="230">
        <v>1</v>
      </c>
      <c r="H964" s="240">
        <v>359.46</v>
      </c>
      <c r="I964" s="240">
        <f t="shared" si="15"/>
        <v>359.46</v>
      </c>
      <c r="J964" s="231" t="s">
        <v>1393</v>
      </c>
      <c r="K964" s="231" t="s">
        <v>1394</v>
      </c>
      <c r="L964" s="232">
        <v>45170</v>
      </c>
      <c r="M964" s="232">
        <v>45199</v>
      </c>
    </row>
    <row r="965" spans="1:13" ht="14.25" customHeight="1" x14ac:dyDescent="0.2">
      <c r="A965" s="231" t="s">
        <v>1589</v>
      </c>
      <c r="B965" s="230">
        <v>119928</v>
      </c>
      <c r="C965" s="230">
        <v>10766</v>
      </c>
      <c r="D965" s="231" t="s">
        <v>1491</v>
      </c>
      <c r="E965" s="230">
        <v>14491032</v>
      </c>
      <c r="F965" s="230">
        <v>50258</v>
      </c>
      <c r="G965" s="230">
        <v>1</v>
      </c>
      <c r="H965" s="240">
        <v>359.46</v>
      </c>
      <c r="I965" s="240">
        <f t="shared" si="15"/>
        <v>359.46</v>
      </c>
      <c r="J965" s="231" t="s">
        <v>1393</v>
      </c>
      <c r="K965" s="231" t="s">
        <v>1394</v>
      </c>
      <c r="L965" s="232">
        <v>45170</v>
      </c>
      <c r="M965" s="232">
        <v>45199</v>
      </c>
    </row>
    <row r="966" spans="1:13" ht="14.25" customHeight="1" x14ac:dyDescent="0.2">
      <c r="A966" s="231" t="s">
        <v>1589</v>
      </c>
      <c r="B966" s="230">
        <v>120178</v>
      </c>
      <c r="C966" s="230">
        <v>10760</v>
      </c>
      <c r="D966" s="231" t="s">
        <v>1505</v>
      </c>
      <c r="E966" s="230">
        <v>14491032</v>
      </c>
      <c r="F966" s="230">
        <v>50902</v>
      </c>
      <c r="G966" s="230">
        <v>1</v>
      </c>
      <c r="H966" s="240">
        <v>359.46</v>
      </c>
      <c r="I966" s="240">
        <f t="shared" si="15"/>
        <v>359.46</v>
      </c>
      <c r="J966" s="231" t="s">
        <v>1393</v>
      </c>
      <c r="K966" s="231" t="s">
        <v>1394</v>
      </c>
      <c r="L966" s="232">
        <v>45170</v>
      </c>
      <c r="M966" s="232">
        <v>45199</v>
      </c>
    </row>
    <row r="967" spans="1:13" ht="14.25" customHeight="1" x14ac:dyDescent="0.2">
      <c r="A967" s="231" t="s">
        <v>1589</v>
      </c>
      <c r="B967" s="230">
        <v>120180</v>
      </c>
      <c r="C967" s="230">
        <v>10771</v>
      </c>
      <c r="D967" s="231" t="s">
        <v>1503</v>
      </c>
      <c r="E967" s="230">
        <v>14491032</v>
      </c>
      <c r="F967" s="230">
        <v>50907</v>
      </c>
      <c r="G967" s="230">
        <v>1</v>
      </c>
      <c r="H967" s="240">
        <v>359.46</v>
      </c>
      <c r="I967" s="240">
        <f t="shared" si="15"/>
        <v>359.46</v>
      </c>
      <c r="J967" s="231" t="s">
        <v>1393</v>
      </c>
      <c r="K967" s="231" t="s">
        <v>1394</v>
      </c>
      <c r="L967" s="232">
        <v>45170</v>
      </c>
      <c r="M967" s="232">
        <v>45199</v>
      </c>
    </row>
    <row r="968" spans="1:13" ht="14.25" customHeight="1" x14ac:dyDescent="0.2">
      <c r="A968" s="231" t="s">
        <v>1589</v>
      </c>
      <c r="B968" s="230">
        <v>120186</v>
      </c>
      <c r="C968" s="230">
        <v>10762</v>
      </c>
      <c r="D968" s="231" t="s">
        <v>1497</v>
      </c>
      <c r="E968" s="230">
        <v>14491032</v>
      </c>
      <c r="F968" s="230">
        <v>50923</v>
      </c>
      <c r="G968" s="230">
        <v>1</v>
      </c>
      <c r="H968" s="240">
        <v>359.46</v>
      </c>
      <c r="I968" s="240">
        <f t="shared" si="15"/>
        <v>359.46</v>
      </c>
      <c r="J968" s="231" t="s">
        <v>1393</v>
      </c>
      <c r="K968" s="231" t="s">
        <v>1394</v>
      </c>
      <c r="L968" s="232">
        <v>45170</v>
      </c>
      <c r="M968" s="232">
        <v>45199</v>
      </c>
    </row>
    <row r="969" spans="1:13" ht="14.25" customHeight="1" x14ac:dyDescent="0.2">
      <c r="A969" s="231" t="s">
        <v>1589</v>
      </c>
      <c r="B969" s="230">
        <v>120187</v>
      </c>
      <c r="C969" s="230">
        <v>10766</v>
      </c>
      <c r="D969" s="231" t="s">
        <v>1498</v>
      </c>
      <c r="E969" s="230">
        <v>14491032</v>
      </c>
      <c r="F969" s="230">
        <v>50925</v>
      </c>
      <c r="G969" s="230">
        <v>1</v>
      </c>
      <c r="H969" s="240">
        <v>359.46</v>
      </c>
      <c r="I969" s="240">
        <f t="shared" si="15"/>
        <v>359.46</v>
      </c>
      <c r="J969" s="231" t="s">
        <v>1393</v>
      </c>
      <c r="K969" s="231" t="s">
        <v>1394</v>
      </c>
      <c r="L969" s="232">
        <v>45170</v>
      </c>
      <c r="M969" s="232">
        <v>45199</v>
      </c>
    </row>
    <row r="970" spans="1:13" ht="14.25" customHeight="1" x14ac:dyDescent="0.2">
      <c r="A970" s="231" t="s">
        <v>1589</v>
      </c>
      <c r="B970" s="230">
        <v>120191</v>
      </c>
      <c r="C970" s="230">
        <v>10745</v>
      </c>
      <c r="D970" s="231" t="s">
        <v>1502</v>
      </c>
      <c r="E970" s="230">
        <v>14491032</v>
      </c>
      <c r="F970" s="230">
        <v>50933</v>
      </c>
      <c r="G970" s="230">
        <v>1</v>
      </c>
      <c r="H970" s="240">
        <v>359.46</v>
      </c>
      <c r="I970" s="240">
        <f t="shared" si="15"/>
        <v>359.46</v>
      </c>
      <c r="J970" s="231" t="s">
        <v>1393</v>
      </c>
      <c r="K970" s="231" t="s">
        <v>1394</v>
      </c>
      <c r="L970" s="232">
        <v>45170</v>
      </c>
      <c r="M970" s="232">
        <v>45199</v>
      </c>
    </row>
    <row r="971" spans="1:13" ht="14.25" customHeight="1" x14ac:dyDescent="0.2">
      <c r="A971" s="231" t="s">
        <v>1589</v>
      </c>
      <c r="B971" s="230">
        <v>120623</v>
      </c>
      <c r="C971" s="230">
        <v>10743</v>
      </c>
      <c r="D971" s="231" t="s">
        <v>1517</v>
      </c>
      <c r="E971" s="230">
        <v>14491032</v>
      </c>
      <c r="F971" s="230">
        <v>51612</v>
      </c>
      <c r="G971" s="230">
        <v>1</v>
      </c>
      <c r="H971" s="240">
        <v>359.46</v>
      </c>
      <c r="I971" s="240">
        <f t="shared" si="15"/>
        <v>359.46</v>
      </c>
      <c r="J971" s="231" t="s">
        <v>1393</v>
      </c>
      <c r="K971" s="231" t="s">
        <v>1394</v>
      </c>
      <c r="L971" s="232">
        <v>45170</v>
      </c>
      <c r="M971" s="232">
        <v>45199</v>
      </c>
    </row>
    <row r="972" spans="1:13" ht="14.25" customHeight="1" x14ac:dyDescent="0.2">
      <c r="A972" s="231" t="s">
        <v>1589</v>
      </c>
      <c r="B972" s="230">
        <v>121322</v>
      </c>
      <c r="C972" s="230">
        <v>10760</v>
      </c>
      <c r="D972" s="231" t="s">
        <v>1535</v>
      </c>
      <c r="E972" s="230">
        <v>14491032</v>
      </c>
      <c r="F972" s="230">
        <v>53498</v>
      </c>
      <c r="G972" s="230">
        <v>1</v>
      </c>
      <c r="H972" s="240">
        <v>347.47</v>
      </c>
      <c r="I972" s="240">
        <f t="shared" si="15"/>
        <v>347.47</v>
      </c>
      <c r="J972" s="231" t="s">
        <v>1393</v>
      </c>
      <c r="K972" s="231" t="s">
        <v>1394</v>
      </c>
      <c r="L972" s="232">
        <v>45170</v>
      </c>
      <c r="M972" s="232">
        <v>45199</v>
      </c>
    </row>
    <row r="973" spans="1:13" ht="14.25" customHeight="1" x14ac:dyDescent="0.2">
      <c r="A973" s="231" t="s">
        <v>1589</v>
      </c>
      <c r="B973" s="230">
        <v>121323</v>
      </c>
      <c r="C973" s="230">
        <v>10760</v>
      </c>
      <c r="D973" s="231" t="s">
        <v>1536</v>
      </c>
      <c r="E973" s="230">
        <v>14491032</v>
      </c>
      <c r="F973" s="230">
        <v>53500</v>
      </c>
      <c r="G973" s="230">
        <v>1</v>
      </c>
      <c r="H973" s="240">
        <v>359.46</v>
      </c>
      <c r="I973" s="240">
        <f t="shared" si="15"/>
        <v>359.46</v>
      </c>
      <c r="J973" s="231" t="s">
        <v>1393</v>
      </c>
      <c r="K973" s="231" t="s">
        <v>1394</v>
      </c>
      <c r="L973" s="232">
        <v>45170</v>
      </c>
      <c r="M973" s="232">
        <v>45199</v>
      </c>
    </row>
    <row r="974" spans="1:13" ht="14.25" customHeight="1" x14ac:dyDescent="0.2">
      <c r="A974" s="231" t="s">
        <v>1589</v>
      </c>
      <c r="B974" s="230">
        <v>121403</v>
      </c>
      <c r="C974" s="230">
        <v>10755</v>
      </c>
      <c r="D974" s="231" t="s">
        <v>1553</v>
      </c>
      <c r="E974" s="230">
        <v>14491032</v>
      </c>
      <c r="F974" s="230">
        <v>53686</v>
      </c>
      <c r="G974" s="230">
        <v>1</v>
      </c>
      <c r="H974" s="240">
        <v>359.46</v>
      </c>
      <c r="I974" s="240">
        <f t="shared" si="15"/>
        <v>359.46</v>
      </c>
      <c r="J974" s="231" t="s">
        <v>1393</v>
      </c>
      <c r="K974" s="231" t="s">
        <v>1394</v>
      </c>
      <c r="L974" s="232">
        <v>45170</v>
      </c>
      <c r="M974" s="232">
        <v>45199</v>
      </c>
    </row>
    <row r="975" spans="1:13" ht="14.25" customHeight="1" x14ac:dyDescent="0.2">
      <c r="A975" s="231" t="s">
        <v>1589</v>
      </c>
      <c r="B975" s="230">
        <v>121404</v>
      </c>
      <c r="C975" s="230">
        <v>10755</v>
      </c>
      <c r="D975" s="231" t="s">
        <v>1567</v>
      </c>
      <c r="E975" s="230">
        <v>14491032</v>
      </c>
      <c r="F975" s="230">
        <v>53688</v>
      </c>
      <c r="G975" s="230">
        <v>1</v>
      </c>
      <c r="H975" s="240">
        <v>359.46</v>
      </c>
      <c r="I975" s="240">
        <f t="shared" si="15"/>
        <v>359.46</v>
      </c>
      <c r="J975" s="231" t="s">
        <v>1393</v>
      </c>
      <c r="K975" s="231" t="s">
        <v>1394</v>
      </c>
      <c r="L975" s="232">
        <v>45170</v>
      </c>
      <c r="M975" s="232">
        <v>45199</v>
      </c>
    </row>
    <row r="976" spans="1:13" ht="14.25" customHeight="1" x14ac:dyDescent="0.2">
      <c r="A976" s="231" t="s">
        <v>1589</v>
      </c>
      <c r="B976" s="230">
        <v>121428</v>
      </c>
      <c r="C976" s="230">
        <v>10755</v>
      </c>
      <c r="D976" s="231" t="s">
        <v>1566</v>
      </c>
      <c r="E976" s="230">
        <v>14491032</v>
      </c>
      <c r="F976" s="230">
        <v>53736</v>
      </c>
      <c r="G976" s="230">
        <v>1</v>
      </c>
      <c r="H976" s="240">
        <v>359.46</v>
      </c>
      <c r="I976" s="240">
        <f t="shared" si="15"/>
        <v>359.46</v>
      </c>
      <c r="J976" s="231" t="s">
        <v>1393</v>
      </c>
      <c r="K976" s="231" t="s">
        <v>1394</v>
      </c>
      <c r="L976" s="232">
        <v>45170</v>
      </c>
      <c r="M976" s="232">
        <v>45199</v>
      </c>
    </row>
    <row r="977" spans="1:13" ht="14.25" customHeight="1" x14ac:dyDescent="0.2">
      <c r="A977" s="231" t="s">
        <v>1589</v>
      </c>
      <c r="B977" s="230">
        <v>121436</v>
      </c>
      <c r="C977" s="230">
        <v>10755</v>
      </c>
      <c r="D977" s="231" t="s">
        <v>1560</v>
      </c>
      <c r="E977" s="230">
        <v>14491032</v>
      </c>
      <c r="F977" s="230">
        <v>53752</v>
      </c>
      <c r="G977" s="230">
        <v>1</v>
      </c>
      <c r="H977" s="240">
        <v>359.46</v>
      </c>
      <c r="I977" s="240">
        <f t="shared" si="15"/>
        <v>359.46</v>
      </c>
      <c r="J977" s="231" t="s">
        <v>1393</v>
      </c>
      <c r="K977" s="231" t="s">
        <v>1394</v>
      </c>
      <c r="L977" s="232">
        <v>45170</v>
      </c>
      <c r="M977" s="232">
        <v>45199</v>
      </c>
    </row>
    <row r="978" spans="1:13" ht="14.25" customHeight="1" x14ac:dyDescent="0.2">
      <c r="A978" s="231" t="s">
        <v>1589</v>
      </c>
      <c r="B978" s="230">
        <v>121449</v>
      </c>
      <c r="C978" s="230">
        <v>10755</v>
      </c>
      <c r="D978" s="231" t="s">
        <v>1558</v>
      </c>
      <c r="E978" s="230">
        <v>14491032</v>
      </c>
      <c r="F978" s="230">
        <v>53778</v>
      </c>
      <c r="G978" s="230">
        <v>1</v>
      </c>
      <c r="H978" s="240">
        <v>359.46</v>
      </c>
      <c r="I978" s="240">
        <f t="shared" si="15"/>
        <v>359.46</v>
      </c>
      <c r="J978" s="231" t="s">
        <v>1393</v>
      </c>
      <c r="K978" s="231" t="s">
        <v>1394</v>
      </c>
      <c r="L978" s="232">
        <v>45170</v>
      </c>
      <c r="M978" s="232">
        <v>45199</v>
      </c>
    </row>
    <row r="979" spans="1:13" ht="14.25" customHeight="1" x14ac:dyDescent="0.2">
      <c r="A979" s="231" t="s">
        <v>1589</v>
      </c>
      <c r="B979" s="230">
        <v>121476</v>
      </c>
      <c r="C979" s="230">
        <v>10755</v>
      </c>
      <c r="D979" s="231" t="s">
        <v>1584</v>
      </c>
      <c r="E979" s="230">
        <v>14491032</v>
      </c>
      <c r="F979" s="230">
        <v>53832</v>
      </c>
      <c r="G979" s="230">
        <v>1</v>
      </c>
      <c r="H979" s="240">
        <v>359.46</v>
      </c>
      <c r="I979" s="240">
        <f t="shared" si="15"/>
        <v>359.46</v>
      </c>
      <c r="J979" s="231" t="s">
        <v>1393</v>
      </c>
      <c r="K979" s="231" t="s">
        <v>1394</v>
      </c>
      <c r="L979" s="232">
        <v>45170</v>
      </c>
      <c r="M979" s="232">
        <v>45199</v>
      </c>
    </row>
    <row r="980" spans="1:13" ht="14.25" customHeight="1" x14ac:dyDescent="0.2">
      <c r="A980" s="231" t="s">
        <v>1589</v>
      </c>
      <c r="B980" s="230">
        <v>121482</v>
      </c>
      <c r="C980" s="230">
        <v>10755</v>
      </c>
      <c r="D980" s="231" t="s">
        <v>1583</v>
      </c>
      <c r="E980" s="230">
        <v>14491032</v>
      </c>
      <c r="F980" s="230">
        <v>53847</v>
      </c>
      <c r="G980" s="230">
        <v>1</v>
      </c>
      <c r="H980" s="240">
        <v>359.46</v>
      </c>
      <c r="I980" s="240">
        <f t="shared" si="15"/>
        <v>359.46</v>
      </c>
      <c r="J980" s="231" t="s">
        <v>1393</v>
      </c>
      <c r="K980" s="231" t="s">
        <v>1394</v>
      </c>
      <c r="L980" s="232">
        <v>45170</v>
      </c>
      <c r="M980" s="232">
        <v>45199</v>
      </c>
    </row>
    <row r="981" spans="1:13" ht="14.25" customHeight="1" x14ac:dyDescent="0.2">
      <c r="A981" s="231" t="s">
        <v>1589</v>
      </c>
      <c r="B981" s="230">
        <v>121486</v>
      </c>
      <c r="C981" s="230">
        <v>10755</v>
      </c>
      <c r="D981" s="231" t="s">
        <v>1564</v>
      </c>
      <c r="E981" s="230">
        <v>14491032</v>
      </c>
      <c r="F981" s="230">
        <v>53856</v>
      </c>
      <c r="G981" s="230">
        <v>1</v>
      </c>
      <c r="H981" s="240">
        <v>359.46</v>
      </c>
      <c r="I981" s="240">
        <f t="shared" si="15"/>
        <v>359.46</v>
      </c>
      <c r="J981" s="231" t="s">
        <v>1393</v>
      </c>
      <c r="K981" s="231" t="s">
        <v>1394</v>
      </c>
      <c r="L981" s="232">
        <v>45170</v>
      </c>
      <c r="M981" s="232">
        <v>45199</v>
      </c>
    </row>
    <row r="982" spans="1:13" ht="14.25" customHeight="1" x14ac:dyDescent="0.2">
      <c r="A982" s="231" t="s">
        <v>1589</v>
      </c>
      <c r="B982" s="230">
        <v>121531</v>
      </c>
      <c r="C982" s="230">
        <v>10763</v>
      </c>
      <c r="D982" s="231" t="s">
        <v>1554</v>
      </c>
      <c r="E982" s="230">
        <v>14491032</v>
      </c>
      <c r="F982" s="230">
        <v>53960</v>
      </c>
      <c r="G982" s="230">
        <v>1</v>
      </c>
      <c r="H982" s="240">
        <v>359.46</v>
      </c>
      <c r="I982" s="240">
        <f t="shared" si="15"/>
        <v>359.46</v>
      </c>
      <c r="J982" s="231" t="s">
        <v>1393</v>
      </c>
      <c r="K982" s="231" t="s">
        <v>1394</v>
      </c>
      <c r="L982" s="232">
        <v>45170</v>
      </c>
      <c r="M982" s="232">
        <v>45199</v>
      </c>
    </row>
    <row r="983" spans="1:13" ht="14.25" customHeight="1" x14ac:dyDescent="0.2">
      <c r="A983" s="231" t="s">
        <v>1589</v>
      </c>
      <c r="B983" s="230">
        <v>121674</v>
      </c>
      <c r="C983" s="230">
        <v>10755</v>
      </c>
      <c r="D983" s="231" t="s">
        <v>1595</v>
      </c>
      <c r="E983" s="230">
        <v>14491032</v>
      </c>
      <c r="F983" s="230">
        <v>54312</v>
      </c>
      <c r="G983" s="230">
        <v>1</v>
      </c>
      <c r="H983" s="240">
        <v>359.46</v>
      </c>
      <c r="I983" s="240">
        <f t="shared" si="15"/>
        <v>359.46</v>
      </c>
      <c r="J983" s="231" t="s">
        <v>1393</v>
      </c>
      <c r="K983" s="231" t="s">
        <v>1394</v>
      </c>
      <c r="L983" s="232">
        <v>45170</v>
      </c>
      <c r="M983" s="232">
        <v>45199</v>
      </c>
    </row>
    <row r="984" spans="1:13" ht="14.25" customHeight="1" x14ac:dyDescent="0.2">
      <c r="A984" s="231" t="s">
        <v>1589</v>
      </c>
      <c r="B984" s="230">
        <v>121684</v>
      </c>
      <c r="C984" s="230">
        <v>10743</v>
      </c>
      <c r="D984" s="231" t="s">
        <v>1603</v>
      </c>
      <c r="E984" s="230">
        <v>14491032</v>
      </c>
      <c r="F984" s="230">
        <v>54333</v>
      </c>
      <c r="G984" s="230">
        <v>1</v>
      </c>
      <c r="H984" s="240">
        <v>359.46</v>
      </c>
      <c r="I984" s="240">
        <f t="shared" si="15"/>
        <v>359.46</v>
      </c>
      <c r="J984" s="231" t="s">
        <v>1393</v>
      </c>
      <c r="K984" s="231" t="s">
        <v>1394</v>
      </c>
      <c r="L984" s="232">
        <v>45170</v>
      </c>
      <c r="M984" s="232">
        <v>45199</v>
      </c>
    </row>
    <row r="985" spans="1:13" ht="14.25" customHeight="1" x14ac:dyDescent="0.2">
      <c r="A985" s="231" t="s">
        <v>1589</v>
      </c>
      <c r="B985" s="230">
        <v>121954</v>
      </c>
      <c r="C985" s="230">
        <v>10761</v>
      </c>
      <c r="D985" s="231" t="s">
        <v>1612</v>
      </c>
      <c r="E985" s="230">
        <v>14491032</v>
      </c>
      <c r="F985" s="230">
        <v>54963</v>
      </c>
      <c r="G985" s="230">
        <v>1</v>
      </c>
      <c r="H985" s="240">
        <v>335.49</v>
      </c>
      <c r="I985" s="240">
        <f t="shared" si="15"/>
        <v>335.49</v>
      </c>
      <c r="J985" s="231" t="s">
        <v>1393</v>
      </c>
      <c r="K985" s="231" t="s">
        <v>1394</v>
      </c>
      <c r="L985" s="232">
        <v>45170</v>
      </c>
      <c r="M985" s="232">
        <v>45199</v>
      </c>
    </row>
    <row r="986" spans="1:13" ht="14.25" customHeight="1" x14ac:dyDescent="0.2">
      <c r="A986" s="231" t="s">
        <v>1589</v>
      </c>
      <c r="B986" s="230">
        <v>122028</v>
      </c>
      <c r="C986" s="230">
        <v>10771</v>
      </c>
      <c r="D986" s="231" t="s">
        <v>1636</v>
      </c>
      <c r="E986" s="230">
        <v>14491032</v>
      </c>
      <c r="F986" s="230">
        <v>55142</v>
      </c>
      <c r="G986" s="230">
        <v>1</v>
      </c>
      <c r="H986" s="240">
        <v>359.46</v>
      </c>
      <c r="I986" s="240">
        <f t="shared" si="15"/>
        <v>359.46</v>
      </c>
      <c r="J986" s="231" t="s">
        <v>1393</v>
      </c>
      <c r="K986" s="231" t="s">
        <v>1394</v>
      </c>
      <c r="L986" s="232">
        <v>45170</v>
      </c>
      <c r="M986" s="232">
        <v>45199</v>
      </c>
    </row>
    <row r="987" spans="1:13" ht="14.25" customHeight="1" x14ac:dyDescent="0.2">
      <c r="A987" s="231" t="s">
        <v>1589</v>
      </c>
      <c r="B987" s="230">
        <v>122030</v>
      </c>
      <c r="C987" s="230">
        <v>10743</v>
      </c>
      <c r="D987" s="231" t="s">
        <v>1585</v>
      </c>
      <c r="E987" s="230">
        <v>14491032</v>
      </c>
      <c r="F987" s="230">
        <v>55144</v>
      </c>
      <c r="G987" s="230">
        <v>1</v>
      </c>
      <c r="H987" s="240">
        <v>359.46</v>
      </c>
      <c r="I987" s="240">
        <f t="shared" si="15"/>
        <v>359.46</v>
      </c>
      <c r="J987" s="231" t="s">
        <v>1393</v>
      </c>
      <c r="K987" s="231" t="s">
        <v>1394</v>
      </c>
      <c r="L987" s="232">
        <v>45170</v>
      </c>
      <c r="M987" s="232">
        <v>45199</v>
      </c>
    </row>
    <row r="988" spans="1:13" ht="14.25" customHeight="1" x14ac:dyDescent="0.2">
      <c r="A988" s="231" t="s">
        <v>1589</v>
      </c>
      <c r="B988" s="230">
        <v>122086</v>
      </c>
      <c r="C988" s="230">
        <v>10755</v>
      </c>
      <c r="D988" s="231" t="s">
        <v>1645</v>
      </c>
      <c r="E988" s="230">
        <v>14491032</v>
      </c>
      <c r="F988" s="230">
        <v>55288</v>
      </c>
      <c r="G988" s="230">
        <v>1</v>
      </c>
      <c r="H988" s="240">
        <v>359.46</v>
      </c>
      <c r="I988" s="240">
        <f t="shared" si="15"/>
        <v>359.46</v>
      </c>
      <c r="J988" s="231" t="s">
        <v>1393</v>
      </c>
      <c r="K988" s="231" t="s">
        <v>1394</v>
      </c>
      <c r="L988" s="232">
        <v>45170</v>
      </c>
      <c r="M988" s="232">
        <v>45199</v>
      </c>
    </row>
    <row r="989" spans="1:13" ht="14.25" customHeight="1" x14ac:dyDescent="0.2">
      <c r="A989" s="231" t="s">
        <v>1589</v>
      </c>
      <c r="B989" s="230">
        <v>122088</v>
      </c>
      <c r="C989" s="230">
        <v>10760</v>
      </c>
      <c r="D989" s="231" t="s">
        <v>1642</v>
      </c>
      <c r="E989" s="230">
        <v>14491032</v>
      </c>
      <c r="F989" s="230">
        <v>55290</v>
      </c>
      <c r="G989" s="230">
        <v>1</v>
      </c>
      <c r="H989" s="240">
        <v>359.46</v>
      </c>
      <c r="I989" s="240">
        <f t="shared" si="15"/>
        <v>359.46</v>
      </c>
      <c r="J989" s="231" t="s">
        <v>1393</v>
      </c>
      <c r="K989" s="231" t="s">
        <v>1394</v>
      </c>
      <c r="L989" s="232">
        <v>45170</v>
      </c>
      <c r="M989" s="232">
        <v>45199</v>
      </c>
    </row>
    <row r="990" spans="1:13" ht="14.25" customHeight="1" x14ac:dyDescent="0.2">
      <c r="A990" s="231" t="s">
        <v>1589</v>
      </c>
      <c r="B990" s="230">
        <v>122029</v>
      </c>
      <c r="C990" s="230">
        <v>10771</v>
      </c>
      <c r="D990" s="231" t="s">
        <v>1648</v>
      </c>
      <c r="E990" s="230">
        <v>14491032</v>
      </c>
      <c r="F990" s="230">
        <v>55370</v>
      </c>
      <c r="G990" s="230">
        <v>1</v>
      </c>
      <c r="H990" s="240">
        <v>359.46</v>
      </c>
      <c r="I990" s="240">
        <f t="shared" si="15"/>
        <v>359.46</v>
      </c>
      <c r="J990" s="231" t="s">
        <v>1393</v>
      </c>
      <c r="K990" s="231" t="s">
        <v>1394</v>
      </c>
      <c r="L990" s="232">
        <v>45170</v>
      </c>
      <c r="M990" s="232">
        <v>45199</v>
      </c>
    </row>
    <row r="991" spans="1:13" ht="14.25" customHeight="1" x14ac:dyDescent="0.2">
      <c r="A991" s="231" t="s">
        <v>1589</v>
      </c>
      <c r="B991" s="230">
        <v>122234</v>
      </c>
      <c r="C991" s="230">
        <v>10762</v>
      </c>
      <c r="D991" s="231" t="s">
        <v>1676</v>
      </c>
      <c r="E991" s="230">
        <v>14491032</v>
      </c>
      <c r="F991" s="230">
        <v>55710</v>
      </c>
      <c r="G991" s="230">
        <v>1</v>
      </c>
      <c r="H991" s="240">
        <v>359.46</v>
      </c>
      <c r="I991" s="240">
        <f t="shared" si="15"/>
        <v>359.46</v>
      </c>
      <c r="J991" s="231" t="s">
        <v>1393</v>
      </c>
      <c r="K991" s="231" t="s">
        <v>1394</v>
      </c>
      <c r="L991" s="232">
        <v>45170</v>
      </c>
      <c r="M991" s="232">
        <v>45199</v>
      </c>
    </row>
    <row r="992" spans="1:13" ht="14.25" customHeight="1" x14ac:dyDescent="0.2">
      <c r="A992" s="231" t="s">
        <v>1589</v>
      </c>
      <c r="B992" s="230">
        <v>122235</v>
      </c>
      <c r="C992" s="230">
        <v>10767</v>
      </c>
      <c r="D992" s="231" t="s">
        <v>1669</v>
      </c>
      <c r="E992" s="230">
        <v>14491032</v>
      </c>
      <c r="F992" s="230">
        <v>55712</v>
      </c>
      <c r="G992" s="230">
        <v>1</v>
      </c>
      <c r="H992" s="240">
        <v>359.46</v>
      </c>
      <c r="I992" s="240">
        <f t="shared" si="15"/>
        <v>359.46</v>
      </c>
      <c r="J992" s="231" t="s">
        <v>1393</v>
      </c>
      <c r="K992" s="231" t="s">
        <v>1394</v>
      </c>
      <c r="L992" s="232">
        <v>45170</v>
      </c>
      <c r="M992" s="232">
        <v>45199</v>
      </c>
    </row>
    <row r="993" spans="1:13" ht="14.25" customHeight="1" x14ac:dyDescent="0.2">
      <c r="A993" s="231" t="s">
        <v>1589</v>
      </c>
      <c r="B993" s="230">
        <v>122240</v>
      </c>
      <c r="C993" s="230">
        <v>10761</v>
      </c>
      <c r="D993" s="231" t="s">
        <v>1674</v>
      </c>
      <c r="E993" s="230">
        <v>14491032</v>
      </c>
      <c r="F993" s="230">
        <v>55722</v>
      </c>
      <c r="G993" s="230">
        <v>1</v>
      </c>
      <c r="H993" s="240">
        <v>359.46</v>
      </c>
      <c r="I993" s="240">
        <f t="shared" si="15"/>
        <v>359.46</v>
      </c>
      <c r="J993" s="231" t="s">
        <v>1393</v>
      </c>
      <c r="K993" s="231" t="s">
        <v>1394</v>
      </c>
      <c r="L993" s="232">
        <v>45170</v>
      </c>
      <c r="M993" s="232">
        <v>45199</v>
      </c>
    </row>
    <row r="994" spans="1:13" ht="14.25" customHeight="1" x14ac:dyDescent="0.2">
      <c r="A994" s="231" t="s">
        <v>1589</v>
      </c>
      <c r="B994" s="230">
        <v>122250</v>
      </c>
      <c r="C994" s="230">
        <v>10760</v>
      </c>
      <c r="D994" s="231" t="s">
        <v>1671</v>
      </c>
      <c r="E994" s="230">
        <v>14491032</v>
      </c>
      <c r="F994" s="230">
        <v>55742</v>
      </c>
      <c r="G994" s="230">
        <v>1</v>
      </c>
      <c r="H994" s="240">
        <v>239.64</v>
      </c>
      <c r="I994" s="240">
        <f t="shared" si="15"/>
        <v>239.64</v>
      </c>
      <c r="J994" s="231" t="s">
        <v>1393</v>
      </c>
      <c r="K994" s="231" t="s">
        <v>1394</v>
      </c>
      <c r="L994" s="232">
        <v>45170</v>
      </c>
      <c r="M994" s="232">
        <v>45199</v>
      </c>
    </row>
    <row r="995" spans="1:13" ht="14.25" customHeight="1" x14ac:dyDescent="0.2">
      <c r="A995" s="231" t="s">
        <v>1589</v>
      </c>
      <c r="B995" s="230">
        <v>122252</v>
      </c>
      <c r="C995" s="230">
        <v>10757</v>
      </c>
      <c r="D995" s="231" t="s">
        <v>1667</v>
      </c>
      <c r="E995" s="230">
        <v>14491032</v>
      </c>
      <c r="F995" s="230">
        <v>55746</v>
      </c>
      <c r="G995" s="230">
        <v>1</v>
      </c>
      <c r="H995" s="240">
        <v>359.46</v>
      </c>
      <c r="I995" s="240">
        <f t="shared" si="15"/>
        <v>359.46</v>
      </c>
      <c r="J995" s="231" t="s">
        <v>1393</v>
      </c>
      <c r="K995" s="231" t="s">
        <v>1394</v>
      </c>
      <c r="L995" s="232">
        <v>45170</v>
      </c>
      <c r="M995" s="232">
        <v>45199</v>
      </c>
    </row>
    <row r="996" spans="1:13" ht="14.25" customHeight="1" x14ac:dyDescent="0.2">
      <c r="A996" s="231" t="s">
        <v>1589</v>
      </c>
      <c r="B996" s="230">
        <v>122254</v>
      </c>
      <c r="C996" s="230">
        <v>10743</v>
      </c>
      <c r="D996" s="231" t="s">
        <v>1680</v>
      </c>
      <c r="E996" s="230">
        <v>14491032</v>
      </c>
      <c r="F996" s="230">
        <v>55751</v>
      </c>
      <c r="G996" s="230">
        <v>1</v>
      </c>
      <c r="H996" s="240">
        <v>359.46</v>
      </c>
      <c r="I996" s="240">
        <f t="shared" si="15"/>
        <v>359.46</v>
      </c>
      <c r="J996" s="231" t="s">
        <v>1393</v>
      </c>
      <c r="K996" s="231" t="s">
        <v>1394</v>
      </c>
      <c r="L996" s="232">
        <v>45170</v>
      </c>
      <c r="M996" s="232">
        <v>45199</v>
      </c>
    </row>
    <row r="997" spans="1:13" ht="14.25" customHeight="1" x14ac:dyDescent="0.2">
      <c r="A997" s="231" t="s">
        <v>1589</v>
      </c>
      <c r="B997" s="230">
        <v>122334</v>
      </c>
      <c r="C997" s="230">
        <v>10766</v>
      </c>
      <c r="D997" s="231" t="s">
        <v>1665</v>
      </c>
      <c r="E997" s="230">
        <v>14491032</v>
      </c>
      <c r="F997" s="230">
        <v>55962</v>
      </c>
      <c r="G997" s="230">
        <v>1</v>
      </c>
      <c r="H997" s="240">
        <v>359.46</v>
      </c>
      <c r="I997" s="240">
        <f t="shared" si="15"/>
        <v>359.46</v>
      </c>
      <c r="J997" s="231" t="s">
        <v>1393</v>
      </c>
      <c r="K997" s="231" t="s">
        <v>1394</v>
      </c>
      <c r="L997" s="232">
        <v>45170</v>
      </c>
      <c r="M997" s="232">
        <v>45199</v>
      </c>
    </row>
    <row r="998" spans="1:13" ht="14.25" customHeight="1" x14ac:dyDescent="0.2">
      <c r="A998" s="231" t="s">
        <v>1589</v>
      </c>
      <c r="B998" s="230">
        <v>122403</v>
      </c>
      <c r="C998" s="230">
        <v>10758</v>
      </c>
      <c r="D998" s="231" t="s">
        <v>1713</v>
      </c>
      <c r="E998" s="230">
        <v>14491032</v>
      </c>
      <c r="F998" s="230">
        <v>56124</v>
      </c>
      <c r="G998" s="230">
        <v>1</v>
      </c>
      <c r="H998" s="240">
        <v>359.46</v>
      </c>
      <c r="I998" s="240">
        <f t="shared" si="15"/>
        <v>359.46</v>
      </c>
      <c r="J998" s="231" t="s">
        <v>1393</v>
      </c>
      <c r="K998" s="231" t="s">
        <v>1394</v>
      </c>
      <c r="L998" s="232">
        <v>45170</v>
      </c>
      <c r="M998" s="232">
        <v>45199</v>
      </c>
    </row>
    <row r="999" spans="1:13" ht="14.25" customHeight="1" x14ac:dyDescent="0.2">
      <c r="A999" s="231" t="s">
        <v>1589</v>
      </c>
      <c r="B999" s="230">
        <v>122404</v>
      </c>
      <c r="C999" s="230">
        <v>10755</v>
      </c>
      <c r="D999" s="231" t="s">
        <v>1690</v>
      </c>
      <c r="E999" s="230">
        <v>14491032</v>
      </c>
      <c r="F999" s="230">
        <v>56126</v>
      </c>
      <c r="G999" s="230">
        <v>1</v>
      </c>
      <c r="H999" s="240">
        <v>359.46</v>
      </c>
      <c r="I999" s="240">
        <f t="shared" si="15"/>
        <v>359.46</v>
      </c>
      <c r="J999" s="231" t="s">
        <v>1393</v>
      </c>
      <c r="K999" s="231" t="s">
        <v>1394</v>
      </c>
      <c r="L999" s="232">
        <v>45170</v>
      </c>
      <c r="M999" s="232">
        <v>45199</v>
      </c>
    </row>
    <row r="1000" spans="1:13" ht="14.25" customHeight="1" x14ac:dyDescent="0.2">
      <c r="A1000" s="231" t="s">
        <v>1589</v>
      </c>
      <c r="B1000" s="230">
        <v>122405</v>
      </c>
      <c r="C1000" s="230">
        <v>10768</v>
      </c>
      <c r="D1000" s="231" t="s">
        <v>1706</v>
      </c>
      <c r="E1000" s="230">
        <v>14491032</v>
      </c>
      <c r="F1000" s="230">
        <v>56128</v>
      </c>
      <c r="G1000" s="230">
        <v>1</v>
      </c>
      <c r="H1000" s="240">
        <v>359.46</v>
      </c>
      <c r="I1000" s="240">
        <f t="shared" si="15"/>
        <v>359.46</v>
      </c>
      <c r="J1000" s="231" t="s">
        <v>1393</v>
      </c>
      <c r="K1000" s="231" t="s">
        <v>1394</v>
      </c>
      <c r="L1000" s="232">
        <v>45170</v>
      </c>
      <c r="M1000" s="232">
        <v>45199</v>
      </c>
    </row>
    <row r="1001" spans="1:13" ht="14.25" customHeight="1" x14ac:dyDescent="0.2">
      <c r="A1001" s="231" t="s">
        <v>1589</v>
      </c>
      <c r="B1001" s="230">
        <v>122406</v>
      </c>
      <c r="C1001" s="230">
        <v>10755</v>
      </c>
      <c r="D1001" s="231" t="s">
        <v>1714</v>
      </c>
      <c r="E1001" s="230">
        <v>14491032</v>
      </c>
      <c r="F1001" s="230">
        <v>56130</v>
      </c>
      <c r="G1001" s="230">
        <v>1</v>
      </c>
      <c r="H1001" s="240">
        <v>359.46</v>
      </c>
      <c r="I1001" s="240">
        <f t="shared" si="15"/>
        <v>359.46</v>
      </c>
      <c r="J1001" s="231" t="s">
        <v>1393</v>
      </c>
      <c r="K1001" s="231" t="s">
        <v>1394</v>
      </c>
      <c r="L1001" s="232">
        <v>45170</v>
      </c>
      <c r="M1001" s="232">
        <v>45199</v>
      </c>
    </row>
    <row r="1002" spans="1:13" ht="14.25" customHeight="1" x14ac:dyDescent="0.2">
      <c r="A1002" s="231" t="s">
        <v>1589</v>
      </c>
      <c r="B1002" s="230">
        <v>122409</v>
      </c>
      <c r="C1002" s="230">
        <v>10755</v>
      </c>
      <c r="D1002" s="231" t="s">
        <v>1705</v>
      </c>
      <c r="E1002" s="230">
        <v>14491032</v>
      </c>
      <c r="F1002" s="230">
        <v>56138</v>
      </c>
      <c r="G1002" s="230">
        <v>1</v>
      </c>
      <c r="H1002" s="240">
        <v>359.46</v>
      </c>
      <c r="I1002" s="240">
        <f t="shared" si="15"/>
        <v>359.46</v>
      </c>
      <c r="J1002" s="231" t="s">
        <v>1393</v>
      </c>
      <c r="K1002" s="231" t="s">
        <v>1394</v>
      </c>
      <c r="L1002" s="232">
        <v>45170</v>
      </c>
      <c r="M1002" s="232">
        <v>45199</v>
      </c>
    </row>
    <row r="1003" spans="1:13" ht="14.25" customHeight="1" x14ac:dyDescent="0.2">
      <c r="A1003" s="231" t="s">
        <v>1589</v>
      </c>
      <c r="B1003" s="230">
        <v>122410</v>
      </c>
      <c r="C1003" s="230">
        <v>10757</v>
      </c>
      <c r="D1003" s="231" t="s">
        <v>1695</v>
      </c>
      <c r="E1003" s="230">
        <v>14491032</v>
      </c>
      <c r="F1003" s="230">
        <v>56140</v>
      </c>
      <c r="G1003" s="230">
        <v>1</v>
      </c>
      <c r="H1003" s="240">
        <v>359.46</v>
      </c>
      <c r="I1003" s="240">
        <f t="shared" si="15"/>
        <v>359.46</v>
      </c>
      <c r="J1003" s="231" t="s">
        <v>1393</v>
      </c>
      <c r="K1003" s="231" t="s">
        <v>1394</v>
      </c>
      <c r="L1003" s="232">
        <v>45170</v>
      </c>
      <c r="M1003" s="232">
        <v>45199</v>
      </c>
    </row>
    <row r="1004" spans="1:13" ht="14.25" customHeight="1" x14ac:dyDescent="0.2">
      <c r="A1004" s="231" t="s">
        <v>1589</v>
      </c>
      <c r="B1004" s="230">
        <v>122411</v>
      </c>
      <c r="C1004" s="230">
        <v>10758</v>
      </c>
      <c r="D1004" s="231" t="s">
        <v>1691</v>
      </c>
      <c r="E1004" s="230">
        <v>14491032</v>
      </c>
      <c r="F1004" s="230">
        <v>56142</v>
      </c>
      <c r="G1004" s="230">
        <v>1</v>
      </c>
      <c r="H1004" s="240">
        <v>359.46</v>
      </c>
      <c r="I1004" s="240">
        <f t="shared" si="15"/>
        <v>359.46</v>
      </c>
      <c r="J1004" s="231" t="s">
        <v>1393</v>
      </c>
      <c r="K1004" s="231" t="s">
        <v>1394</v>
      </c>
      <c r="L1004" s="232">
        <v>45170</v>
      </c>
      <c r="M1004" s="232">
        <v>45199</v>
      </c>
    </row>
    <row r="1005" spans="1:13" ht="14.25" customHeight="1" x14ac:dyDescent="0.2">
      <c r="A1005" s="231" t="s">
        <v>1589</v>
      </c>
      <c r="B1005" s="230">
        <v>122415</v>
      </c>
      <c r="C1005" s="230">
        <v>10755</v>
      </c>
      <c r="D1005" s="231" t="s">
        <v>1698</v>
      </c>
      <c r="E1005" s="230">
        <v>14491032</v>
      </c>
      <c r="F1005" s="230">
        <v>56150</v>
      </c>
      <c r="G1005" s="230">
        <v>1</v>
      </c>
      <c r="H1005" s="240">
        <v>359.46</v>
      </c>
      <c r="I1005" s="240">
        <f t="shared" si="15"/>
        <v>359.46</v>
      </c>
      <c r="J1005" s="231" t="s">
        <v>1393</v>
      </c>
      <c r="K1005" s="231" t="s">
        <v>1394</v>
      </c>
      <c r="L1005" s="232">
        <v>45170</v>
      </c>
      <c r="M1005" s="232">
        <v>45199</v>
      </c>
    </row>
    <row r="1006" spans="1:13" ht="14.25" customHeight="1" x14ac:dyDescent="0.2">
      <c r="A1006" s="231" t="s">
        <v>1589</v>
      </c>
      <c r="B1006" s="230">
        <v>122418</v>
      </c>
      <c r="C1006" s="230">
        <v>10755</v>
      </c>
      <c r="D1006" s="231" t="s">
        <v>1710</v>
      </c>
      <c r="E1006" s="230">
        <v>14491032</v>
      </c>
      <c r="F1006" s="230">
        <v>56156</v>
      </c>
      <c r="G1006" s="230">
        <v>1</v>
      </c>
      <c r="H1006" s="240">
        <v>359.46</v>
      </c>
      <c r="I1006" s="240">
        <f t="shared" si="15"/>
        <v>359.46</v>
      </c>
      <c r="J1006" s="231" t="s">
        <v>1393</v>
      </c>
      <c r="K1006" s="231" t="s">
        <v>1394</v>
      </c>
      <c r="L1006" s="232">
        <v>45170</v>
      </c>
      <c r="M1006" s="232">
        <v>45199</v>
      </c>
    </row>
    <row r="1007" spans="1:13" ht="14.25" customHeight="1" x14ac:dyDescent="0.2">
      <c r="A1007" s="231" t="s">
        <v>1589</v>
      </c>
      <c r="B1007" s="230">
        <v>122424</v>
      </c>
      <c r="C1007" s="230">
        <v>10755</v>
      </c>
      <c r="D1007" s="231" t="s">
        <v>1712</v>
      </c>
      <c r="E1007" s="230">
        <v>14491032</v>
      </c>
      <c r="F1007" s="230">
        <v>56168</v>
      </c>
      <c r="G1007" s="230">
        <v>1</v>
      </c>
      <c r="H1007" s="240">
        <v>323.51</v>
      </c>
      <c r="I1007" s="240">
        <f t="shared" si="15"/>
        <v>323.51</v>
      </c>
      <c r="J1007" s="231" t="s">
        <v>1393</v>
      </c>
      <c r="K1007" s="231" t="s">
        <v>1394</v>
      </c>
      <c r="L1007" s="232">
        <v>45170</v>
      </c>
      <c r="M1007" s="232">
        <v>45199</v>
      </c>
    </row>
    <row r="1008" spans="1:13" ht="14.25" customHeight="1" x14ac:dyDescent="0.2">
      <c r="A1008" s="231" t="s">
        <v>1589</v>
      </c>
      <c r="B1008" s="230">
        <v>122425</v>
      </c>
      <c r="C1008" s="230">
        <v>10766</v>
      </c>
      <c r="D1008" s="231" t="s">
        <v>1700</v>
      </c>
      <c r="E1008" s="230">
        <v>14491032</v>
      </c>
      <c r="F1008" s="230">
        <v>56170</v>
      </c>
      <c r="G1008" s="230">
        <v>1</v>
      </c>
      <c r="H1008" s="240">
        <v>359.46</v>
      </c>
      <c r="I1008" s="240">
        <f t="shared" si="15"/>
        <v>359.46</v>
      </c>
      <c r="J1008" s="231" t="s">
        <v>1393</v>
      </c>
      <c r="K1008" s="231" t="s">
        <v>1394</v>
      </c>
      <c r="L1008" s="232">
        <v>45170</v>
      </c>
      <c r="M1008" s="232">
        <v>45199</v>
      </c>
    </row>
    <row r="1009" spans="1:13" ht="14.25" customHeight="1" x14ac:dyDescent="0.2">
      <c r="A1009" s="231" t="s">
        <v>1589</v>
      </c>
      <c r="B1009" s="230">
        <v>122437</v>
      </c>
      <c r="C1009" s="230">
        <v>10757</v>
      </c>
      <c r="D1009" s="231" t="s">
        <v>1692</v>
      </c>
      <c r="E1009" s="230">
        <v>14491032</v>
      </c>
      <c r="F1009" s="230">
        <v>56194</v>
      </c>
      <c r="G1009" s="230">
        <v>1</v>
      </c>
      <c r="H1009" s="240">
        <v>359.46</v>
      </c>
      <c r="I1009" s="240">
        <f t="shared" si="15"/>
        <v>359.46</v>
      </c>
      <c r="J1009" s="231" t="s">
        <v>1393</v>
      </c>
      <c r="K1009" s="231" t="s">
        <v>1394</v>
      </c>
      <c r="L1009" s="232">
        <v>45170</v>
      </c>
      <c r="M1009" s="232">
        <v>45199</v>
      </c>
    </row>
    <row r="1010" spans="1:13" ht="14.25" customHeight="1" x14ac:dyDescent="0.2">
      <c r="A1010" s="231" t="s">
        <v>1589</v>
      </c>
      <c r="B1010" s="230">
        <v>122438</v>
      </c>
      <c r="C1010" s="230">
        <v>10758</v>
      </c>
      <c r="D1010" s="231" t="s">
        <v>1694</v>
      </c>
      <c r="E1010" s="230">
        <v>14491032</v>
      </c>
      <c r="F1010" s="230">
        <v>56196</v>
      </c>
      <c r="G1010" s="230">
        <v>1</v>
      </c>
      <c r="H1010" s="240">
        <v>359.46</v>
      </c>
      <c r="I1010" s="240">
        <f t="shared" si="15"/>
        <v>359.46</v>
      </c>
      <c r="J1010" s="231" t="s">
        <v>1393</v>
      </c>
      <c r="K1010" s="231" t="s">
        <v>1394</v>
      </c>
      <c r="L1010" s="232">
        <v>45170</v>
      </c>
      <c r="M1010" s="232">
        <v>45199</v>
      </c>
    </row>
    <row r="1011" spans="1:13" ht="14.25" customHeight="1" x14ac:dyDescent="0.2">
      <c r="A1011" s="231" t="s">
        <v>1589</v>
      </c>
      <c r="B1011" s="230">
        <v>122439</v>
      </c>
      <c r="C1011" s="230">
        <v>10758</v>
      </c>
      <c r="D1011" s="231" t="s">
        <v>1702</v>
      </c>
      <c r="E1011" s="230">
        <v>14491032</v>
      </c>
      <c r="F1011" s="230">
        <v>56198</v>
      </c>
      <c r="G1011" s="230">
        <v>1</v>
      </c>
      <c r="H1011" s="240">
        <v>359.46</v>
      </c>
      <c r="I1011" s="240">
        <f t="shared" si="15"/>
        <v>359.46</v>
      </c>
      <c r="J1011" s="231" t="s">
        <v>1393</v>
      </c>
      <c r="K1011" s="231" t="s">
        <v>1394</v>
      </c>
      <c r="L1011" s="232">
        <v>45170</v>
      </c>
      <c r="M1011" s="232">
        <v>45199</v>
      </c>
    </row>
    <row r="1012" spans="1:13" ht="14.25" customHeight="1" x14ac:dyDescent="0.2">
      <c r="A1012" s="231" t="s">
        <v>1589</v>
      </c>
      <c r="B1012" s="230">
        <v>122440</v>
      </c>
      <c r="C1012" s="230">
        <v>10755</v>
      </c>
      <c r="D1012" s="231" t="s">
        <v>1693</v>
      </c>
      <c r="E1012" s="230">
        <v>14491032</v>
      </c>
      <c r="F1012" s="230">
        <v>56200</v>
      </c>
      <c r="G1012" s="230">
        <v>1</v>
      </c>
      <c r="H1012" s="240">
        <v>359.46</v>
      </c>
      <c r="I1012" s="240">
        <f t="shared" si="15"/>
        <v>359.46</v>
      </c>
      <c r="J1012" s="231" t="s">
        <v>1393</v>
      </c>
      <c r="K1012" s="231" t="s">
        <v>1394</v>
      </c>
      <c r="L1012" s="232">
        <v>45170</v>
      </c>
      <c r="M1012" s="232">
        <v>45199</v>
      </c>
    </row>
    <row r="1013" spans="1:13" ht="14.25" customHeight="1" x14ac:dyDescent="0.2">
      <c r="A1013" s="231" t="s">
        <v>1589</v>
      </c>
      <c r="B1013" s="230">
        <v>122570</v>
      </c>
      <c r="C1013" s="230">
        <v>10761</v>
      </c>
      <c r="D1013" s="231" t="s">
        <v>1699</v>
      </c>
      <c r="E1013" s="230">
        <v>14491032</v>
      </c>
      <c r="F1013" s="230">
        <v>56531</v>
      </c>
      <c r="G1013" s="230">
        <v>1</v>
      </c>
      <c r="H1013" s="240">
        <v>359.46</v>
      </c>
      <c r="I1013" s="240">
        <f t="shared" si="15"/>
        <v>359.46</v>
      </c>
      <c r="J1013" s="231" t="s">
        <v>1393</v>
      </c>
      <c r="K1013" s="231" t="s">
        <v>1394</v>
      </c>
      <c r="L1013" s="232">
        <v>45170</v>
      </c>
      <c r="M1013" s="232">
        <v>45199</v>
      </c>
    </row>
    <row r="1014" spans="1:13" ht="14.25" customHeight="1" x14ac:dyDescent="0.2">
      <c r="A1014" s="231" t="s">
        <v>1589</v>
      </c>
      <c r="B1014" s="230">
        <v>122571</v>
      </c>
      <c r="C1014" s="230">
        <v>10761</v>
      </c>
      <c r="D1014" s="231" t="s">
        <v>1709</v>
      </c>
      <c r="E1014" s="230">
        <v>14491032</v>
      </c>
      <c r="F1014" s="230">
        <v>56533</v>
      </c>
      <c r="G1014" s="230">
        <v>1</v>
      </c>
      <c r="H1014" s="240">
        <v>359.46</v>
      </c>
      <c r="I1014" s="240">
        <f t="shared" si="15"/>
        <v>359.46</v>
      </c>
      <c r="J1014" s="231" t="s">
        <v>1393</v>
      </c>
      <c r="K1014" s="231" t="s">
        <v>1394</v>
      </c>
      <c r="L1014" s="232">
        <v>45170</v>
      </c>
      <c r="M1014" s="232">
        <v>45199</v>
      </c>
    </row>
    <row r="1015" spans="1:13" ht="14.25" customHeight="1" x14ac:dyDescent="0.2">
      <c r="A1015" s="231" t="s">
        <v>1589</v>
      </c>
      <c r="B1015" s="230">
        <v>122573</v>
      </c>
      <c r="C1015" s="230">
        <v>10761</v>
      </c>
      <c r="D1015" s="231" t="s">
        <v>1696</v>
      </c>
      <c r="E1015" s="230">
        <v>14491032</v>
      </c>
      <c r="F1015" s="230">
        <v>56537</v>
      </c>
      <c r="G1015" s="230">
        <v>1</v>
      </c>
      <c r="H1015" s="240">
        <v>359.46</v>
      </c>
      <c r="I1015" s="240">
        <f t="shared" si="15"/>
        <v>359.46</v>
      </c>
      <c r="J1015" s="231" t="s">
        <v>1393</v>
      </c>
      <c r="K1015" s="231" t="s">
        <v>1394</v>
      </c>
      <c r="L1015" s="232">
        <v>45170</v>
      </c>
      <c r="M1015" s="232">
        <v>45199</v>
      </c>
    </row>
    <row r="1016" spans="1:13" ht="14.25" customHeight="1" x14ac:dyDescent="0.2">
      <c r="A1016" s="231" t="s">
        <v>1589</v>
      </c>
      <c r="B1016" s="230">
        <v>122574</v>
      </c>
      <c r="C1016" s="230">
        <v>10761</v>
      </c>
      <c r="D1016" s="231" t="s">
        <v>1697</v>
      </c>
      <c r="E1016" s="230">
        <v>14491032</v>
      </c>
      <c r="F1016" s="230">
        <v>56539</v>
      </c>
      <c r="G1016" s="230">
        <v>1</v>
      </c>
      <c r="H1016" s="240">
        <v>359.46</v>
      </c>
      <c r="I1016" s="240">
        <f t="shared" si="15"/>
        <v>359.46</v>
      </c>
      <c r="J1016" s="231" t="s">
        <v>1393</v>
      </c>
      <c r="K1016" s="231" t="s">
        <v>1394</v>
      </c>
      <c r="L1016" s="232">
        <v>45170</v>
      </c>
      <c r="M1016" s="232">
        <v>45199</v>
      </c>
    </row>
    <row r="1017" spans="1:13" ht="14.25" customHeight="1" x14ac:dyDescent="0.2">
      <c r="A1017" s="231" t="s">
        <v>1589</v>
      </c>
      <c r="B1017" s="230">
        <v>122632</v>
      </c>
      <c r="C1017" s="230">
        <v>10757</v>
      </c>
      <c r="D1017" s="231" t="s">
        <v>1726</v>
      </c>
      <c r="E1017" s="230">
        <v>14491032</v>
      </c>
      <c r="F1017" s="230">
        <v>56692</v>
      </c>
      <c r="G1017" s="230">
        <v>1</v>
      </c>
      <c r="H1017" s="240">
        <v>359.46</v>
      </c>
      <c r="I1017" s="240">
        <f t="shared" si="15"/>
        <v>359.46</v>
      </c>
      <c r="J1017" s="231" t="s">
        <v>1393</v>
      </c>
      <c r="K1017" s="231" t="s">
        <v>1394</v>
      </c>
      <c r="L1017" s="232">
        <v>45170</v>
      </c>
      <c r="M1017" s="232">
        <v>45199</v>
      </c>
    </row>
    <row r="1018" spans="1:13" ht="14.25" customHeight="1" x14ac:dyDescent="0.2">
      <c r="A1018" s="231" t="s">
        <v>32</v>
      </c>
      <c r="B1018" s="230">
        <v>112189</v>
      </c>
      <c r="C1018" s="230">
        <v>10750</v>
      </c>
      <c r="D1018" s="231" t="s">
        <v>24</v>
      </c>
      <c r="E1018" s="230">
        <v>14491032</v>
      </c>
      <c r="F1018" s="230">
        <v>28812</v>
      </c>
      <c r="G1018" s="230">
        <v>1</v>
      </c>
      <c r="H1018" s="240">
        <v>359.46</v>
      </c>
      <c r="I1018" s="240">
        <f t="shared" si="15"/>
        <v>359.46</v>
      </c>
      <c r="J1018" s="231" t="s">
        <v>1393</v>
      </c>
      <c r="K1018" s="231" t="s">
        <v>1394</v>
      </c>
      <c r="L1018" s="232">
        <v>45170</v>
      </c>
      <c r="M1018" s="232">
        <v>45199</v>
      </c>
    </row>
    <row r="1019" spans="1:13" ht="14.25" customHeight="1" x14ac:dyDescent="0.2">
      <c r="A1019" s="231" t="s">
        <v>32</v>
      </c>
      <c r="B1019" s="230">
        <v>112271</v>
      </c>
      <c r="C1019" s="230">
        <v>10766</v>
      </c>
      <c r="D1019" s="231" t="s">
        <v>78</v>
      </c>
      <c r="E1019" s="230">
        <v>14491032</v>
      </c>
      <c r="F1019" s="230">
        <v>28976</v>
      </c>
      <c r="G1019" s="230">
        <v>1</v>
      </c>
      <c r="H1019" s="240">
        <v>359.46</v>
      </c>
      <c r="I1019" s="240">
        <f t="shared" si="15"/>
        <v>359.46</v>
      </c>
      <c r="J1019" s="231" t="s">
        <v>1393</v>
      </c>
      <c r="K1019" s="231" t="s">
        <v>1394</v>
      </c>
      <c r="L1019" s="232">
        <v>45170</v>
      </c>
      <c r="M1019" s="232">
        <v>45199</v>
      </c>
    </row>
    <row r="1020" spans="1:13" ht="14.25" customHeight="1" x14ac:dyDescent="0.2">
      <c r="A1020" s="231" t="s">
        <v>32</v>
      </c>
      <c r="B1020" s="230">
        <v>112273</v>
      </c>
      <c r="C1020" s="230">
        <v>10755</v>
      </c>
      <c r="D1020" s="231" t="s">
        <v>79</v>
      </c>
      <c r="E1020" s="230">
        <v>14491032</v>
      </c>
      <c r="F1020" s="230">
        <v>28980</v>
      </c>
      <c r="G1020" s="230">
        <v>1</v>
      </c>
      <c r="H1020" s="240">
        <v>359.46</v>
      </c>
      <c r="I1020" s="240">
        <f t="shared" si="15"/>
        <v>359.46</v>
      </c>
      <c r="J1020" s="231" t="s">
        <v>1393</v>
      </c>
      <c r="K1020" s="231" t="s">
        <v>1394</v>
      </c>
      <c r="L1020" s="232">
        <v>45170</v>
      </c>
      <c r="M1020" s="232">
        <v>45199</v>
      </c>
    </row>
    <row r="1021" spans="1:13" ht="14.25" customHeight="1" x14ac:dyDescent="0.2">
      <c r="A1021" s="231" t="s">
        <v>32</v>
      </c>
      <c r="B1021" s="230">
        <v>112353</v>
      </c>
      <c r="C1021" s="230">
        <v>10750</v>
      </c>
      <c r="D1021" s="231" t="s">
        <v>127</v>
      </c>
      <c r="E1021" s="230">
        <v>14491032</v>
      </c>
      <c r="F1021" s="230">
        <v>29140</v>
      </c>
      <c r="G1021" s="230">
        <v>1</v>
      </c>
      <c r="H1021" s="240">
        <v>359.46</v>
      </c>
      <c r="I1021" s="240">
        <f t="shared" si="15"/>
        <v>359.46</v>
      </c>
      <c r="J1021" s="231" t="s">
        <v>1393</v>
      </c>
      <c r="K1021" s="231" t="s">
        <v>1394</v>
      </c>
      <c r="L1021" s="232">
        <v>45170</v>
      </c>
      <c r="M1021" s="232">
        <v>45199</v>
      </c>
    </row>
    <row r="1022" spans="1:13" ht="14.25" customHeight="1" x14ac:dyDescent="0.2">
      <c r="A1022" s="231" t="s">
        <v>32</v>
      </c>
      <c r="B1022" s="230">
        <v>112440</v>
      </c>
      <c r="C1022" s="230">
        <v>10771</v>
      </c>
      <c r="D1022" s="231" t="s">
        <v>181</v>
      </c>
      <c r="E1022" s="230">
        <v>14491032</v>
      </c>
      <c r="F1022" s="230">
        <v>29314</v>
      </c>
      <c r="G1022" s="230">
        <v>1</v>
      </c>
      <c r="H1022" s="240">
        <v>359.46</v>
      </c>
      <c r="I1022" s="240">
        <f t="shared" si="15"/>
        <v>359.46</v>
      </c>
      <c r="J1022" s="231" t="s">
        <v>1393</v>
      </c>
      <c r="K1022" s="231" t="s">
        <v>1394</v>
      </c>
      <c r="L1022" s="232">
        <v>45170</v>
      </c>
      <c r="M1022" s="232">
        <v>45199</v>
      </c>
    </row>
    <row r="1023" spans="1:13" ht="14.25" customHeight="1" x14ac:dyDescent="0.2">
      <c r="A1023" s="231" t="s">
        <v>32</v>
      </c>
      <c r="B1023" s="230">
        <v>112481</v>
      </c>
      <c r="C1023" s="230">
        <v>10756</v>
      </c>
      <c r="D1023" s="231" t="s">
        <v>207</v>
      </c>
      <c r="E1023" s="230">
        <v>14491032</v>
      </c>
      <c r="F1023" s="230">
        <v>29396</v>
      </c>
      <c r="G1023" s="230">
        <v>1</v>
      </c>
      <c r="H1023" s="240">
        <v>359.46</v>
      </c>
      <c r="I1023" s="240">
        <f t="shared" si="15"/>
        <v>359.46</v>
      </c>
      <c r="J1023" s="231" t="s">
        <v>1393</v>
      </c>
      <c r="K1023" s="231" t="s">
        <v>1394</v>
      </c>
      <c r="L1023" s="232">
        <v>45170</v>
      </c>
      <c r="M1023" s="232">
        <v>45199</v>
      </c>
    </row>
    <row r="1024" spans="1:13" ht="14.25" customHeight="1" x14ac:dyDescent="0.2">
      <c r="A1024" s="231" t="s">
        <v>32</v>
      </c>
      <c r="B1024" s="230">
        <v>112489</v>
      </c>
      <c r="C1024" s="230">
        <v>10750</v>
      </c>
      <c r="D1024" s="231" t="s">
        <v>1551</v>
      </c>
      <c r="E1024" s="230">
        <v>14491032</v>
      </c>
      <c r="F1024" s="230">
        <v>29412</v>
      </c>
      <c r="G1024" s="230">
        <v>1</v>
      </c>
      <c r="H1024" s="240">
        <v>359.46</v>
      </c>
      <c r="I1024" s="240">
        <f t="shared" si="15"/>
        <v>359.46</v>
      </c>
      <c r="J1024" s="231" t="s">
        <v>1393</v>
      </c>
      <c r="K1024" s="231" t="s">
        <v>1394</v>
      </c>
      <c r="L1024" s="232">
        <v>45170</v>
      </c>
      <c r="M1024" s="232">
        <v>45199</v>
      </c>
    </row>
    <row r="1025" spans="1:13" ht="14.25" customHeight="1" x14ac:dyDescent="0.2">
      <c r="A1025" s="231" t="s">
        <v>32</v>
      </c>
      <c r="B1025" s="230">
        <v>112495</v>
      </c>
      <c r="C1025" s="230">
        <v>10766</v>
      </c>
      <c r="D1025" s="231" t="s">
        <v>215</v>
      </c>
      <c r="E1025" s="230">
        <v>14491032</v>
      </c>
      <c r="F1025" s="230">
        <v>29424</v>
      </c>
      <c r="G1025" s="230">
        <v>1</v>
      </c>
      <c r="H1025" s="240">
        <v>359.46</v>
      </c>
      <c r="I1025" s="240">
        <f t="shared" si="15"/>
        <v>359.46</v>
      </c>
      <c r="J1025" s="231" t="s">
        <v>1393</v>
      </c>
      <c r="K1025" s="231" t="s">
        <v>1394</v>
      </c>
      <c r="L1025" s="232">
        <v>45170</v>
      </c>
      <c r="M1025" s="232">
        <v>45199</v>
      </c>
    </row>
    <row r="1026" spans="1:13" ht="14.25" customHeight="1" x14ac:dyDescent="0.2">
      <c r="A1026" s="231" t="s">
        <v>32</v>
      </c>
      <c r="B1026" s="230">
        <v>112499</v>
      </c>
      <c r="C1026" s="230">
        <v>10756</v>
      </c>
      <c r="D1026" s="231" t="s">
        <v>218</v>
      </c>
      <c r="E1026" s="230">
        <v>14491032</v>
      </c>
      <c r="F1026" s="230">
        <v>29432</v>
      </c>
      <c r="G1026" s="230">
        <v>1</v>
      </c>
      <c r="H1026" s="240">
        <v>359.46</v>
      </c>
      <c r="I1026" s="240">
        <f t="shared" si="15"/>
        <v>359.46</v>
      </c>
      <c r="J1026" s="231" t="s">
        <v>1393</v>
      </c>
      <c r="K1026" s="231" t="s">
        <v>1394</v>
      </c>
      <c r="L1026" s="232">
        <v>45170</v>
      </c>
      <c r="M1026" s="232">
        <v>45199</v>
      </c>
    </row>
    <row r="1027" spans="1:13" ht="14.25" customHeight="1" x14ac:dyDescent="0.2">
      <c r="A1027" s="231" t="s">
        <v>32</v>
      </c>
      <c r="B1027" s="230">
        <v>112505</v>
      </c>
      <c r="C1027" s="230">
        <v>10756</v>
      </c>
      <c r="D1027" s="231" t="s">
        <v>223</v>
      </c>
      <c r="E1027" s="230">
        <v>14491032</v>
      </c>
      <c r="F1027" s="230">
        <v>29444</v>
      </c>
      <c r="G1027" s="230">
        <v>1</v>
      </c>
      <c r="H1027" s="240">
        <v>359.46</v>
      </c>
      <c r="I1027" s="240">
        <f t="shared" ref="I1027:I1089" si="16">G1027*H1027</f>
        <v>359.46</v>
      </c>
      <c r="J1027" s="231" t="s">
        <v>1393</v>
      </c>
      <c r="K1027" s="231" t="s">
        <v>1394</v>
      </c>
      <c r="L1027" s="232">
        <v>45170</v>
      </c>
      <c r="M1027" s="232">
        <v>45199</v>
      </c>
    </row>
    <row r="1028" spans="1:13" ht="14.25" customHeight="1" x14ac:dyDescent="0.2">
      <c r="A1028" s="231" t="s">
        <v>32</v>
      </c>
      <c r="B1028" s="230">
        <v>112531</v>
      </c>
      <c r="C1028" s="230">
        <v>10750</v>
      </c>
      <c r="D1028" s="231" t="s">
        <v>243</v>
      </c>
      <c r="E1028" s="230">
        <v>14491032</v>
      </c>
      <c r="F1028" s="230">
        <v>29496</v>
      </c>
      <c r="G1028" s="230">
        <v>1</v>
      </c>
      <c r="H1028" s="240">
        <v>359.46</v>
      </c>
      <c r="I1028" s="240">
        <f t="shared" si="16"/>
        <v>359.46</v>
      </c>
      <c r="J1028" s="231" t="s">
        <v>1393</v>
      </c>
      <c r="K1028" s="231" t="s">
        <v>1394</v>
      </c>
      <c r="L1028" s="232">
        <v>45170</v>
      </c>
      <c r="M1028" s="232">
        <v>45199</v>
      </c>
    </row>
    <row r="1029" spans="1:13" ht="14.25" customHeight="1" x14ac:dyDescent="0.2">
      <c r="A1029" s="231" t="s">
        <v>32</v>
      </c>
      <c r="B1029" s="230">
        <v>112548</v>
      </c>
      <c r="C1029" s="230">
        <v>10756</v>
      </c>
      <c r="D1029" s="231" t="s">
        <v>258</v>
      </c>
      <c r="E1029" s="230">
        <v>14491032</v>
      </c>
      <c r="F1029" s="230">
        <v>29530</v>
      </c>
      <c r="G1029" s="230">
        <v>1</v>
      </c>
      <c r="H1029" s="240">
        <v>359.46</v>
      </c>
      <c r="I1029" s="240">
        <f t="shared" si="16"/>
        <v>359.46</v>
      </c>
      <c r="J1029" s="231" t="s">
        <v>1393</v>
      </c>
      <c r="K1029" s="231" t="s">
        <v>1394</v>
      </c>
      <c r="L1029" s="232">
        <v>45170</v>
      </c>
      <c r="M1029" s="232">
        <v>45199</v>
      </c>
    </row>
    <row r="1030" spans="1:13" ht="14.25" customHeight="1" x14ac:dyDescent="0.2">
      <c r="A1030" s="231" t="s">
        <v>32</v>
      </c>
      <c r="B1030" s="230">
        <v>112573</v>
      </c>
      <c r="C1030" s="230">
        <v>10757</v>
      </c>
      <c r="D1030" s="231" t="s">
        <v>272</v>
      </c>
      <c r="E1030" s="230">
        <v>14491032</v>
      </c>
      <c r="F1030" s="230">
        <v>29580</v>
      </c>
      <c r="G1030" s="230">
        <v>1</v>
      </c>
      <c r="H1030" s="240">
        <v>359.46</v>
      </c>
      <c r="I1030" s="240">
        <f t="shared" si="16"/>
        <v>359.46</v>
      </c>
      <c r="J1030" s="231" t="s">
        <v>1393</v>
      </c>
      <c r="K1030" s="231" t="s">
        <v>1394</v>
      </c>
      <c r="L1030" s="232">
        <v>45170</v>
      </c>
      <c r="M1030" s="232">
        <v>45199</v>
      </c>
    </row>
    <row r="1031" spans="1:13" ht="14.25" customHeight="1" x14ac:dyDescent="0.2">
      <c r="A1031" s="231" t="s">
        <v>32</v>
      </c>
      <c r="B1031" s="230">
        <v>112594</v>
      </c>
      <c r="C1031" s="230">
        <v>10751</v>
      </c>
      <c r="D1031" s="231" t="s">
        <v>284</v>
      </c>
      <c r="E1031" s="230">
        <v>14491032</v>
      </c>
      <c r="F1031" s="230">
        <v>29622</v>
      </c>
      <c r="G1031" s="230">
        <v>1</v>
      </c>
      <c r="H1031" s="240">
        <v>359.46</v>
      </c>
      <c r="I1031" s="240">
        <f t="shared" si="16"/>
        <v>359.46</v>
      </c>
      <c r="J1031" s="231" t="s">
        <v>1393</v>
      </c>
      <c r="K1031" s="231" t="s">
        <v>1394</v>
      </c>
      <c r="L1031" s="232">
        <v>45170</v>
      </c>
      <c r="M1031" s="232">
        <v>45199</v>
      </c>
    </row>
    <row r="1032" spans="1:13" ht="14.25" customHeight="1" x14ac:dyDescent="0.2">
      <c r="A1032" s="231" t="s">
        <v>32</v>
      </c>
      <c r="B1032" s="230">
        <v>112643</v>
      </c>
      <c r="C1032" s="230">
        <v>10771</v>
      </c>
      <c r="D1032" s="231" t="s">
        <v>317</v>
      </c>
      <c r="E1032" s="230">
        <v>14491032</v>
      </c>
      <c r="F1032" s="230">
        <v>29720</v>
      </c>
      <c r="G1032" s="230">
        <v>1</v>
      </c>
      <c r="H1032" s="240">
        <v>359.46</v>
      </c>
      <c r="I1032" s="240">
        <f t="shared" si="16"/>
        <v>359.46</v>
      </c>
      <c r="J1032" s="231" t="s">
        <v>1393</v>
      </c>
      <c r="K1032" s="231" t="s">
        <v>1394</v>
      </c>
      <c r="L1032" s="232">
        <v>45170</v>
      </c>
      <c r="M1032" s="232">
        <v>45199</v>
      </c>
    </row>
    <row r="1033" spans="1:13" ht="14.25" customHeight="1" x14ac:dyDescent="0.2">
      <c r="A1033" s="231" t="s">
        <v>32</v>
      </c>
      <c r="B1033" s="230">
        <v>112652</v>
      </c>
      <c r="C1033" s="230">
        <v>10757</v>
      </c>
      <c r="D1033" s="231" t="s">
        <v>321</v>
      </c>
      <c r="E1033" s="230">
        <v>14491032</v>
      </c>
      <c r="F1033" s="230">
        <v>29738</v>
      </c>
      <c r="G1033" s="230">
        <v>1</v>
      </c>
      <c r="H1033" s="240">
        <v>359.46</v>
      </c>
      <c r="I1033" s="240">
        <f t="shared" si="16"/>
        <v>359.46</v>
      </c>
      <c r="J1033" s="231" t="s">
        <v>1393</v>
      </c>
      <c r="K1033" s="231" t="s">
        <v>1394</v>
      </c>
      <c r="L1033" s="232">
        <v>45170</v>
      </c>
      <c r="M1033" s="232">
        <v>45199</v>
      </c>
    </row>
    <row r="1034" spans="1:13" ht="14.25" customHeight="1" x14ac:dyDescent="0.2">
      <c r="A1034" s="231" t="s">
        <v>32</v>
      </c>
      <c r="B1034" s="230">
        <v>112692</v>
      </c>
      <c r="C1034" s="230">
        <v>10750</v>
      </c>
      <c r="D1034" s="231" t="s">
        <v>345</v>
      </c>
      <c r="E1034" s="230">
        <v>14491032</v>
      </c>
      <c r="F1034" s="230">
        <v>29818</v>
      </c>
      <c r="G1034" s="230">
        <v>1</v>
      </c>
      <c r="H1034" s="240">
        <v>359.46</v>
      </c>
      <c r="I1034" s="240">
        <f t="shared" si="16"/>
        <v>359.46</v>
      </c>
      <c r="J1034" s="231" t="s">
        <v>1393</v>
      </c>
      <c r="K1034" s="231" t="s">
        <v>1394</v>
      </c>
      <c r="L1034" s="232">
        <v>45170</v>
      </c>
      <c r="M1034" s="232">
        <v>45199</v>
      </c>
    </row>
    <row r="1035" spans="1:13" ht="14.25" customHeight="1" x14ac:dyDescent="0.2">
      <c r="A1035" s="231" t="s">
        <v>32</v>
      </c>
      <c r="B1035" s="230">
        <v>112724</v>
      </c>
      <c r="C1035" s="230">
        <v>10766</v>
      </c>
      <c r="D1035" s="231" t="s">
        <v>366</v>
      </c>
      <c r="E1035" s="230">
        <v>14491032</v>
      </c>
      <c r="F1035" s="230">
        <v>29882</v>
      </c>
      <c r="G1035" s="230">
        <v>1</v>
      </c>
      <c r="H1035" s="240">
        <v>359.46</v>
      </c>
      <c r="I1035" s="240">
        <f t="shared" si="16"/>
        <v>359.46</v>
      </c>
      <c r="J1035" s="231" t="s">
        <v>1393</v>
      </c>
      <c r="K1035" s="231" t="s">
        <v>1394</v>
      </c>
      <c r="L1035" s="232">
        <v>45170</v>
      </c>
      <c r="M1035" s="232">
        <v>45199</v>
      </c>
    </row>
    <row r="1036" spans="1:13" ht="14.25" customHeight="1" x14ac:dyDescent="0.2">
      <c r="A1036" s="231" t="s">
        <v>32</v>
      </c>
      <c r="B1036" s="230">
        <v>112799</v>
      </c>
      <c r="C1036" s="230">
        <v>10760</v>
      </c>
      <c r="D1036" s="231" t="s">
        <v>419</v>
      </c>
      <c r="E1036" s="230">
        <v>14491032</v>
      </c>
      <c r="F1036" s="230">
        <v>30032</v>
      </c>
      <c r="G1036" s="230">
        <v>1</v>
      </c>
      <c r="H1036" s="240">
        <v>359.46</v>
      </c>
      <c r="I1036" s="240">
        <f t="shared" si="16"/>
        <v>359.46</v>
      </c>
      <c r="J1036" s="231" t="s">
        <v>1393</v>
      </c>
      <c r="K1036" s="231" t="s">
        <v>1394</v>
      </c>
      <c r="L1036" s="232">
        <v>45170</v>
      </c>
      <c r="M1036" s="232">
        <v>45199</v>
      </c>
    </row>
    <row r="1037" spans="1:13" ht="14.25" customHeight="1" x14ac:dyDescent="0.2">
      <c r="A1037" s="231" t="s">
        <v>32</v>
      </c>
      <c r="B1037" s="230">
        <v>112804</v>
      </c>
      <c r="C1037" s="230">
        <v>10750</v>
      </c>
      <c r="D1037" s="231" t="s">
        <v>423</v>
      </c>
      <c r="E1037" s="230">
        <v>14491032</v>
      </c>
      <c r="F1037" s="230">
        <v>30042</v>
      </c>
      <c r="G1037" s="230">
        <v>1</v>
      </c>
      <c r="H1037" s="240">
        <v>359.46</v>
      </c>
      <c r="I1037" s="240">
        <f t="shared" si="16"/>
        <v>359.46</v>
      </c>
      <c r="J1037" s="231" t="s">
        <v>1393</v>
      </c>
      <c r="K1037" s="231" t="s">
        <v>1394</v>
      </c>
      <c r="L1037" s="232">
        <v>45170</v>
      </c>
      <c r="M1037" s="232">
        <v>45199</v>
      </c>
    </row>
    <row r="1038" spans="1:13" ht="14.25" customHeight="1" x14ac:dyDescent="0.2">
      <c r="A1038" s="231" t="s">
        <v>32</v>
      </c>
      <c r="B1038" s="230">
        <v>112823</v>
      </c>
      <c r="C1038" s="230">
        <v>10751</v>
      </c>
      <c r="D1038" s="231" t="s">
        <v>1510</v>
      </c>
      <c r="E1038" s="230">
        <v>14491032</v>
      </c>
      <c r="F1038" s="230">
        <v>30080</v>
      </c>
      <c r="G1038" s="230">
        <v>1</v>
      </c>
      <c r="H1038" s="240">
        <v>359.46</v>
      </c>
      <c r="I1038" s="240">
        <f t="shared" si="16"/>
        <v>359.46</v>
      </c>
      <c r="J1038" s="231" t="s">
        <v>1393</v>
      </c>
      <c r="K1038" s="231" t="s">
        <v>1394</v>
      </c>
      <c r="L1038" s="232">
        <v>45170</v>
      </c>
      <c r="M1038" s="232">
        <v>45199</v>
      </c>
    </row>
    <row r="1039" spans="1:13" ht="14.25" customHeight="1" x14ac:dyDescent="0.2">
      <c r="A1039" s="231" t="s">
        <v>32</v>
      </c>
      <c r="B1039" s="230">
        <v>112967</v>
      </c>
      <c r="C1039" s="230">
        <v>10755</v>
      </c>
      <c r="D1039" s="231" t="s">
        <v>526</v>
      </c>
      <c r="E1039" s="230">
        <v>14491032</v>
      </c>
      <c r="F1039" s="230">
        <v>30368</v>
      </c>
      <c r="G1039" s="230">
        <v>1</v>
      </c>
      <c r="H1039" s="240">
        <v>359.46</v>
      </c>
      <c r="I1039" s="240">
        <f t="shared" si="16"/>
        <v>359.46</v>
      </c>
      <c r="J1039" s="231" t="s">
        <v>1393</v>
      </c>
      <c r="K1039" s="231" t="s">
        <v>1394</v>
      </c>
      <c r="L1039" s="232">
        <v>45170</v>
      </c>
      <c r="M1039" s="232">
        <v>45199</v>
      </c>
    </row>
    <row r="1040" spans="1:13" ht="14.25" customHeight="1" x14ac:dyDescent="0.2">
      <c r="A1040" s="231" t="s">
        <v>32</v>
      </c>
      <c r="B1040" s="230">
        <v>113117</v>
      </c>
      <c r="C1040" s="230">
        <v>10757</v>
      </c>
      <c r="D1040" s="231" t="s">
        <v>595</v>
      </c>
      <c r="E1040" s="230">
        <v>14491032</v>
      </c>
      <c r="F1040" s="230">
        <v>30668</v>
      </c>
      <c r="G1040" s="230">
        <v>1</v>
      </c>
      <c r="H1040" s="240">
        <v>359.46</v>
      </c>
      <c r="I1040" s="240">
        <f t="shared" si="16"/>
        <v>359.46</v>
      </c>
      <c r="J1040" s="231" t="s">
        <v>1393</v>
      </c>
      <c r="K1040" s="231" t="s">
        <v>1394</v>
      </c>
      <c r="L1040" s="232">
        <v>45170</v>
      </c>
      <c r="M1040" s="232">
        <v>45199</v>
      </c>
    </row>
    <row r="1041" spans="1:13" ht="14.25" customHeight="1" x14ac:dyDescent="0.2">
      <c r="A1041" s="231" t="s">
        <v>32</v>
      </c>
      <c r="B1041" s="230">
        <v>113151</v>
      </c>
      <c r="C1041" s="230">
        <v>10755</v>
      </c>
      <c r="D1041" s="231" t="s">
        <v>615</v>
      </c>
      <c r="E1041" s="230">
        <v>14491032</v>
      </c>
      <c r="F1041" s="230">
        <v>30736</v>
      </c>
      <c r="G1041" s="230">
        <v>1</v>
      </c>
      <c r="H1041" s="240">
        <v>359.46</v>
      </c>
      <c r="I1041" s="240">
        <f t="shared" si="16"/>
        <v>359.46</v>
      </c>
      <c r="J1041" s="231" t="s">
        <v>1393</v>
      </c>
      <c r="K1041" s="231" t="s">
        <v>1394</v>
      </c>
      <c r="L1041" s="232">
        <v>45170</v>
      </c>
      <c r="M1041" s="232">
        <v>45199</v>
      </c>
    </row>
    <row r="1042" spans="1:13" ht="14.25" customHeight="1" x14ac:dyDescent="0.2">
      <c r="A1042" s="231" t="s">
        <v>32</v>
      </c>
      <c r="B1042" s="230">
        <v>113157</v>
      </c>
      <c r="C1042" s="230">
        <v>10750</v>
      </c>
      <c r="D1042" s="231" t="s">
        <v>618</v>
      </c>
      <c r="E1042" s="230">
        <v>14491032</v>
      </c>
      <c r="F1042" s="230">
        <v>30748</v>
      </c>
      <c r="G1042" s="230">
        <v>1</v>
      </c>
      <c r="H1042" s="240">
        <v>359.46</v>
      </c>
      <c r="I1042" s="240">
        <f t="shared" si="16"/>
        <v>359.46</v>
      </c>
      <c r="J1042" s="231" t="s">
        <v>1393</v>
      </c>
      <c r="K1042" s="231" t="s">
        <v>1394</v>
      </c>
      <c r="L1042" s="232">
        <v>45170</v>
      </c>
      <c r="M1042" s="232">
        <v>45199</v>
      </c>
    </row>
    <row r="1043" spans="1:13" ht="14.25" customHeight="1" x14ac:dyDescent="0.2">
      <c r="A1043" s="231" t="s">
        <v>32</v>
      </c>
      <c r="B1043" s="230">
        <v>113202</v>
      </c>
      <c r="C1043" s="230">
        <v>10755</v>
      </c>
      <c r="D1043" s="231" t="s">
        <v>644</v>
      </c>
      <c r="E1043" s="230">
        <v>14491032</v>
      </c>
      <c r="F1043" s="230">
        <v>30838</v>
      </c>
      <c r="G1043" s="230">
        <v>1</v>
      </c>
      <c r="H1043" s="240">
        <v>359.46</v>
      </c>
      <c r="I1043" s="240">
        <f t="shared" si="16"/>
        <v>359.46</v>
      </c>
      <c r="J1043" s="231" t="s">
        <v>1393</v>
      </c>
      <c r="K1043" s="231" t="s">
        <v>1394</v>
      </c>
      <c r="L1043" s="232">
        <v>45170</v>
      </c>
      <c r="M1043" s="232">
        <v>45199</v>
      </c>
    </row>
    <row r="1044" spans="1:13" ht="14.25" customHeight="1" x14ac:dyDescent="0.2">
      <c r="A1044" s="231" t="s">
        <v>32</v>
      </c>
      <c r="B1044" s="230">
        <v>113329</v>
      </c>
      <c r="C1044" s="230">
        <v>10750</v>
      </c>
      <c r="D1044" s="231" t="s">
        <v>712</v>
      </c>
      <c r="E1044" s="230">
        <v>14491032</v>
      </c>
      <c r="F1044" s="230">
        <v>31092</v>
      </c>
      <c r="G1044" s="230">
        <v>1</v>
      </c>
      <c r="H1044" s="240">
        <v>359.46</v>
      </c>
      <c r="I1044" s="240">
        <f t="shared" si="16"/>
        <v>359.46</v>
      </c>
      <c r="J1044" s="231" t="s">
        <v>1393</v>
      </c>
      <c r="K1044" s="231" t="s">
        <v>1394</v>
      </c>
      <c r="L1044" s="232">
        <v>45170</v>
      </c>
      <c r="M1044" s="232">
        <v>45199</v>
      </c>
    </row>
    <row r="1045" spans="1:13" ht="14.25" customHeight="1" x14ac:dyDescent="0.2">
      <c r="A1045" s="231" t="s">
        <v>32</v>
      </c>
      <c r="B1045" s="230">
        <v>113357</v>
      </c>
      <c r="C1045" s="230">
        <v>10750</v>
      </c>
      <c r="D1045" s="231" t="s">
        <v>726</v>
      </c>
      <c r="E1045" s="230">
        <v>14491032</v>
      </c>
      <c r="F1045" s="230">
        <v>31148</v>
      </c>
      <c r="G1045" s="230">
        <v>1</v>
      </c>
      <c r="H1045" s="240">
        <v>359.46</v>
      </c>
      <c r="I1045" s="240">
        <f t="shared" si="16"/>
        <v>359.46</v>
      </c>
      <c r="J1045" s="231" t="s">
        <v>1393</v>
      </c>
      <c r="K1045" s="231" t="s">
        <v>1394</v>
      </c>
      <c r="L1045" s="232">
        <v>45170</v>
      </c>
      <c r="M1045" s="232">
        <v>45199</v>
      </c>
    </row>
    <row r="1046" spans="1:13" ht="14.25" customHeight="1" x14ac:dyDescent="0.2">
      <c r="A1046" s="231" t="s">
        <v>32</v>
      </c>
      <c r="B1046" s="230">
        <v>113457</v>
      </c>
      <c r="C1046" s="230">
        <v>10750</v>
      </c>
      <c r="D1046" s="231" t="s">
        <v>790</v>
      </c>
      <c r="E1046" s="230">
        <v>14491032</v>
      </c>
      <c r="F1046" s="230">
        <v>31348</v>
      </c>
      <c r="G1046" s="230">
        <v>1</v>
      </c>
      <c r="H1046" s="240">
        <v>359.46</v>
      </c>
      <c r="I1046" s="240">
        <f t="shared" si="16"/>
        <v>359.46</v>
      </c>
      <c r="J1046" s="231" t="s">
        <v>1393</v>
      </c>
      <c r="K1046" s="231" t="s">
        <v>1394</v>
      </c>
      <c r="L1046" s="232">
        <v>45170</v>
      </c>
      <c r="M1046" s="232">
        <v>45199</v>
      </c>
    </row>
    <row r="1047" spans="1:13" ht="14.25" customHeight="1" x14ac:dyDescent="0.2">
      <c r="A1047" s="231" t="s">
        <v>32</v>
      </c>
      <c r="B1047" s="230">
        <v>113459</v>
      </c>
      <c r="C1047" s="230">
        <v>10757</v>
      </c>
      <c r="D1047" s="231" t="s">
        <v>792</v>
      </c>
      <c r="E1047" s="230">
        <v>14491032</v>
      </c>
      <c r="F1047" s="230">
        <v>31352</v>
      </c>
      <c r="G1047" s="230">
        <v>1</v>
      </c>
      <c r="H1047" s="240">
        <v>359.46</v>
      </c>
      <c r="I1047" s="240">
        <f t="shared" si="16"/>
        <v>359.46</v>
      </c>
      <c r="J1047" s="231" t="s">
        <v>1393</v>
      </c>
      <c r="K1047" s="231" t="s">
        <v>1394</v>
      </c>
      <c r="L1047" s="232">
        <v>45170</v>
      </c>
      <c r="M1047" s="232">
        <v>45199</v>
      </c>
    </row>
    <row r="1048" spans="1:13" ht="14.25" customHeight="1" x14ac:dyDescent="0.2">
      <c r="A1048" s="231" t="s">
        <v>32</v>
      </c>
      <c r="B1048" s="230">
        <v>113463</v>
      </c>
      <c r="C1048" s="230">
        <v>10750</v>
      </c>
      <c r="D1048" s="231" t="s">
        <v>795</v>
      </c>
      <c r="E1048" s="230">
        <v>14491032</v>
      </c>
      <c r="F1048" s="230">
        <v>31360</v>
      </c>
      <c r="G1048" s="230">
        <v>1</v>
      </c>
      <c r="H1048" s="240">
        <v>359.46</v>
      </c>
      <c r="I1048" s="240">
        <f t="shared" si="16"/>
        <v>359.46</v>
      </c>
      <c r="J1048" s="231" t="s">
        <v>1393</v>
      </c>
      <c r="K1048" s="231" t="s">
        <v>1394</v>
      </c>
      <c r="L1048" s="232">
        <v>45170</v>
      </c>
      <c r="M1048" s="232">
        <v>45199</v>
      </c>
    </row>
    <row r="1049" spans="1:13" ht="14.25" customHeight="1" x14ac:dyDescent="0.2">
      <c r="A1049" s="231" t="s">
        <v>32</v>
      </c>
      <c r="B1049" s="230">
        <v>113491</v>
      </c>
      <c r="C1049" s="230">
        <v>10766</v>
      </c>
      <c r="D1049" s="231" t="s">
        <v>810</v>
      </c>
      <c r="E1049" s="230">
        <v>14491032</v>
      </c>
      <c r="F1049" s="230">
        <v>31416</v>
      </c>
      <c r="G1049" s="230">
        <v>1</v>
      </c>
      <c r="H1049" s="240">
        <v>359.46</v>
      </c>
      <c r="I1049" s="240">
        <f t="shared" si="16"/>
        <v>359.46</v>
      </c>
      <c r="J1049" s="231" t="s">
        <v>1393</v>
      </c>
      <c r="K1049" s="231" t="s">
        <v>1394</v>
      </c>
      <c r="L1049" s="232">
        <v>45170</v>
      </c>
      <c r="M1049" s="232">
        <v>45199</v>
      </c>
    </row>
    <row r="1050" spans="1:13" ht="14.25" customHeight="1" x14ac:dyDescent="0.2">
      <c r="A1050" s="231" t="s">
        <v>32</v>
      </c>
      <c r="B1050" s="230">
        <v>113520</v>
      </c>
      <c r="C1050" s="230">
        <v>10771</v>
      </c>
      <c r="D1050" s="231" t="s">
        <v>824</v>
      </c>
      <c r="E1050" s="230">
        <v>14491032</v>
      </c>
      <c r="F1050" s="230">
        <v>31474</v>
      </c>
      <c r="G1050" s="230">
        <v>1</v>
      </c>
      <c r="H1050" s="240">
        <v>359.46</v>
      </c>
      <c r="I1050" s="240">
        <f t="shared" si="16"/>
        <v>359.46</v>
      </c>
      <c r="J1050" s="231" t="s">
        <v>1393</v>
      </c>
      <c r="K1050" s="231" t="s">
        <v>1394</v>
      </c>
      <c r="L1050" s="232">
        <v>45170</v>
      </c>
      <c r="M1050" s="232">
        <v>45199</v>
      </c>
    </row>
    <row r="1051" spans="1:13" ht="14.25" customHeight="1" x14ac:dyDescent="0.2">
      <c r="A1051" s="231" t="s">
        <v>32</v>
      </c>
      <c r="B1051" s="230">
        <v>113557</v>
      </c>
      <c r="C1051" s="230">
        <v>10750</v>
      </c>
      <c r="D1051" s="231" t="s">
        <v>848</v>
      </c>
      <c r="E1051" s="230">
        <v>14491032</v>
      </c>
      <c r="F1051" s="230">
        <v>31548</v>
      </c>
      <c r="G1051" s="230">
        <v>1</v>
      </c>
      <c r="H1051" s="240">
        <v>359.46</v>
      </c>
      <c r="I1051" s="240">
        <f t="shared" si="16"/>
        <v>359.46</v>
      </c>
      <c r="J1051" s="231" t="s">
        <v>1393</v>
      </c>
      <c r="K1051" s="231" t="s">
        <v>1394</v>
      </c>
      <c r="L1051" s="232">
        <v>45170</v>
      </c>
      <c r="M1051" s="232">
        <v>45199</v>
      </c>
    </row>
    <row r="1052" spans="1:13" ht="14.25" customHeight="1" x14ac:dyDescent="0.2">
      <c r="A1052" s="231" t="s">
        <v>32</v>
      </c>
      <c r="B1052" s="230">
        <v>113587</v>
      </c>
      <c r="C1052" s="230">
        <v>10750</v>
      </c>
      <c r="D1052" s="231" t="s">
        <v>863</v>
      </c>
      <c r="E1052" s="230">
        <v>14491032</v>
      </c>
      <c r="F1052" s="230">
        <v>31608</v>
      </c>
      <c r="G1052" s="230">
        <v>1</v>
      </c>
      <c r="H1052" s="240">
        <v>359.46</v>
      </c>
      <c r="I1052" s="240">
        <f t="shared" si="16"/>
        <v>359.46</v>
      </c>
      <c r="J1052" s="231" t="s">
        <v>1393</v>
      </c>
      <c r="K1052" s="231" t="s">
        <v>1394</v>
      </c>
      <c r="L1052" s="232">
        <v>45170</v>
      </c>
      <c r="M1052" s="232">
        <v>45199</v>
      </c>
    </row>
    <row r="1053" spans="1:13" ht="14.25" customHeight="1" x14ac:dyDescent="0.2">
      <c r="A1053" s="231" t="s">
        <v>32</v>
      </c>
      <c r="B1053" s="230">
        <v>113630</v>
      </c>
      <c r="C1053" s="230">
        <v>10751</v>
      </c>
      <c r="D1053" s="231" t="s">
        <v>885</v>
      </c>
      <c r="E1053" s="230">
        <v>14491032</v>
      </c>
      <c r="F1053" s="230">
        <v>31694</v>
      </c>
      <c r="G1053" s="230">
        <v>1</v>
      </c>
      <c r="H1053" s="240">
        <v>359.46</v>
      </c>
      <c r="I1053" s="240">
        <f t="shared" si="16"/>
        <v>359.46</v>
      </c>
      <c r="J1053" s="231" t="s">
        <v>1393</v>
      </c>
      <c r="K1053" s="231" t="s">
        <v>1394</v>
      </c>
      <c r="L1053" s="232">
        <v>45170</v>
      </c>
      <c r="M1053" s="232">
        <v>45199</v>
      </c>
    </row>
    <row r="1054" spans="1:13" ht="14.25" customHeight="1" x14ac:dyDescent="0.2">
      <c r="A1054" s="231" t="s">
        <v>32</v>
      </c>
      <c r="B1054" s="230">
        <v>113646</v>
      </c>
      <c r="C1054" s="230">
        <v>10751</v>
      </c>
      <c r="D1054" s="231" t="s">
        <v>895</v>
      </c>
      <c r="E1054" s="230">
        <v>14491032</v>
      </c>
      <c r="F1054" s="230">
        <v>31726</v>
      </c>
      <c r="G1054" s="230">
        <v>1</v>
      </c>
      <c r="H1054" s="240">
        <v>359.46</v>
      </c>
      <c r="I1054" s="240">
        <f t="shared" si="16"/>
        <v>359.46</v>
      </c>
      <c r="J1054" s="231" t="s">
        <v>1393</v>
      </c>
      <c r="K1054" s="231" t="s">
        <v>1394</v>
      </c>
      <c r="L1054" s="232">
        <v>45170</v>
      </c>
      <c r="M1054" s="232">
        <v>45199</v>
      </c>
    </row>
    <row r="1055" spans="1:13" ht="14.25" customHeight="1" x14ac:dyDescent="0.2">
      <c r="A1055" s="231" t="s">
        <v>32</v>
      </c>
      <c r="B1055" s="230">
        <v>113686</v>
      </c>
      <c r="C1055" s="230">
        <v>10751</v>
      </c>
      <c r="D1055" s="231" t="s">
        <v>1322</v>
      </c>
      <c r="E1055" s="230">
        <v>14491032</v>
      </c>
      <c r="F1055" s="230">
        <v>31806</v>
      </c>
      <c r="G1055" s="230">
        <v>1</v>
      </c>
      <c r="H1055" s="240">
        <v>359.46</v>
      </c>
      <c r="I1055" s="240">
        <f t="shared" si="16"/>
        <v>359.46</v>
      </c>
      <c r="J1055" s="231" t="s">
        <v>1393</v>
      </c>
      <c r="K1055" s="231" t="s">
        <v>1394</v>
      </c>
      <c r="L1055" s="232">
        <v>45170</v>
      </c>
      <c r="M1055" s="232">
        <v>45199</v>
      </c>
    </row>
    <row r="1056" spans="1:13" ht="14.25" customHeight="1" x14ac:dyDescent="0.2">
      <c r="A1056" s="231" t="s">
        <v>32</v>
      </c>
      <c r="B1056" s="230">
        <v>113708</v>
      </c>
      <c r="C1056" s="230">
        <v>10757</v>
      </c>
      <c r="D1056" s="231" t="s">
        <v>928</v>
      </c>
      <c r="E1056" s="230">
        <v>14491032</v>
      </c>
      <c r="F1056" s="230">
        <v>31850</v>
      </c>
      <c r="G1056" s="230">
        <v>1</v>
      </c>
      <c r="H1056" s="240">
        <v>359.46</v>
      </c>
      <c r="I1056" s="240">
        <f t="shared" si="16"/>
        <v>359.46</v>
      </c>
      <c r="J1056" s="231" t="s">
        <v>1393</v>
      </c>
      <c r="K1056" s="231" t="s">
        <v>1394</v>
      </c>
      <c r="L1056" s="232">
        <v>45170</v>
      </c>
      <c r="M1056" s="232">
        <v>45199</v>
      </c>
    </row>
    <row r="1057" spans="1:13" ht="14.25" customHeight="1" x14ac:dyDescent="0.2">
      <c r="A1057" s="231" t="s">
        <v>32</v>
      </c>
      <c r="B1057" s="230">
        <v>113921</v>
      </c>
      <c r="C1057" s="230">
        <v>10771</v>
      </c>
      <c r="D1057" s="231" t="s">
        <v>991</v>
      </c>
      <c r="E1057" s="230">
        <v>14491032</v>
      </c>
      <c r="F1057" s="230">
        <v>33812</v>
      </c>
      <c r="G1057" s="230">
        <v>1</v>
      </c>
      <c r="H1057" s="240">
        <v>359.46</v>
      </c>
      <c r="I1057" s="240">
        <f t="shared" si="16"/>
        <v>359.46</v>
      </c>
      <c r="J1057" s="231" t="s">
        <v>1393</v>
      </c>
      <c r="K1057" s="231" t="s">
        <v>1394</v>
      </c>
      <c r="L1057" s="232">
        <v>45170</v>
      </c>
      <c r="M1057" s="232">
        <v>45199</v>
      </c>
    </row>
    <row r="1058" spans="1:13" ht="14.25" customHeight="1" x14ac:dyDescent="0.2">
      <c r="A1058" s="231" t="s">
        <v>32</v>
      </c>
      <c r="B1058" s="230">
        <v>114239</v>
      </c>
      <c r="C1058" s="230">
        <v>10771</v>
      </c>
      <c r="D1058" s="231" t="s">
        <v>1020</v>
      </c>
      <c r="E1058" s="230">
        <v>14491032</v>
      </c>
      <c r="F1058" s="230">
        <v>35750</v>
      </c>
      <c r="G1058" s="230">
        <v>1</v>
      </c>
      <c r="H1058" s="240">
        <v>359.46</v>
      </c>
      <c r="I1058" s="240">
        <f t="shared" si="16"/>
        <v>359.46</v>
      </c>
      <c r="J1058" s="231" t="s">
        <v>1393</v>
      </c>
      <c r="K1058" s="231" t="s">
        <v>1394</v>
      </c>
      <c r="L1058" s="232">
        <v>45170</v>
      </c>
      <c r="M1058" s="232">
        <v>45199</v>
      </c>
    </row>
    <row r="1059" spans="1:13" ht="14.25" customHeight="1" x14ac:dyDescent="0.2">
      <c r="A1059" s="231" t="s">
        <v>32</v>
      </c>
      <c r="B1059" s="230">
        <v>114259</v>
      </c>
      <c r="C1059" s="230">
        <v>10757</v>
      </c>
      <c r="D1059" s="231" t="s">
        <v>1026</v>
      </c>
      <c r="E1059" s="230">
        <v>14491032</v>
      </c>
      <c r="F1059" s="230">
        <v>35797</v>
      </c>
      <c r="G1059" s="230">
        <v>1</v>
      </c>
      <c r="H1059" s="240">
        <v>359.46</v>
      </c>
      <c r="I1059" s="240">
        <f t="shared" si="16"/>
        <v>359.46</v>
      </c>
      <c r="J1059" s="231" t="s">
        <v>1393</v>
      </c>
      <c r="K1059" s="231" t="s">
        <v>1394</v>
      </c>
      <c r="L1059" s="232">
        <v>45170</v>
      </c>
      <c r="M1059" s="232">
        <v>45199</v>
      </c>
    </row>
    <row r="1060" spans="1:13" ht="14.25" customHeight="1" x14ac:dyDescent="0.2">
      <c r="A1060" s="231" t="s">
        <v>32</v>
      </c>
      <c r="B1060" s="230">
        <v>114697</v>
      </c>
      <c r="C1060" s="230">
        <v>10756</v>
      </c>
      <c r="D1060" s="231" t="s">
        <v>1075</v>
      </c>
      <c r="E1060" s="230">
        <v>14491032</v>
      </c>
      <c r="F1060" s="230">
        <v>36842</v>
      </c>
      <c r="G1060" s="230">
        <v>1</v>
      </c>
      <c r="H1060" s="240">
        <v>359.46</v>
      </c>
      <c r="I1060" s="240">
        <f t="shared" si="16"/>
        <v>359.46</v>
      </c>
      <c r="J1060" s="231" t="s">
        <v>1393</v>
      </c>
      <c r="K1060" s="231" t="s">
        <v>1394</v>
      </c>
      <c r="L1060" s="232">
        <v>45170</v>
      </c>
      <c r="M1060" s="232">
        <v>45199</v>
      </c>
    </row>
    <row r="1061" spans="1:13" ht="14.25" customHeight="1" x14ac:dyDescent="0.2">
      <c r="A1061" s="231" t="s">
        <v>32</v>
      </c>
      <c r="B1061" s="230">
        <v>114733</v>
      </c>
      <c r="C1061" s="230">
        <v>10758</v>
      </c>
      <c r="D1061" s="231" t="s">
        <v>1087</v>
      </c>
      <c r="E1061" s="230">
        <v>14491032</v>
      </c>
      <c r="F1061" s="230">
        <v>36914</v>
      </c>
      <c r="G1061" s="230">
        <v>1</v>
      </c>
      <c r="H1061" s="240">
        <v>347.47</v>
      </c>
      <c r="I1061" s="240">
        <f t="shared" si="16"/>
        <v>347.47</v>
      </c>
      <c r="J1061" s="231" t="s">
        <v>1393</v>
      </c>
      <c r="K1061" s="231" t="s">
        <v>1394</v>
      </c>
      <c r="L1061" s="232">
        <v>45170</v>
      </c>
      <c r="M1061" s="232">
        <v>45199</v>
      </c>
    </row>
    <row r="1062" spans="1:13" ht="14.25" customHeight="1" x14ac:dyDescent="0.2">
      <c r="A1062" s="231" t="s">
        <v>32</v>
      </c>
      <c r="B1062" s="230">
        <v>114736</v>
      </c>
      <c r="C1062" s="230">
        <v>10758</v>
      </c>
      <c r="D1062" s="231" t="s">
        <v>1089</v>
      </c>
      <c r="E1062" s="230">
        <v>14491032</v>
      </c>
      <c r="F1062" s="230">
        <v>36920</v>
      </c>
      <c r="G1062" s="230">
        <v>1</v>
      </c>
      <c r="H1062" s="240">
        <v>347.47</v>
      </c>
      <c r="I1062" s="240">
        <f t="shared" si="16"/>
        <v>347.47</v>
      </c>
      <c r="J1062" s="231" t="s">
        <v>1393</v>
      </c>
      <c r="K1062" s="231" t="s">
        <v>1394</v>
      </c>
      <c r="L1062" s="232">
        <v>45170</v>
      </c>
      <c r="M1062" s="232">
        <v>45199</v>
      </c>
    </row>
    <row r="1063" spans="1:13" ht="14.25" customHeight="1" x14ac:dyDescent="0.2">
      <c r="A1063" s="231" t="s">
        <v>32</v>
      </c>
      <c r="B1063" s="230">
        <v>114774</v>
      </c>
      <c r="C1063" s="230">
        <v>10758</v>
      </c>
      <c r="D1063" s="231" t="s">
        <v>1105</v>
      </c>
      <c r="E1063" s="230">
        <v>14491032</v>
      </c>
      <c r="F1063" s="230">
        <v>36996</v>
      </c>
      <c r="G1063" s="230">
        <v>1</v>
      </c>
      <c r="H1063" s="240">
        <v>359.46</v>
      </c>
      <c r="I1063" s="240">
        <f t="shared" si="16"/>
        <v>359.46</v>
      </c>
      <c r="J1063" s="231" t="s">
        <v>1393</v>
      </c>
      <c r="K1063" s="231" t="s">
        <v>1394</v>
      </c>
      <c r="L1063" s="232">
        <v>45170</v>
      </c>
      <c r="M1063" s="232">
        <v>45199</v>
      </c>
    </row>
    <row r="1064" spans="1:13" ht="14.25" customHeight="1" x14ac:dyDescent="0.2">
      <c r="A1064" s="231" t="s">
        <v>32</v>
      </c>
      <c r="B1064" s="230">
        <v>115379</v>
      </c>
      <c r="C1064" s="230">
        <v>10758</v>
      </c>
      <c r="D1064" s="231" t="s">
        <v>1272</v>
      </c>
      <c r="E1064" s="230">
        <v>14491032</v>
      </c>
      <c r="F1064" s="230">
        <v>38950</v>
      </c>
      <c r="G1064" s="230">
        <v>1</v>
      </c>
      <c r="H1064" s="240">
        <v>359.46</v>
      </c>
      <c r="I1064" s="240">
        <f t="shared" si="16"/>
        <v>359.46</v>
      </c>
      <c r="J1064" s="231" t="s">
        <v>1393</v>
      </c>
      <c r="K1064" s="231" t="s">
        <v>1394</v>
      </c>
      <c r="L1064" s="232">
        <v>45170</v>
      </c>
      <c r="M1064" s="232">
        <v>45199</v>
      </c>
    </row>
    <row r="1065" spans="1:13" ht="14.25" customHeight="1" x14ac:dyDescent="0.2">
      <c r="A1065" s="231" t="s">
        <v>32</v>
      </c>
      <c r="B1065" s="230">
        <v>116315</v>
      </c>
      <c r="C1065" s="230">
        <v>10760</v>
      </c>
      <c r="D1065" s="231" t="s">
        <v>1327</v>
      </c>
      <c r="E1065" s="230">
        <v>14491032</v>
      </c>
      <c r="F1065" s="230">
        <v>41881</v>
      </c>
      <c r="G1065" s="230">
        <v>1</v>
      </c>
      <c r="H1065" s="240">
        <v>359.46</v>
      </c>
      <c r="I1065" s="240">
        <f t="shared" si="16"/>
        <v>359.46</v>
      </c>
      <c r="J1065" s="231" t="s">
        <v>1393</v>
      </c>
      <c r="K1065" s="231" t="s">
        <v>1394</v>
      </c>
      <c r="L1065" s="232">
        <v>45170</v>
      </c>
      <c r="M1065" s="232">
        <v>45199</v>
      </c>
    </row>
    <row r="1066" spans="1:13" ht="14.25" customHeight="1" x14ac:dyDescent="0.2">
      <c r="A1066" s="231" t="s">
        <v>32</v>
      </c>
      <c r="B1066" s="230">
        <v>116385</v>
      </c>
      <c r="C1066" s="230">
        <v>10757</v>
      </c>
      <c r="D1066" s="231" t="s">
        <v>1214</v>
      </c>
      <c r="E1066" s="230">
        <v>14491032</v>
      </c>
      <c r="F1066" s="230">
        <v>42040</v>
      </c>
      <c r="G1066" s="230">
        <v>1</v>
      </c>
      <c r="H1066" s="240">
        <v>359.46</v>
      </c>
      <c r="I1066" s="240">
        <f t="shared" si="16"/>
        <v>359.46</v>
      </c>
      <c r="J1066" s="231" t="s">
        <v>1393</v>
      </c>
      <c r="K1066" s="231" t="s">
        <v>1394</v>
      </c>
      <c r="L1066" s="232">
        <v>45170</v>
      </c>
      <c r="M1066" s="232">
        <v>45199</v>
      </c>
    </row>
    <row r="1067" spans="1:13" ht="14.25" customHeight="1" x14ac:dyDescent="0.2">
      <c r="A1067" s="231" t="s">
        <v>32</v>
      </c>
      <c r="B1067" s="230">
        <v>116970</v>
      </c>
      <c r="C1067" s="230">
        <v>10760</v>
      </c>
      <c r="D1067" s="231" t="s">
        <v>1240</v>
      </c>
      <c r="E1067" s="230">
        <v>14491032</v>
      </c>
      <c r="F1067" s="230">
        <v>43450</v>
      </c>
      <c r="G1067" s="230">
        <v>1</v>
      </c>
      <c r="H1067" s="240">
        <v>359.46</v>
      </c>
      <c r="I1067" s="240">
        <f t="shared" si="16"/>
        <v>359.46</v>
      </c>
      <c r="J1067" s="231" t="s">
        <v>1393</v>
      </c>
      <c r="K1067" s="231" t="s">
        <v>1394</v>
      </c>
      <c r="L1067" s="232">
        <v>45170</v>
      </c>
      <c r="M1067" s="232">
        <v>45199</v>
      </c>
    </row>
    <row r="1068" spans="1:13" ht="14.25" customHeight="1" x14ac:dyDescent="0.2">
      <c r="A1068" s="231" t="s">
        <v>32</v>
      </c>
      <c r="B1068" s="230">
        <v>119118</v>
      </c>
      <c r="C1068" s="230">
        <v>10758</v>
      </c>
      <c r="D1068" s="231" t="s">
        <v>1451</v>
      </c>
      <c r="E1068" s="230">
        <v>14491032</v>
      </c>
      <c r="F1068" s="230">
        <v>48258</v>
      </c>
      <c r="G1068" s="230">
        <v>1</v>
      </c>
      <c r="H1068" s="240">
        <v>359.46</v>
      </c>
      <c r="I1068" s="240">
        <f t="shared" si="16"/>
        <v>359.46</v>
      </c>
      <c r="J1068" s="231" t="s">
        <v>1393</v>
      </c>
      <c r="K1068" s="231" t="s">
        <v>1394</v>
      </c>
      <c r="L1068" s="232">
        <v>45170</v>
      </c>
      <c r="M1068" s="232">
        <v>45199</v>
      </c>
    </row>
    <row r="1069" spans="1:13" ht="14.25" customHeight="1" x14ac:dyDescent="0.2">
      <c r="A1069" s="231" t="s">
        <v>32</v>
      </c>
      <c r="B1069" s="230">
        <v>119933</v>
      </c>
      <c r="C1069" s="230">
        <v>10757</v>
      </c>
      <c r="D1069" s="231" t="s">
        <v>1492</v>
      </c>
      <c r="E1069" s="230">
        <v>14491032</v>
      </c>
      <c r="F1069" s="230">
        <v>50337</v>
      </c>
      <c r="G1069" s="230">
        <v>1</v>
      </c>
      <c r="H1069" s="240">
        <v>359.46</v>
      </c>
      <c r="I1069" s="240">
        <f t="shared" si="16"/>
        <v>359.46</v>
      </c>
      <c r="J1069" s="231" t="s">
        <v>1393</v>
      </c>
      <c r="K1069" s="231" t="s">
        <v>1394</v>
      </c>
      <c r="L1069" s="232">
        <v>45170</v>
      </c>
      <c r="M1069" s="232">
        <v>45199</v>
      </c>
    </row>
    <row r="1070" spans="1:13" ht="14.25" customHeight="1" x14ac:dyDescent="0.2">
      <c r="A1070" s="231" t="s">
        <v>32</v>
      </c>
      <c r="B1070" s="230">
        <v>120176</v>
      </c>
      <c r="C1070" s="230">
        <v>10766</v>
      </c>
      <c r="D1070" s="231" t="s">
        <v>1504</v>
      </c>
      <c r="E1070" s="230">
        <v>14491032</v>
      </c>
      <c r="F1070" s="230">
        <v>50950</v>
      </c>
      <c r="G1070" s="230">
        <v>1</v>
      </c>
      <c r="H1070" s="240">
        <v>359.46</v>
      </c>
      <c r="I1070" s="240">
        <f t="shared" si="16"/>
        <v>359.46</v>
      </c>
      <c r="J1070" s="231" t="s">
        <v>1393</v>
      </c>
      <c r="K1070" s="231" t="s">
        <v>1394</v>
      </c>
      <c r="L1070" s="232">
        <v>45170</v>
      </c>
      <c r="M1070" s="232">
        <v>45199</v>
      </c>
    </row>
    <row r="1071" spans="1:13" ht="14.25" customHeight="1" x14ac:dyDescent="0.2">
      <c r="A1071" s="231" t="s">
        <v>32</v>
      </c>
      <c r="B1071" s="230">
        <v>120356</v>
      </c>
      <c r="C1071" s="230">
        <v>10757</v>
      </c>
      <c r="D1071" s="231" t="s">
        <v>1515</v>
      </c>
      <c r="E1071" s="230">
        <v>14491032</v>
      </c>
      <c r="F1071" s="230">
        <v>51543</v>
      </c>
      <c r="G1071" s="230">
        <v>1</v>
      </c>
      <c r="H1071" s="240">
        <v>359.46</v>
      </c>
      <c r="I1071" s="240">
        <f t="shared" si="16"/>
        <v>359.46</v>
      </c>
      <c r="J1071" s="231" t="s">
        <v>1393</v>
      </c>
      <c r="K1071" s="231" t="s">
        <v>1394</v>
      </c>
      <c r="L1071" s="232">
        <v>45170</v>
      </c>
      <c r="M1071" s="232">
        <v>45199</v>
      </c>
    </row>
    <row r="1072" spans="1:13" ht="14.25" customHeight="1" x14ac:dyDescent="0.2">
      <c r="A1072" s="231" t="s">
        <v>32</v>
      </c>
      <c r="B1072" s="230">
        <v>121028</v>
      </c>
      <c r="C1072" s="230">
        <v>10750</v>
      </c>
      <c r="D1072" s="231" t="s">
        <v>1530</v>
      </c>
      <c r="E1072" s="230">
        <v>14491032</v>
      </c>
      <c r="F1072" s="230">
        <v>53102</v>
      </c>
      <c r="G1072" s="230">
        <v>1</v>
      </c>
      <c r="H1072" s="240">
        <v>359.46</v>
      </c>
      <c r="I1072" s="240">
        <f t="shared" si="16"/>
        <v>359.46</v>
      </c>
      <c r="J1072" s="231" t="s">
        <v>1393</v>
      </c>
      <c r="K1072" s="231" t="s">
        <v>1394</v>
      </c>
      <c r="L1072" s="232">
        <v>45170</v>
      </c>
      <c r="M1072" s="232">
        <v>45199</v>
      </c>
    </row>
    <row r="1073" spans="1:13" ht="14.25" customHeight="1" x14ac:dyDescent="0.2">
      <c r="A1073" s="231" t="s">
        <v>32</v>
      </c>
      <c r="B1073" s="230">
        <v>121326</v>
      </c>
      <c r="C1073" s="230">
        <v>10757</v>
      </c>
      <c r="D1073" s="231" t="s">
        <v>1538</v>
      </c>
      <c r="E1073" s="230">
        <v>14491032</v>
      </c>
      <c r="F1073" s="230">
        <v>53534</v>
      </c>
      <c r="G1073" s="230">
        <v>1</v>
      </c>
      <c r="H1073" s="240">
        <v>359.46</v>
      </c>
      <c r="I1073" s="240">
        <f t="shared" si="16"/>
        <v>359.46</v>
      </c>
      <c r="J1073" s="231" t="s">
        <v>1393</v>
      </c>
      <c r="K1073" s="231" t="s">
        <v>1394</v>
      </c>
      <c r="L1073" s="232">
        <v>45170</v>
      </c>
      <c r="M1073" s="232">
        <v>45199</v>
      </c>
    </row>
    <row r="1074" spans="1:13" ht="14.25" customHeight="1" x14ac:dyDescent="0.2">
      <c r="A1074" s="231" t="s">
        <v>32</v>
      </c>
      <c r="B1074" s="230">
        <v>121325</v>
      </c>
      <c r="C1074" s="230">
        <v>10750</v>
      </c>
      <c r="D1074" s="231" t="s">
        <v>1545</v>
      </c>
      <c r="E1074" s="230">
        <v>14491032</v>
      </c>
      <c r="F1074" s="230">
        <v>53536</v>
      </c>
      <c r="G1074" s="230">
        <v>1</v>
      </c>
      <c r="H1074" s="240">
        <v>347.47</v>
      </c>
      <c r="I1074" s="240">
        <f t="shared" si="16"/>
        <v>347.47</v>
      </c>
      <c r="J1074" s="231" t="s">
        <v>1393</v>
      </c>
      <c r="K1074" s="231" t="s">
        <v>1395</v>
      </c>
      <c r="L1074" s="232">
        <v>45170</v>
      </c>
      <c r="M1074" s="232">
        <v>45199</v>
      </c>
    </row>
    <row r="1075" spans="1:13" ht="14.25" customHeight="1" x14ac:dyDescent="0.2">
      <c r="A1075" s="231" t="s">
        <v>32</v>
      </c>
      <c r="B1075" s="230">
        <v>121672</v>
      </c>
      <c r="C1075" s="230">
        <v>10757</v>
      </c>
      <c r="D1075" s="231" t="s">
        <v>1593</v>
      </c>
      <c r="E1075" s="230">
        <v>14491032</v>
      </c>
      <c r="F1075" s="230">
        <v>54363</v>
      </c>
      <c r="G1075" s="230">
        <v>1</v>
      </c>
      <c r="H1075" s="240">
        <v>359.46</v>
      </c>
      <c r="I1075" s="240">
        <f t="shared" si="16"/>
        <v>359.46</v>
      </c>
      <c r="J1075" s="231" t="s">
        <v>1393</v>
      </c>
      <c r="K1075" s="231" t="s">
        <v>1394</v>
      </c>
      <c r="L1075" s="232">
        <v>45170</v>
      </c>
      <c r="M1075" s="232">
        <v>45199</v>
      </c>
    </row>
    <row r="1076" spans="1:13" ht="14.25" customHeight="1" x14ac:dyDescent="0.2">
      <c r="A1076" s="231" t="s">
        <v>32</v>
      </c>
      <c r="B1076" s="230">
        <v>121689</v>
      </c>
      <c r="C1076" s="230">
        <v>10757</v>
      </c>
      <c r="D1076" s="231" t="s">
        <v>1598</v>
      </c>
      <c r="E1076" s="230">
        <v>14491032</v>
      </c>
      <c r="F1076" s="230">
        <v>54455</v>
      </c>
      <c r="G1076" s="230">
        <v>1</v>
      </c>
      <c r="H1076" s="240">
        <v>359.46</v>
      </c>
      <c r="I1076" s="240">
        <f t="shared" si="16"/>
        <v>359.46</v>
      </c>
      <c r="J1076" s="231" t="s">
        <v>1393</v>
      </c>
      <c r="K1076" s="231" t="s">
        <v>1394</v>
      </c>
      <c r="L1076" s="232">
        <v>45170</v>
      </c>
      <c r="M1076" s="232">
        <v>45199</v>
      </c>
    </row>
    <row r="1077" spans="1:13" ht="14.25" customHeight="1" x14ac:dyDescent="0.2">
      <c r="A1077" s="231" t="s">
        <v>32</v>
      </c>
      <c r="B1077" s="230">
        <v>121847</v>
      </c>
      <c r="C1077" s="230">
        <v>10757</v>
      </c>
      <c r="D1077" s="231" t="s">
        <v>1629</v>
      </c>
      <c r="E1077" s="230">
        <v>14491032</v>
      </c>
      <c r="F1077" s="230">
        <v>55020</v>
      </c>
      <c r="G1077" s="230">
        <v>1</v>
      </c>
      <c r="H1077" s="240">
        <v>359.46</v>
      </c>
      <c r="I1077" s="240">
        <f t="shared" si="16"/>
        <v>359.46</v>
      </c>
      <c r="J1077" s="231" t="s">
        <v>1393</v>
      </c>
      <c r="K1077" s="231" t="s">
        <v>1394</v>
      </c>
      <c r="L1077" s="232">
        <v>45170</v>
      </c>
      <c r="M1077" s="232">
        <v>45199</v>
      </c>
    </row>
    <row r="1078" spans="1:13" ht="14.25" customHeight="1" x14ac:dyDescent="0.2">
      <c r="A1078" s="231" t="s">
        <v>32</v>
      </c>
      <c r="B1078" s="230">
        <v>122087</v>
      </c>
      <c r="C1078" s="230">
        <v>10757</v>
      </c>
      <c r="D1078" s="231" t="s">
        <v>1653</v>
      </c>
      <c r="E1078" s="230">
        <v>14491032</v>
      </c>
      <c r="F1078" s="230">
        <v>55374</v>
      </c>
      <c r="G1078" s="230">
        <v>1</v>
      </c>
      <c r="H1078" s="240">
        <v>359.46</v>
      </c>
      <c r="I1078" s="240">
        <f t="shared" si="16"/>
        <v>359.46</v>
      </c>
      <c r="J1078" s="231" t="s">
        <v>1393</v>
      </c>
      <c r="K1078" s="231" t="s">
        <v>1394</v>
      </c>
      <c r="L1078" s="232">
        <v>45170</v>
      </c>
      <c r="M1078" s="232">
        <v>45199</v>
      </c>
    </row>
    <row r="1079" spans="1:13" ht="14.25" customHeight="1" x14ac:dyDescent="0.2">
      <c r="A1079" s="231" t="s">
        <v>32</v>
      </c>
      <c r="B1079" s="230">
        <v>122559</v>
      </c>
      <c r="C1079" s="230">
        <v>10757</v>
      </c>
      <c r="D1079" s="231" t="s">
        <v>1701</v>
      </c>
      <c r="E1079" s="230">
        <v>14491032</v>
      </c>
      <c r="F1079" s="230">
        <v>56552</v>
      </c>
      <c r="G1079" s="230">
        <v>1</v>
      </c>
      <c r="H1079" s="240">
        <v>359.46</v>
      </c>
      <c r="I1079" s="240">
        <f t="shared" si="16"/>
        <v>359.46</v>
      </c>
      <c r="J1079" s="231" t="s">
        <v>1393</v>
      </c>
      <c r="K1079" s="231" t="s">
        <v>1394</v>
      </c>
      <c r="L1079" s="232">
        <v>45170</v>
      </c>
      <c r="M1079" s="232">
        <v>45199</v>
      </c>
    </row>
    <row r="1080" spans="1:13" ht="14.25" customHeight="1" x14ac:dyDescent="0.2">
      <c r="A1080" s="231" t="s">
        <v>32</v>
      </c>
      <c r="B1080" s="230">
        <v>122561</v>
      </c>
      <c r="C1080" s="230">
        <v>10757</v>
      </c>
      <c r="D1080" s="231" t="s">
        <v>1704</v>
      </c>
      <c r="E1080" s="230">
        <v>14491032</v>
      </c>
      <c r="F1080" s="230">
        <v>56554</v>
      </c>
      <c r="G1080" s="230">
        <v>1</v>
      </c>
      <c r="H1080" s="240">
        <v>359.46</v>
      </c>
      <c r="I1080" s="240">
        <f t="shared" si="16"/>
        <v>359.46</v>
      </c>
      <c r="J1080" s="231" t="s">
        <v>1393</v>
      </c>
      <c r="K1080" s="231" t="s">
        <v>1394</v>
      </c>
      <c r="L1080" s="232">
        <v>45170</v>
      </c>
      <c r="M1080" s="232">
        <v>45199</v>
      </c>
    </row>
    <row r="1081" spans="1:13" ht="14.25" customHeight="1" x14ac:dyDescent="0.2">
      <c r="A1081" s="231" t="s">
        <v>32</v>
      </c>
      <c r="B1081" s="230">
        <v>122560</v>
      </c>
      <c r="C1081" s="230">
        <v>10766</v>
      </c>
      <c r="D1081" s="231" t="s">
        <v>1708</v>
      </c>
      <c r="E1081" s="230">
        <v>14491032</v>
      </c>
      <c r="F1081" s="230">
        <v>56556</v>
      </c>
      <c r="G1081" s="230">
        <v>1</v>
      </c>
      <c r="H1081" s="240">
        <v>347.47</v>
      </c>
      <c r="I1081" s="240">
        <f t="shared" si="16"/>
        <v>347.47</v>
      </c>
      <c r="J1081" s="231" t="s">
        <v>1393</v>
      </c>
      <c r="K1081" s="231" t="s">
        <v>1394</v>
      </c>
      <c r="L1081" s="232">
        <v>45170</v>
      </c>
      <c r="M1081" s="232">
        <v>45199</v>
      </c>
    </row>
    <row r="1082" spans="1:13" ht="14.25" customHeight="1" x14ac:dyDescent="0.2">
      <c r="A1082" s="231" t="s">
        <v>1252</v>
      </c>
      <c r="B1082" s="230">
        <v>116652</v>
      </c>
      <c r="C1082" s="230">
        <v>10773</v>
      </c>
      <c r="D1082" s="231" t="s">
        <v>955</v>
      </c>
      <c r="E1082" s="230">
        <v>14491032</v>
      </c>
      <c r="F1082" s="230">
        <v>42633</v>
      </c>
      <c r="G1082" s="230">
        <v>1</v>
      </c>
      <c r="H1082" s="240">
        <v>359.46</v>
      </c>
      <c r="I1082" s="240">
        <f t="shared" si="16"/>
        <v>359.46</v>
      </c>
      <c r="J1082" s="231" t="s">
        <v>1393</v>
      </c>
      <c r="K1082" s="231" t="s">
        <v>1394</v>
      </c>
      <c r="L1082" s="232">
        <v>45170</v>
      </c>
      <c r="M1082" s="232">
        <v>45199</v>
      </c>
    </row>
    <row r="1083" spans="1:13" ht="14.25" customHeight="1" x14ac:dyDescent="0.2">
      <c r="A1083" s="231" t="s">
        <v>1252</v>
      </c>
      <c r="B1083" s="230">
        <v>116653</v>
      </c>
      <c r="C1083" s="230">
        <v>10773</v>
      </c>
      <c r="D1083" s="231" t="s">
        <v>957</v>
      </c>
      <c r="E1083" s="230">
        <v>14491032</v>
      </c>
      <c r="F1083" s="230">
        <v>42634</v>
      </c>
      <c r="G1083" s="230">
        <v>1</v>
      </c>
      <c r="H1083" s="240">
        <v>359.46</v>
      </c>
      <c r="I1083" s="240">
        <f t="shared" si="16"/>
        <v>359.46</v>
      </c>
      <c r="J1083" s="231" t="s">
        <v>1393</v>
      </c>
      <c r="K1083" s="231" t="s">
        <v>1395</v>
      </c>
      <c r="L1083" s="232">
        <v>45170</v>
      </c>
      <c r="M1083" s="232">
        <v>45199</v>
      </c>
    </row>
    <row r="1084" spans="1:13" ht="14.25" customHeight="1" x14ac:dyDescent="0.2">
      <c r="A1084" s="231" t="s">
        <v>1252</v>
      </c>
      <c r="B1084" s="230">
        <v>116654</v>
      </c>
      <c r="C1084" s="230">
        <v>10773</v>
      </c>
      <c r="D1084" s="231" t="s">
        <v>959</v>
      </c>
      <c r="E1084" s="230">
        <v>14491032</v>
      </c>
      <c r="F1084" s="230">
        <v>42637</v>
      </c>
      <c r="G1084" s="230">
        <v>1</v>
      </c>
      <c r="H1084" s="240">
        <v>359.46</v>
      </c>
      <c r="I1084" s="240">
        <f t="shared" si="16"/>
        <v>359.46</v>
      </c>
      <c r="J1084" s="231" t="s">
        <v>1393</v>
      </c>
      <c r="K1084" s="231" t="s">
        <v>1394</v>
      </c>
      <c r="L1084" s="232">
        <v>45170</v>
      </c>
      <c r="M1084" s="232">
        <v>45199</v>
      </c>
    </row>
    <row r="1085" spans="1:13" ht="14.25" customHeight="1" x14ac:dyDescent="0.2">
      <c r="A1085" s="231" t="s">
        <v>0</v>
      </c>
      <c r="B1085" s="230">
        <v>112169</v>
      </c>
      <c r="C1085" s="230">
        <v>10750</v>
      </c>
      <c r="D1085" s="231" t="s">
        <v>1</v>
      </c>
      <c r="E1085" s="230">
        <v>14491032</v>
      </c>
      <c r="F1085" s="230">
        <v>28772</v>
      </c>
      <c r="G1085" s="230">
        <v>1</v>
      </c>
      <c r="H1085" s="240">
        <v>359.46</v>
      </c>
      <c r="I1085" s="240">
        <f t="shared" si="16"/>
        <v>359.46</v>
      </c>
      <c r="J1085" s="231" t="s">
        <v>1393</v>
      </c>
      <c r="K1085" s="231" t="s">
        <v>1394</v>
      </c>
      <c r="L1085" s="232">
        <v>45170</v>
      </c>
      <c r="M1085" s="232">
        <v>45199</v>
      </c>
    </row>
    <row r="1086" spans="1:13" ht="14.25" customHeight="1" x14ac:dyDescent="0.2">
      <c r="A1086" s="231" t="s">
        <v>0</v>
      </c>
      <c r="B1086" s="230">
        <v>112170</v>
      </c>
      <c r="C1086" s="230">
        <v>10752</v>
      </c>
      <c r="D1086" s="231" t="s">
        <v>3</v>
      </c>
      <c r="E1086" s="230">
        <v>14491032</v>
      </c>
      <c r="F1086" s="230">
        <v>28774</v>
      </c>
      <c r="G1086" s="230">
        <v>1</v>
      </c>
      <c r="H1086" s="240">
        <v>359.46</v>
      </c>
      <c r="I1086" s="240">
        <f t="shared" si="16"/>
        <v>359.46</v>
      </c>
      <c r="J1086" s="231" t="s">
        <v>1393</v>
      </c>
      <c r="K1086" s="231" t="s">
        <v>1394</v>
      </c>
      <c r="L1086" s="232">
        <v>45170</v>
      </c>
      <c r="M1086" s="232">
        <v>45199</v>
      </c>
    </row>
    <row r="1087" spans="1:13" ht="14.25" customHeight="1" x14ac:dyDescent="0.2">
      <c r="A1087" s="231" t="s">
        <v>0</v>
      </c>
      <c r="B1087" s="230">
        <v>112171</v>
      </c>
      <c r="C1087" s="230">
        <v>10757</v>
      </c>
      <c r="D1087" s="231" t="s">
        <v>4</v>
      </c>
      <c r="E1087" s="230">
        <v>14491032</v>
      </c>
      <c r="F1087" s="230">
        <v>28776</v>
      </c>
      <c r="G1087" s="230">
        <v>1</v>
      </c>
      <c r="H1087" s="240">
        <v>347.47</v>
      </c>
      <c r="I1087" s="240">
        <f t="shared" si="16"/>
        <v>347.47</v>
      </c>
      <c r="J1087" s="231" t="s">
        <v>1393</v>
      </c>
      <c r="K1087" s="231" t="s">
        <v>1394</v>
      </c>
      <c r="L1087" s="232">
        <v>45170</v>
      </c>
      <c r="M1087" s="232">
        <v>45199</v>
      </c>
    </row>
    <row r="1088" spans="1:13" ht="14.25" customHeight="1" x14ac:dyDescent="0.2">
      <c r="A1088" s="231" t="s">
        <v>0</v>
      </c>
      <c r="B1088" s="230">
        <v>112198</v>
      </c>
      <c r="C1088" s="230">
        <v>10752</v>
      </c>
      <c r="D1088" s="231" t="s">
        <v>1313</v>
      </c>
      <c r="E1088" s="230">
        <v>14491032</v>
      </c>
      <c r="F1088" s="230">
        <v>28830</v>
      </c>
      <c r="G1088" s="230">
        <v>1</v>
      </c>
      <c r="H1088" s="240">
        <v>359.46</v>
      </c>
      <c r="I1088" s="240">
        <f t="shared" si="16"/>
        <v>359.46</v>
      </c>
      <c r="J1088" s="231" t="s">
        <v>1393</v>
      </c>
      <c r="K1088" s="231" t="s">
        <v>1394</v>
      </c>
      <c r="L1088" s="232">
        <v>45170</v>
      </c>
      <c r="M1088" s="232">
        <v>45199</v>
      </c>
    </row>
    <row r="1089" spans="1:13" ht="14.25" customHeight="1" x14ac:dyDescent="0.2">
      <c r="A1089" s="231" t="s">
        <v>0</v>
      </c>
      <c r="B1089" s="230">
        <v>112205</v>
      </c>
      <c r="C1089" s="230">
        <v>10750</v>
      </c>
      <c r="D1089" s="231" t="s">
        <v>34</v>
      </c>
      <c r="E1089" s="230">
        <v>14491032</v>
      </c>
      <c r="F1089" s="230">
        <v>28844</v>
      </c>
      <c r="G1089" s="230">
        <v>1</v>
      </c>
      <c r="H1089" s="240">
        <v>359.46</v>
      </c>
      <c r="I1089" s="240">
        <f t="shared" si="16"/>
        <v>359.46</v>
      </c>
      <c r="J1089" s="231" t="s">
        <v>1393</v>
      </c>
      <c r="K1089" s="231" t="s">
        <v>1394</v>
      </c>
      <c r="L1089" s="232">
        <v>45170</v>
      </c>
      <c r="M1089" s="232">
        <v>45199</v>
      </c>
    </row>
    <row r="1090" spans="1:13" ht="14.25" customHeight="1" x14ac:dyDescent="0.2">
      <c r="A1090" s="231" t="s">
        <v>0</v>
      </c>
      <c r="B1090" s="230">
        <v>112218</v>
      </c>
      <c r="C1090" s="230">
        <v>10763</v>
      </c>
      <c r="D1090" s="231" t="s">
        <v>1540</v>
      </c>
      <c r="E1090" s="230">
        <v>14491032</v>
      </c>
      <c r="F1090" s="230">
        <v>28870</v>
      </c>
      <c r="G1090" s="230">
        <v>1</v>
      </c>
      <c r="H1090" s="240">
        <v>359.46</v>
      </c>
      <c r="I1090" s="240">
        <f t="shared" ref="I1090:I1153" si="17">G1090*H1090</f>
        <v>359.46</v>
      </c>
      <c r="J1090" s="231" t="s">
        <v>1393</v>
      </c>
      <c r="K1090" s="231" t="s">
        <v>1394</v>
      </c>
      <c r="L1090" s="232">
        <v>45170</v>
      </c>
      <c r="M1090" s="232">
        <v>45199</v>
      </c>
    </row>
    <row r="1091" spans="1:13" ht="14.25" customHeight="1" x14ac:dyDescent="0.2">
      <c r="A1091" s="231" t="s">
        <v>0</v>
      </c>
      <c r="B1091" s="230">
        <v>112221</v>
      </c>
      <c r="C1091" s="230">
        <v>10758</v>
      </c>
      <c r="D1091" s="231" t="s">
        <v>42</v>
      </c>
      <c r="E1091" s="230">
        <v>14491032</v>
      </c>
      <c r="F1091" s="230">
        <v>28876</v>
      </c>
      <c r="G1091" s="230">
        <v>1</v>
      </c>
      <c r="H1091" s="240">
        <v>359.46</v>
      </c>
      <c r="I1091" s="240">
        <f t="shared" si="17"/>
        <v>359.46</v>
      </c>
      <c r="J1091" s="231" t="s">
        <v>1393</v>
      </c>
      <c r="K1091" s="231" t="s">
        <v>1394</v>
      </c>
      <c r="L1091" s="232">
        <v>45170</v>
      </c>
      <c r="M1091" s="232">
        <v>45199</v>
      </c>
    </row>
    <row r="1092" spans="1:13" ht="14.25" customHeight="1" x14ac:dyDescent="0.2">
      <c r="A1092" s="231" t="s">
        <v>0</v>
      </c>
      <c r="B1092" s="230">
        <v>112223</v>
      </c>
      <c r="C1092" s="230">
        <v>10750</v>
      </c>
      <c r="D1092" s="231" t="s">
        <v>45</v>
      </c>
      <c r="E1092" s="230">
        <v>14491032</v>
      </c>
      <c r="F1092" s="230">
        <v>28880</v>
      </c>
      <c r="G1092" s="230">
        <v>1</v>
      </c>
      <c r="H1092" s="240">
        <v>359.46</v>
      </c>
      <c r="I1092" s="240">
        <f t="shared" si="17"/>
        <v>359.46</v>
      </c>
      <c r="J1092" s="231" t="s">
        <v>1393</v>
      </c>
      <c r="K1092" s="231" t="s">
        <v>1394</v>
      </c>
      <c r="L1092" s="232">
        <v>45170</v>
      </c>
      <c r="M1092" s="232">
        <v>45199</v>
      </c>
    </row>
    <row r="1093" spans="1:13" ht="14.25" customHeight="1" x14ac:dyDescent="0.2">
      <c r="A1093" s="231" t="s">
        <v>0</v>
      </c>
      <c r="B1093" s="230">
        <v>112227</v>
      </c>
      <c r="C1093" s="230">
        <v>10757</v>
      </c>
      <c r="D1093" s="231" t="s">
        <v>49</v>
      </c>
      <c r="E1093" s="230">
        <v>14491032</v>
      </c>
      <c r="F1093" s="230">
        <v>28888</v>
      </c>
      <c r="G1093" s="230">
        <v>1</v>
      </c>
      <c r="H1093" s="240">
        <v>359.46</v>
      </c>
      <c r="I1093" s="240">
        <f t="shared" si="17"/>
        <v>359.46</v>
      </c>
      <c r="J1093" s="231" t="s">
        <v>1393</v>
      </c>
      <c r="K1093" s="231" t="s">
        <v>1394</v>
      </c>
      <c r="L1093" s="232">
        <v>45170</v>
      </c>
      <c r="M1093" s="232">
        <v>45199</v>
      </c>
    </row>
    <row r="1094" spans="1:13" ht="14.25" customHeight="1" x14ac:dyDescent="0.2">
      <c r="A1094" s="231" t="s">
        <v>0</v>
      </c>
      <c r="B1094" s="230">
        <v>112230</v>
      </c>
      <c r="C1094" s="230">
        <v>10750</v>
      </c>
      <c r="D1094" s="231" t="s">
        <v>1377</v>
      </c>
      <c r="E1094" s="230">
        <v>14491032</v>
      </c>
      <c r="F1094" s="230">
        <v>28894</v>
      </c>
      <c r="G1094" s="230">
        <v>1</v>
      </c>
      <c r="H1094" s="240">
        <v>359.46</v>
      </c>
      <c r="I1094" s="240">
        <f t="shared" si="17"/>
        <v>359.46</v>
      </c>
      <c r="J1094" s="231" t="s">
        <v>1393</v>
      </c>
      <c r="K1094" s="231" t="s">
        <v>1394</v>
      </c>
      <c r="L1094" s="232">
        <v>45170</v>
      </c>
      <c r="M1094" s="232">
        <v>45199</v>
      </c>
    </row>
    <row r="1095" spans="1:13" ht="14.25" customHeight="1" x14ac:dyDescent="0.2">
      <c r="A1095" s="231" t="s">
        <v>0</v>
      </c>
      <c r="B1095" s="230">
        <v>112240</v>
      </c>
      <c r="C1095" s="230">
        <v>10750</v>
      </c>
      <c r="D1095" s="231" t="s">
        <v>58</v>
      </c>
      <c r="E1095" s="230">
        <v>14491032</v>
      </c>
      <c r="F1095" s="230">
        <v>28914</v>
      </c>
      <c r="G1095" s="230">
        <v>1</v>
      </c>
      <c r="H1095" s="240">
        <v>359.46</v>
      </c>
      <c r="I1095" s="240">
        <f t="shared" si="17"/>
        <v>359.46</v>
      </c>
      <c r="J1095" s="231" t="s">
        <v>1393</v>
      </c>
      <c r="K1095" s="231" t="s">
        <v>1394</v>
      </c>
      <c r="L1095" s="232">
        <v>45170</v>
      </c>
      <c r="M1095" s="232">
        <v>45199</v>
      </c>
    </row>
    <row r="1096" spans="1:13" ht="14.25" customHeight="1" x14ac:dyDescent="0.2">
      <c r="A1096" s="231" t="s">
        <v>0</v>
      </c>
      <c r="B1096" s="230">
        <v>112262</v>
      </c>
      <c r="C1096" s="230">
        <v>10745</v>
      </c>
      <c r="D1096" s="231" t="s">
        <v>72</v>
      </c>
      <c r="E1096" s="230">
        <v>14491032</v>
      </c>
      <c r="F1096" s="230">
        <v>28958</v>
      </c>
      <c r="G1096" s="230">
        <v>1</v>
      </c>
      <c r="H1096" s="240">
        <v>359.46</v>
      </c>
      <c r="I1096" s="240">
        <f t="shared" si="17"/>
        <v>359.46</v>
      </c>
      <c r="J1096" s="231" t="s">
        <v>1393</v>
      </c>
      <c r="K1096" s="231" t="s">
        <v>1394</v>
      </c>
      <c r="L1096" s="232">
        <v>45170</v>
      </c>
      <c r="M1096" s="232">
        <v>45199</v>
      </c>
    </row>
    <row r="1097" spans="1:13" ht="14.25" customHeight="1" x14ac:dyDescent="0.2">
      <c r="A1097" s="231" t="s">
        <v>0</v>
      </c>
      <c r="B1097" s="230">
        <v>112279</v>
      </c>
      <c r="C1097" s="230">
        <v>10752</v>
      </c>
      <c r="D1097" s="231" t="s">
        <v>84</v>
      </c>
      <c r="E1097" s="230">
        <v>14491032</v>
      </c>
      <c r="F1097" s="230">
        <v>28992</v>
      </c>
      <c r="G1097" s="230">
        <v>1</v>
      </c>
      <c r="H1097" s="240">
        <v>359.46</v>
      </c>
      <c r="I1097" s="240">
        <f t="shared" si="17"/>
        <v>359.46</v>
      </c>
      <c r="J1097" s="231" t="s">
        <v>1393</v>
      </c>
      <c r="K1097" s="231" t="s">
        <v>1394</v>
      </c>
      <c r="L1097" s="232">
        <v>45170</v>
      </c>
      <c r="M1097" s="232">
        <v>45199</v>
      </c>
    </row>
    <row r="1098" spans="1:13" ht="14.25" customHeight="1" x14ac:dyDescent="0.2">
      <c r="A1098" s="231" t="s">
        <v>0</v>
      </c>
      <c r="B1098" s="230">
        <v>112296</v>
      </c>
      <c r="C1098" s="230">
        <v>10745</v>
      </c>
      <c r="D1098" s="231" t="s">
        <v>94</v>
      </c>
      <c r="E1098" s="230">
        <v>14491032</v>
      </c>
      <c r="F1098" s="230">
        <v>29026</v>
      </c>
      <c r="G1098" s="230">
        <v>1</v>
      </c>
      <c r="H1098" s="240">
        <v>359.46</v>
      </c>
      <c r="I1098" s="240">
        <f t="shared" si="17"/>
        <v>359.46</v>
      </c>
      <c r="J1098" s="231" t="s">
        <v>1393</v>
      </c>
      <c r="K1098" s="231" t="s">
        <v>1394</v>
      </c>
      <c r="L1098" s="232">
        <v>45170</v>
      </c>
      <c r="M1098" s="232">
        <v>45199</v>
      </c>
    </row>
    <row r="1099" spans="1:13" ht="14.25" customHeight="1" x14ac:dyDescent="0.2">
      <c r="A1099" s="231" t="s">
        <v>0</v>
      </c>
      <c r="B1099" s="230">
        <v>112322</v>
      </c>
      <c r="C1099" s="230">
        <v>10756</v>
      </c>
      <c r="D1099" s="231" t="s">
        <v>106</v>
      </c>
      <c r="E1099" s="230">
        <v>14491032</v>
      </c>
      <c r="F1099" s="230">
        <v>29078</v>
      </c>
      <c r="G1099" s="230">
        <v>1</v>
      </c>
      <c r="H1099" s="240">
        <v>359.46</v>
      </c>
      <c r="I1099" s="240">
        <f t="shared" si="17"/>
        <v>359.46</v>
      </c>
      <c r="J1099" s="231" t="s">
        <v>1393</v>
      </c>
      <c r="K1099" s="231" t="s">
        <v>1394</v>
      </c>
      <c r="L1099" s="232">
        <v>45170</v>
      </c>
      <c r="M1099" s="232">
        <v>45199</v>
      </c>
    </row>
    <row r="1100" spans="1:13" ht="14.25" customHeight="1" x14ac:dyDescent="0.2">
      <c r="A1100" s="231" t="s">
        <v>0</v>
      </c>
      <c r="B1100" s="230">
        <v>112324</v>
      </c>
      <c r="C1100" s="230">
        <v>10752</v>
      </c>
      <c r="D1100" s="231" t="s">
        <v>107</v>
      </c>
      <c r="E1100" s="230">
        <v>14491032</v>
      </c>
      <c r="F1100" s="230">
        <v>29082</v>
      </c>
      <c r="G1100" s="230">
        <v>1</v>
      </c>
      <c r="H1100" s="240">
        <v>359.46</v>
      </c>
      <c r="I1100" s="240">
        <f t="shared" si="17"/>
        <v>359.46</v>
      </c>
      <c r="J1100" s="231" t="s">
        <v>1393</v>
      </c>
      <c r="K1100" s="231" t="s">
        <v>1394</v>
      </c>
      <c r="L1100" s="232">
        <v>45170</v>
      </c>
      <c r="M1100" s="232">
        <v>45199</v>
      </c>
    </row>
    <row r="1101" spans="1:13" ht="14.25" customHeight="1" x14ac:dyDescent="0.2">
      <c r="A1101" s="231" t="s">
        <v>0</v>
      </c>
      <c r="B1101" s="230">
        <v>112340</v>
      </c>
      <c r="C1101" s="230">
        <v>10771</v>
      </c>
      <c r="D1101" s="231" t="s">
        <v>119</v>
      </c>
      <c r="E1101" s="230">
        <v>14491032</v>
      </c>
      <c r="F1101" s="230">
        <v>29114</v>
      </c>
      <c r="G1101" s="230">
        <v>1</v>
      </c>
      <c r="H1101" s="240">
        <v>359.46</v>
      </c>
      <c r="I1101" s="240">
        <f t="shared" si="17"/>
        <v>359.46</v>
      </c>
      <c r="J1101" s="231" t="s">
        <v>1393</v>
      </c>
      <c r="K1101" s="231" t="s">
        <v>1394</v>
      </c>
      <c r="L1101" s="232">
        <v>45170</v>
      </c>
      <c r="M1101" s="232">
        <v>45199</v>
      </c>
    </row>
    <row r="1102" spans="1:13" ht="14.25" customHeight="1" x14ac:dyDescent="0.2">
      <c r="A1102" s="231" t="s">
        <v>0</v>
      </c>
      <c r="B1102" s="230">
        <v>112359</v>
      </c>
      <c r="C1102" s="230">
        <v>10751</v>
      </c>
      <c r="D1102" s="231" t="s">
        <v>130</v>
      </c>
      <c r="E1102" s="230">
        <v>14491032</v>
      </c>
      <c r="F1102" s="230">
        <v>29152</v>
      </c>
      <c r="G1102" s="230">
        <v>1</v>
      </c>
      <c r="H1102" s="240">
        <v>359.46</v>
      </c>
      <c r="I1102" s="240">
        <f t="shared" si="17"/>
        <v>359.46</v>
      </c>
      <c r="J1102" s="231" t="s">
        <v>1393</v>
      </c>
      <c r="K1102" s="231" t="s">
        <v>1394</v>
      </c>
      <c r="L1102" s="232">
        <v>45170</v>
      </c>
      <c r="M1102" s="232">
        <v>45199</v>
      </c>
    </row>
    <row r="1103" spans="1:13" ht="14.25" customHeight="1" x14ac:dyDescent="0.2">
      <c r="A1103" s="231" t="s">
        <v>0</v>
      </c>
      <c r="B1103" s="230">
        <v>112364</v>
      </c>
      <c r="C1103" s="230">
        <v>10745</v>
      </c>
      <c r="D1103" s="231" t="s">
        <v>132</v>
      </c>
      <c r="E1103" s="230">
        <v>14491032</v>
      </c>
      <c r="F1103" s="230">
        <v>29162</v>
      </c>
      <c r="G1103" s="230">
        <v>1</v>
      </c>
      <c r="H1103" s="240">
        <v>347.47</v>
      </c>
      <c r="I1103" s="240">
        <f t="shared" si="17"/>
        <v>347.47</v>
      </c>
      <c r="J1103" s="231" t="s">
        <v>1393</v>
      </c>
      <c r="K1103" s="231" t="s">
        <v>1394</v>
      </c>
      <c r="L1103" s="232">
        <v>45170</v>
      </c>
      <c r="M1103" s="232">
        <v>45199</v>
      </c>
    </row>
    <row r="1104" spans="1:13" ht="14.25" customHeight="1" x14ac:dyDescent="0.2">
      <c r="A1104" s="231" t="s">
        <v>0</v>
      </c>
      <c r="B1104" s="230">
        <v>112372</v>
      </c>
      <c r="C1104" s="230">
        <v>10751</v>
      </c>
      <c r="D1104" s="231" t="s">
        <v>136</v>
      </c>
      <c r="E1104" s="230">
        <v>14491032</v>
      </c>
      <c r="F1104" s="230">
        <v>29178</v>
      </c>
      <c r="G1104" s="230">
        <v>1</v>
      </c>
      <c r="H1104" s="240">
        <v>359.46</v>
      </c>
      <c r="I1104" s="240">
        <f t="shared" si="17"/>
        <v>359.46</v>
      </c>
      <c r="J1104" s="231" t="s">
        <v>1393</v>
      </c>
      <c r="K1104" s="231" t="s">
        <v>1394</v>
      </c>
      <c r="L1104" s="232">
        <v>45170</v>
      </c>
      <c r="M1104" s="232">
        <v>45199</v>
      </c>
    </row>
    <row r="1105" spans="1:13" ht="14.25" customHeight="1" x14ac:dyDescent="0.2">
      <c r="A1105" s="231" t="s">
        <v>0</v>
      </c>
      <c r="B1105" s="230">
        <v>112373</v>
      </c>
      <c r="C1105" s="230">
        <v>10757</v>
      </c>
      <c r="D1105" s="231" t="s">
        <v>137</v>
      </c>
      <c r="E1105" s="230">
        <v>14491032</v>
      </c>
      <c r="F1105" s="230">
        <v>29180</v>
      </c>
      <c r="G1105" s="230">
        <v>1</v>
      </c>
      <c r="H1105" s="240">
        <v>359.46</v>
      </c>
      <c r="I1105" s="240">
        <f t="shared" si="17"/>
        <v>359.46</v>
      </c>
      <c r="J1105" s="231" t="s">
        <v>1393</v>
      </c>
      <c r="K1105" s="231" t="s">
        <v>1394</v>
      </c>
      <c r="L1105" s="232">
        <v>45170</v>
      </c>
      <c r="M1105" s="232">
        <v>45199</v>
      </c>
    </row>
    <row r="1106" spans="1:13" ht="14.25" customHeight="1" x14ac:dyDescent="0.2">
      <c r="A1106" s="231" t="s">
        <v>0</v>
      </c>
      <c r="B1106" s="230">
        <v>112378</v>
      </c>
      <c r="C1106" s="230">
        <v>10750</v>
      </c>
      <c r="D1106" s="231" t="s">
        <v>141</v>
      </c>
      <c r="E1106" s="230">
        <v>14491032</v>
      </c>
      <c r="F1106" s="230">
        <v>29190</v>
      </c>
      <c r="G1106" s="230">
        <v>1</v>
      </c>
      <c r="H1106" s="240">
        <v>359.46</v>
      </c>
      <c r="I1106" s="240">
        <f t="shared" si="17"/>
        <v>359.46</v>
      </c>
      <c r="J1106" s="231" t="s">
        <v>1393</v>
      </c>
      <c r="K1106" s="231" t="s">
        <v>1394</v>
      </c>
      <c r="L1106" s="232">
        <v>45170</v>
      </c>
      <c r="M1106" s="232">
        <v>45199</v>
      </c>
    </row>
    <row r="1107" spans="1:13" ht="14.25" customHeight="1" x14ac:dyDescent="0.2">
      <c r="A1107" s="231" t="s">
        <v>0</v>
      </c>
      <c r="B1107" s="230">
        <v>112380</v>
      </c>
      <c r="C1107" s="230">
        <v>10750</v>
      </c>
      <c r="D1107" s="231" t="s">
        <v>143</v>
      </c>
      <c r="E1107" s="230">
        <v>14491032</v>
      </c>
      <c r="F1107" s="230">
        <v>29194</v>
      </c>
      <c r="G1107" s="230">
        <v>1</v>
      </c>
      <c r="H1107" s="240">
        <v>359.46</v>
      </c>
      <c r="I1107" s="240">
        <f t="shared" si="17"/>
        <v>359.46</v>
      </c>
      <c r="J1107" s="231" t="s">
        <v>1393</v>
      </c>
      <c r="K1107" s="231" t="s">
        <v>1394</v>
      </c>
      <c r="L1107" s="232">
        <v>45170</v>
      </c>
      <c r="M1107" s="232">
        <v>45199</v>
      </c>
    </row>
    <row r="1108" spans="1:13" ht="14.25" customHeight="1" x14ac:dyDescent="0.2">
      <c r="A1108" s="231" t="s">
        <v>0</v>
      </c>
      <c r="B1108" s="230">
        <v>112392</v>
      </c>
      <c r="C1108" s="230">
        <v>10750</v>
      </c>
      <c r="D1108" s="231" t="s">
        <v>150</v>
      </c>
      <c r="E1108" s="230">
        <v>14491032</v>
      </c>
      <c r="F1108" s="230">
        <v>29218</v>
      </c>
      <c r="G1108" s="230">
        <v>1</v>
      </c>
      <c r="H1108" s="240">
        <v>359.46</v>
      </c>
      <c r="I1108" s="240">
        <f t="shared" si="17"/>
        <v>359.46</v>
      </c>
      <c r="J1108" s="231" t="s">
        <v>1393</v>
      </c>
      <c r="K1108" s="231" t="s">
        <v>1394</v>
      </c>
      <c r="L1108" s="232">
        <v>45170</v>
      </c>
      <c r="M1108" s="232">
        <v>45199</v>
      </c>
    </row>
    <row r="1109" spans="1:13" ht="14.25" customHeight="1" x14ac:dyDescent="0.2">
      <c r="A1109" s="231" t="s">
        <v>0</v>
      </c>
      <c r="B1109" s="230">
        <v>112394</v>
      </c>
      <c r="C1109" s="230">
        <v>10750</v>
      </c>
      <c r="D1109" s="231" t="s">
        <v>152</v>
      </c>
      <c r="E1109" s="230">
        <v>14491032</v>
      </c>
      <c r="F1109" s="230">
        <v>29222</v>
      </c>
      <c r="G1109" s="230">
        <v>1</v>
      </c>
      <c r="H1109" s="240">
        <v>359.46</v>
      </c>
      <c r="I1109" s="240">
        <f t="shared" si="17"/>
        <v>359.46</v>
      </c>
      <c r="J1109" s="231" t="s">
        <v>1393</v>
      </c>
      <c r="K1109" s="231" t="s">
        <v>1394</v>
      </c>
      <c r="L1109" s="232">
        <v>45170</v>
      </c>
      <c r="M1109" s="232">
        <v>45199</v>
      </c>
    </row>
    <row r="1110" spans="1:13" ht="14.25" customHeight="1" x14ac:dyDescent="0.2">
      <c r="A1110" s="231" t="s">
        <v>0</v>
      </c>
      <c r="B1110" s="230">
        <v>112402</v>
      </c>
      <c r="C1110" s="230">
        <v>10757</v>
      </c>
      <c r="D1110" s="231" t="s">
        <v>158</v>
      </c>
      <c r="E1110" s="230">
        <v>14491032</v>
      </c>
      <c r="F1110" s="230">
        <v>29238</v>
      </c>
      <c r="G1110" s="230">
        <v>1</v>
      </c>
      <c r="H1110" s="240">
        <v>359.46</v>
      </c>
      <c r="I1110" s="240">
        <f t="shared" si="17"/>
        <v>359.46</v>
      </c>
      <c r="J1110" s="231" t="s">
        <v>1393</v>
      </c>
      <c r="K1110" s="231" t="s">
        <v>1394</v>
      </c>
      <c r="L1110" s="232">
        <v>45170</v>
      </c>
      <c r="M1110" s="232">
        <v>45199</v>
      </c>
    </row>
    <row r="1111" spans="1:13" ht="14.25" customHeight="1" x14ac:dyDescent="0.2">
      <c r="A1111" s="231" t="s">
        <v>0</v>
      </c>
      <c r="B1111" s="230">
        <v>112403</v>
      </c>
      <c r="C1111" s="230">
        <v>10750</v>
      </c>
      <c r="D1111" s="231" t="s">
        <v>159</v>
      </c>
      <c r="E1111" s="230">
        <v>14491032</v>
      </c>
      <c r="F1111" s="230">
        <v>29240</v>
      </c>
      <c r="G1111" s="230">
        <v>1</v>
      </c>
      <c r="H1111" s="240">
        <v>359.46</v>
      </c>
      <c r="I1111" s="240">
        <f t="shared" si="17"/>
        <v>359.46</v>
      </c>
      <c r="J1111" s="231" t="s">
        <v>1393</v>
      </c>
      <c r="K1111" s="231" t="s">
        <v>1394</v>
      </c>
      <c r="L1111" s="232">
        <v>45170</v>
      </c>
      <c r="M1111" s="232">
        <v>45199</v>
      </c>
    </row>
    <row r="1112" spans="1:13" ht="14.25" customHeight="1" x14ac:dyDescent="0.2">
      <c r="A1112" s="231" t="s">
        <v>0</v>
      </c>
      <c r="B1112" s="230">
        <v>112417</v>
      </c>
      <c r="C1112" s="230">
        <v>10751</v>
      </c>
      <c r="D1112" s="231" t="s">
        <v>167</v>
      </c>
      <c r="E1112" s="230">
        <v>14491032</v>
      </c>
      <c r="F1112" s="230">
        <v>29268</v>
      </c>
      <c r="G1112" s="230">
        <v>1</v>
      </c>
      <c r="H1112" s="240">
        <v>359.46</v>
      </c>
      <c r="I1112" s="240">
        <f t="shared" si="17"/>
        <v>359.46</v>
      </c>
      <c r="J1112" s="231" t="s">
        <v>1393</v>
      </c>
      <c r="K1112" s="231" t="s">
        <v>1394</v>
      </c>
      <c r="L1112" s="232">
        <v>45170</v>
      </c>
      <c r="M1112" s="232">
        <v>45199</v>
      </c>
    </row>
    <row r="1113" spans="1:13" ht="14.25" customHeight="1" x14ac:dyDescent="0.2">
      <c r="A1113" s="231" t="s">
        <v>0</v>
      </c>
      <c r="B1113" s="230">
        <v>112418</v>
      </c>
      <c r="C1113" s="230">
        <v>10750</v>
      </c>
      <c r="D1113" s="231" t="s">
        <v>168</v>
      </c>
      <c r="E1113" s="230">
        <v>14491032</v>
      </c>
      <c r="F1113" s="230">
        <v>29270</v>
      </c>
      <c r="G1113" s="230">
        <v>1</v>
      </c>
      <c r="H1113" s="240">
        <v>359.46</v>
      </c>
      <c r="I1113" s="240">
        <f t="shared" si="17"/>
        <v>359.46</v>
      </c>
      <c r="J1113" s="231" t="s">
        <v>1393</v>
      </c>
      <c r="K1113" s="231" t="s">
        <v>1394</v>
      </c>
      <c r="L1113" s="232">
        <v>45170</v>
      </c>
      <c r="M1113" s="232">
        <v>45199</v>
      </c>
    </row>
    <row r="1114" spans="1:13" ht="14.25" customHeight="1" x14ac:dyDescent="0.2">
      <c r="A1114" s="231" t="s">
        <v>0</v>
      </c>
      <c r="B1114" s="230">
        <v>112449</v>
      </c>
      <c r="C1114" s="230">
        <v>10750</v>
      </c>
      <c r="D1114" s="231" t="s">
        <v>188</v>
      </c>
      <c r="E1114" s="230">
        <v>14491032</v>
      </c>
      <c r="F1114" s="230">
        <v>29332</v>
      </c>
      <c r="G1114" s="230">
        <v>1</v>
      </c>
      <c r="H1114" s="240">
        <v>359.46</v>
      </c>
      <c r="I1114" s="240">
        <f t="shared" si="17"/>
        <v>359.46</v>
      </c>
      <c r="J1114" s="231" t="s">
        <v>1393</v>
      </c>
      <c r="K1114" s="231" t="s">
        <v>1394</v>
      </c>
      <c r="L1114" s="232">
        <v>45170</v>
      </c>
      <c r="M1114" s="232">
        <v>45199</v>
      </c>
    </row>
    <row r="1115" spans="1:13" ht="14.25" customHeight="1" x14ac:dyDescent="0.2">
      <c r="A1115" s="231" t="s">
        <v>0</v>
      </c>
      <c r="B1115" s="230">
        <v>112458</v>
      </c>
      <c r="C1115" s="230">
        <v>10763</v>
      </c>
      <c r="D1115" s="231" t="s">
        <v>194</v>
      </c>
      <c r="E1115" s="230">
        <v>14491032</v>
      </c>
      <c r="F1115" s="230">
        <v>29350</v>
      </c>
      <c r="G1115" s="230">
        <v>1</v>
      </c>
      <c r="H1115" s="240">
        <v>359.46</v>
      </c>
      <c r="I1115" s="240">
        <f t="shared" si="17"/>
        <v>359.46</v>
      </c>
      <c r="J1115" s="231" t="s">
        <v>1393</v>
      </c>
      <c r="K1115" s="231" t="s">
        <v>1394</v>
      </c>
      <c r="L1115" s="232">
        <v>45170</v>
      </c>
      <c r="M1115" s="232">
        <v>45199</v>
      </c>
    </row>
    <row r="1116" spans="1:13" ht="14.25" customHeight="1" x14ac:dyDescent="0.2">
      <c r="A1116" s="231" t="s">
        <v>0</v>
      </c>
      <c r="B1116" s="230">
        <v>112470</v>
      </c>
      <c r="C1116" s="230">
        <v>10763</v>
      </c>
      <c r="D1116" s="231" t="s">
        <v>199</v>
      </c>
      <c r="E1116" s="230">
        <v>14491032</v>
      </c>
      <c r="F1116" s="230">
        <v>29374</v>
      </c>
      <c r="G1116" s="230">
        <v>1</v>
      </c>
      <c r="H1116" s="240">
        <v>359.46</v>
      </c>
      <c r="I1116" s="240">
        <f t="shared" si="17"/>
        <v>359.46</v>
      </c>
      <c r="J1116" s="231" t="s">
        <v>1393</v>
      </c>
      <c r="K1116" s="231" t="s">
        <v>1394</v>
      </c>
      <c r="L1116" s="232">
        <v>45170</v>
      </c>
      <c r="M1116" s="232">
        <v>45199</v>
      </c>
    </row>
    <row r="1117" spans="1:13" ht="14.25" customHeight="1" x14ac:dyDescent="0.2">
      <c r="A1117" s="231" t="s">
        <v>0</v>
      </c>
      <c r="B1117" s="230">
        <v>112473</v>
      </c>
      <c r="C1117" s="230">
        <v>10750</v>
      </c>
      <c r="D1117" s="231" t="s">
        <v>202</v>
      </c>
      <c r="E1117" s="230">
        <v>14491032</v>
      </c>
      <c r="F1117" s="230">
        <v>29380</v>
      </c>
      <c r="G1117" s="230">
        <v>1</v>
      </c>
      <c r="H1117" s="240">
        <v>359.46</v>
      </c>
      <c r="I1117" s="240">
        <f t="shared" si="17"/>
        <v>359.46</v>
      </c>
      <c r="J1117" s="231" t="s">
        <v>1393</v>
      </c>
      <c r="K1117" s="231" t="s">
        <v>1394</v>
      </c>
      <c r="L1117" s="232">
        <v>45170</v>
      </c>
      <c r="M1117" s="232">
        <v>45199</v>
      </c>
    </row>
    <row r="1118" spans="1:13" ht="14.25" customHeight="1" x14ac:dyDescent="0.2">
      <c r="A1118" s="231" t="s">
        <v>0</v>
      </c>
      <c r="B1118" s="230">
        <v>112494</v>
      </c>
      <c r="C1118" s="230">
        <v>10756</v>
      </c>
      <c r="D1118" s="231" t="s">
        <v>214</v>
      </c>
      <c r="E1118" s="230">
        <v>14491032</v>
      </c>
      <c r="F1118" s="230">
        <v>29422</v>
      </c>
      <c r="G1118" s="230">
        <v>1</v>
      </c>
      <c r="H1118" s="240">
        <v>359.46</v>
      </c>
      <c r="I1118" s="240">
        <f t="shared" si="17"/>
        <v>359.46</v>
      </c>
      <c r="J1118" s="231" t="s">
        <v>1393</v>
      </c>
      <c r="K1118" s="231" t="s">
        <v>1394</v>
      </c>
      <c r="L1118" s="232">
        <v>45170</v>
      </c>
      <c r="M1118" s="232">
        <v>45199</v>
      </c>
    </row>
    <row r="1119" spans="1:13" ht="14.25" customHeight="1" x14ac:dyDescent="0.2">
      <c r="A1119" s="231" t="s">
        <v>0</v>
      </c>
      <c r="B1119" s="230">
        <v>112520</v>
      </c>
      <c r="C1119" s="230">
        <v>10750</v>
      </c>
      <c r="D1119" s="231" t="s">
        <v>235</v>
      </c>
      <c r="E1119" s="230">
        <v>14491032</v>
      </c>
      <c r="F1119" s="230">
        <v>29474</v>
      </c>
      <c r="G1119" s="230">
        <v>1</v>
      </c>
      <c r="H1119" s="240">
        <v>359.46</v>
      </c>
      <c r="I1119" s="240">
        <f t="shared" si="17"/>
        <v>359.46</v>
      </c>
      <c r="J1119" s="231" t="s">
        <v>1393</v>
      </c>
      <c r="K1119" s="231" t="s">
        <v>1394</v>
      </c>
      <c r="L1119" s="232">
        <v>45170</v>
      </c>
      <c r="M1119" s="232">
        <v>45199</v>
      </c>
    </row>
    <row r="1120" spans="1:13" ht="14.25" customHeight="1" x14ac:dyDescent="0.2">
      <c r="A1120" s="231" t="s">
        <v>0</v>
      </c>
      <c r="B1120" s="230">
        <v>112533</v>
      </c>
      <c r="C1120" s="230">
        <v>10754</v>
      </c>
      <c r="D1120" s="231" t="s">
        <v>245</v>
      </c>
      <c r="E1120" s="230">
        <v>14491032</v>
      </c>
      <c r="F1120" s="230">
        <v>29500</v>
      </c>
      <c r="G1120" s="230">
        <v>1</v>
      </c>
      <c r="H1120" s="240">
        <v>359.46</v>
      </c>
      <c r="I1120" s="240">
        <f t="shared" si="17"/>
        <v>359.46</v>
      </c>
      <c r="J1120" s="231" t="s">
        <v>1393</v>
      </c>
      <c r="K1120" s="231" t="s">
        <v>1394</v>
      </c>
      <c r="L1120" s="232">
        <v>45170</v>
      </c>
      <c r="M1120" s="232">
        <v>45199</v>
      </c>
    </row>
    <row r="1121" spans="1:13" ht="14.25" customHeight="1" x14ac:dyDescent="0.2">
      <c r="A1121" s="231" t="s">
        <v>0</v>
      </c>
      <c r="B1121" s="230">
        <v>112539</v>
      </c>
      <c r="C1121" s="230">
        <v>10750</v>
      </c>
      <c r="D1121" s="231" t="s">
        <v>250</v>
      </c>
      <c r="E1121" s="230">
        <v>14491032</v>
      </c>
      <c r="F1121" s="230">
        <v>29512</v>
      </c>
      <c r="G1121" s="230">
        <v>1</v>
      </c>
      <c r="H1121" s="240">
        <v>359.46</v>
      </c>
      <c r="I1121" s="240">
        <f t="shared" si="17"/>
        <v>359.46</v>
      </c>
      <c r="J1121" s="231" t="s">
        <v>1393</v>
      </c>
      <c r="K1121" s="231" t="s">
        <v>1394</v>
      </c>
      <c r="L1121" s="232">
        <v>45170</v>
      </c>
      <c r="M1121" s="232">
        <v>45199</v>
      </c>
    </row>
    <row r="1122" spans="1:13" ht="14.25" customHeight="1" x14ac:dyDescent="0.2">
      <c r="A1122" s="231" t="s">
        <v>0</v>
      </c>
      <c r="B1122" s="230">
        <v>112540</v>
      </c>
      <c r="C1122" s="230">
        <v>10766</v>
      </c>
      <c r="D1122" s="231" t="s">
        <v>251</v>
      </c>
      <c r="E1122" s="230">
        <v>14491032</v>
      </c>
      <c r="F1122" s="230">
        <v>29514</v>
      </c>
      <c r="G1122" s="230">
        <v>1</v>
      </c>
      <c r="H1122" s="240">
        <v>359.46</v>
      </c>
      <c r="I1122" s="240">
        <f t="shared" si="17"/>
        <v>359.46</v>
      </c>
      <c r="J1122" s="231" t="s">
        <v>1393</v>
      </c>
      <c r="K1122" s="231" t="s">
        <v>1394</v>
      </c>
      <c r="L1122" s="232">
        <v>45170</v>
      </c>
      <c r="M1122" s="232">
        <v>45199</v>
      </c>
    </row>
    <row r="1123" spans="1:13" ht="14.25" customHeight="1" x14ac:dyDescent="0.2">
      <c r="A1123" s="231" t="s">
        <v>0</v>
      </c>
      <c r="B1123" s="230">
        <v>112542</v>
      </c>
      <c r="C1123" s="230">
        <v>10763</v>
      </c>
      <c r="D1123" s="231" t="s">
        <v>252</v>
      </c>
      <c r="E1123" s="230">
        <v>14491032</v>
      </c>
      <c r="F1123" s="230">
        <v>29518</v>
      </c>
      <c r="G1123" s="230">
        <v>1</v>
      </c>
      <c r="H1123" s="240">
        <v>347.47</v>
      </c>
      <c r="I1123" s="240">
        <f t="shared" si="17"/>
        <v>347.47</v>
      </c>
      <c r="J1123" s="231" t="s">
        <v>1393</v>
      </c>
      <c r="K1123" s="231" t="s">
        <v>1394</v>
      </c>
      <c r="L1123" s="232">
        <v>45170</v>
      </c>
      <c r="M1123" s="232">
        <v>45199</v>
      </c>
    </row>
    <row r="1124" spans="1:13" ht="14.25" customHeight="1" x14ac:dyDescent="0.2">
      <c r="A1124" s="231" t="s">
        <v>0</v>
      </c>
      <c r="B1124" s="230">
        <v>112545</v>
      </c>
      <c r="C1124" s="230">
        <v>10750</v>
      </c>
      <c r="D1124" s="231" t="s">
        <v>253</v>
      </c>
      <c r="E1124" s="230">
        <v>14491032</v>
      </c>
      <c r="F1124" s="230">
        <v>29524</v>
      </c>
      <c r="G1124" s="230">
        <v>1</v>
      </c>
      <c r="H1124" s="240">
        <v>359.46</v>
      </c>
      <c r="I1124" s="240">
        <f t="shared" si="17"/>
        <v>359.46</v>
      </c>
      <c r="J1124" s="231" t="s">
        <v>1393</v>
      </c>
      <c r="K1124" s="231" t="s">
        <v>1394</v>
      </c>
      <c r="L1124" s="232">
        <v>45170</v>
      </c>
      <c r="M1124" s="232">
        <v>45199</v>
      </c>
    </row>
    <row r="1125" spans="1:13" ht="14.25" customHeight="1" x14ac:dyDescent="0.2">
      <c r="A1125" s="231" t="s">
        <v>0</v>
      </c>
      <c r="B1125" s="230">
        <v>112558</v>
      </c>
      <c r="C1125" s="230">
        <v>10771</v>
      </c>
      <c r="D1125" s="231" t="s">
        <v>264</v>
      </c>
      <c r="E1125" s="230">
        <v>14491032</v>
      </c>
      <c r="F1125" s="230">
        <v>29550</v>
      </c>
      <c r="G1125" s="230">
        <v>1</v>
      </c>
      <c r="H1125" s="240">
        <v>359.46</v>
      </c>
      <c r="I1125" s="240">
        <f t="shared" si="17"/>
        <v>359.46</v>
      </c>
      <c r="J1125" s="231" t="s">
        <v>1393</v>
      </c>
      <c r="K1125" s="231" t="s">
        <v>1394</v>
      </c>
      <c r="L1125" s="232">
        <v>45170</v>
      </c>
      <c r="M1125" s="232">
        <v>45199</v>
      </c>
    </row>
    <row r="1126" spans="1:13" ht="14.25" customHeight="1" x14ac:dyDescent="0.2">
      <c r="A1126" s="231" t="s">
        <v>0</v>
      </c>
      <c r="B1126" s="230">
        <v>112559</v>
      </c>
      <c r="C1126" s="230">
        <v>10752</v>
      </c>
      <c r="D1126" s="231" t="s">
        <v>265</v>
      </c>
      <c r="E1126" s="230">
        <v>14491032</v>
      </c>
      <c r="F1126" s="230">
        <v>29552</v>
      </c>
      <c r="G1126" s="230">
        <v>1</v>
      </c>
      <c r="H1126" s="240">
        <v>359.46</v>
      </c>
      <c r="I1126" s="240">
        <f t="shared" si="17"/>
        <v>359.46</v>
      </c>
      <c r="J1126" s="231" t="s">
        <v>1393</v>
      </c>
      <c r="K1126" s="231" t="s">
        <v>1394</v>
      </c>
      <c r="L1126" s="232">
        <v>45170</v>
      </c>
      <c r="M1126" s="232">
        <v>45199</v>
      </c>
    </row>
    <row r="1127" spans="1:13" ht="14.25" customHeight="1" x14ac:dyDescent="0.2">
      <c r="A1127" s="231" t="s">
        <v>0</v>
      </c>
      <c r="B1127" s="230">
        <v>112563</v>
      </c>
      <c r="C1127" s="230">
        <v>10752</v>
      </c>
      <c r="D1127" s="231" t="s">
        <v>267</v>
      </c>
      <c r="E1127" s="230">
        <v>14491032</v>
      </c>
      <c r="F1127" s="230">
        <v>29560</v>
      </c>
      <c r="G1127" s="230">
        <v>1</v>
      </c>
      <c r="H1127" s="240">
        <v>359.46</v>
      </c>
      <c r="I1127" s="240">
        <f t="shared" si="17"/>
        <v>359.46</v>
      </c>
      <c r="J1127" s="231" t="s">
        <v>1393</v>
      </c>
      <c r="K1127" s="231" t="s">
        <v>1394</v>
      </c>
      <c r="L1127" s="232">
        <v>45170</v>
      </c>
      <c r="M1127" s="232">
        <v>45199</v>
      </c>
    </row>
    <row r="1128" spans="1:13" ht="14.25" customHeight="1" x14ac:dyDescent="0.2">
      <c r="A1128" s="231" t="s">
        <v>0</v>
      </c>
      <c r="B1128" s="230">
        <v>112577</v>
      </c>
      <c r="C1128" s="230">
        <v>10750</v>
      </c>
      <c r="D1128" s="231" t="s">
        <v>274</v>
      </c>
      <c r="E1128" s="230">
        <v>14491032</v>
      </c>
      <c r="F1128" s="230">
        <v>29588</v>
      </c>
      <c r="G1128" s="230">
        <v>1</v>
      </c>
      <c r="H1128" s="240">
        <v>359.46</v>
      </c>
      <c r="I1128" s="240">
        <f t="shared" si="17"/>
        <v>359.46</v>
      </c>
      <c r="J1128" s="231" t="s">
        <v>1393</v>
      </c>
      <c r="K1128" s="231" t="s">
        <v>1394</v>
      </c>
      <c r="L1128" s="232">
        <v>45170</v>
      </c>
      <c r="M1128" s="232">
        <v>45199</v>
      </c>
    </row>
    <row r="1129" spans="1:13" ht="14.25" customHeight="1" x14ac:dyDescent="0.2">
      <c r="A1129" s="231" t="s">
        <v>0</v>
      </c>
      <c r="B1129" s="230">
        <v>112587</v>
      </c>
      <c r="C1129" s="230">
        <v>10752</v>
      </c>
      <c r="D1129" s="231" t="s">
        <v>280</v>
      </c>
      <c r="E1129" s="230">
        <v>14491032</v>
      </c>
      <c r="F1129" s="230">
        <v>29608</v>
      </c>
      <c r="G1129" s="230">
        <v>1</v>
      </c>
      <c r="H1129" s="240">
        <v>359.46</v>
      </c>
      <c r="I1129" s="240">
        <f t="shared" si="17"/>
        <v>359.46</v>
      </c>
      <c r="J1129" s="231" t="s">
        <v>1393</v>
      </c>
      <c r="K1129" s="231" t="s">
        <v>1394</v>
      </c>
      <c r="L1129" s="232">
        <v>45170</v>
      </c>
      <c r="M1129" s="232">
        <v>45199</v>
      </c>
    </row>
    <row r="1130" spans="1:13" ht="14.25" customHeight="1" x14ac:dyDescent="0.2">
      <c r="A1130" s="231" t="s">
        <v>0</v>
      </c>
      <c r="B1130" s="230">
        <v>112596</v>
      </c>
      <c r="C1130" s="230">
        <v>10750</v>
      </c>
      <c r="D1130" s="231" t="s">
        <v>285</v>
      </c>
      <c r="E1130" s="230">
        <v>14491032</v>
      </c>
      <c r="F1130" s="230">
        <v>29626</v>
      </c>
      <c r="G1130" s="230">
        <v>1</v>
      </c>
      <c r="H1130" s="240">
        <v>359.46</v>
      </c>
      <c r="I1130" s="240">
        <f t="shared" si="17"/>
        <v>359.46</v>
      </c>
      <c r="J1130" s="231" t="s">
        <v>1393</v>
      </c>
      <c r="K1130" s="231" t="s">
        <v>1394</v>
      </c>
      <c r="L1130" s="232">
        <v>45170</v>
      </c>
      <c r="M1130" s="232">
        <v>45199</v>
      </c>
    </row>
    <row r="1131" spans="1:13" ht="14.25" customHeight="1" x14ac:dyDescent="0.2">
      <c r="A1131" s="231" t="s">
        <v>0</v>
      </c>
      <c r="B1131" s="230">
        <v>112629</v>
      </c>
      <c r="C1131" s="230">
        <v>10750</v>
      </c>
      <c r="D1131" s="231" t="s">
        <v>309</v>
      </c>
      <c r="E1131" s="230">
        <v>14491032</v>
      </c>
      <c r="F1131" s="230">
        <v>29692</v>
      </c>
      <c r="G1131" s="230">
        <v>1</v>
      </c>
      <c r="H1131" s="240">
        <v>359.46</v>
      </c>
      <c r="I1131" s="240">
        <f t="shared" si="17"/>
        <v>359.46</v>
      </c>
      <c r="J1131" s="231" t="s">
        <v>1393</v>
      </c>
      <c r="K1131" s="231" t="s">
        <v>1394</v>
      </c>
      <c r="L1131" s="232">
        <v>45170</v>
      </c>
      <c r="M1131" s="232">
        <v>45199</v>
      </c>
    </row>
    <row r="1132" spans="1:13" ht="14.25" customHeight="1" x14ac:dyDescent="0.2">
      <c r="A1132" s="231" t="s">
        <v>0</v>
      </c>
      <c r="B1132" s="230">
        <v>112630</v>
      </c>
      <c r="C1132" s="230">
        <v>10757</v>
      </c>
      <c r="D1132" s="231" t="s">
        <v>310</v>
      </c>
      <c r="E1132" s="230">
        <v>14491032</v>
      </c>
      <c r="F1132" s="230">
        <v>29694</v>
      </c>
      <c r="G1132" s="230">
        <v>1</v>
      </c>
      <c r="H1132" s="240">
        <v>359.46</v>
      </c>
      <c r="I1132" s="240">
        <f t="shared" si="17"/>
        <v>359.46</v>
      </c>
      <c r="J1132" s="231" t="s">
        <v>1393</v>
      </c>
      <c r="K1132" s="231" t="s">
        <v>1394</v>
      </c>
      <c r="L1132" s="232">
        <v>45170</v>
      </c>
      <c r="M1132" s="232">
        <v>45199</v>
      </c>
    </row>
    <row r="1133" spans="1:13" ht="14.25" customHeight="1" x14ac:dyDescent="0.2">
      <c r="A1133" s="231" t="s">
        <v>0</v>
      </c>
      <c r="B1133" s="230">
        <v>112634</v>
      </c>
      <c r="C1133" s="230">
        <v>10752</v>
      </c>
      <c r="D1133" s="231" t="s">
        <v>312</v>
      </c>
      <c r="E1133" s="230">
        <v>14491032</v>
      </c>
      <c r="F1133" s="230">
        <v>29702</v>
      </c>
      <c r="G1133" s="230">
        <v>1</v>
      </c>
      <c r="H1133" s="240">
        <v>359.46</v>
      </c>
      <c r="I1133" s="240">
        <f t="shared" si="17"/>
        <v>359.46</v>
      </c>
      <c r="J1133" s="231" t="s">
        <v>1393</v>
      </c>
      <c r="K1133" s="231" t="s">
        <v>1394</v>
      </c>
      <c r="L1133" s="232">
        <v>45170</v>
      </c>
      <c r="M1133" s="232">
        <v>45199</v>
      </c>
    </row>
    <row r="1134" spans="1:13" ht="14.25" customHeight="1" x14ac:dyDescent="0.2">
      <c r="A1134" s="231" t="s">
        <v>0</v>
      </c>
      <c r="B1134" s="230">
        <v>112639</v>
      </c>
      <c r="C1134" s="230">
        <v>10750</v>
      </c>
      <c r="D1134" s="231" t="s">
        <v>210</v>
      </c>
      <c r="E1134" s="230">
        <v>14491032</v>
      </c>
      <c r="F1134" s="230">
        <v>29712</v>
      </c>
      <c r="G1134" s="230">
        <v>1</v>
      </c>
      <c r="H1134" s="240">
        <v>359.46</v>
      </c>
      <c r="I1134" s="240">
        <f t="shared" si="17"/>
        <v>359.46</v>
      </c>
      <c r="J1134" s="231" t="s">
        <v>1393</v>
      </c>
      <c r="K1134" s="231" t="s">
        <v>1394</v>
      </c>
      <c r="L1134" s="232">
        <v>45170</v>
      </c>
      <c r="M1134" s="232">
        <v>45199</v>
      </c>
    </row>
    <row r="1135" spans="1:13" ht="14.25" customHeight="1" x14ac:dyDescent="0.2">
      <c r="A1135" s="231" t="s">
        <v>0</v>
      </c>
      <c r="B1135" s="230">
        <v>112664</v>
      </c>
      <c r="C1135" s="230">
        <v>10752</v>
      </c>
      <c r="D1135" s="231" t="s">
        <v>327</v>
      </c>
      <c r="E1135" s="230">
        <v>14491032</v>
      </c>
      <c r="F1135" s="230">
        <v>29762</v>
      </c>
      <c r="G1135" s="230">
        <v>1</v>
      </c>
      <c r="H1135" s="240">
        <v>347.47</v>
      </c>
      <c r="I1135" s="240">
        <f t="shared" si="17"/>
        <v>347.47</v>
      </c>
      <c r="J1135" s="231" t="s">
        <v>1393</v>
      </c>
      <c r="K1135" s="231" t="s">
        <v>1394</v>
      </c>
      <c r="L1135" s="232">
        <v>45170</v>
      </c>
      <c r="M1135" s="232">
        <v>45199</v>
      </c>
    </row>
    <row r="1136" spans="1:13" ht="14.25" customHeight="1" x14ac:dyDescent="0.2">
      <c r="A1136" s="231" t="s">
        <v>0</v>
      </c>
      <c r="B1136" s="230">
        <v>112669</v>
      </c>
      <c r="C1136" s="230">
        <v>10750</v>
      </c>
      <c r="D1136" s="231" t="s">
        <v>1380</v>
      </c>
      <c r="E1136" s="230">
        <v>14491032</v>
      </c>
      <c r="F1136" s="230">
        <v>29772</v>
      </c>
      <c r="G1136" s="230">
        <v>1</v>
      </c>
      <c r="H1136" s="240">
        <v>359.46</v>
      </c>
      <c r="I1136" s="240">
        <f t="shared" si="17"/>
        <v>359.46</v>
      </c>
      <c r="J1136" s="231" t="s">
        <v>1393</v>
      </c>
      <c r="K1136" s="231" t="s">
        <v>1394</v>
      </c>
      <c r="L1136" s="232">
        <v>45170</v>
      </c>
      <c r="M1136" s="232">
        <v>45199</v>
      </c>
    </row>
    <row r="1137" spans="1:13" ht="14.25" customHeight="1" x14ac:dyDescent="0.2">
      <c r="A1137" s="231" t="s">
        <v>0</v>
      </c>
      <c r="B1137" s="230">
        <v>112674</v>
      </c>
      <c r="C1137" s="230">
        <v>10750</v>
      </c>
      <c r="D1137" s="231" t="s">
        <v>332</v>
      </c>
      <c r="E1137" s="230">
        <v>14491032</v>
      </c>
      <c r="F1137" s="230">
        <v>29782</v>
      </c>
      <c r="G1137" s="230">
        <v>1</v>
      </c>
      <c r="H1137" s="240">
        <v>359.46</v>
      </c>
      <c r="I1137" s="240">
        <f t="shared" si="17"/>
        <v>359.46</v>
      </c>
      <c r="J1137" s="231" t="s">
        <v>1393</v>
      </c>
      <c r="K1137" s="231" t="s">
        <v>1394</v>
      </c>
      <c r="L1137" s="232">
        <v>45170</v>
      </c>
      <c r="M1137" s="232">
        <v>45199</v>
      </c>
    </row>
    <row r="1138" spans="1:13" ht="14.25" customHeight="1" x14ac:dyDescent="0.2">
      <c r="A1138" s="231" t="s">
        <v>0</v>
      </c>
      <c r="B1138" s="230">
        <v>112678</v>
      </c>
      <c r="C1138" s="230">
        <v>10763</v>
      </c>
      <c r="D1138" s="231" t="s">
        <v>335</v>
      </c>
      <c r="E1138" s="230">
        <v>14491032</v>
      </c>
      <c r="F1138" s="230">
        <v>29790</v>
      </c>
      <c r="G1138" s="230">
        <v>1</v>
      </c>
      <c r="H1138" s="240">
        <v>359.46</v>
      </c>
      <c r="I1138" s="240">
        <f t="shared" si="17"/>
        <v>359.46</v>
      </c>
      <c r="J1138" s="231" t="s">
        <v>1393</v>
      </c>
      <c r="K1138" s="231" t="s">
        <v>1394</v>
      </c>
      <c r="L1138" s="232">
        <v>45170</v>
      </c>
      <c r="M1138" s="232">
        <v>45199</v>
      </c>
    </row>
    <row r="1139" spans="1:13" ht="14.25" customHeight="1" x14ac:dyDescent="0.2">
      <c r="A1139" s="231" t="s">
        <v>0</v>
      </c>
      <c r="B1139" s="230">
        <v>112680</v>
      </c>
      <c r="C1139" s="230">
        <v>10771</v>
      </c>
      <c r="D1139" s="231" t="s">
        <v>336</v>
      </c>
      <c r="E1139" s="230">
        <v>14491032</v>
      </c>
      <c r="F1139" s="230">
        <v>29794</v>
      </c>
      <c r="G1139" s="230">
        <v>1</v>
      </c>
      <c r="H1139" s="240">
        <v>359.46</v>
      </c>
      <c r="I1139" s="240">
        <f t="shared" si="17"/>
        <v>359.46</v>
      </c>
      <c r="J1139" s="231" t="s">
        <v>1393</v>
      </c>
      <c r="K1139" s="231" t="s">
        <v>1394</v>
      </c>
      <c r="L1139" s="232">
        <v>45170</v>
      </c>
      <c r="M1139" s="232">
        <v>45199</v>
      </c>
    </row>
    <row r="1140" spans="1:13" ht="14.25" customHeight="1" x14ac:dyDescent="0.2">
      <c r="A1140" s="231" t="s">
        <v>0</v>
      </c>
      <c r="B1140" s="230">
        <v>112683</v>
      </c>
      <c r="C1140" s="230">
        <v>10757</v>
      </c>
      <c r="D1140" s="231" t="s">
        <v>339</v>
      </c>
      <c r="E1140" s="230">
        <v>14491032</v>
      </c>
      <c r="F1140" s="230">
        <v>29800</v>
      </c>
      <c r="G1140" s="230">
        <v>1</v>
      </c>
      <c r="H1140" s="240">
        <v>359.46</v>
      </c>
      <c r="I1140" s="240">
        <f t="shared" si="17"/>
        <v>359.46</v>
      </c>
      <c r="J1140" s="231" t="s">
        <v>1393</v>
      </c>
      <c r="K1140" s="231" t="s">
        <v>1394</v>
      </c>
      <c r="L1140" s="232">
        <v>45170</v>
      </c>
      <c r="M1140" s="232">
        <v>45199</v>
      </c>
    </row>
    <row r="1141" spans="1:13" ht="14.25" customHeight="1" x14ac:dyDescent="0.2">
      <c r="A1141" s="231" t="s">
        <v>0</v>
      </c>
      <c r="B1141" s="230">
        <v>112687</v>
      </c>
      <c r="C1141" s="230">
        <v>10750</v>
      </c>
      <c r="D1141" s="231" t="s">
        <v>343</v>
      </c>
      <c r="E1141" s="230">
        <v>14491032</v>
      </c>
      <c r="F1141" s="230">
        <v>29808</v>
      </c>
      <c r="G1141" s="230">
        <v>1</v>
      </c>
      <c r="H1141" s="240">
        <v>359.46</v>
      </c>
      <c r="I1141" s="240">
        <f t="shared" si="17"/>
        <v>359.46</v>
      </c>
      <c r="J1141" s="231" t="s">
        <v>1393</v>
      </c>
      <c r="K1141" s="231" t="s">
        <v>1394</v>
      </c>
      <c r="L1141" s="232">
        <v>45170</v>
      </c>
      <c r="M1141" s="232">
        <v>45199</v>
      </c>
    </row>
    <row r="1142" spans="1:13" ht="14.25" customHeight="1" x14ac:dyDescent="0.2">
      <c r="A1142" s="231" t="s">
        <v>0</v>
      </c>
      <c r="B1142" s="230">
        <v>112698</v>
      </c>
      <c r="C1142" s="230">
        <v>10751</v>
      </c>
      <c r="D1142" s="231" t="s">
        <v>349</v>
      </c>
      <c r="E1142" s="230">
        <v>14491032</v>
      </c>
      <c r="F1142" s="230">
        <v>29830</v>
      </c>
      <c r="G1142" s="230">
        <v>1</v>
      </c>
      <c r="H1142" s="240">
        <v>359.46</v>
      </c>
      <c r="I1142" s="240">
        <f t="shared" si="17"/>
        <v>359.46</v>
      </c>
      <c r="J1142" s="231" t="s">
        <v>1393</v>
      </c>
      <c r="K1142" s="231" t="s">
        <v>1394</v>
      </c>
      <c r="L1142" s="232">
        <v>45170</v>
      </c>
      <c r="M1142" s="232">
        <v>45199</v>
      </c>
    </row>
    <row r="1143" spans="1:13" ht="14.25" customHeight="1" x14ac:dyDescent="0.2">
      <c r="A1143" s="231" t="s">
        <v>0</v>
      </c>
      <c r="B1143" s="230">
        <v>112699</v>
      </c>
      <c r="C1143" s="230">
        <v>10750</v>
      </c>
      <c r="D1143" s="231" t="s">
        <v>351</v>
      </c>
      <c r="E1143" s="230">
        <v>14491032</v>
      </c>
      <c r="F1143" s="230">
        <v>29832</v>
      </c>
      <c r="G1143" s="230">
        <v>1</v>
      </c>
      <c r="H1143" s="240">
        <v>359.46</v>
      </c>
      <c r="I1143" s="240">
        <f t="shared" si="17"/>
        <v>359.46</v>
      </c>
      <c r="J1143" s="231" t="s">
        <v>1393</v>
      </c>
      <c r="K1143" s="231" t="s">
        <v>1394</v>
      </c>
      <c r="L1143" s="232">
        <v>45170</v>
      </c>
      <c r="M1143" s="232">
        <v>45199</v>
      </c>
    </row>
    <row r="1144" spans="1:13" ht="14.25" customHeight="1" x14ac:dyDescent="0.2">
      <c r="A1144" s="231" t="s">
        <v>0</v>
      </c>
      <c r="B1144" s="230">
        <v>112706</v>
      </c>
      <c r="C1144" s="230">
        <v>10751</v>
      </c>
      <c r="D1144" s="231" t="s">
        <v>355</v>
      </c>
      <c r="E1144" s="230">
        <v>14491032</v>
      </c>
      <c r="F1144" s="230">
        <v>29846</v>
      </c>
      <c r="G1144" s="230">
        <v>1</v>
      </c>
      <c r="H1144" s="240">
        <v>359.46</v>
      </c>
      <c r="I1144" s="240">
        <f t="shared" si="17"/>
        <v>359.46</v>
      </c>
      <c r="J1144" s="231" t="s">
        <v>1393</v>
      </c>
      <c r="K1144" s="231" t="s">
        <v>1394</v>
      </c>
      <c r="L1144" s="232">
        <v>45170</v>
      </c>
      <c r="M1144" s="232">
        <v>45199</v>
      </c>
    </row>
    <row r="1145" spans="1:13" ht="14.25" customHeight="1" x14ac:dyDescent="0.2">
      <c r="A1145" s="231" t="s">
        <v>0</v>
      </c>
      <c r="B1145" s="230">
        <v>112714</v>
      </c>
      <c r="C1145" s="230">
        <v>10751</v>
      </c>
      <c r="D1145" s="231" t="s">
        <v>359</v>
      </c>
      <c r="E1145" s="230">
        <v>14491032</v>
      </c>
      <c r="F1145" s="230">
        <v>29862</v>
      </c>
      <c r="G1145" s="230">
        <v>1</v>
      </c>
      <c r="H1145" s="240">
        <v>359.46</v>
      </c>
      <c r="I1145" s="240">
        <f t="shared" si="17"/>
        <v>359.46</v>
      </c>
      <c r="J1145" s="231" t="s">
        <v>1393</v>
      </c>
      <c r="K1145" s="231" t="s">
        <v>1394</v>
      </c>
      <c r="L1145" s="232">
        <v>45170</v>
      </c>
      <c r="M1145" s="232">
        <v>45199</v>
      </c>
    </row>
    <row r="1146" spans="1:13" ht="14.25" customHeight="1" x14ac:dyDescent="0.2">
      <c r="A1146" s="231" t="s">
        <v>0</v>
      </c>
      <c r="B1146" s="230">
        <v>112720</v>
      </c>
      <c r="C1146" s="230">
        <v>10751</v>
      </c>
      <c r="D1146" s="231" t="s">
        <v>364</v>
      </c>
      <c r="E1146" s="230">
        <v>14491032</v>
      </c>
      <c r="F1146" s="230">
        <v>29874</v>
      </c>
      <c r="G1146" s="230">
        <v>1</v>
      </c>
      <c r="H1146" s="240">
        <v>359.46</v>
      </c>
      <c r="I1146" s="240">
        <f t="shared" si="17"/>
        <v>359.46</v>
      </c>
      <c r="J1146" s="231" t="s">
        <v>1393</v>
      </c>
      <c r="K1146" s="231" t="s">
        <v>1394</v>
      </c>
      <c r="L1146" s="232">
        <v>45170</v>
      </c>
      <c r="M1146" s="232">
        <v>45199</v>
      </c>
    </row>
    <row r="1147" spans="1:13" ht="14.25" customHeight="1" x14ac:dyDescent="0.2">
      <c r="A1147" s="231" t="s">
        <v>0</v>
      </c>
      <c r="B1147" s="230">
        <v>112725</v>
      </c>
      <c r="C1147" s="230">
        <v>10756</v>
      </c>
      <c r="D1147" s="231" t="s">
        <v>367</v>
      </c>
      <c r="E1147" s="230">
        <v>14491032</v>
      </c>
      <c r="F1147" s="230">
        <v>29884</v>
      </c>
      <c r="G1147" s="230">
        <v>1</v>
      </c>
      <c r="H1147" s="240">
        <v>359.46</v>
      </c>
      <c r="I1147" s="240">
        <f t="shared" si="17"/>
        <v>359.46</v>
      </c>
      <c r="J1147" s="231" t="s">
        <v>1393</v>
      </c>
      <c r="K1147" s="231" t="s">
        <v>1394</v>
      </c>
      <c r="L1147" s="232">
        <v>45170</v>
      </c>
      <c r="M1147" s="232">
        <v>45199</v>
      </c>
    </row>
    <row r="1148" spans="1:13" ht="14.25" customHeight="1" x14ac:dyDescent="0.2">
      <c r="A1148" s="231" t="s">
        <v>0</v>
      </c>
      <c r="B1148" s="230">
        <v>112727</v>
      </c>
      <c r="C1148" s="230">
        <v>10750</v>
      </c>
      <c r="D1148" s="231" t="s">
        <v>369</v>
      </c>
      <c r="E1148" s="230">
        <v>14491032</v>
      </c>
      <c r="F1148" s="230">
        <v>29888</v>
      </c>
      <c r="G1148" s="230">
        <v>1</v>
      </c>
      <c r="H1148" s="240">
        <v>359.46</v>
      </c>
      <c r="I1148" s="240">
        <f t="shared" si="17"/>
        <v>359.46</v>
      </c>
      <c r="J1148" s="231" t="s">
        <v>1393</v>
      </c>
      <c r="K1148" s="231" t="s">
        <v>1394</v>
      </c>
      <c r="L1148" s="232">
        <v>45170</v>
      </c>
      <c r="M1148" s="232">
        <v>45199</v>
      </c>
    </row>
    <row r="1149" spans="1:13" ht="14.25" customHeight="1" x14ac:dyDescent="0.2">
      <c r="A1149" s="231" t="s">
        <v>0</v>
      </c>
      <c r="B1149" s="230">
        <v>112730</v>
      </c>
      <c r="C1149" s="230">
        <v>10757</v>
      </c>
      <c r="D1149" s="231" t="s">
        <v>370</v>
      </c>
      <c r="E1149" s="230">
        <v>14491032</v>
      </c>
      <c r="F1149" s="230">
        <v>29894</v>
      </c>
      <c r="G1149" s="230">
        <v>1</v>
      </c>
      <c r="H1149" s="240">
        <v>359.46</v>
      </c>
      <c r="I1149" s="240">
        <f t="shared" si="17"/>
        <v>359.46</v>
      </c>
      <c r="J1149" s="231" t="s">
        <v>1393</v>
      </c>
      <c r="K1149" s="231" t="s">
        <v>1394</v>
      </c>
      <c r="L1149" s="232">
        <v>45170</v>
      </c>
      <c r="M1149" s="232">
        <v>45199</v>
      </c>
    </row>
    <row r="1150" spans="1:13" ht="14.25" customHeight="1" x14ac:dyDescent="0.2">
      <c r="A1150" s="231" t="s">
        <v>0</v>
      </c>
      <c r="B1150" s="230">
        <v>112732</v>
      </c>
      <c r="C1150" s="230">
        <v>10758</v>
      </c>
      <c r="D1150" s="231" t="s">
        <v>372</v>
      </c>
      <c r="E1150" s="230">
        <v>14491032</v>
      </c>
      <c r="F1150" s="230">
        <v>29898</v>
      </c>
      <c r="G1150" s="230">
        <v>1</v>
      </c>
      <c r="H1150" s="240">
        <v>359.46</v>
      </c>
      <c r="I1150" s="240">
        <f t="shared" si="17"/>
        <v>359.46</v>
      </c>
      <c r="J1150" s="231" t="s">
        <v>1393</v>
      </c>
      <c r="K1150" s="231" t="s">
        <v>1394</v>
      </c>
      <c r="L1150" s="232">
        <v>45170</v>
      </c>
      <c r="M1150" s="232">
        <v>45199</v>
      </c>
    </row>
    <row r="1151" spans="1:13" ht="14.25" customHeight="1" x14ac:dyDescent="0.2">
      <c r="A1151" s="231" t="s">
        <v>0</v>
      </c>
      <c r="B1151" s="230">
        <v>112737</v>
      </c>
      <c r="C1151" s="230">
        <v>10750</v>
      </c>
      <c r="D1151" s="231" t="s">
        <v>375</v>
      </c>
      <c r="E1151" s="230">
        <v>14491032</v>
      </c>
      <c r="F1151" s="230">
        <v>29908</v>
      </c>
      <c r="G1151" s="230">
        <v>1</v>
      </c>
      <c r="H1151" s="240">
        <v>359.46</v>
      </c>
      <c r="I1151" s="240">
        <f t="shared" si="17"/>
        <v>359.46</v>
      </c>
      <c r="J1151" s="231" t="s">
        <v>1393</v>
      </c>
      <c r="K1151" s="231" t="s">
        <v>1394</v>
      </c>
      <c r="L1151" s="232">
        <v>45170</v>
      </c>
      <c r="M1151" s="232">
        <v>45199</v>
      </c>
    </row>
    <row r="1152" spans="1:13" ht="14.25" customHeight="1" x14ac:dyDescent="0.2">
      <c r="A1152" s="231" t="s">
        <v>0</v>
      </c>
      <c r="B1152" s="230">
        <v>112749</v>
      </c>
      <c r="C1152" s="230">
        <v>10750</v>
      </c>
      <c r="D1152" s="231" t="s">
        <v>383</v>
      </c>
      <c r="E1152" s="230">
        <v>14491032</v>
      </c>
      <c r="F1152" s="230">
        <v>29932</v>
      </c>
      <c r="G1152" s="230">
        <v>1</v>
      </c>
      <c r="H1152" s="240">
        <v>359.46</v>
      </c>
      <c r="I1152" s="240">
        <f t="shared" si="17"/>
        <v>359.46</v>
      </c>
      <c r="J1152" s="231" t="s">
        <v>1393</v>
      </c>
      <c r="K1152" s="231" t="s">
        <v>1394</v>
      </c>
      <c r="L1152" s="232">
        <v>45170</v>
      </c>
      <c r="M1152" s="232">
        <v>45199</v>
      </c>
    </row>
    <row r="1153" spans="1:13" ht="14.25" customHeight="1" x14ac:dyDescent="0.2">
      <c r="A1153" s="231" t="s">
        <v>0</v>
      </c>
      <c r="B1153" s="230">
        <v>112765</v>
      </c>
      <c r="C1153" s="230">
        <v>10750</v>
      </c>
      <c r="D1153" s="231" t="s">
        <v>392</v>
      </c>
      <c r="E1153" s="230">
        <v>14491032</v>
      </c>
      <c r="F1153" s="230">
        <v>29964</v>
      </c>
      <c r="G1153" s="230">
        <v>1</v>
      </c>
      <c r="H1153" s="240">
        <v>359.46</v>
      </c>
      <c r="I1153" s="240">
        <f t="shared" si="17"/>
        <v>359.46</v>
      </c>
      <c r="J1153" s="231" t="s">
        <v>1393</v>
      </c>
      <c r="K1153" s="231" t="s">
        <v>1394</v>
      </c>
      <c r="L1153" s="232">
        <v>45170</v>
      </c>
      <c r="M1153" s="232">
        <v>45199</v>
      </c>
    </row>
    <row r="1154" spans="1:13" ht="14.25" customHeight="1" x14ac:dyDescent="0.2">
      <c r="A1154" s="231" t="s">
        <v>0</v>
      </c>
      <c r="B1154" s="230">
        <v>112772</v>
      </c>
      <c r="C1154" s="230">
        <v>10750</v>
      </c>
      <c r="D1154" s="231" t="s">
        <v>398</v>
      </c>
      <c r="E1154" s="230">
        <v>14491032</v>
      </c>
      <c r="F1154" s="230">
        <v>29978</v>
      </c>
      <c r="G1154" s="230">
        <v>1</v>
      </c>
      <c r="H1154" s="240">
        <v>359.46</v>
      </c>
      <c r="I1154" s="240">
        <f t="shared" ref="I1154:I1217" si="18">G1154*H1154</f>
        <v>359.46</v>
      </c>
      <c r="J1154" s="231" t="s">
        <v>1393</v>
      </c>
      <c r="K1154" s="231" t="s">
        <v>1394</v>
      </c>
      <c r="L1154" s="232">
        <v>45170</v>
      </c>
      <c r="M1154" s="232">
        <v>45199</v>
      </c>
    </row>
    <row r="1155" spans="1:13" ht="14.25" customHeight="1" x14ac:dyDescent="0.2">
      <c r="A1155" s="231" t="s">
        <v>0</v>
      </c>
      <c r="B1155" s="230">
        <v>112775</v>
      </c>
      <c r="C1155" s="230">
        <v>10757</v>
      </c>
      <c r="D1155" s="231" t="s">
        <v>1461</v>
      </c>
      <c r="E1155" s="230">
        <v>14491032</v>
      </c>
      <c r="F1155" s="230">
        <v>29984</v>
      </c>
      <c r="G1155" s="230">
        <v>1</v>
      </c>
      <c r="H1155" s="240">
        <v>359.46</v>
      </c>
      <c r="I1155" s="240">
        <f t="shared" si="18"/>
        <v>359.46</v>
      </c>
      <c r="J1155" s="231" t="s">
        <v>1393</v>
      </c>
      <c r="K1155" s="231" t="s">
        <v>1394</v>
      </c>
      <c r="L1155" s="232">
        <v>45170</v>
      </c>
      <c r="M1155" s="232">
        <v>45199</v>
      </c>
    </row>
    <row r="1156" spans="1:13" ht="14.25" customHeight="1" x14ac:dyDescent="0.2">
      <c r="A1156" s="231" t="s">
        <v>0</v>
      </c>
      <c r="B1156" s="230">
        <v>112776</v>
      </c>
      <c r="C1156" s="230">
        <v>10750</v>
      </c>
      <c r="D1156" s="231" t="s">
        <v>401</v>
      </c>
      <c r="E1156" s="230">
        <v>14491032</v>
      </c>
      <c r="F1156" s="230">
        <v>29986</v>
      </c>
      <c r="G1156" s="230">
        <v>1</v>
      </c>
      <c r="H1156" s="240">
        <v>359.46</v>
      </c>
      <c r="I1156" s="240">
        <f t="shared" si="18"/>
        <v>359.46</v>
      </c>
      <c r="J1156" s="231" t="s">
        <v>1393</v>
      </c>
      <c r="K1156" s="231" t="s">
        <v>1394</v>
      </c>
      <c r="L1156" s="232">
        <v>45170</v>
      </c>
      <c r="M1156" s="232">
        <v>45199</v>
      </c>
    </row>
    <row r="1157" spans="1:13" ht="14.25" customHeight="1" x14ac:dyDescent="0.2">
      <c r="A1157" s="231" t="s">
        <v>0</v>
      </c>
      <c r="B1157" s="230">
        <v>112781</v>
      </c>
      <c r="C1157" s="230">
        <v>10756</v>
      </c>
      <c r="D1157" s="231" t="s">
        <v>405</v>
      </c>
      <c r="E1157" s="230">
        <v>14491032</v>
      </c>
      <c r="F1157" s="230">
        <v>29996</v>
      </c>
      <c r="G1157" s="230">
        <v>1</v>
      </c>
      <c r="H1157" s="240">
        <v>359.46</v>
      </c>
      <c r="I1157" s="240">
        <f t="shared" si="18"/>
        <v>359.46</v>
      </c>
      <c r="J1157" s="231" t="s">
        <v>1393</v>
      </c>
      <c r="K1157" s="231" t="s">
        <v>1394</v>
      </c>
      <c r="L1157" s="232">
        <v>45170</v>
      </c>
      <c r="M1157" s="232">
        <v>45199</v>
      </c>
    </row>
    <row r="1158" spans="1:13" ht="14.25" customHeight="1" x14ac:dyDescent="0.2">
      <c r="A1158" s="231" t="s">
        <v>0</v>
      </c>
      <c r="B1158" s="230">
        <v>112782</v>
      </c>
      <c r="C1158" s="230">
        <v>10757</v>
      </c>
      <c r="D1158" s="231" t="s">
        <v>406</v>
      </c>
      <c r="E1158" s="230">
        <v>14491032</v>
      </c>
      <c r="F1158" s="230">
        <v>29998</v>
      </c>
      <c r="G1158" s="230">
        <v>1</v>
      </c>
      <c r="H1158" s="240">
        <v>359.46</v>
      </c>
      <c r="I1158" s="240">
        <f t="shared" si="18"/>
        <v>359.46</v>
      </c>
      <c r="J1158" s="231" t="s">
        <v>1393</v>
      </c>
      <c r="K1158" s="231" t="s">
        <v>1394</v>
      </c>
      <c r="L1158" s="232">
        <v>45170</v>
      </c>
      <c r="M1158" s="232">
        <v>45199</v>
      </c>
    </row>
    <row r="1159" spans="1:13" ht="14.25" customHeight="1" x14ac:dyDescent="0.2">
      <c r="A1159" s="231" t="s">
        <v>0</v>
      </c>
      <c r="B1159" s="230">
        <v>112786</v>
      </c>
      <c r="C1159" s="230">
        <v>10763</v>
      </c>
      <c r="D1159" s="231" t="s">
        <v>409</v>
      </c>
      <c r="E1159" s="230">
        <v>14491032</v>
      </c>
      <c r="F1159" s="230">
        <v>30006</v>
      </c>
      <c r="G1159" s="230">
        <v>1</v>
      </c>
      <c r="H1159" s="240">
        <v>359.46</v>
      </c>
      <c r="I1159" s="240">
        <f t="shared" si="18"/>
        <v>359.46</v>
      </c>
      <c r="J1159" s="231" t="s">
        <v>1393</v>
      </c>
      <c r="K1159" s="231" t="s">
        <v>1394</v>
      </c>
      <c r="L1159" s="232">
        <v>45170</v>
      </c>
      <c r="M1159" s="232">
        <v>45199</v>
      </c>
    </row>
    <row r="1160" spans="1:13" ht="14.25" customHeight="1" x14ac:dyDescent="0.2">
      <c r="A1160" s="231" t="s">
        <v>0</v>
      </c>
      <c r="B1160" s="230">
        <v>112797</v>
      </c>
      <c r="C1160" s="230">
        <v>10752</v>
      </c>
      <c r="D1160" s="231" t="s">
        <v>417</v>
      </c>
      <c r="E1160" s="230">
        <v>14491032</v>
      </c>
      <c r="F1160" s="230">
        <v>30028</v>
      </c>
      <c r="G1160" s="230">
        <v>1</v>
      </c>
      <c r="H1160" s="240">
        <v>359.46</v>
      </c>
      <c r="I1160" s="240">
        <f t="shared" si="18"/>
        <v>359.46</v>
      </c>
      <c r="J1160" s="231" t="s">
        <v>1393</v>
      </c>
      <c r="K1160" s="231" t="s">
        <v>1394</v>
      </c>
      <c r="L1160" s="232">
        <v>45170</v>
      </c>
      <c r="M1160" s="232">
        <v>45199</v>
      </c>
    </row>
    <row r="1161" spans="1:13" ht="14.25" customHeight="1" x14ac:dyDescent="0.2">
      <c r="A1161" s="231" t="s">
        <v>0</v>
      </c>
      <c r="B1161" s="230">
        <v>112803</v>
      </c>
      <c r="C1161" s="230">
        <v>10750</v>
      </c>
      <c r="D1161" s="231" t="s">
        <v>422</v>
      </c>
      <c r="E1161" s="230">
        <v>14491032</v>
      </c>
      <c r="F1161" s="230">
        <v>30040</v>
      </c>
      <c r="G1161" s="230">
        <v>1</v>
      </c>
      <c r="H1161" s="240">
        <v>359.46</v>
      </c>
      <c r="I1161" s="240">
        <f t="shared" si="18"/>
        <v>359.46</v>
      </c>
      <c r="J1161" s="231" t="s">
        <v>1393</v>
      </c>
      <c r="K1161" s="231" t="s">
        <v>1394</v>
      </c>
      <c r="L1161" s="232">
        <v>45170</v>
      </c>
      <c r="M1161" s="232">
        <v>45199</v>
      </c>
    </row>
    <row r="1162" spans="1:13" ht="14.25" customHeight="1" x14ac:dyDescent="0.2">
      <c r="A1162" s="231" t="s">
        <v>0</v>
      </c>
      <c r="B1162" s="230">
        <v>112810</v>
      </c>
      <c r="C1162" s="230">
        <v>10750</v>
      </c>
      <c r="D1162" s="231" t="s">
        <v>427</v>
      </c>
      <c r="E1162" s="230">
        <v>14491032</v>
      </c>
      <c r="F1162" s="230">
        <v>30054</v>
      </c>
      <c r="G1162" s="230">
        <v>1</v>
      </c>
      <c r="H1162" s="240">
        <v>359.46</v>
      </c>
      <c r="I1162" s="240">
        <f t="shared" si="18"/>
        <v>359.46</v>
      </c>
      <c r="J1162" s="231" t="s">
        <v>1393</v>
      </c>
      <c r="K1162" s="231" t="s">
        <v>1394</v>
      </c>
      <c r="L1162" s="232">
        <v>45170</v>
      </c>
      <c r="M1162" s="232">
        <v>45199</v>
      </c>
    </row>
    <row r="1163" spans="1:13" ht="14.25" customHeight="1" x14ac:dyDescent="0.2">
      <c r="A1163" s="231" t="s">
        <v>0</v>
      </c>
      <c r="B1163" s="230">
        <v>112814</v>
      </c>
      <c r="C1163" s="230">
        <v>10750</v>
      </c>
      <c r="D1163" s="231" t="s">
        <v>430</v>
      </c>
      <c r="E1163" s="230">
        <v>14491032</v>
      </c>
      <c r="F1163" s="230">
        <v>30062</v>
      </c>
      <c r="G1163" s="230">
        <v>1</v>
      </c>
      <c r="H1163" s="240">
        <v>359.46</v>
      </c>
      <c r="I1163" s="240">
        <f t="shared" si="18"/>
        <v>359.46</v>
      </c>
      <c r="J1163" s="231" t="s">
        <v>1393</v>
      </c>
      <c r="K1163" s="231" t="s">
        <v>1394</v>
      </c>
      <c r="L1163" s="232">
        <v>45170</v>
      </c>
      <c r="M1163" s="232">
        <v>45199</v>
      </c>
    </row>
    <row r="1164" spans="1:13" ht="14.25" customHeight="1" x14ac:dyDescent="0.2">
      <c r="A1164" s="231" t="s">
        <v>0</v>
      </c>
      <c r="B1164" s="230">
        <v>112843</v>
      </c>
      <c r="C1164" s="230">
        <v>10757</v>
      </c>
      <c r="D1164" s="231" t="s">
        <v>449</v>
      </c>
      <c r="E1164" s="230">
        <v>14491032</v>
      </c>
      <c r="F1164" s="230">
        <v>30120</v>
      </c>
      <c r="G1164" s="230">
        <v>1</v>
      </c>
      <c r="H1164" s="240">
        <v>347.47</v>
      </c>
      <c r="I1164" s="240">
        <f t="shared" si="18"/>
        <v>347.47</v>
      </c>
      <c r="J1164" s="231" t="s">
        <v>1393</v>
      </c>
      <c r="K1164" s="231" t="s">
        <v>1394</v>
      </c>
      <c r="L1164" s="232">
        <v>45170</v>
      </c>
      <c r="M1164" s="232">
        <v>45199</v>
      </c>
    </row>
    <row r="1165" spans="1:13" ht="14.25" customHeight="1" x14ac:dyDescent="0.2">
      <c r="A1165" s="231" t="s">
        <v>0</v>
      </c>
      <c r="B1165" s="230">
        <v>112853</v>
      </c>
      <c r="C1165" s="230">
        <v>10750</v>
      </c>
      <c r="D1165" s="231" t="s">
        <v>455</v>
      </c>
      <c r="E1165" s="230">
        <v>14491032</v>
      </c>
      <c r="F1165" s="230">
        <v>30140</v>
      </c>
      <c r="G1165" s="230">
        <v>1</v>
      </c>
      <c r="H1165" s="240">
        <v>359.46</v>
      </c>
      <c r="I1165" s="240">
        <f t="shared" si="18"/>
        <v>359.46</v>
      </c>
      <c r="J1165" s="231" t="s">
        <v>1393</v>
      </c>
      <c r="K1165" s="231" t="s">
        <v>1394</v>
      </c>
      <c r="L1165" s="232">
        <v>45170</v>
      </c>
      <c r="M1165" s="232">
        <v>45199</v>
      </c>
    </row>
    <row r="1166" spans="1:13" ht="14.25" customHeight="1" x14ac:dyDescent="0.2">
      <c r="A1166" s="231" t="s">
        <v>0</v>
      </c>
      <c r="B1166" s="230">
        <v>112855</v>
      </c>
      <c r="C1166" s="230">
        <v>10757</v>
      </c>
      <c r="D1166" s="231" t="s">
        <v>456</v>
      </c>
      <c r="E1166" s="230">
        <v>14491032</v>
      </c>
      <c r="F1166" s="230">
        <v>30144</v>
      </c>
      <c r="G1166" s="230">
        <v>1</v>
      </c>
      <c r="H1166" s="240">
        <v>359.46</v>
      </c>
      <c r="I1166" s="240">
        <f t="shared" si="18"/>
        <v>359.46</v>
      </c>
      <c r="J1166" s="231" t="s">
        <v>1393</v>
      </c>
      <c r="K1166" s="231" t="s">
        <v>1394</v>
      </c>
      <c r="L1166" s="232">
        <v>45170</v>
      </c>
      <c r="M1166" s="232">
        <v>45199</v>
      </c>
    </row>
    <row r="1167" spans="1:13" ht="14.25" customHeight="1" x14ac:dyDescent="0.2">
      <c r="A1167" s="231" t="s">
        <v>0</v>
      </c>
      <c r="B1167" s="230">
        <v>112864</v>
      </c>
      <c r="C1167" s="230">
        <v>10750</v>
      </c>
      <c r="D1167" s="231" t="s">
        <v>1343</v>
      </c>
      <c r="E1167" s="230">
        <v>14491032</v>
      </c>
      <c r="F1167" s="230">
        <v>30162</v>
      </c>
      <c r="G1167" s="230">
        <v>1</v>
      </c>
      <c r="H1167" s="240">
        <v>359.46</v>
      </c>
      <c r="I1167" s="240">
        <f t="shared" si="18"/>
        <v>359.46</v>
      </c>
      <c r="J1167" s="231" t="s">
        <v>1393</v>
      </c>
      <c r="K1167" s="231" t="s">
        <v>1394</v>
      </c>
      <c r="L1167" s="232">
        <v>45170</v>
      </c>
      <c r="M1167" s="232">
        <v>45199</v>
      </c>
    </row>
    <row r="1168" spans="1:13" ht="14.25" customHeight="1" x14ac:dyDescent="0.2">
      <c r="A1168" s="231" t="s">
        <v>0</v>
      </c>
      <c r="B1168" s="230">
        <v>112873</v>
      </c>
      <c r="C1168" s="230">
        <v>10750</v>
      </c>
      <c r="D1168" s="231" t="s">
        <v>466</v>
      </c>
      <c r="E1168" s="230">
        <v>14491032</v>
      </c>
      <c r="F1168" s="230">
        <v>30180</v>
      </c>
      <c r="G1168" s="230">
        <v>1</v>
      </c>
      <c r="H1168" s="240">
        <v>359.46</v>
      </c>
      <c r="I1168" s="240">
        <f t="shared" si="18"/>
        <v>359.46</v>
      </c>
      <c r="J1168" s="231" t="s">
        <v>1393</v>
      </c>
      <c r="K1168" s="231" t="s">
        <v>1394</v>
      </c>
      <c r="L1168" s="232">
        <v>45170</v>
      </c>
      <c r="M1168" s="232">
        <v>45199</v>
      </c>
    </row>
    <row r="1169" spans="1:13" ht="14.25" customHeight="1" x14ac:dyDescent="0.2">
      <c r="A1169" s="231" t="s">
        <v>0</v>
      </c>
      <c r="B1169" s="230">
        <v>112881</v>
      </c>
      <c r="C1169" s="230">
        <v>10751</v>
      </c>
      <c r="D1169" s="231" t="s">
        <v>473</v>
      </c>
      <c r="E1169" s="230">
        <v>14491032</v>
      </c>
      <c r="F1169" s="230">
        <v>30196</v>
      </c>
      <c r="G1169" s="230">
        <v>1</v>
      </c>
      <c r="H1169" s="240">
        <v>359.46</v>
      </c>
      <c r="I1169" s="240">
        <f t="shared" si="18"/>
        <v>359.46</v>
      </c>
      <c r="J1169" s="231" t="s">
        <v>1393</v>
      </c>
      <c r="K1169" s="231" t="s">
        <v>1394</v>
      </c>
      <c r="L1169" s="232">
        <v>45170</v>
      </c>
      <c r="M1169" s="232">
        <v>45199</v>
      </c>
    </row>
    <row r="1170" spans="1:13" ht="14.25" customHeight="1" x14ac:dyDescent="0.2">
      <c r="A1170" s="231" t="s">
        <v>0</v>
      </c>
      <c r="B1170" s="230">
        <v>112882</v>
      </c>
      <c r="C1170" s="230">
        <v>10757</v>
      </c>
      <c r="D1170" s="231" t="s">
        <v>474</v>
      </c>
      <c r="E1170" s="230">
        <v>14491032</v>
      </c>
      <c r="F1170" s="230">
        <v>30198</v>
      </c>
      <c r="G1170" s="230">
        <v>1</v>
      </c>
      <c r="H1170" s="240">
        <v>359.46</v>
      </c>
      <c r="I1170" s="240">
        <f t="shared" si="18"/>
        <v>359.46</v>
      </c>
      <c r="J1170" s="231" t="s">
        <v>1393</v>
      </c>
      <c r="K1170" s="231" t="s">
        <v>1394</v>
      </c>
      <c r="L1170" s="232">
        <v>45170</v>
      </c>
      <c r="M1170" s="232">
        <v>45199</v>
      </c>
    </row>
    <row r="1171" spans="1:13" ht="14.25" customHeight="1" x14ac:dyDescent="0.2">
      <c r="A1171" s="231" t="s">
        <v>0</v>
      </c>
      <c r="B1171" s="230">
        <v>112883</v>
      </c>
      <c r="C1171" s="230">
        <v>10745</v>
      </c>
      <c r="D1171" s="231" t="s">
        <v>475</v>
      </c>
      <c r="E1171" s="230">
        <v>14491032</v>
      </c>
      <c r="F1171" s="230">
        <v>30200</v>
      </c>
      <c r="G1171" s="230">
        <v>1</v>
      </c>
      <c r="H1171" s="240">
        <v>359.46</v>
      </c>
      <c r="I1171" s="240">
        <f t="shared" si="18"/>
        <v>359.46</v>
      </c>
      <c r="J1171" s="231" t="s">
        <v>1393</v>
      </c>
      <c r="K1171" s="231" t="s">
        <v>1394</v>
      </c>
      <c r="L1171" s="232">
        <v>45170</v>
      </c>
      <c r="M1171" s="232">
        <v>45199</v>
      </c>
    </row>
    <row r="1172" spans="1:13" ht="14.25" customHeight="1" x14ac:dyDescent="0.2">
      <c r="A1172" s="231" t="s">
        <v>0</v>
      </c>
      <c r="B1172" s="230">
        <v>112893</v>
      </c>
      <c r="C1172" s="230">
        <v>10771</v>
      </c>
      <c r="D1172" s="231" t="s">
        <v>482</v>
      </c>
      <c r="E1172" s="230">
        <v>14491032</v>
      </c>
      <c r="F1172" s="230">
        <v>30220</v>
      </c>
      <c r="G1172" s="230">
        <v>1</v>
      </c>
      <c r="H1172" s="240">
        <v>359.46</v>
      </c>
      <c r="I1172" s="240">
        <f t="shared" si="18"/>
        <v>359.46</v>
      </c>
      <c r="J1172" s="231" t="s">
        <v>1393</v>
      </c>
      <c r="K1172" s="231" t="s">
        <v>1394</v>
      </c>
      <c r="L1172" s="232">
        <v>45170</v>
      </c>
      <c r="M1172" s="232">
        <v>45199</v>
      </c>
    </row>
    <row r="1173" spans="1:13" ht="14.25" customHeight="1" x14ac:dyDescent="0.2">
      <c r="A1173" s="231" t="s">
        <v>0</v>
      </c>
      <c r="B1173" s="230">
        <v>112905</v>
      </c>
      <c r="C1173" s="230">
        <v>10757</v>
      </c>
      <c r="D1173" s="231" t="s">
        <v>490</v>
      </c>
      <c r="E1173" s="230">
        <v>14491032</v>
      </c>
      <c r="F1173" s="230">
        <v>30244</v>
      </c>
      <c r="G1173" s="230">
        <v>1</v>
      </c>
      <c r="H1173" s="240">
        <v>359.46</v>
      </c>
      <c r="I1173" s="240">
        <f t="shared" si="18"/>
        <v>359.46</v>
      </c>
      <c r="J1173" s="231" t="s">
        <v>1393</v>
      </c>
      <c r="K1173" s="231" t="s">
        <v>1394</v>
      </c>
      <c r="L1173" s="232">
        <v>45170</v>
      </c>
      <c r="M1173" s="232">
        <v>45199</v>
      </c>
    </row>
    <row r="1174" spans="1:13" ht="14.25" customHeight="1" x14ac:dyDescent="0.2">
      <c r="A1174" s="231" t="s">
        <v>0</v>
      </c>
      <c r="B1174" s="230">
        <v>112906</v>
      </c>
      <c r="C1174" s="230">
        <v>10750</v>
      </c>
      <c r="D1174" s="231" t="s">
        <v>1574</v>
      </c>
      <c r="E1174" s="230">
        <v>14491032</v>
      </c>
      <c r="F1174" s="230">
        <v>30246</v>
      </c>
      <c r="G1174" s="230">
        <v>1</v>
      </c>
      <c r="H1174" s="240">
        <v>359.46</v>
      </c>
      <c r="I1174" s="240">
        <f t="shared" si="18"/>
        <v>359.46</v>
      </c>
      <c r="J1174" s="231" t="s">
        <v>1393</v>
      </c>
      <c r="K1174" s="231" t="s">
        <v>1394</v>
      </c>
      <c r="L1174" s="232">
        <v>45170</v>
      </c>
      <c r="M1174" s="232">
        <v>45199</v>
      </c>
    </row>
    <row r="1175" spans="1:13" ht="14.25" customHeight="1" x14ac:dyDescent="0.2">
      <c r="A1175" s="231" t="s">
        <v>0</v>
      </c>
      <c r="B1175" s="230">
        <v>112912</v>
      </c>
      <c r="C1175" s="230">
        <v>10750</v>
      </c>
      <c r="D1175" s="231" t="s">
        <v>1346</v>
      </c>
      <c r="E1175" s="230">
        <v>14491032</v>
      </c>
      <c r="F1175" s="230">
        <v>30258</v>
      </c>
      <c r="G1175" s="230">
        <v>1</v>
      </c>
      <c r="H1175" s="240">
        <v>359.46</v>
      </c>
      <c r="I1175" s="240">
        <f t="shared" si="18"/>
        <v>359.46</v>
      </c>
      <c r="J1175" s="231" t="s">
        <v>1393</v>
      </c>
      <c r="K1175" s="231" t="s">
        <v>1394</v>
      </c>
      <c r="L1175" s="232">
        <v>45170</v>
      </c>
      <c r="M1175" s="232">
        <v>45199</v>
      </c>
    </row>
    <row r="1176" spans="1:13" ht="14.25" customHeight="1" x14ac:dyDescent="0.2">
      <c r="A1176" s="231" t="s">
        <v>0</v>
      </c>
      <c r="B1176" s="230">
        <v>112950</v>
      </c>
      <c r="C1176" s="230">
        <v>10750</v>
      </c>
      <c r="D1176" s="231" t="s">
        <v>516</v>
      </c>
      <c r="E1176" s="230">
        <v>14491032</v>
      </c>
      <c r="F1176" s="230">
        <v>30334</v>
      </c>
      <c r="G1176" s="230">
        <v>1</v>
      </c>
      <c r="H1176" s="240">
        <v>359.46</v>
      </c>
      <c r="I1176" s="240">
        <f t="shared" si="18"/>
        <v>359.46</v>
      </c>
      <c r="J1176" s="231" t="s">
        <v>1393</v>
      </c>
      <c r="K1176" s="231" t="s">
        <v>1394</v>
      </c>
      <c r="L1176" s="232">
        <v>45170</v>
      </c>
      <c r="M1176" s="232">
        <v>45199</v>
      </c>
    </row>
    <row r="1177" spans="1:13" ht="14.25" customHeight="1" x14ac:dyDescent="0.2">
      <c r="A1177" s="231" t="s">
        <v>0</v>
      </c>
      <c r="B1177" s="230">
        <v>112974</v>
      </c>
      <c r="C1177" s="230">
        <v>10750</v>
      </c>
      <c r="D1177" s="231" t="s">
        <v>528</v>
      </c>
      <c r="E1177" s="230">
        <v>14491032</v>
      </c>
      <c r="F1177" s="230">
        <v>30382</v>
      </c>
      <c r="G1177" s="230">
        <v>1</v>
      </c>
      <c r="H1177" s="240">
        <v>359.46</v>
      </c>
      <c r="I1177" s="240">
        <f t="shared" si="18"/>
        <v>359.46</v>
      </c>
      <c r="J1177" s="231" t="s">
        <v>1393</v>
      </c>
      <c r="K1177" s="231" t="s">
        <v>1394</v>
      </c>
      <c r="L1177" s="232">
        <v>45170</v>
      </c>
      <c r="M1177" s="232">
        <v>45199</v>
      </c>
    </row>
    <row r="1178" spans="1:13" ht="14.25" customHeight="1" x14ac:dyDescent="0.2">
      <c r="A1178" s="231" t="s">
        <v>0</v>
      </c>
      <c r="B1178" s="230">
        <v>112978</v>
      </c>
      <c r="C1178" s="230">
        <v>10750</v>
      </c>
      <c r="D1178" s="231" t="s">
        <v>1347</v>
      </c>
      <c r="E1178" s="230">
        <v>14491032</v>
      </c>
      <c r="F1178" s="230">
        <v>30390</v>
      </c>
      <c r="G1178" s="230">
        <v>1</v>
      </c>
      <c r="H1178" s="240">
        <v>359.46</v>
      </c>
      <c r="I1178" s="240">
        <f t="shared" si="18"/>
        <v>359.46</v>
      </c>
      <c r="J1178" s="231" t="s">
        <v>1393</v>
      </c>
      <c r="K1178" s="231" t="s">
        <v>1394</v>
      </c>
      <c r="L1178" s="232">
        <v>45170</v>
      </c>
      <c r="M1178" s="232">
        <v>45199</v>
      </c>
    </row>
    <row r="1179" spans="1:13" ht="14.25" customHeight="1" x14ac:dyDescent="0.2">
      <c r="A1179" s="231" t="s">
        <v>0</v>
      </c>
      <c r="B1179" s="230">
        <v>113002</v>
      </c>
      <c r="C1179" s="230">
        <v>10750</v>
      </c>
      <c r="D1179" s="231" t="s">
        <v>541</v>
      </c>
      <c r="E1179" s="230">
        <v>14491032</v>
      </c>
      <c r="F1179" s="230">
        <v>30438</v>
      </c>
      <c r="G1179" s="230">
        <v>1</v>
      </c>
      <c r="H1179" s="240">
        <v>359.46</v>
      </c>
      <c r="I1179" s="240">
        <f t="shared" si="18"/>
        <v>359.46</v>
      </c>
      <c r="J1179" s="231" t="s">
        <v>1393</v>
      </c>
      <c r="K1179" s="231" t="s">
        <v>1394</v>
      </c>
      <c r="L1179" s="232">
        <v>45170</v>
      </c>
      <c r="M1179" s="232">
        <v>45199</v>
      </c>
    </row>
    <row r="1180" spans="1:13" ht="14.25" customHeight="1" x14ac:dyDescent="0.2">
      <c r="A1180" s="231" t="s">
        <v>0</v>
      </c>
      <c r="B1180" s="230">
        <v>113004</v>
      </c>
      <c r="C1180" s="230">
        <v>10758</v>
      </c>
      <c r="D1180" s="231" t="s">
        <v>543</v>
      </c>
      <c r="E1180" s="230">
        <v>14491032</v>
      </c>
      <c r="F1180" s="230">
        <v>30442</v>
      </c>
      <c r="G1180" s="230">
        <v>1</v>
      </c>
      <c r="H1180" s="240">
        <v>359.46</v>
      </c>
      <c r="I1180" s="240">
        <f t="shared" si="18"/>
        <v>359.46</v>
      </c>
      <c r="J1180" s="231" t="s">
        <v>1393</v>
      </c>
      <c r="K1180" s="231" t="s">
        <v>1394</v>
      </c>
      <c r="L1180" s="232">
        <v>45170</v>
      </c>
      <c r="M1180" s="232">
        <v>45199</v>
      </c>
    </row>
    <row r="1181" spans="1:13" ht="14.25" customHeight="1" x14ac:dyDescent="0.2">
      <c r="A1181" s="231" t="s">
        <v>0</v>
      </c>
      <c r="B1181" s="230">
        <v>113024</v>
      </c>
      <c r="C1181" s="230">
        <v>10756</v>
      </c>
      <c r="D1181" s="231" t="s">
        <v>548</v>
      </c>
      <c r="E1181" s="230">
        <v>14491032</v>
      </c>
      <c r="F1181" s="230">
        <v>30482</v>
      </c>
      <c r="G1181" s="230">
        <v>1</v>
      </c>
      <c r="H1181" s="240">
        <v>359.46</v>
      </c>
      <c r="I1181" s="240">
        <f t="shared" si="18"/>
        <v>359.46</v>
      </c>
      <c r="J1181" s="231" t="s">
        <v>1393</v>
      </c>
      <c r="K1181" s="231" t="s">
        <v>1394</v>
      </c>
      <c r="L1181" s="232">
        <v>45170</v>
      </c>
      <c r="M1181" s="232">
        <v>45199</v>
      </c>
    </row>
    <row r="1182" spans="1:13" ht="14.25" customHeight="1" x14ac:dyDescent="0.2">
      <c r="A1182" s="231" t="s">
        <v>0</v>
      </c>
      <c r="B1182" s="230">
        <v>113032</v>
      </c>
      <c r="C1182" s="230">
        <v>10750</v>
      </c>
      <c r="D1182" s="231" t="s">
        <v>1288</v>
      </c>
      <c r="E1182" s="230">
        <v>14491032</v>
      </c>
      <c r="F1182" s="230">
        <v>30498</v>
      </c>
      <c r="G1182" s="230">
        <v>1</v>
      </c>
      <c r="H1182" s="240">
        <v>359.46</v>
      </c>
      <c r="I1182" s="240">
        <f t="shared" si="18"/>
        <v>359.46</v>
      </c>
      <c r="J1182" s="231" t="s">
        <v>1393</v>
      </c>
      <c r="K1182" s="231" t="s">
        <v>1394</v>
      </c>
      <c r="L1182" s="232">
        <v>45170</v>
      </c>
      <c r="M1182" s="232">
        <v>45199</v>
      </c>
    </row>
    <row r="1183" spans="1:13" ht="14.25" customHeight="1" x14ac:dyDescent="0.2">
      <c r="A1183" s="231" t="s">
        <v>0</v>
      </c>
      <c r="B1183" s="230">
        <v>113042</v>
      </c>
      <c r="C1183" s="230">
        <v>10757</v>
      </c>
      <c r="D1183" s="231" t="s">
        <v>558</v>
      </c>
      <c r="E1183" s="230">
        <v>14491032</v>
      </c>
      <c r="F1183" s="230">
        <v>30518</v>
      </c>
      <c r="G1183" s="230">
        <v>1</v>
      </c>
      <c r="H1183" s="240">
        <v>359.46</v>
      </c>
      <c r="I1183" s="240">
        <f t="shared" si="18"/>
        <v>359.46</v>
      </c>
      <c r="J1183" s="231" t="s">
        <v>1393</v>
      </c>
      <c r="K1183" s="231" t="s">
        <v>1394</v>
      </c>
      <c r="L1183" s="232">
        <v>45170</v>
      </c>
      <c r="M1183" s="232">
        <v>45199</v>
      </c>
    </row>
    <row r="1184" spans="1:13" ht="14.25" customHeight="1" x14ac:dyDescent="0.2">
      <c r="A1184" s="231" t="s">
        <v>0</v>
      </c>
      <c r="B1184" s="230">
        <v>113071</v>
      </c>
      <c r="C1184" s="230">
        <v>10771</v>
      </c>
      <c r="D1184" s="231" t="s">
        <v>570</v>
      </c>
      <c r="E1184" s="230">
        <v>14491032</v>
      </c>
      <c r="F1184" s="230">
        <v>30576</v>
      </c>
      <c r="G1184" s="230">
        <v>1</v>
      </c>
      <c r="H1184" s="240">
        <v>359.46</v>
      </c>
      <c r="I1184" s="240">
        <f t="shared" si="18"/>
        <v>359.46</v>
      </c>
      <c r="J1184" s="231" t="s">
        <v>1393</v>
      </c>
      <c r="K1184" s="231" t="s">
        <v>1394</v>
      </c>
      <c r="L1184" s="232">
        <v>45170</v>
      </c>
      <c r="M1184" s="232">
        <v>45199</v>
      </c>
    </row>
    <row r="1185" spans="1:13" ht="14.25" customHeight="1" x14ac:dyDescent="0.2">
      <c r="A1185" s="231" t="s">
        <v>0</v>
      </c>
      <c r="B1185" s="230">
        <v>113072</v>
      </c>
      <c r="C1185" s="230">
        <v>10757</v>
      </c>
      <c r="D1185" s="231" t="s">
        <v>571</v>
      </c>
      <c r="E1185" s="230">
        <v>14491032</v>
      </c>
      <c r="F1185" s="230">
        <v>30578</v>
      </c>
      <c r="G1185" s="230">
        <v>1</v>
      </c>
      <c r="H1185" s="240">
        <v>359.46</v>
      </c>
      <c r="I1185" s="240">
        <f t="shared" si="18"/>
        <v>359.46</v>
      </c>
      <c r="J1185" s="231" t="s">
        <v>1393</v>
      </c>
      <c r="K1185" s="231" t="s">
        <v>1394</v>
      </c>
      <c r="L1185" s="232">
        <v>45170</v>
      </c>
      <c r="M1185" s="232">
        <v>45199</v>
      </c>
    </row>
    <row r="1186" spans="1:13" ht="14.25" customHeight="1" x14ac:dyDescent="0.2">
      <c r="A1186" s="231" t="s">
        <v>0</v>
      </c>
      <c r="B1186" s="230">
        <v>113073</v>
      </c>
      <c r="C1186" s="230">
        <v>10750</v>
      </c>
      <c r="D1186" s="231" t="s">
        <v>572</v>
      </c>
      <c r="E1186" s="230">
        <v>14491032</v>
      </c>
      <c r="F1186" s="230">
        <v>30580</v>
      </c>
      <c r="G1186" s="230">
        <v>1</v>
      </c>
      <c r="H1186" s="240">
        <v>359.46</v>
      </c>
      <c r="I1186" s="240">
        <f t="shared" si="18"/>
        <v>359.46</v>
      </c>
      <c r="J1186" s="231" t="s">
        <v>1393</v>
      </c>
      <c r="K1186" s="231" t="s">
        <v>1394</v>
      </c>
      <c r="L1186" s="232">
        <v>45170</v>
      </c>
      <c r="M1186" s="232">
        <v>45199</v>
      </c>
    </row>
    <row r="1187" spans="1:13" ht="14.25" customHeight="1" x14ac:dyDescent="0.2">
      <c r="A1187" s="231" t="s">
        <v>0</v>
      </c>
      <c r="B1187" s="230">
        <v>113075</v>
      </c>
      <c r="C1187" s="230">
        <v>10750</v>
      </c>
      <c r="D1187" s="231" t="s">
        <v>574</v>
      </c>
      <c r="E1187" s="230">
        <v>14491032</v>
      </c>
      <c r="F1187" s="230">
        <v>30584</v>
      </c>
      <c r="G1187" s="230">
        <v>1</v>
      </c>
      <c r="H1187" s="240">
        <v>359.46</v>
      </c>
      <c r="I1187" s="240">
        <f t="shared" si="18"/>
        <v>359.46</v>
      </c>
      <c r="J1187" s="231" t="s">
        <v>1393</v>
      </c>
      <c r="K1187" s="231" t="s">
        <v>1394</v>
      </c>
      <c r="L1187" s="232">
        <v>45170</v>
      </c>
      <c r="M1187" s="232">
        <v>45199</v>
      </c>
    </row>
    <row r="1188" spans="1:13" ht="14.25" customHeight="1" x14ac:dyDescent="0.2">
      <c r="A1188" s="231" t="s">
        <v>0</v>
      </c>
      <c r="B1188" s="230">
        <v>113077</v>
      </c>
      <c r="C1188" s="230">
        <v>10757</v>
      </c>
      <c r="D1188" s="231" t="s">
        <v>575</v>
      </c>
      <c r="E1188" s="230">
        <v>14491032</v>
      </c>
      <c r="F1188" s="230">
        <v>30588</v>
      </c>
      <c r="G1188" s="230">
        <v>1</v>
      </c>
      <c r="H1188" s="240">
        <v>347.47</v>
      </c>
      <c r="I1188" s="240">
        <f t="shared" si="18"/>
        <v>347.47</v>
      </c>
      <c r="J1188" s="231" t="s">
        <v>1393</v>
      </c>
      <c r="K1188" s="231" t="s">
        <v>1394</v>
      </c>
      <c r="L1188" s="232">
        <v>45170</v>
      </c>
      <c r="M1188" s="232">
        <v>45199</v>
      </c>
    </row>
    <row r="1189" spans="1:13" ht="14.25" customHeight="1" x14ac:dyDescent="0.2">
      <c r="A1189" s="231" t="s">
        <v>0</v>
      </c>
      <c r="B1189" s="230">
        <v>113081</v>
      </c>
      <c r="C1189" s="230">
        <v>10757</v>
      </c>
      <c r="D1189" s="231" t="s">
        <v>578</v>
      </c>
      <c r="E1189" s="230">
        <v>14491032</v>
      </c>
      <c r="F1189" s="230">
        <v>30596</v>
      </c>
      <c r="G1189" s="230">
        <v>1</v>
      </c>
      <c r="H1189" s="240">
        <v>359.46</v>
      </c>
      <c r="I1189" s="240">
        <f t="shared" si="18"/>
        <v>359.46</v>
      </c>
      <c r="J1189" s="231" t="s">
        <v>1393</v>
      </c>
      <c r="K1189" s="231" t="s">
        <v>1394</v>
      </c>
      <c r="L1189" s="232">
        <v>45170</v>
      </c>
      <c r="M1189" s="232">
        <v>45199</v>
      </c>
    </row>
    <row r="1190" spans="1:13" ht="14.25" customHeight="1" x14ac:dyDescent="0.2">
      <c r="A1190" s="231" t="s">
        <v>0</v>
      </c>
      <c r="B1190" s="230">
        <v>113083</v>
      </c>
      <c r="C1190" s="230">
        <v>10771</v>
      </c>
      <c r="D1190" s="231" t="s">
        <v>580</v>
      </c>
      <c r="E1190" s="230">
        <v>14491032</v>
      </c>
      <c r="F1190" s="230">
        <v>30600</v>
      </c>
      <c r="G1190" s="230">
        <v>1</v>
      </c>
      <c r="H1190" s="240">
        <v>359.46</v>
      </c>
      <c r="I1190" s="240">
        <f t="shared" si="18"/>
        <v>359.46</v>
      </c>
      <c r="J1190" s="231" t="s">
        <v>1393</v>
      </c>
      <c r="K1190" s="231" t="s">
        <v>1394</v>
      </c>
      <c r="L1190" s="232">
        <v>45170</v>
      </c>
      <c r="M1190" s="232">
        <v>45199</v>
      </c>
    </row>
    <row r="1191" spans="1:13" ht="14.25" customHeight="1" x14ac:dyDescent="0.2">
      <c r="A1191" s="231" t="s">
        <v>0</v>
      </c>
      <c r="B1191" s="230">
        <v>113093</v>
      </c>
      <c r="C1191" s="230">
        <v>10757</v>
      </c>
      <c r="D1191" s="231" t="s">
        <v>583</v>
      </c>
      <c r="E1191" s="230">
        <v>14491032</v>
      </c>
      <c r="F1191" s="230">
        <v>30620</v>
      </c>
      <c r="G1191" s="230">
        <v>1</v>
      </c>
      <c r="H1191" s="240">
        <v>359.46</v>
      </c>
      <c r="I1191" s="240">
        <f t="shared" si="18"/>
        <v>359.46</v>
      </c>
      <c r="J1191" s="231" t="s">
        <v>1393</v>
      </c>
      <c r="K1191" s="231" t="s">
        <v>1394</v>
      </c>
      <c r="L1191" s="232">
        <v>45170</v>
      </c>
      <c r="M1191" s="232">
        <v>45199</v>
      </c>
    </row>
    <row r="1192" spans="1:13" ht="14.25" customHeight="1" x14ac:dyDescent="0.2">
      <c r="A1192" s="231" t="s">
        <v>0</v>
      </c>
      <c r="B1192" s="230">
        <v>113106</v>
      </c>
      <c r="C1192" s="230">
        <v>10750</v>
      </c>
      <c r="D1192" s="231" t="s">
        <v>85</v>
      </c>
      <c r="E1192" s="230">
        <v>14491032</v>
      </c>
      <c r="F1192" s="230">
        <v>30646</v>
      </c>
      <c r="G1192" s="230">
        <v>1</v>
      </c>
      <c r="H1192" s="240">
        <v>359.46</v>
      </c>
      <c r="I1192" s="240">
        <f t="shared" si="18"/>
        <v>359.46</v>
      </c>
      <c r="J1192" s="231" t="s">
        <v>1393</v>
      </c>
      <c r="K1192" s="231" t="s">
        <v>1394</v>
      </c>
      <c r="L1192" s="232">
        <v>45170</v>
      </c>
      <c r="M1192" s="232">
        <v>45199</v>
      </c>
    </row>
    <row r="1193" spans="1:13" ht="14.25" customHeight="1" x14ac:dyDescent="0.2">
      <c r="A1193" s="231" t="s">
        <v>0</v>
      </c>
      <c r="B1193" s="230">
        <v>113111</v>
      </c>
      <c r="C1193" s="230">
        <v>10757</v>
      </c>
      <c r="D1193" s="231" t="s">
        <v>592</v>
      </c>
      <c r="E1193" s="230">
        <v>14491032</v>
      </c>
      <c r="F1193" s="230">
        <v>30656</v>
      </c>
      <c r="G1193" s="230">
        <v>1</v>
      </c>
      <c r="H1193" s="240">
        <v>335.49</v>
      </c>
      <c r="I1193" s="240">
        <f t="shared" si="18"/>
        <v>335.49</v>
      </c>
      <c r="J1193" s="231" t="s">
        <v>1393</v>
      </c>
      <c r="K1193" s="231" t="s">
        <v>1394</v>
      </c>
      <c r="L1193" s="232">
        <v>45170</v>
      </c>
      <c r="M1193" s="232">
        <v>45199</v>
      </c>
    </row>
    <row r="1194" spans="1:13" ht="14.25" customHeight="1" x14ac:dyDescent="0.2">
      <c r="A1194" s="231" t="s">
        <v>0</v>
      </c>
      <c r="B1194" s="230">
        <v>113114</v>
      </c>
      <c r="C1194" s="230">
        <v>10750</v>
      </c>
      <c r="D1194" s="231" t="s">
        <v>593</v>
      </c>
      <c r="E1194" s="230">
        <v>14491032</v>
      </c>
      <c r="F1194" s="230">
        <v>30662</v>
      </c>
      <c r="G1194" s="230">
        <v>1</v>
      </c>
      <c r="H1194" s="240">
        <v>359.46</v>
      </c>
      <c r="I1194" s="240">
        <f t="shared" si="18"/>
        <v>359.46</v>
      </c>
      <c r="J1194" s="231" t="s">
        <v>1393</v>
      </c>
      <c r="K1194" s="231" t="s">
        <v>1394</v>
      </c>
      <c r="L1194" s="232">
        <v>45170</v>
      </c>
      <c r="M1194" s="232">
        <v>45199</v>
      </c>
    </row>
    <row r="1195" spans="1:13" ht="14.25" customHeight="1" x14ac:dyDescent="0.2">
      <c r="A1195" s="231" t="s">
        <v>0</v>
      </c>
      <c r="B1195" s="230">
        <v>113122</v>
      </c>
      <c r="C1195" s="230">
        <v>10750</v>
      </c>
      <c r="D1195" s="231" t="s">
        <v>1524</v>
      </c>
      <c r="E1195" s="230">
        <v>14491032</v>
      </c>
      <c r="F1195" s="230">
        <v>30678</v>
      </c>
      <c r="G1195" s="230">
        <v>1</v>
      </c>
      <c r="H1195" s="240">
        <v>359.46</v>
      </c>
      <c r="I1195" s="240">
        <f t="shared" si="18"/>
        <v>359.46</v>
      </c>
      <c r="J1195" s="231" t="s">
        <v>1393</v>
      </c>
      <c r="K1195" s="231" t="s">
        <v>1394</v>
      </c>
      <c r="L1195" s="232">
        <v>45170</v>
      </c>
      <c r="M1195" s="232">
        <v>45199</v>
      </c>
    </row>
    <row r="1196" spans="1:13" ht="14.25" customHeight="1" x14ac:dyDescent="0.2">
      <c r="A1196" s="231" t="s">
        <v>0</v>
      </c>
      <c r="B1196" s="230">
        <v>113140</v>
      </c>
      <c r="C1196" s="230">
        <v>10750</v>
      </c>
      <c r="D1196" s="231" t="s">
        <v>609</v>
      </c>
      <c r="E1196" s="230">
        <v>14491032</v>
      </c>
      <c r="F1196" s="230">
        <v>30714</v>
      </c>
      <c r="G1196" s="230">
        <v>1</v>
      </c>
      <c r="H1196" s="240">
        <v>359.46</v>
      </c>
      <c r="I1196" s="240">
        <f t="shared" si="18"/>
        <v>359.46</v>
      </c>
      <c r="J1196" s="231" t="s">
        <v>1393</v>
      </c>
      <c r="K1196" s="231" t="s">
        <v>1394</v>
      </c>
      <c r="L1196" s="232">
        <v>45170</v>
      </c>
      <c r="M1196" s="232">
        <v>45199</v>
      </c>
    </row>
    <row r="1197" spans="1:13" ht="14.25" customHeight="1" x14ac:dyDescent="0.2">
      <c r="A1197" s="231" t="s">
        <v>0</v>
      </c>
      <c r="B1197" s="230">
        <v>113167</v>
      </c>
      <c r="C1197" s="230">
        <v>10750</v>
      </c>
      <c r="D1197" s="231" t="s">
        <v>626</v>
      </c>
      <c r="E1197" s="230">
        <v>14491032</v>
      </c>
      <c r="F1197" s="230">
        <v>30768</v>
      </c>
      <c r="G1197" s="230">
        <v>1</v>
      </c>
      <c r="H1197" s="240">
        <v>359.46</v>
      </c>
      <c r="I1197" s="240">
        <f t="shared" si="18"/>
        <v>359.46</v>
      </c>
      <c r="J1197" s="231" t="s">
        <v>1393</v>
      </c>
      <c r="K1197" s="231" t="s">
        <v>1394</v>
      </c>
      <c r="L1197" s="232">
        <v>45170</v>
      </c>
      <c r="M1197" s="232">
        <v>45199</v>
      </c>
    </row>
    <row r="1198" spans="1:13" ht="14.25" customHeight="1" x14ac:dyDescent="0.2">
      <c r="A1198" s="231" t="s">
        <v>0</v>
      </c>
      <c r="B1198" s="230">
        <v>113172</v>
      </c>
      <c r="C1198" s="230">
        <v>10750</v>
      </c>
      <c r="D1198" s="231" t="s">
        <v>629</v>
      </c>
      <c r="E1198" s="230">
        <v>14491032</v>
      </c>
      <c r="F1198" s="230">
        <v>30778</v>
      </c>
      <c r="G1198" s="230">
        <v>1</v>
      </c>
      <c r="H1198" s="240">
        <v>359.46</v>
      </c>
      <c r="I1198" s="240">
        <f t="shared" si="18"/>
        <v>359.46</v>
      </c>
      <c r="J1198" s="231" t="s">
        <v>1393</v>
      </c>
      <c r="K1198" s="231" t="s">
        <v>1394</v>
      </c>
      <c r="L1198" s="232">
        <v>45170</v>
      </c>
      <c r="M1198" s="232">
        <v>45199</v>
      </c>
    </row>
    <row r="1199" spans="1:13" ht="14.25" customHeight="1" x14ac:dyDescent="0.2">
      <c r="A1199" s="231" t="s">
        <v>0</v>
      </c>
      <c r="B1199" s="230">
        <v>113179</v>
      </c>
      <c r="C1199" s="230">
        <v>10760</v>
      </c>
      <c r="D1199" s="231" t="s">
        <v>632</v>
      </c>
      <c r="E1199" s="230">
        <v>14491032</v>
      </c>
      <c r="F1199" s="230">
        <v>30792</v>
      </c>
      <c r="G1199" s="230">
        <v>1</v>
      </c>
      <c r="H1199" s="240">
        <v>359.46</v>
      </c>
      <c r="I1199" s="240">
        <f t="shared" si="18"/>
        <v>359.46</v>
      </c>
      <c r="J1199" s="231" t="s">
        <v>1393</v>
      </c>
      <c r="K1199" s="231" t="s">
        <v>1394</v>
      </c>
      <c r="L1199" s="232">
        <v>45170</v>
      </c>
      <c r="M1199" s="232">
        <v>45199</v>
      </c>
    </row>
    <row r="1200" spans="1:13" ht="14.25" customHeight="1" x14ac:dyDescent="0.2">
      <c r="A1200" s="231" t="s">
        <v>0</v>
      </c>
      <c r="B1200" s="230">
        <v>113181</v>
      </c>
      <c r="C1200" s="230">
        <v>10757</v>
      </c>
      <c r="D1200" s="231" t="s">
        <v>633</v>
      </c>
      <c r="E1200" s="230">
        <v>14491032</v>
      </c>
      <c r="F1200" s="230">
        <v>30796</v>
      </c>
      <c r="G1200" s="230">
        <v>1</v>
      </c>
      <c r="H1200" s="240">
        <v>359.46</v>
      </c>
      <c r="I1200" s="240">
        <f t="shared" si="18"/>
        <v>359.46</v>
      </c>
      <c r="J1200" s="231" t="s">
        <v>1393</v>
      </c>
      <c r="K1200" s="231" t="s">
        <v>1394</v>
      </c>
      <c r="L1200" s="232">
        <v>45170</v>
      </c>
      <c r="M1200" s="232">
        <v>45199</v>
      </c>
    </row>
    <row r="1201" spans="1:13" ht="14.25" customHeight="1" x14ac:dyDescent="0.2">
      <c r="A1201" s="231" t="s">
        <v>0</v>
      </c>
      <c r="B1201" s="230">
        <v>113203</v>
      </c>
      <c r="C1201" s="230">
        <v>10745</v>
      </c>
      <c r="D1201" s="231" t="s">
        <v>645</v>
      </c>
      <c r="E1201" s="230">
        <v>14491032</v>
      </c>
      <c r="F1201" s="230">
        <v>30840</v>
      </c>
      <c r="G1201" s="230">
        <v>1</v>
      </c>
      <c r="H1201" s="240">
        <v>359.46</v>
      </c>
      <c r="I1201" s="240">
        <f t="shared" si="18"/>
        <v>359.46</v>
      </c>
      <c r="J1201" s="231" t="s">
        <v>1393</v>
      </c>
      <c r="K1201" s="231" t="s">
        <v>1394</v>
      </c>
      <c r="L1201" s="232">
        <v>45170</v>
      </c>
      <c r="M1201" s="232">
        <v>45199</v>
      </c>
    </row>
    <row r="1202" spans="1:13" ht="14.25" customHeight="1" x14ac:dyDescent="0.2">
      <c r="A1202" s="231" t="s">
        <v>0</v>
      </c>
      <c r="B1202" s="230">
        <v>113204</v>
      </c>
      <c r="C1202" s="230">
        <v>10757</v>
      </c>
      <c r="D1202" s="231" t="s">
        <v>646</v>
      </c>
      <c r="E1202" s="230">
        <v>14491032</v>
      </c>
      <c r="F1202" s="230">
        <v>30842</v>
      </c>
      <c r="G1202" s="230">
        <v>1</v>
      </c>
      <c r="H1202" s="240">
        <v>359.46</v>
      </c>
      <c r="I1202" s="240">
        <f t="shared" si="18"/>
        <v>359.46</v>
      </c>
      <c r="J1202" s="231" t="s">
        <v>1393</v>
      </c>
      <c r="K1202" s="231" t="s">
        <v>1394</v>
      </c>
      <c r="L1202" s="232">
        <v>45170</v>
      </c>
      <c r="M1202" s="232">
        <v>45199</v>
      </c>
    </row>
    <row r="1203" spans="1:13" ht="14.25" customHeight="1" x14ac:dyDescent="0.2">
      <c r="A1203" s="231" t="s">
        <v>0</v>
      </c>
      <c r="B1203" s="230">
        <v>113205</v>
      </c>
      <c r="C1203" s="230">
        <v>10750</v>
      </c>
      <c r="D1203" s="231" t="s">
        <v>1369</v>
      </c>
      <c r="E1203" s="230">
        <v>14491032</v>
      </c>
      <c r="F1203" s="230">
        <v>30844</v>
      </c>
      <c r="G1203" s="230">
        <v>1</v>
      </c>
      <c r="H1203" s="240">
        <v>359.46</v>
      </c>
      <c r="I1203" s="240">
        <f t="shared" si="18"/>
        <v>359.46</v>
      </c>
      <c r="J1203" s="231" t="s">
        <v>1393</v>
      </c>
      <c r="K1203" s="231" t="s">
        <v>1394</v>
      </c>
      <c r="L1203" s="232">
        <v>45170</v>
      </c>
      <c r="M1203" s="232">
        <v>45199</v>
      </c>
    </row>
    <row r="1204" spans="1:13" ht="14.25" customHeight="1" x14ac:dyDescent="0.2">
      <c r="A1204" s="231" t="s">
        <v>0</v>
      </c>
      <c r="B1204" s="230">
        <v>113209</v>
      </c>
      <c r="C1204" s="230">
        <v>10750</v>
      </c>
      <c r="D1204" s="231" t="s">
        <v>651</v>
      </c>
      <c r="E1204" s="230">
        <v>14491032</v>
      </c>
      <c r="F1204" s="230">
        <v>30852</v>
      </c>
      <c r="G1204" s="230">
        <v>1</v>
      </c>
      <c r="H1204" s="240">
        <v>359.46</v>
      </c>
      <c r="I1204" s="240">
        <f t="shared" si="18"/>
        <v>359.46</v>
      </c>
      <c r="J1204" s="231" t="s">
        <v>1393</v>
      </c>
      <c r="K1204" s="231" t="s">
        <v>1394</v>
      </c>
      <c r="L1204" s="232">
        <v>45170</v>
      </c>
      <c r="M1204" s="232">
        <v>45199</v>
      </c>
    </row>
    <row r="1205" spans="1:13" ht="14.25" customHeight="1" x14ac:dyDescent="0.2">
      <c r="A1205" s="231" t="s">
        <v>0</v>
      </c>
      <c r="B1205" s="230">
        <v>113224</v>
      </c>
      <c r="C1205" s="230">
        <v>10757</v>
      </c>
      <c r="D1205" s="231" t="s">
        <v>657</v>
      </c>
      <c r="E1205" s="230">
        <v>14491032</v>
      </c>
      <c r="F1205" s="230">
        <v>30882</v>
      </c>
      <c r="G1205" s="230">
        <v>1</v>
      </c>
      <c r="H1205" s="240">
        <v>359.46</v>
      </c>
      <c r="I1205" s="240">
        <f t="shared" si="18"/>
        <v>359.46</v>
      </c>
      <c r="J1205" s="231" t="s">
        <v>1393</v>
      </c>
      <c r="K1205" s="231" t="s">
        <v>1394</v>
      </c>
      <c r="L1205" s="232">
        <v>45170</v>
      </c>
      <c r="M1205" s="232">
        <v>45199</v>
      </c>
    </row>
    <row r="1206" spans="1:13" ht="14.25" customHeight="1" x14ac:dyDescent="0.2">
      <c r="A1206" s="231" t="s">
        <v>0</v>
      </c>
      <c r="B1206" s="230">
        <v>113225</v>
      </c>
      <c r="C1206" s="230">
        <v>10750</v>
      </c>
      <c r="D1206" s="231" t="s">
        <v>658</v>
      </c>
      <c r="E1206" s="230">
        <v>14491032</v>
      </c>
      <c r="F1206" s="230">
        <v>30884</v>
      </c>
      <c r="G1206" s="230">
        <v>1</v>
      </c>
      <c r="H1206" s="240">
        <v>359.46</v>
      </c>
      <c r="I1206" s="240">
        <f t="shared" si="18"/>
        <v>359.46</v>
      </c>
      <c r="J1206" s="231" t="s">
        <v>1393</v>
      </c>
      <c r="K1206" s="231" t="s">
        <v>1394</v>
      </c>
      <c r="L1206" s="232">
        <v>45170</v>
      </c>
      <c r="M1206" s="232">
        <v>45199</v>
      </c>
    </row>
    <row r="1207" spans="1:13" ht="14.25" customHeight="1" x14ac:dyDescent="0.2">
      <c r="A1207" s="231" t="s">
        <v>0</v>
      </c>
      <c r="B1207" s="230">
        <v>113226</v>
      </c>
      <c r="C1207" s="230">
        <v>10750</v>
      </c>
      <c r="D1207" s="231" t="s">
        <v>659</v>
      </c>
      <c r="E1207" s="230">
        <v>14491032</v>
      </c>
      <c r="F1207" s="230">
        <v>30886</v>
      </c>
      <c r="G1207" s="230">
        <v>1</v>
      </c>
      <c r="H1207" s="240">
        <v>359.46</v>
      </c>
      <c r="I1207" s="240">
        <f t="shared" si="18"/>
        <v>359.46</v>
      </c>
      <c r="J1207" s="231" t="s">
        <v>1393</v>
      </c>
      <c r="K1207" s="231" t="s">
        <v>1394</v>
      </c>
      <c r="L1207" s="232">
        <v>45170</v>
      </c>
      <c r="M1207" s="232">
        <v>45199</v>
      </c>
    </row>
    <row r="1208" spans="1:13" ht="14.25" customHeight="1" x14ac:dyDescent="0.2">
      <c r="A1208" s="231" t="s">
        <v>0</v>
      </c>
      <c r="B1208" s="230">
        <v>113233</v>
      </c>
      <c r="C1208" s="230">
        <v>10758</v>
      </c>
      <c r="D1208" s="231" t="s">
        <v>663</v>
      </c>
      <c r="E1208" s="230">
        <v>14491032</v>
      </c>
      <c r="F1208" s="230">
        <v>30900</v>
      </c>
      <c r="G1208" s="230">
        <v>1</v>
      </c>
      <c r="H1208" s="240">
        <v>359.46</v>
      </c>
      <c r="I1208" s="240">
        <f t="shared" si="18"/>
        <v>359.46</v>
      </c>
      <c r="J1208" s="231" t="s">
        <v>1393</v>
      </c>
      <c r="K1208" s="231" t="s">
        <v>1394</v>
      </c>
      <c r="L1208" s="232">
        <v>45170</v>
      </c>
      <c r="M1208" s="232">
        <v>45199</v>
      </c>
    </row>
    <row r="1209" spans="1:13" ht="14.25" customHeight="1" x14ac:dyDescent="0.2">
      <c r="A1209" s="231" t="s">
        <v>0</v>
      </c>
      <c r="B1209" s="230">
        <v>113235</v>
      </c>
      <c r="C1209" s="230">
        <v>10757</v>
      </c>
      <c r="D1209" s="231" t="s">
        <v>664</v>
      </c>
      <c r="E1209" s="230">
        <v>14491032</v>
      </c>
      <c r="F1209" s="230">
        <v>30904</v>
      </c>
      <c r="G1209" s="230">
        <v>1</v>
      </c>
      <c r="H1209" s="240">
        <v>359.46</v>
      </c>
      <c r="I1209" s="240">
        <f t="shared" si="18"/>
        <v>359.46</v>
      </c>
      <c r="J1209" s="231" t="s">
        <v>1393</v>
      </c>
      <c r="K1209" s="231" t="s">
        <v>1394</v>
      </c>
      <c r="L1209" s="232">
        <v>45170</v>
      </c>
      <c r="M1209" s="232">
        <v>45199</v>
      </c>
    </row>
    <row r="1210" spans="1:13" ht="14.25" customHeight="1" x14ac:dyDescent="0.2">
      <c r="A1210" s="231" t="s">
        <v>0</v>
      </c>
      <c r="B1210" s="230">
        <v>113244</v>
      </c>
      <c r="C1210" s="230">
        <v>10750</v>
      </c>
      <c r="D1210" s="231" t="s">
        <v>667</v>
      </c>
      <c r="E1210" s="230">
        <v>14491032</v>
      </c>
      <c r="F1210" s="230">
        <v>30922</v>
      </c>
      <c r="G1210" s="230">
        <v>1</v>
      </c>
      <c r="H1210" s="240">
        <v>359.46</v>
      </c>
      <c r="I1210" s="240">
        <f t="shared" si="18"/>
        <v>359.46</v>
      </c>
      <c r="J1210" s="231" t="s">
        <v>1393</v>
      </c>
      <c r="K1210" s="231" t="s">
        <v>1394</v>
      </c>
      <c r="L1210" s="232">
        <v>45170</v>
      </c>
      <c r="M1210" s="232">
        <v>45199</v>
      </c>
    </row>
    <row r="1211" spans="1:13" ht="14.25" customHeight="1" x14ac:dyDescent="0.2">
      <c r="A1211" s="231" t="s">
        <v>0</v>
      </c>
      <c r="B1211" s="230">
        <v>113272</v>
      </c>
      <c r="C1211" s="230">
        <v>10750</v>
      </c>
      <c r="D1211" s="231" t="s">
        <v>681</v>
      </c>
      <c r="E1211" s="230">
        <v>14491032</v>
      </c>
      <c r="F1211" s="230">
        <v>30978</v>
      </c>
      <c r="G1211" s="230">
        <v>1</v>
      </c>
      <c r="H1211" s="240">
        <v>359.46</v>
      </c>
      <c r="I1211" s="240">
        <f t="shared" si="18"/>
        <v>359.46</v>
      </c>
      <c r="J1211" s="231" t="s">
        <v>1393</v>
      </c>
      <c r="K1211" s="231" t="s">
        <v>1394</v>
      </c>
      <c r="L1211" s="232">
        <v>45170</v>
      </c>
      <c r="M1211" s="232">
        <v>45199</v>
      </c>
    </row>
    <row r="1212" spans="1:13" ht="14.25" customHeight="1" x14ac:dyDescent="0.2">
      <c r="A1212" s="231" t="s">
        <v>0</v>
      </c>
      <c r="B1212" s="230">
        <v>113288</v>
      </c>
      <c r="C1212" s="230">
        <v>10750</v>
      </c>
      <c r="D1212" s="231" t="s">
        <v>691</v>
      </c>
      <c r="E1212" s="230">
        <v>14491032</v>
      </c>
      <c r="F1212" s="230">
        <v>31010</v>
      </c>
      <c r="G1212" s="230">
        <v>1</v>
      </c>
      <c r="H1212" s="240">
        <v>359.46</v>
      </c>
      <c r="I1212" s="240">
        <f t="shared" si="18"/>
        <v>359.46</v>
      </c>
      <c r="J1212" s="231" t="s">
        <v>1393</v>
      </c>
      <c r="K1212" s="231" t="s">
        <v>1394</v>
      </c>
      <c r="L1212" s="232">
        <v>45170</v>
      </c>
      <c r="M1212" s="232">
        <v>45199</v>
      </c>
    </row>
    <row r="1213" spans="1:13" ht="14.25" customHeight="1" x14ac:dyDescent="0.2">
      <c r="A1213" s="231" t="s">
        <v>0</v>
      </c>
      <c r="B1213" s="230">
        <v>113305</v>
      </c>
      <c r="C1213" s="230">
        <v>10752</v>
      </c>
      <c r="D1213" s="231" t="s">
        <v>698</v>
      </c>
      <c r="E1213" s="230">
        <v>14491032</v>
      </c>
      <c r="F1213" s="230">
        <v>31044</v>
      </c>
      <c r="G1213" s="230">
        <v>1</v>
      </c>
      <c r="H1213" s="240">
        <v>359.46</v>
      </c>
      <c r="I1213" s="240">
        <f t="shared" si="18"/>
        <v>359.46</v>
      </c>
      <c r="J1213" s="231" t="s">
        <v>1393</v>
      </c>
      <c r="K1213" s="231" t="s">
        <v>1394</v>
      </c>
      <c r="L1213" s="232">
        <v>45170</v>
      </c>
      <c r="M1213" s="232">
        <v>45199</v>
      </c>
    </row>
    <row r="1214" spans="1:13" ht="14.25" customHeight="1" x14ac:dyDescent="0.2">
      <c r="A1214" s="231" t="s">
        <v>0</v>
      </c>
      <c r="B1214" s="230">
        <v>113309</v>
      </c>
      <c r="C1214" s="230">
        <v>10751</v>
      </c>
      <c r="D1214" s="231" t="s">
        <v>701</v>
      </c>
      <c r="E1214" s="230">
        <v>14491032</v>
      </c>
      <c r="F1214" s="230">
        <v>31052</v>
      </c>
      <c r="G1214" s="230">
        <v>1</v>
      </c>
      <c r="H1214" s="240">
        <v>359.46</v>
      </c>
      <c r="I1214" s="240">
        <f t="shared" si="18"/>
        <v>359.46</v>
      </c>
      <c r="J1214" s="231" t="s">
        <v>1393</v>
      </c>
      <c r="K1214" s="231" t="s">
        <v>1394</v>
      </c>
      <c r="L1214" s="232">
        <v>45170</v>
      </c>
      <c r="M1214" s="232">
        <v>45199</v>
      </c>
    </row>
    <row r="1215" spans="1:13" ht="14.25" customHeight="1" x14ac:dyDescent="0.2">
      <c r="A1215" s="231" t="s">
        <v>0</v>
      </c>
      <c r="B1215" s="230">
        <v>113313</v>
      </c>
      <c r="C1215" s="230">
        <v>10761</v>
      </c>
      <c r="D1215" s="231" t="s">
        <v>703</v>
      </c>
      <c r="E1215" s="230">
        <v>14491032</v>
      </c>
      <c r="F1215" s="230">
        <v>31060</v>
      </c>
      <c r="G1215" s="230">
        <v>1</v>
      </c>
      <c r="H1215" s="240">
        <v>347.47</v>
      </c>
      <c r="I1215" s="240">
        <f t="shared" si="18"/>
        <v>347.47</v>
      </c>
      <c r="J1215" s="231" t="s">
        <v>1393</v>
      </c>
      <c r="K1215" s="231" t="s">
        <v>1394</v>
      </c>
      <c r="L1215" s="232">
        <v>45170</v>
      </c>
      <c r="M1215" s="232">
        <v>45199</v>
      </c>
    </row>
    <row r="1216" spans="1:13" ht="14.25" customHeight="1" x14ac:dyDescent="0.2">
      <c r="A1216" s="231" t="s">
        <v>0</v>
      </c>
      <c r="B1216" s="230">
        <v>113317</v>
      </c>
      <c r="C1216" s="230">
        <v>10750</v>
      </c>
      <c r="D1216" s="231" t="s">
        <v>704</v>
      </c>
      <c r="E1216" s="230">
        <v>14491032</v>
      </c>
      <c r="F1216" s="230">
        <v>31068</v>
      </c>
      <c r="G1216" s="230">
        <v>1</v>
      </c>
      <c r="H1216" s="240">
        <v>359.46</v>
      </c>
      <c r="I1216" s="240">
        <f t="shared" si="18"/>
        <v>359.46</v>
      </c>
      <c r="J1216" s="231" t="s">
        <v>1393</v>
      </c>
      <c r="K1216" s="231" t="s">
        <v>1394</v>
      </c>
      <c r="L1216" s="232">
        <v>45170</v>
      </c>
      <c r="M1216" s="232">
        <v>45199</v>
      </c>
    </row>
    <row r="1217" spans="1:13" ht="14.25" customHeight="1" x14ac:dyDescent="0.2">
      <c r="A1217" s="231" t="s">
        <v>0</v>
      </c>
      <c r="B1217" s="230">
        <v>113324</v>
      </c>
      <c r="C1217" s="230">
        <v>10750</v>
      </c>
      <c r="D1217" s="231" t="s">
        <v>708</v>
      </c>
      <c r="E1217" s="230">
        <v>14491032</v>
      </c>
      <c r="F1217" s="230">
        <v>31082</v>
      </c>
      <c r="G1217" s="230">
        <v>1</v>
      </c>
      <c r="H1217" s="240">
        <v>359.46</v>
      </c>
      <c r="I1217" s="240">
        <f t="shared" si="18"/>
        <v>359.46</v>
      </c>
      <c r="J1217" s="231" t="s">
        <v>1393</v>
      </c>
      <c r="K1217" s="231" t="s">
        <v>1394</v>
      </c>
      <c r="L1217" s="232">
        <v>45170</v>
      </c>
      <c r="M1217" s="232">
        <v>45199</v>
      </c>
    </row>
    <row r="1218" spans="1:13" ht="14.25" customHeight="1" x14ac:dyDescent="0.2">
      <c r="A1218" s="231" t="s">
        <v>0</v>
      </c>
      <c r="B1218" s="230">
        <v>113350</v>
      </c>
      <c r="C1218" s="230">
        <v>10757</v>
      </c>
      <c r="D1218" s="231" t="s">
        <v>721</v>
      </c>
      <c r="E1218" s="230">
        <v>14491032</v>
      </c>
      <c r="F1218" s="230">
        <v>31134</v>
      </c>
      <c r="G1218" s="230">
        <v>1</v>
      </c>
      <c r="H1218" s="240">
        <v>359.46</v>
      </c>
      <c r="I1218" s="240">
        <f t="shared" ref="I1218:I1281" si="19">G1218*H1218</f>
        <v>359.46</v>
      </c>
      <c r="J1218" s="231" t="s">
        <v>1393</v>
      </c>
      <c r="K1218" s="231" t="s">
        <v>1394</v>
      </c>
      <c r="L1218" s="232">
        <v>45170</v>
      </c>
      <c r="M1218" s="232">
        <v>45199</v>
      </c>
    </row>
    <row r="1219" spans="1:13" ht="14.25" customHeight="1" x14ac:dyDescent="0.2">
      <c r="A1219" s="231" t="s">
        <v>0</v>
      </c>
      <c r="B1219" s="230">
        <v>113355</v>
      </c>
      <c r="C1219" s="230">
        <v>10758</v>
      </c>
      <c r="D1219" s="231" t="s">
        <v>1317</v>
      </c>
      <c r="E1219" s="230">
        <v>14491032</v>
      </c>
      <c r="F1219" s="230">
        <v>31144</v>
      </c>
      <c r="G1219" s="230">
        <v>1</v>
      </c>
      <c r="H1219" s="240">
        <v>359.46</v>
      </c>
      <c r="I1219" s="240">
        <f t="shared" si="19"/>
        <v>359.46</v>
      </c>
      <c r="J1219" s="231" t="s">
        <v>1393</v>
      </c>
      <c r="K1219" s="231" t="s">
        <v>1394</v>
      </c>
      <c r="L1219" s="232">
        <v>45170</v>
      </c>
      <c r="M1219" s="232">
        <v>45199</v>
      </c>
    </row>
    <row r="1220" spans="1:13" ht="14.25" customHeight="1" x14ac:dyDescent="0.2">
      <c r="A1220" s="231" t="s">
        <v>0</v>
      </c>
      <c r="B1220" s="230">
        <v>113358</v>
      </c>
      <c r="C1220" s="230">
        <v>10750</v>
      </c>
      <c r="D1220" s="231" t="s">
        <v>727</v>
      </c>
      <c r="E1220" s="230">
        <v>14491032</v>
      </c>
      <c r="F1220" s="230">
        <v>31150</v>
      </c>
      <c r="G1220" s="230">
        <v>1</v>
      </c>
      <c r="H1220" s="240">
        <v>359.46</v>
      </c>
      <c r="I1220" s="240">
        <f t="shared" si="19"/>
        <v>359.46</v>
      </c>
      <c r="J1220" s="231" t="s">
        <v>1393</v>
      </c>
      <c r="K1220" s="231" t="s">
        <v>1394</v>
      </c>
      <c r="L1220" s="232">
        <v>45170</v>
      </c>
      <c r="M1220" s="232">
        <v>45199</v>
      </c>
    </row>
    <row r="1221" spans="1:13" ht="14.25" customHeight="1" x14ac:dyDescent="0.2">
      <c r="A1221" s="231" t="s">
        <v>0</v>
      </c>
      <c r="B1221" s="230">
        <v>113362</v>
      </c>
      <c r="C1221" s="230">
        <v>10754</v>
      </c>
      <c r="D1221" s="231" t="s">
        <v>730</v>
      </c>
      <c r="E1221" s="230">
        <v>14491032</v>
      </c>
      <c r="F1221" s="230">
        <v>31158</v>
      </c>
      <c r="G1221" s="230">
        <v>1</v>
      </c>
      <c r="H1221" s="240">
        <v>359.46</v>
      </c>
      <c r="I1221" s="240">
        <f t="shared" si="19"/>
        <v>359.46</v>
      </c>
      <c r="J1221" s="231" t="s">
        <v>1393</v>
      </c>
      <c r="K1221" s="231" t="s">
        <v>1394</v>
      </c>
      <c r="L1221" s="232">
        <v>45170</v>
      </c>
      <c r="M1221" s="232">
        <v>45199</v>
      </c>
    </row>
    <row r="1222" spans="1:13" ht="14.25" customHeight="1" x14ac:dyDescent="0.2">
      <c r="A1222" s="231" t="s">
        <v>0</v>
      </c>
      <c r="B1222" s="230">
        <v>113363</v>
      </c>
      <c r="C1222" s="230">
        <v>10750</v>
      </c>
      <c r="D1222" s="231" t="s">
        <v>731</v>
      </c>
      <c r="E1222" s="230">
        <v>14491032</v>
      </c>
      <c r="F1222" s="230">
        <v>31160</v>
      </c>
      <c r="G1222" s="230">
        <v>1</v>
      </c>
      <c r="H1222" s="240">
        <v>359.46</v>
      </c>
      <c r="I1222" s="240">
        <f t="shared" si="19"/>
        <v>359.46</v>
      </c>
      <c r="J1222" s="231" t="s">
        <v>1393</v>
      </c>
      <c r="K1222" s="231" t="s">
        <v>1394</v>
      </c>
      <c r="L1222" s="232">
        <v>45170</v>
      </c>
      <c r="M1222" s="232">
        <v>45199</v>
      </c>
    </row>
    <row r="1223" spans="1:13" ht="14.25" customHeight="1" x14ac:dyDescent="0.2">
      <c r="A1223" s="231" t="s">
        <v>0</v>
      </c>
      <c r="B1223" s="230">
        <v>113366</v>
      </c>
      <c r="C1223" s="230">
        <v>10750</v>
      </c>
      <c r="D1223" s="231" t="s">
        <v>733</v>
      </c>
      <c r="E1223" s="230">
        <v>14491032</v>
      </c>
      <c r="F1223" s="230">
        <v>31166</v>
      </c>
      <c r="G1223" s="230">
        <v>1</v>
      </c>
      <c r="H1223" s="240">
        <v>359.46</v>
      </c>
      <c r="I1223" s="240">
        <f t="shared" si="19"/>
        <v>359.46</v>
      </c>
      <c r="J1223" s="231" t="s">
        <v>1393</v>
      </c>
      <c r="K1223" s="231" t="s">
        <v>1394</v>
      </c>
      <c r="L1223" s="232">
        <v>45170</v>
      </c>
      <c r="M1223" s="232">
        <v>45199</v>
      </c>
    </row>
    <row r="1224" spans="1:13" ht="14.25" customHeight="1" x14ac:dyDescent="0.2">
      <c r="A1224" s="231" t="s">
        <v>0</v>
      </c>
      <c r="B1224" s="230">
        <v>113370</v>
      </c>
      <c r="C1224" s="230">
        <v>10750</v>
      </c>
      <c r="D1224" s="231" t="s">
        <v>737</v>
      </c>
      <c r="E1224" s="230">
        <v>14491032</v>
      </c>
      <c r="F1224" s="230">
        <v>31174</v>
      </c>
      <c r="G1224" s="230">
        <v>1</v>
      </c>
      <c r="H1224" s="240">
        <v>359.46</v>
      </c>
      <c r="I1224" s="240">
        <f t="shared" si="19"/>
        <v>359.46</v>
      </c>
      <c r="J1224" s="231" t="s">
        <v>1393</v>
      </c>
      <c r="K1224" s="231" t="s">
        <v>1394</v>
      </c>
      <c r="L1224" s="232">
        <v>45170</v>
      </c>
      <c r="M1224" s="232">
        <v>45199</v>
      </c>
    </row>
    <row r="1225" spans="1:13" ht="14.25" customHeight="1" x14ac:dyDescent="0.2">
      <c r="A1225" s="231" t="s">
        <v>0</v>
      </c>
      <c r="B1225" s="230">
        <v>113373</v>
      </c>
      <c r="C1225" s="230">
        <v>10754</v>
      </c>
      <c r="D1225" s="231" t="s">
        <v>53</v>
      </c>
      <c r="E1225" s="230">
        <v>14491032</v>
      </c>
      <c r="F1225" s="230">
        <v>31180</v>
      </c>
      <c r="G1225" s="230">
        <v>1</v>
      </c>
      <c r="H1225" s="240">
        <v>359.46</v>
      </c>
      <c r="I1225" s="240">
        <f t="shared" si="19"/>
        <v>359.46</v>
      </c>
      <c r="J1225" s="231" t="s">
        <v>1393</v>
      </c>
      <c r="K1225" s="231" t="s">
        <v>1394</v>
      </c>
      <c r="L1225" s="232">
        <v>45170</v>
      </c>
      <c r="M1225" s="232">
        <v>45199</v>
      </c>
    </row>
    <row r="1226" spans="1:13" ht="14.25" customHeight="1" x14ac:dyDescent="0.2">
      <c r="A1226" s="231" t="s">
        <v>0</v>
      </c>
      <c r="B1226" s="230">
        <v>113375</v>
      </c>
      <c r="C1226" s="230">
        <v>10750</v>
      </c>
      <c r="D1226" s="231" t="s">
        <v>739</v>
      </c>
      <c r="E1226" s="230">
        <v>14491032</v>
      </c>
      <c r="F1226" s="230">
        <v>31184</v>
      </c>
      <c r="G1226" s="230">
        <v>1</v>
      </c>
      <c r="H1226" s="240">
        <v>359.46</v>
      </c>
      <c r="I1226" s="240">
        <f t="shared" si="19"/>
        <v>359.46</v>
      </c>
      <c r="J1226" s="231" t="s">
        <v>1393</v>
      </c>
      <c r="K1226" s="231" t="s">
        <v>1394</v>
      </c>
      <c r="L1226" s="232">
        <v>45170</v>
      </c>
      <c r="M1226" s="232">
        <v>45199</v>
      </c>
    </row>
    <row r="1227" spans="1:13" ht="14.25" customHeight="1" x14ac:dyDescent="0.2">
      <c r="A1227" s="231" t="s">
        <v>0</v>
      </c>
      <c r="B1227" s="230">
        <v>113377</v>
      </c>
      <c r="C1227" s="230">
        <v>10754</v>
      </c>
      <c r="D1227" s="231" t="s">
        <v>741</v>
      </c>
      <c r="E1227" s="230">
        <v>14491032</v>
      </c>
      <c r="F1227" s="230">
        <v>31188</v>
      </c>
      <c r="G1227" s="230">
        <v>1</v>
      </c>
      <c r="H1227" s="240">
        <v>359.46</v>
      </c>
      <c r="I1227" s="240">
        <f t="shared" si="19"/>
        <v>359.46</v>
      </c>
      <c r="J1227" s="231" t="s">
        <v>1393</v>
      </c>
      <c r="K1227" s="231" t="s">
        <v>1394</v>
      </c>
      <c r="L1227" s="232">
        <v>45170</v>
      </c>
      <c r="M1227" s="232">
        <v>45199</v>
      </c>
    </row>
    <row r="1228" spans="1:13" ht="14.25" customHeight="1" x14ac:dyDescent="0.2">
      <c r="A1228" s="231" t="s">
        <v>0</v>
      </c>
      <c r="B1228" s="230">
        <v>113381</v>
      </c>
      <c r="C1228" s="230">
        <v>10750</v>
      </c>
      <c r="D1228" s="231" t="s">
        <v>743</v>
      </c>
      <c r="E1228" s="230">
        <v>14491032</v>
      </c>
      <c r="F1228" s="230">
        <v>31196</v>
      </c>
      <c r="G1228" s="230">
        <v>1</v>
      </c>
      <c r="H1228" s="240">
        <v>359.46</v>
      </c>
      <c r="I1228" s="240">
        <f t="shared" si="19"/>
        <v>359.46</v>
      </c>
      <c r="J1228" s="231" t="s">
        <v>1393</v>
      </c>
      <c r="K1228" s="231" t="s">
        <v>1394</v>
      </c>
      <c r="L1228" s="232">
        <v>45170</v>
      </c>
      <c r="M1228" s="232">
        <v>45199</v>
      </c>
    </row>
    <row r="1229" spans="1:13" ht="14.25" customHeight="1" x14ac:dyDescent="0.2">
      <c r="A1229" s="231" t="s">
        <v>0</v>
      </c>
      <c r="B1229" s="230">
        <v>113384</v>
      </c>
      <c r="C1229" s="230">
        <v>10754</v>
      </c>
      <c r="D1229" s="231" t="s">
        <v>744</v>
      </c>
      <c r="E1229" s="230">
        <v>14491032</v>
      </c>
      <c r="F1229" s="230">
        <v>31202</v>
      </c>
      <c r="G1229" s="230">
        <v>1</v>
      </c>
      <c r="H1229" s="240">
        <v>359.46</v>
      </c>
      <c r="I1229" s="240">
        <f t="shared" si="19"/>
        <v>359.46</v>
      </c>
      <c r="J1229" s="231" t="s">
        <v>1393</v>
      </c>
      <c r="K1229" s="231" t="s">
        <v>1394</v>
      </c>
      <c r="L1229" s="232">
        <v>45170</v>
      </c>
      <c r="M1229" s="232">
        <v>45199</v>
      </c>
    </row>
    <row r="1230" spans="1:13" ht="14.25" customHeight="1" x14ac:dyDescent="0.2">
      <c r="A1230" s="231" t="s">
        <v>0</v>
      </c>
      <c r="B1230" s="230">
        <v>113385</v>
      </c>
      <c r="C1230" s="230">
        <v>10750</v>
      </c>
      <c r="D1230" s="231" t="s">
        <v>745</v>
      </c>
      <c r="E1230" s="230">
        <v>14491032</v>
      </c>
      <c r="F1230" s="230">
        <v>31204</v>
      </c>
      <c r="G1230" s="230">
        <v>1</v>
      </c>
      <c r="H1230" s="240">
        <v>359.46</v>
      </c>
      <c r="I1230" s="240">
        <f t="shared" si="19"/>
        <v>359.46</v>
      </c>
      <c r="J1230" s="231" t="s">
        <v>1393</v>
      </c>
      <c r="K1230" s="231" t="s">
        <v>1394</v>
      </c>
      <c r="L1230" s="232">
        <v>45170</v>
      </c>
      <c r="M1230" s="232">
        <v>45199</v>
      </c>
    </row>
    <row r="1231" spans="1:13" ht="14.25" customHeight="1" x14ac:dyDescent="0.2">
      <c r="A1231" s="231" t="s">
        <v>0</v>
      </c>
      <c r="B1231" s="230">
        <v>113387</v>
      </c>
      <c r="C1231" s="230">
        <v>10750</v>
      </c>
      <c r="D1231" s="231" t="s">
        <v>1357</v>
      </c>
      <c r="E1231" s="230">
        <v>14491032</v>
      </c>
      <c r="F1231" s="230">
        <v>31208</v>
      </c>
      <c r="G1231" s="230">
        <v>1</v>
      </c>
      <c r="H1231" s="240">
        <v>359.46</v>
      </c>
      <c r="I1231" s="240">
        <f t="shared" si="19"/>
        <v>359.46</v>
      </c>
      <c r="J1231" s="231" t="s">
        <v>1393</v>
      </c>
      <c r="K1231" s="231" t="s">
        <v>1394</v>
      </c>
      <c r="L1231" s="232">
        <v>45170</v>
      </c>
      <c r="M1231" s="232">
        <v>45199</v>
      </c>
    </row>
    <row r="1232" spans="1:13" ht="14.25" customHeight="1" x14ac:dyDescent="0.2">
      <c r="A1232" s="231" t="s">
        <v>0</v>
      </c>
      <c r="B1232" s="230">
        <v>113388</v>
      </c>
      <c r="C1232" s="230">
        <v>10750</v>
      </c>
      <c r="D1232" s="231" t="s">
        <v>747</v>
      </c>
      <c r="E1232" s="230">
        <v>14491032</v>
      </c>
      <c r="F1232" s="230">
        <v>31210</v>
      </c>
      <c r="G1232" s="230">
        <v>1</v>
      </c>
      <c r="H1232" s="240">
        <v>359.46</v>
      </c>
      <c r="I1232" s="240">
        <f t="shared" si="19"/>
        <v>359.46</v>
      </c>
      <c r="J1232" s="231" t="s">
        <v>1393</v>
      </c>
      <c r="K1232" s="231" t="s">
        <v>1394</v>
      </c>
      <c r="L1232" s="232">
        <v>45170</v>
      </c>
      <c r="M1232" s="232">
        <v>45199</v>
      </c>
    </row>
    <row r="1233" spans="1:13" ht="14.25" customHeight="1" x14ac:dyDescent="0.2">
      <c r="A1233" s="231" t="s">
        <v>0</v>
      </c>
      <c r="B1233" s="230">
        <v>113395</v>
      </c>
      <c r="C1233" s="230">
        <v>10754</v>
      </c>
      <c r="D1233" s="231" t="s">
        <v>754</v>
      </c>
      <c r="E1233" s="230">
        <v>14491032</v>
      </c>
      <c r="F1233" s="230">
        <v>31224</v>
      </c>
      <c r="G1233" s="230">
        <v>1</v>
      </c>
      <c r="H1233" s="240">
        <v>359.46</v>
      </c>
      <c r="I1233" s="240">
        <f t="shared" si="19"/>
        <v>359.46</v>
      </c>
      <c r="J1233" s="231" t="s">
        <v>1393</v>
      </c>
      <c r="K1233" s="231" t="s">
        <v>1394</v>
      </c>
      <c r="L1233" s="232">
        <v>45170</v>
      </c>
      <c r="M1233" s="232">
        <v>45199</v>
      </c>
    </row>
    <row r="1234" spans="1:13" ht="14.25" customHeight="1" x14ac:dyDescent="0.2">
      <c r="A1234" s="231" t="s">
        <v>0</v>
      </c>
      <c r="B1234" s="230">
        <v>113406</v>
      </c>
      <c r="C1234" s="230">
        <v>10750</v>
      </c>
      <c r="D1234" s="231" t="s">
        <v>760</v>
      </c>
      <c r="E1234" s="230">
        <v>14491032</v>
      </c>
      <c r="F1234" s="230">
        <v>31246</v>
      </c>
      <c r="G1234" s="230">
        <v>1</v>
      </c>
      <c r="H1234" s="240">
        <v>359.46</v>
      </c>
      <c r="I1234" s="240">
        <f t="shared" si="19"/>
        <v>359.46</v>
      </c>
      <c r="J1234" s="231" t="s">
        <v>1393</v>
      </c>
      <c r="K1234" s="231" t="s">
        <v>1394</v>
      </c>
      <c r="L1234" s="232">
        <v>45170</v>
      </c>
      <c r="M1234" s="232">
        <v>45199</v>
      </c>
    </row>
    <row r="1235" spans="1:13" ht="14.25" customHeight="1" x14ac:dyDescent="0.2">
      <c r="A1235" s="231" t="s">
        <v>0</v>
      </c>
      <c r="B1235" s="230">
        <v>113410</v>
      </c>
      <c r="C1235" s="230">
        <v>10750</v>
      </c>
      <c r="D1235" s="231" t="s">
        <v>762</v>
      </c>
      <c r="E1235" s="230">
        <v>14491032</v>
      </c>
      <c r="F1235" s="230">
        <v>31254</v>
      </c>
      <c r="G1235" s="230">
        <v>1</v>
      </c>
      <c r="H1235" s="240">
        <v>359.46</v>
      </c>
      <c r="I1235" s="240">
        <f t="shared" si="19"/>
        <v>359.46</v>
      </c>
      <c r="J1235" s="231" t="s">
        <v>1393</v>
      </c>
      <c r="K1235" s="231" t="s">
        <v>1394</v>
      </c>
      <c r="L1235" s="232">
        <v>45170</v>
      </c>
      <c r="M1235" s="232">
        <v>45199</v>
      </c>
    </row>
    <row r="1236" spans="1:13" ht="14.25" customHeight="1" x14ac:dyDescent="0.2">
      <c r="A1236" s="231" t="s">
        <v>0</v>
      </c>
      <c r="B1236" s="230">
        <v>113412</v>
      </c>
      <c r="C1236" s="230">
        <v>10750</v>
      </c>
      <c r="D1236" s="231" t="s">
        <v>763</v>
      </c>
      <c r="E1236" s="230">
        <v>14491032</v>
      </c>
      <c r="F1236" s="230">
        <v>31258</v>
      </c>
      <c r="G1236" s="230">
        <v>1</v>
      </c>
      <c r="H1236" s="240">
        <v>359.46</v>
      </c>
      <c r="I1236" s="240">
        <f t="shared" si="19"/>
        <v>359.46</v>
      </c>
      <c r="J1236" s="231" t="s">
        <v>1393</v>
      </c>
      <c r="K1236" s="231" t="s">
        <v>1394</v>
      </c>
      <c r="L1236" s="232">
        <v>45170</v>
      </c>
      <c r="M1236" s="232">
        <v>45199</v>
      </c>
    </row>
    <row r="1237" spans="1:13" ht="14.25" customHeight="1" x14ac:dyDescent="0.2">
      <c r="A1237" s="231" t="s">
        <v>0</v>
      </c>
      <c r="B1237" s="230">
        <v>113413</v>
      </c>
      <c r="C1237" s="230">
        <v>10750</v>
      </c>
      <c r="D1237" s="231" t="s">
        <v>764</v>
      </c>
      <c r="E1237" s="230">
        <v>14491032</v>
      </c>
      <c r="F1237" s="230">
        <v>31260</v>
      </c>
      <c r="G1237" s="230">
        <v>1</v>
      </c>
      <c r="H1237" s="240">
        <v>359.46</v>
      </c>
      <c r="I1237" s="240">
        <f t="shared" si="19"/>
        <v>359.46</v>
      </c>
      <c r="J1237" s="231" t="s">
        <v>1393</v>
      </c>
      <c r="K1237" s="231" t="s">
        <v>1394</v>
      </c>
      <c r="L1237" s="232">
        <v>45170</v>
      </c>
      <c r="M1237" s="232">
        <v>45199</v>
      </c>
    </row>
    <row r="1238" spans="1:13" ht="14.25" customHeight="1" x14ac:dyDescent="0.2">
      <c r="A1238" s="231" t="s">
        <v>0</v>
      </c>
      <c r="B1238" s="230">
        <v>113414</v>
      </c>
      <c r="C1238" s="230">
        <v>10754</v>
      </c>
      <c r="D1238" s="231" t="s">
        <v>765</v>
      </c>
      <c r="E1238" s="230">
        <v>14491032</v>
      </c>
      <c r="F1238" s="230">
        <v>31262</v>
      </c>
      <c r="G1238" s="230">
        <v>1</v>
      </c>
      <c r="H1238" s="240">
        <v>359.46</v>
      </c>
      <c r="I1238" s="240">
        <f t="shared" si="19"/>
        <v>359.46</v>
      </c>
      <c r="J1238" s="231" t="s">
        <v>1393</v>
      </c>
      <c r="K1238" s="231" t="s">
        <v>1394</v>
      </c>
      <c r="L1238" s="232">
        <v>45170</v>
      </c>
      <c r="M1238" s="232">
        <v>45199</v>
      </c>
    </row>
    <row r="1239" spans="1:13" ht="14.25" customHeight="1" x14ac:dyDescent="0.2">
      <c r="A1239" s="231" t="s">
        <v>0</v>
      </c>
      <c r="B1239" s="230">
        <v>113415</v>
      </c>
      <c r="C1239" s="230">
        <v>10750</v>
      </c>
      <c r="D1239" s="231" t="s">
        <v>766</v>
      </c>
      <c r="E1239" s="230">
        <v>14491032</v>
      </c>
      <c r="F1239" s="230">
        <v>31264</v>
      </c>
      <c r="G1239" s="230">
        <v>1</v>
      </c>
      <c r="H1239" s="240">
        <v>359.46</v>
      </c>
      <c r="I1239" s="240">
        <f t="shared" si="19"/>
        <v>359.46</v>
      </c>
      <c r="J1239" s="231" t="s">
        <v>1393</v>
      </c>
      <c r="K1239" s="231" t="s">
        <v>1394</v>
      </c>
      <c r="L1239" s="232">
        <v>45170</v>
      </c>
      <c r="M1239" s="232">
        <v>45199</v>
      </c>
    </row>
    <row r="1240" spans="1:13" ht="14.25" customHeight="1" x14ac:dyDescent="0.2">
      <c r="A1240" s="231" t="s">
        <v>0</v>
      </c>
      <c r="B1240" s="230">
        <v>113416</v>
      </c>
      <c r="C1240" s="230">
        <v>10750</v>
      </c>
      <c r="D1240" s="231" t="s">
        <v>767</v>
      </c>
      <c r="E1240" s="230">
        <v>14491032</v>
      </c>
      <c r="F1240" s="230">
        <v>31266</v>
      </c>
      <c r="G1240" s="230">
        <v>1</v>
      </c>
      <c r="H1240" s="240">
        <v>359.46</v>
      </c>
      <c r="I1240" s="240">
        <f t="shared" si="19"/>
        <v>359.46</v>
      </c>
      <c r="J1240" s="231" t="s">
        <v>1393</v>
      </c>
      <c r="K1240" s="231" t="s">
        <v>1394</v>
      </c>
      <c r="L1240" s="232">
        <v>45170</v>
      </c>
      <c r="M1240" s="232">
        <v>45199</v>
      </c>
    </row>
    <row r="1241" spans="1:13" ht="14.25" customHeight="1" x14ac:dyDescent="0.2">
      <c r="A1241" s="231" t="s">
        <v>0</v>
      </c>
      <c r="B1241" s="230">
        <v>113417</v>
      </c>
      <c r="C1241" s="230">
        <v>10750</v>
      </c>
      <c r="D1241" s="231" t="s">
        <v>768</v>
      </c>
      <c r="E1241" s="230">
        <v>14491032</v>
      </c>
      <c r="F1241" s="230">
        <v>31268</v>
      </c>
      <c r="G1241" s="230">
        <v>1</v>
      </c>
      <c r="H1241" s="240">
        <v>359.46</v>
      </c>
      <c r="I1241" s="240">
        <f t="shared" si="19"/>
        <v>359.46</v>
      </c>
      <c r="J1241" s="231" t="s">
        <v>1393</v>
      </c>
      <c r="K1241" s="231" t="s">
        <v>1394</v>
      </c>
      <c r="L1241" s="232">
        <v>45170</v>
      </c>
      <c r="M1241" s="232">
        <v>45199</v>
      </c>
    </row>
    <row r="1242" spans="1:13" ht="14.25" customHeight="1" x14ac:dyDescent="0.2">
      <c r="A1242" s="231" t="s">
        <v>0</v>
      </c>
      <c r="B1242" s="230">
        <v>113420</v>
      </c>
      <c r="C1242" s="230">
        <v>10750</v>
      </c>
      <c r="D1242" s="231" t="s">
        <v>53</v>
      </c>
      <c r="E1242" s="230">
        <v>14491032</v>
      </c>
      <c r="F1242" s="230">
        <v>31274</v>
      </c>
      <c r="G1242" s="230">
        <v>1</v>
      </c>
      <c r="H1242" s="240">
        <v>359.46</v>
      </c>
      <c r="I1242" s="240">
        <f t="shared" si="19"/>
        <v>359.46</v>
      </c>
      <c r="J1242" s="231" t="s">
        <v>1393</v>
      </c>
      <c r="K1242" s="231" t="s">
        <v>1394</v>
      </c>
      <c r="L1242" s="232">
        <v>45170</v>
      </c>
      <c r="M1242" s="232">
        <v>45199</v>
      </c>
    </row>
    <row r="1243" spans="1:13" ht="14.25" customHeight="1" x14ac:dyDescent="0.2">
      <c r="A1243" s="231" t="s">
        <v>0</v>
      </c>
      <c r="B1243" s="230">
        <v>113422</v>
      </c>
      <c r="C1243" s="230">
        <v>10750</v>
      </c>
      <c r="D1243" s="231" t="s">
        <v>773</v>
      </c>
      <c r="E1243" s="230">
        <v>14491032</v>
      </c>
      <c r="F1243" s="230">
        <v>31278</v>
      </c>
      <c r="G1243" s="230">
        <v>1</v>
      </c>
      <c r="H1243" s="240">
        <v>359.46</v>
      </c>
      <c r="I1243" s="240">
        <f t="shared" si="19"/>
        <v>359.46</v>
      </c>
      <c r="J1243" s="231" t="s">
        <v>1393</v>
      </c>
      <c r="K1243" s="231" t="s">
        <v>1394</v>
      </c>
      <c r="L1243" s="232">
        <v>45170</v>
      </c>
      <c r="M1243" s="232">
        <v>45199</v>
      </c>
    </row>
    <row r="1244" spans="1:13" ht="14.25" customHeight="1" x14ac:dyDescent="0.2">
      <c r="A1244" s="231" t="s">
        <v>0</v>
      </c>
      <c r="B1244" s="230">
        <v>113426</v>
      </c>
      <c r="C1244" s="230">
        <v>10750</v>
      </c>
      <c r="D1244" s="231" t="s">
        <v>774</v>
      </c>
      <c r="E1244" s="230">
        <v>14491032</v>
      </c>
      <c r="F1244" s="230">
        <v>31286</v>
      </c>
      <c r="G1244" s="230">
        <v>1</v>
      </c>
      <c r="H1244" s="240">
        <v>359.46</v>
      </c>
      <c r="I1244" s="240">
        <f t="shared" si="19"/>
        <v>359.46</v>
      </c>
      <c r="J1244" s="231" t="s">
        <v>1393</v>
      </c>
      <c r="K1244" s="231" t="s">
        <v>1394</v>
      </c>
      <c r="L1244" s="232">
        <v>45170</v>
      </c>
      <c r="M1244" s="232">
        <v>45199</v>
      </c>
    </row>
    <row r="1245" spans="1:13" ht="14.25" customHeight="1" x14ac:dyDescent="0.2">
      <c r="A1245" s="231" t="s">
        <v>0</v>
      </c>
      <c r="B1245" s="230">
        <v>113429</v>
      </c>
      <c r="C1245" s="230">
        <v>10750</v>
      </c>
      <c r="D1245" s="231" t="s">
        <v>775</v>
      </c>
      <c r="E1245" s="230">
        <v>14491032</v>
      </c>
      <c r="F1245" s="230">
        <v>31292</v>
      </c>
      <c r="G1245" s="230">
        <v>1</v>
      </c>
      <c r="H1245" s="240">
        <v>359.46</v>
      </c>
      <c r="I1245" s="240">
        <f t="shared" si="19"/>
        <v>359.46</v>
      </c>
      <c r="J1245" s="231" t="s">
        <v>1393</v>
      </c>
      <c r="K1245" s="231" t="s">
        <v>1394</v>
      </c>
      <c r="L1245" s="232">
        <v>45170</v>
      </c>
      <c r="M1245" s="232">
        <v>45199</v>
      </c>
    </row>
    <row r="1246" spans="1:13" ht="14.25" customHeight="1" x14ac:dyDescent="0.2">
      <c r="A1246" s="231" t="s">
        <v>0</v>
      </c>
      <c r="B1246" s="230">
        <v>113431</v>
      </c>
      <c r="C1246" s="230">
        <v>10750</v>
      </c>
      <c r="D1246" s="231" t="s">
        <v>776</v>
      </c>
      <c r="E1246" s="230">
        <v>14491032</v>
      </c>
      <c r="F1246" s="230">
        <v>31296</v>
      </c>
      <c r="G1246" s="230">
        <v>1</v>
      </c>
      <c r="H1246" s="240">
        <v>359.46</v>
      </c>
      <c r="I1246" s="240">
        <f t="shared" si="19"/>
        <v>359.46</v>
      </c>
      <c r="J1246" s="231" t="s">
        <v>1393</v>
      </c>
      <c r="K1246" s="231" t="s">
        <v>1394</v>
      </c>
      <c r="L1246" s="232">
        <v>45170</v>
      </c>
      <c r="M1246" s="232">
        <v>45199</v>
      </c>
    </row>
    <row r="1247" spans="1:13" ht="14.25" customHeight="1" x14ac:dyDescent="0.2">
      <c r="A1247" s="231" t="s">
        <v>0</v>
      </c>
      <c r="B1247" s="230">
        <v>113432</v>
      </c>
      <c r="C1247" s="230">
        <v>10754</v>
      </c>
      <c r="D1247" s="231" t="s">
        <v>777</v>
      </c>
      <c r="E1247" s="230">
        <v>14491032</v>
      </c>
      <c r="F1247" s="230">
        <v>31298</v>
      </c>
      <c r="G1247" s="230">
        <v>1</v>
      </c>
      <c r="H1247" s="240">
        <v>359.46</v>
      </c>
      <c r="I1247" s="240">
        <f t="shared" si="19"/>
        <v>359.46</v>
      </c>
      <c r="J1247" s="231" t="s">
        <v>1393</v>
      </c>
      <c r="K1247" s="231" t="s">
        <v>1394</v>
      </c>
      <c r="L1247" s="232">
        <v>45170</v>
      </c>
      <c r="M1247" s="232">
        <v>45199</v>
      </c>
    </row>
    <row r="1248" spans="1:13" ht="14.25" customHeight="1" x14ac:dyDescent="0.2">
      <c r="A1248" s="231" t="s">
        <v>0</v>
      </c>
      <c r="B1248" s="230">
        <v>113435</v>
      </c>
      <c r="C1248" s="230">
        <v>10750</v>
      </c>
      <c r="D1248" s="231" t="s">
        <v>779</v>
      </c>
      <c r="E1248" s="230">
        <v>14491032</v>
      </c>
      <c r="F1248" s="230">
        <v>31304</v>
      </c>
      <c r="G1248" s="230">
        <v>1</v>
      </c>
      <c r="H1248" s="240">
        <v>359.46</v>
      </c>
      <c r="I1248" s="240">
        <f t="shared" si="19"/>
        <v>359.46</v>
      </c>
      <c r="J1248" s="231" t="s">
        <v>1393</v>
      </c>
      <c r="K1248" s="231" t="s">
        <v>1394</v>
      </c>
      <c r="L1248" s="232">
        <v>45170</v>
      </c>
      <c r="M1248" s="232">
        <v>45199</v>
      </c>
    </row>
    <row r="1249" spans="1:13" ht="14.25" customHeight="1" x14ac:dyDescent="0.2">
      <c r="A1249" s="231" t="s">
        <v>0</v>
      </c>
      <c r="B1249" s="230">
        <v>113437</v>
      </c>
      <c r="C1249" s="230">
        <v>10754</v>
      </c>
      <c r="D1249" s="231" t="s">
        <v>781</v>
      </c>
      <c r="E1249" s="230">
        <v>14491032</v>
      </c>
      <c r="F1249" s="230">
        <v>31308</v>
      </c>
      <c r="G1249" s="230">
        <v>1</v>
      </c>
      <c r="H1249" s="240">
        <v>359.46</v>
      </c>
      <c r="I1249" s="240">
        <f t="shared" si="19"/>
        <v>359.46</v>
      </c>
      <c r="J1249" s="231" t="s">
        <v>1393</v>
      </c>
      <c r="K1249" s="231" t="s">
        <v>1394</v>
      </c>
      <c r="L1249" s="232">
        <v>45170</v>
      </c>
      <c r="M1249" s="232">
        <v>45199</v>
      </c>
    </row>
    <row r="1250" spans="1:13" ht="14.25" customHeight="1" x14ac:dyDescent="0.2">
      <c r="A1250" s="231" t="s">
        <v>0</v>
      </c>
      <c r="B1250" s="230">
        <v>113442</v>
      </c>
      <c r="C1250" s="230">
        <v>10750</v>
      </c>
      <c r="D1250" s="231" t="s">
        <v>784</v>
      </c>
      <c r="E1250" s="230">
        <v>14491032</v>
      </c>
      <c r="F1250" s="230">
        <v>31318</v>
      </c>
      <c r="G1250" s="230">
        <v>1</v>
      </c>
      <c r="H1250" s="240">
        <v>359.46</v>
      </c>
      <c r="I1250" s="240">
        <f t="shared" si="19"/>
        <v>359.46</v>
      </c>
      <c r="J1250" s="231" t="s">
        <v>1393</v>
      </c>
      <c r="K1250" s="231" t="s">
        <v>1394</v>
      </c>
      <c r="L1250" s="232">
        <v>45170</v>
      </c>
      <c r="M1250" s="232">
        <v>45199</v>
      </c>
    </row>
    <row r="1251" spans="1:13" ht="14.25" customHeight="1" x14ac:dyDescent="0.2">
      <c r="A1251" s="231" t="s">
        <v>0</v>
      </c>
      <c r="B1251" s="230">
        <v>113448</v>
      </c>
      <c r="C1251" s="230">
        <v>10754</v>
      </c>
      <c r="D1251" s="231" t="s">
        <v>787</v>
      </c>
      <c r="E1251" s="230">
        <v>14491032</v>
      </c>
      <c r="F1251" s="230">
        <v>31330</v>
      </c>
      <c r="G1251" s="230">
        <v>1</v>
      </c>
      <c r="H1251" s="240">
        <v>359.46</v>
      </c>
      <c r="I1251" s="240">
        <f t="shared" si="19"/>
        <v>359.46</v>
      </c>
      <c r="J1251" s="231" t="s">
        <v>1393</v>
      </c>
      <c r="K1251" s="231" t="s">
        <v>1394</v>
      </c>
      <c r="L1251" s="232">
        <v>45170</v>
      </c>
      <c r="M1251" s="232">
        <v>45199</v>
      </c>
    </row>
    <row r="1252" spans="1:13" ht="14.25" customHeight="1" x14ac:dyDescent="0.2">
      <c r="A1252" s="231" t="s">
        <v>0</v>
      </c>
      <c r="B1252" s="230">
        <v>113449</v>
      </c>
      <c r="C1252" s="230">
        <v>10757</v>
      </c>
      <c r="D1252" s="231" t="s">
        <v>788</v>
      </c>
      <c r="E1252" s="230">
        <v>14491032</v>
      </c>
      <c r="F1252" s="230">
        <v>31332</v>
      </c>
      <c r="G1252" s="230">
        <v>1</v>
      </c>
      <c r="H1252" s="240">
        <v>359.46</v>
      </c>
      <c r="I1252" s="240">
        <f t="shared" si="19"/>
        <v>359.46</v>
      </c>
      <c r="J1252" s="231" t="s">
        <v>1393</v>
      </c>
      <c r="K1252" s="231" t="s">
        <v>1394</v>
      </c>
      <c r="L1252" s="232">
        <v>45170</v>
      </c>
      <c r="M1252" s="232">
        <v>45199</v>
      </c>
    </row>
    <row r="1253" spans="1:13" ht="14.25" customHeight="1" x14ac:dyDescent="0.2">
      <c r="A1253" s="231" t="s">
        <v>0</v>
      </c>
      <c r="B1253" s="230">
        <v>113458</v>
      </c>
      <c r="C1253" s="230">
        <v>10750</v>
      </c>
      <c r="D1253" s="231" t="s">
        <v>791</v>
      </c>
      <c r="E1253" s="230">
        <v>14491032</v>
      </c>
      <c r="F1253" s="230">
        <v>31350</v>
      </c>
      <c r="G1253" s="230">
        <v>1</v>
      </c>
      <c r="H1253" s="240">
        <v>359.46</v>
      </c>
      <c r="I1253" s="240">
        <f t="shared" si="19"/>
        <v>359.46</v>
      </c>
      <c r="J1253" s="231" t="s">
        <v>1393</v>
      </c>
      <c r="K1253" s="231" t="s">
        <v>1394</v>
      </c>
      <c r="L1253" s="232">
        <v>45170</v>
      </c>
      <c r="M1253" s="232">
        <v>45199</v>
      </c>
    </row>
    <row r="1254" spans="1:13" ht="14.25" customHeight="1" x14ac:dyDescent="0.2">
      <c r="A1254" s="231" t="s">
        <v>0</v>
      </c>
      <c r="B1254" s="230">
        <v>113461</v>
      </c>
      <c r="C1254" s="230">
        <v>10754</v>
      </c>
      <c r="D1254" s="231" t="s">
        <v>794</v>
      </c>
      <c r="E1254" s="230">
        <v>14491032</v>
      </c>
      <c r="F1254" s="230">
        <v>31356</v>
      </c>
      <c r="G1254" s="230">
        <v>1</v>
      </c>
      <c r="H1254" s="240">
        <v>359.46</v>
      </c>
      <c r="I1254" s="240">
        <f t="shared" si="19"/>
        <v>359.46</v>
      </c>
      <c r="J1254" s="231" t="s">
        <v>1393</v>
      </c>
      <c r="K1254" s="231" t="s">
        <v>1394</v>
      </c>
      <c r="L1254" s="232">
        <v>45170</v>
      </c>
      <c r="M1254" s="232">
        <v>45199</v>
      </c>
    </row>
    <row r="1255" spans="1:13" ht="14.25" customHeight="1" x14ac:dyDescent="0.2">
      <c r="A1255" s="231" t="s">
        <v>0</v>
      </c>
      <c r="B1255" s="230">
        <v>113467</v>
      </c>
      <c r="C1255" s="230">
        <v>10750</v>
      </c>
      <c r="D1255" s="231" t="s">
        <v>797</v>
      </c>
      <c r="E1255" s="230">
        <v>14491032</v>
      </c>
      <c r="F1255" s="230">
        <v>31368</v>
      </c>
      <c r="G1255" s="230">
        <v>1</v>
      </c>
      <c r="H1255" s="240">
        <v>359.46</v>
      </c>
      <c r="I1255" s="240">
        <f t="shared" si="19"/>
        <v>359.46</v>
      </c>
      <c r="J1255" s="231" t="s">
        <v>1393</v>
      </c>
      <c r="K1255" s="231" t="s">
        <v>1394</v>
      </c>
      <c r="L1255" s="232">
        <v>45170</v>
      </c>
      <c r="M1255" s="232">
        <v>45199</v>
      </c>
    </row>
    <row r="1256" spans="1:13" ht="14.25" customHeight="1" x14ac:dyDescent="0.2">
      <c r="A1256" s="231" t="s">
        <v>0</v>
      </c>
      <c r="B1256" s="230">
        <v>113469</v>
      </c>
      <c r="C1256" s="230">
        <v>10766</v>
      </c>
      <c r="D1256" s="231" t="s">
        <v>798</v>
      </c>
      <c r="E1256" s="230">
        <v>14491032</v>
      </c>
      <c r="F1256" s="230">
        <v>31372</v>
      </c>
      <c r="G1256" s="230">
        <v>1</v>
      </c>
      <c r="H1256" s="240">
        <v>359.46</v>
      </c>
      <c r="I1256" s="240">
        <f t="shared" si="19"/>
        <v>359.46</v>
      </c>
      <c r="J1256" s="231" t="s">
        <v>1393</v>
      </c>
      <c r="K1256" s="231" t="s">
        <v>1394</v>
      </c>
      <c r="L1256" s="232">
        <v>45170</v>
      </c>
      <c r="M1256" s="232">
        <v>45199</v>
      </c>
    </row>
    <row r="1257" spans="1:13" ht="14.25" customHeight="1" x14ac:dyDescent="0.2">
      <c r="A1257" s="231" t="s">
        <v>0</v>
      </c>
      <c r="B1257" s="230">
        <v>113470</v>
      </c>
      <c r="C1257" s="230">
        <v>10750</v>
      </c>
      <c r="D1257" s="231" t="s">
        <v>799</v>
      </c>
      <c r="E1257" s="230">
        <v>14491032</v>
      </c>
      <c r="F1257" s="230">
        <v>31374</v>
      </c>
      <c r="G1257" s="230">
        <v>1</v>
      </c>
      <c r="H1257" s="240">
        <v>359.46</v>
      </c>
      <c r="I1257" s="240">
        <f t="shared" si="19"/>
        <v>359.46</v>
      </c>
      <c r="J1257" s="231" t="s">
        <v>1393</v>
      </c>
      <c r="K1257" s="231" t="s">
        <v>1394</v>
      </c>
      <c r="L1257" s="232">
        <v>45170</v>
      </c>
      <c r="M1257" s="232">
        <v>45199</v>
      </c>
    </row>
    <row r="1258" spans="1:13" ht="14.25" customHeight="1" x14ac:dyDescent="0.2">
      <c r="A1258" s="231" t="s">
        <v>0</v>
      </c>
      <c r="B1258" s="230">
        <v>113499</v>
      </c>
      <c r="C1258" s="230">
        <v>10750</v>
      </c>
      <c r="D1258" s="231" t="s">
        <v>814</v>
      </c>
      <c r="E1258" s="230">
        <v>14491032</v>
      </c>
      <c r="F1258" s="230">
        <v>31432</v>
      </c>
      <c r="G1258" s="230">
        <v>1</v>
      </c>
      <c r="H1258" s="240">
        <v>359.46</v>
      </c>
      <c r="I1258" s="240">
        <f t="shared" si="19"/>
        <v>359.46</v>
      </c>
      <c r="J1258" s="231" t="s">
        <v>1393</v>
      </c>
      <c r="K1258" s="231" t="s">
        <v>1394</v>
      </c>
      <c r="L1258" s="232">
        <v>45170</v>
      </c>
      <c r="M1258" s="232">
        <v>45199</v>
      </c>
    </row>
    <row r="1259" spans="1:13" ht="14.25" customHeight="1" x14ac:dyDescent="0.2">
      <c r="A1259" s="231" t="s">
        <v>0</v>
      </c>
      <c r="B1259" s="230">
        <v>113505</v>
      </c>
      <c r="C1259" s="230">
        <v>10750</v>
      </c>
      <c r="D1259" s="231" t="s">
        <v>817</v>
      </c>
      <c r="E1259" s="230">
        <v>14491032</v>
      </c>
      <c r="F1259" s="230">
        <v>31444</v>
      </c>
      <c r="G1259" s="230">
        <v>1</v>
      </c>
      <c r="H1259" s="240">
        <v>359.46</v>
      </c>
      <c r="I1259" s="240">
        <f t="shared" si="19"/>
        <v>359.46</v>
      </c>
      <c r="J1259" s="231" t="s">
        <v>1393</v>
      </c>
      <c r="K1259" s="231" t="s">
        <v>1394</v>
      </c>
      <c r="L1259" s="232">
        <v>45170</v>
      </c>
      <c r="M1259" s="232">
        <v>45199</v>
      </c>
    </row>
    <row r="1260" spans="1:13" ht="14.25" customHeight="1" x14ac:dyDescent="0.2">
      <c r="A1260" s="231" t="s">
        <v>0</v>
      </c>
      <c r="B1260" s="230">
        <v>113519</v>
      </c>
      <c r="C1260" s="230">
        <v>10756</v>
      </c>
      <c r="D1260" s="231" t="s">
        <v>823</v>
      </c>
      <c r="E1260" s="230">
        <v>14491032</v>
      </c>
      <c r="F1260" s="230">
        <v>31472</v>
      </c>
      <c r="G1260" s="230">
        <v>1</v>
      </c>
      <c r="H1260" s="240">
        <v>359.46</v>
      </c>
      <c r="I1260" s="240">
        <f t="shared" si="19"/>
        <v>359.46</v>
      </c>
      <c r="J1260" s="231" t="s">
        <v>1393</v>
      </c>
      <c r="K1260" s="231" t="s">
        <v>1394</v>
      </c>
      <c r="L1260" s="232">
        <v>45170</v>
      </c>
      <c r="M1260" s="232">
        <v>45199</v>
      </c>
    </row>
    <row r="1261" spans="1:13" ht="14.25" customHeight="1" x14ac:dyDescent="0.2">
      <c r="A1261" s="231" t="s">
        <v>0</v>
      </c>
      <c r="B1261" s="230">
        <v>113521</v>
      </c>
      <c r="C1261" s="230">
        <v>10751</v>
      </c>
      <c r="D1261" s="231" t="s">
        <v>825</v>
      </c>
      <c r="E1261" s="230">
        <v>14491032</v>
      </c>
      <c r="F1261" s="230">
        <v>31476</v>
      </c>
      <c r="G1261" s="230">
        <v>1</v>
      </c>
      <c r="H1261" s="240">
        <v>359.46</v>
      </c>
      <c r="I1261" s="240">
        <f t="shared" si="19"/>
        <v>359.46</v>
      </c>
      <c r="J1261" s="231" t="s">
        <v>1393</v>
      </c>
      <c r="K1261" s="231" t="s">
        <v>1394</v>
      </c>
      <c r="L1261" s="232">
        <v>45170</v>
      </c>
      <c r="M1261" s="232">
        <v>45199</v>
      </c>
    </row>
    <row r="1262" spans="1:13" ht="14.25" customHeight="1" x14ac:dyDescent="0.2">
      <c r="A1262" s="231" t="s">
        <v>0</v>
      </c>
      <c r="B1262" s="230">
        <v>113530</v>
      </c>
      <c r="C1262" s="230">
        <v>10750</v>
      </c>
      <c r="D1262" s="231" t="s">
        <v>829</v>
      </c>
      <c r="E1262" s="230">
        <v>14491032</v>
      </c>
      <c r="F1262" s="230">
        <v>31494</v>
      </c>
      <c r="G1262" s="230">
        <v>1</v>
      </c>
      <c r="H1262" s="240">
        <v>359.46</v>
      </c>
      <c r="I1262" s="240">
        <f t="shared" si="19"/>
        <v>359.46</v>
      </c>
      <c r="J1262" s="231" t="s">
        <v>1393</v>
      </c>
      <c r="K1262" s="231" t="s">
        <v>1394</v>
      </c>
      <c r="L1262" s="232">
        <v>45170</v>
      </c>
      <c r="M1262" s="232">
        <v>45199</v>
      </c>
    </row>
    <row r="1263" spans="1:13" ht="14.25" customHeight="1" x14ac:dyDescent="0.2">
      <c r="A1263" s="231" t="s">
        <v>0</v>
      </c>
      <c r="B1263" s="230">
        <v>113537</v>
      </c>
      <c r="C1263" s="230">
        <v>10750</v>
      </c>
      <c r="D1263" s="231" t="s">
        <v>835</v>
      </c>
      <c r="E1263" s="230">
        <v>14491032</v>
      </c>
      <c r="F1263" s="230">
        <v>31508</v>
      </c>
      <c r="G1263" s="230">
        <v>1</v>
      </c>
      <c r="H1263" s="240">
        <v>359.46</v>
      </c>
      <c r="I1263" s="240">
        <f t="shared" si="19"/>
        <v>359.46</v>
      </c>
      <c r="J1263" s="231" t="s">
        <v>1393</v>
      </c>
      <c r="K1263" s="231" t="s">
        <v>1394</v>
      </c>
      <c r="L1263" s="232">
        <v>45170</v>
      </c>
      <c r="M1263" s="232">
        <v>45199</v>
      </c>
    </row>
    <row r="1264" spans="1:13" ht="14.25" customHeight="1" x14ac:dyDescent="0.2">
      <c r="A1264" s="231" t="s">
        <v>0</v>
      </c>
      <c r="B1264" s="230">
        <v>113548</v>
      </c>
      <c r="C1264" s="230">
        <v>10760</v>
      </c>
      <c r="D1264" s="231" t="s">
        <v>842</v>
      </c>
      <c r="E1264" s="230">
        <v>14491032</v>
      </c>
      <c r="F1264" s="230">
        <v>31530</v>
      </c>
      <c r="G1264" s="230">
        <v>1</v>
      </c>
      <c r="H1264" s="240">
        <v>359.46</v>
      </c>
      <c r="I1264" s="240">
        <f t="shared" si="19"/>
        <v>359.46</v>
      </c>
      <c r="J1264" s="231" t="s">
        <v>1393</v>
      </c>
      <c r="K1264" s="231" t="s">
        <v>1394</v>
      </c>
      <c r="L1264" s="232">
        <v>45170</v>
      </c>
      <c r="M1264" s="232">
        <v>45199</v>
      </c>
    </row>
    <row r="1265" spans="1:13" ht="14.25" customHeight="1" x14ac:dyDescent="0.2">
      <c r="A1265" s="231" t="s">
        <v>0</v>
      </c>
      <c r="B1265" s="230">
        <v>113549</v>
      </c>
      <c r="C1265" s="230">
        <v>10761</v>
      </c>
      <c r="D1265" s="231" t="s">
        <v>843</v>
      </c>
      <c r="E1265" s="230">
        <v>14491032</v>
      </c>
      <c r="F1265" s="230">
        <v>31532</v>
      </c>
      <c r="G1265" s="230">
        <v>1</v>
      </c>
      <c r="H1265" s="240">
        <v>323.51</v>
      </c>
      <c r="I1265" s="240">
        <f t="shared" si="19"/>
        <v>323.51</v>
      </c>
      <c r="J1265" s="231" t="s">
        <v>1393</v>
      </c>
      <c r="K1265" s="231" t="s">
        <v>1394</v>
      </c>
      <c r="L1265" s="232">
        <v>45170</v>
      </c>
      <c r="M1265" s="232">
        <v>45199</v>
      </c>
    </row>
    <row r="1266" spans="1:13" ht="14.25" customHeight="1" x14ac:dyDescent="0.2">
      <c r="A1266" s="231" t="s">
        <v>0</v>
      </c>
      <c r="B1266" s="230">
        <v>113551</v>
      </c>
      <c r="C1266" s="230">
        <v>10751</v>
      </c>
      <c r="D1266" s="231" t="s">
        <v>845</v>
      </c>
      <c r="E1266" s="230">
        <v>14491032</v>
      </c>
      <c r="F1266" s="230">
        <v>31536</v>
      </c>
      <c r="G1266" s="230">
        <v>1</v>
      </c>
      <c r="H1266" s="240">
        <v>359.46</v>
      </c>
      <c r="I1266" s="240">
        <f t="shared" si="19"/>
        <v>359.46</v>
      </c>
      <c r="J1266" s="231" t="s">
        <v>1393</v>
      </c>
      <c r="K1266" s="231" t="s">
        <v>1394</v>
      </c>
      <c r="L1266" s="232">
        <v>45170</v>
      </c>
      <c r="M1266" s="232">
        <v>45199</v>
      </c>
    </row>
    <row r="1267" spans="1:13" ht="14.25" customHeight="1" x14ac:dyDescent="0.2">
      <c r="A1267" s="231" t="s">
        <v>0</v>
      </c>
      <c r="B1267" s="230">
        <v>113558</v>
      </c>
      <c r="C1267" s="230">
        <v>10750</v>
      </c>
      <c r="D1267" s="231" t="s">
        <v>849</v>
      </c>
      <c r="E1267" s="230">
        <v>14491032</v>
      </c>
      <c r="F1267" s="230">
        <v>31550</v>
      </c>
      <c r="G1267" s="230">
        <v>1</v>
      </c>
      <c r="H1267" s="240">
        <v>359.46</v>
      </c>
      <c r="I1267" s="240">
        <f t="shared" si="19"/>
        <v>359.46</v>
      </c>
      <c r="J1267" s="231" t="s">
        <v>1393</v>
      </c>
      <c r="K1267" s="231" t="s">
        <v>1394</v>
      </c>
      <c r="L1267" s="232">
        <v>45170</v>
      </c>
      <c r="M1267" s="232">
        <v>45199</v>
      </c>
    </row>
    <row r="1268" spans="1:13" ht="14.25" customHeight="1" x14ac:dyDescent="0.2">
      <c r="A1268" s="231" t="s">
        <v>0</v>
      </c>
      <c r="B1268" s="230">
        <v>113559</v>
      </c>
      <c r="C1268" s="230">
        <v>10751</v>
      </c>
      <c r="D1268" s="231" t="s">
        <v>850</v>
      </c>
      <c r="E1268" s="230">
        <v>14491032</v>
      </c>
      <c r="F1268" s="230">
        <v>31552</v>
      </c>
      <c r="G1268" s="230">
        <v>1</v>
      </c>
      <c r="H1268" s="240">
        <v>359.46</v>
      </c>
      <c r="I1268" s="240">
        <f t="shared" si="19"/>
        <v>359.46</v>
      </c>
      <c r="J1268" s="231" t="s">
        <v>1393</v>
      </c>
      <c r="K1268" s="231" t="s">
        <v>1394</v>
      </c>
      <c r="L1268" s="232">
        <v>45170</v>
      </c>
      <c r="M1268" s="232">
        <v>45199</v>
      </c>
    </row>
    <row r="1269" spans="1:13" ht="14.25" customHeight="1" x14ac:dyDescent="0.2">
      <c r="A1269" s="231" t="s">
        <v>0</v>
      </c>
      <c r="B1269" s="230">
        <v>113566</v>
      </c>
      <c r="C1269" s="230">
        <v>10750</v>
      </c>
      <c r="D1269" s="231" t="s">
        <v>854</v>
      </c>
      <c r="E1269" s="230">
        <v>14491032</v>
      </c>
      <c r="F1269" s="230">
        <v>31566</v>
      </c>
      <c r="G1269" s="230">
        <v>1</v>
      </c>
      <c r="H1269" s="240">
        <v>359.46</v>
      </c>
      <c r="I1269" s="240">
        <f t="shared" si="19"/>
        <v>359.46</v>
      </c>
      <c r="J1269" s="231" t="s">
        <v>1393</v>
      </c>
      <c r="K1269" s="231" t="s">
        <v>1394</v>
      </c>
      <c r="L1269" s="232">
        <v>45170</v>
      </c>
      <c r="M1269" s="232">
        <v>45199</v>
      </c>
    </row>
    <row r="1270" spans="1:13" ht="14.25" customHeight="1" x14ac:dyDescent="0.2">
      <c r="A1270" s="231" t="s">
        <v>0</v>
      </c>
      <c r="B1270" s="230">
        <v>113582</v>
      </c>
      <c r="C1270" s="230">
        <v>10750</v>
      </c>
      <c r="D1270" s="231" t="s">
        <v>859</v>
      </c>
      <c r="E1270" s="230">
        <v>14491032</v>
      </c>
      <c r="F1270" s="230">
        <v>31598</v>
      </c>
      <c r="G1270" s="230">
        <v>1</v>
      </c>
      <c r="H1270" s="240">
        <v>359.46</v>
      </c>
      <c r="I1270" s="240">
        <f t="shared" si="19"/>
        <v>359.46</v>
      </c>
      <c r="J1270" s="231" t="s">
        <v>1393</v>
      </c>
      <c r="K1270" s="231" t="s">
        <v>1394</v>
      </c>
      <c r="L1270" s="232">
        <v>45170</v>
      </c>
      <c r="M1270" s="232">
        <v>45199</v>
      </c>
    </row>
    <row r="1271" spans="1:13" ht="14.25" customHeight="1" x14ac:dyDescent="0.2">
      <c r="A1271" s="231" t="s">
        <v>0</v>
      </c>
      <c r="B1271" s="230">
        <v>113584</v>
      </c>
      <c r="C1271" s="230">
        <v>10756</v>
      </c>
      <c r="D1271" s="231" t="s">
        <v>860</v>
      </c>
      <c r="E1271" s="230">
        <v>14491032</v>
      </c>
      <c r="F1271" s="230">
        <v>31602</v>
      </c>
      <c r="G1271" s="230">
        <v>1</v>
      </c>
      <c r="H1271" s="240">
        <v>359.46</v>
      </c>
      <c r="I1271" s="240">
        <f t="shared" si="19"/>
        <v>359.46</v>
      </c>
      <c r="J1271" s="231" t="s">
        <v>1393</v>
      </c>
      <c r="K1271" s="231" t="s">
        <v>1394</v>
      </c>
      <c r="L1271" s="232">
        <v>45170</v>
      </c>
      <c r="M1271" s="232">
        <v>45199</v>
      </c>
    </row>
    <row r="1272" spans="1:13" ht="14.25" customHeight="1" x14ac:dyDescent="0.2">
      <c r="A1272" s="231" t="s">
        <v>0</v>
      </c>
      <c r="B1272" s="230">
        <v>113594</v>
      </c>
      <c r="C1272" s="230">
        <v>10745</v>
      </c>
      <c r="D1272" s="231" t="s">
        <v>867</v>
      </c>
      <c r="E1272" s="230">
        <v>14491032</v>
      </c>
      <c r="F1272" s="230">
        <v>31622</v>
      </c>
      <c r="G1272" s="230">
        <v>1</v>
      </c>
      <c r="H1272" s="240">
        <v>359.46</v>
      </c>
      <c r="I1272" s="240">
        <f t="shared" si="19"/>
        <v>359.46</v>
      </c>
      <c r="J1272" s="231" t="s">
        <v>1393</v>
      </c>
      <c r="K1272" s="231" t="s">
        <v>1394</v>
      </c>
      <c r="L1272" s="232">
        <v>45170</v>
      </c>
      <c r="M1272" s="232">
        <v>45199</v>
      </c>
    </row>
    <row r="1273" spans="1:13" ht="14.25" customHeight="1" x14ac:dyDescent="0.2">
      <c r="A1273" s="231" t="s">
        <v>0</v>
      </c>
      <c r="B1273" s="230">
        <v>113611</v>
      </c>
      <c r="C1273" s="230">
        <v>10771</v>
      </c>
      <c r="D1273" s="231" t="s">
        <v>875</v>
      </c>
      <c r="E1273" s="230">
        <v>14491032</v>
      </c>
      <c r="F1273" s="230">
        <v>31656</v>
      </c>
      <c r="G1273" s="230">
        <v>1</v>
      </c>
      <c r="H1273" s="240">
        <v>359.46</v>
      </c>
      <c r="I1273" s="240">
        <f t="shared" si="19"/>
        <v>359.46</v>
      </c>
      <c r="J1273" s="231" t="s">
        <v>1393</v>
      </c>
      <c r="K1273" s="231" t="s">
        <v>1394</v>
      </c>
      <c r="L1273" s="232">
        <v>45170</v>
      </c>
      <c r="M1273" s="232">
        <v>45199</v>
      </c>
    </row>
    <row r="1274" spans="1:13" ht="14.25" customHeight="1" x14ac:dyDescent="0.2">
      <c r="A1274" s="231" t="s">
        <v>0</v>
      </c>
      <c r="B1274" s="230">
        <v>113625</v>
      </c>
      <c r="C1274" s="230">
        <v>10745</v>
      </c>
      <c r="D1274" s="231" t="s">
        <v>1320</v>
      </c>
      <c r="E1274" s="230">
        <v>14491032</v>
      </c>
      <c r="F1274" s="230">
        <v>31684</v>
      </c>
      <c r="G1274" s="230">
        <v>1</v>
      </c>
      <c r="H1274" s="240">
        <v>359.46</v>
      </c>
      <c r="I1274" s="240">
        <f t="shared" si="19"/>
        <v>359.46</v>
      </c>
      <c r="J1274" s="231" t="s">
        <v>1393</v>
      </c>
      <c r="K1274" s="231" t="s">
        <v>1394</v>
      </c>
      <c r="L1274" s="232">
        <v>45170</v>
      </c>
      <c r="M1274" s="232">
        <v>45199</v>
      </c>
    </row>
    <row r="1275" spans="1:13" ht="14.25" customHeight="1" x14ac:dyDescent="0.2">
      <c r="A1275" s="231" t="s">
        <v>0</v>
      </c>
      <c r="B1275" s="230">
        <v>113643</v>
      </c>
      <c r="C1275" s="230">
        <v>10763</v>
      </c>
      <c r="D1275" s="231" t="s">
        <v>893</v>
      </c>
      <c r="E1275" s="230">
        <v>14491032</v>
      </c>
      <c r="F1275" s="230">
        <v>31720</v>
      </c>
      <c r="G1275" s="230">
        <v>1</v>
      </c>
      <c r="H1275" s="240">
        <v>359.46</v>
      </c>
      <c r="I1275" s="240">
        <f t="shared" si="19"/>
        <v>359.46</v>
      </c>
      <c r="J1275" s="231" t="s">
        <v>1393</v>
      </c>
      <c r="K1275" s="231" t="s">
        <v>1394</v>
      </c>
      <c r="L1275" s="232">
        <v>45170</v>
      </c>
      <c r="M1275" s="232">
        <v>45199</v>
      </c>
    </row>
    <row r="1276" spans="1:13" ht="14.25" customHeight="1" x14ac:dyDescent="0.2">
      <c r="A1276" s="231" t="s">
        <v>0</v>
      </c>
      <c r="B1276" s="230">
        <v>113648</v>
      </c>
      <c r="C1276" s="230">
        <v>10751</v>
      </c>
      <c r="D1276" s="231" t="s">
        <v>896</v>
      </c>
      <c r="E1276" s="230">
        <v>14491032</v>
      </c>
      <c r="F1276" s="230">
        <v>31730</v>
      </c>
      <c r="G1276" s="230">
        <v>1</v>
      </c>
      <c r="H1276" s="240">
        <v>359.46</v>
      </c>
      <c r="I1276" s="240">
        <f t="shared" si="19"/>
        <v>359.46</v>
      </c>
      <c r="J1276" s="231" t="s">
        <v>1393</v>
      </c>
      <c r="K1276" s="231" t="s">
        <v>1394</v>
      </c>
      <c r="L1276" s="232">
        <v>45170</v>
      </c>
      <c r="M1276" s="232">
        <v>45199</v>
      </c>
    </row>
    <row r="1277" spans="1:13" ht="14.25" customHeight="1" x14ac:dyDescent="0.2">
      <c r="A1277" s="231" t="s">
        <v>0</v>
      </c>
      <c r="B1277" s="230">
        <v>113656</v>
      </c>
      <c r="C1277" s="230">
        <v>10750</v>
      </c>
      <c r="D1277" s="231" t="s">
        <v>901</v>
      </c>
      <c r="E1277" s="230">
        <v>14491032</v>
      </c>
      <c r="F1277" s="230">
        <v>31746</v>
      </c>
      <c r="G1277" s="230">
        <v>1</v>
      </c>
      <c r="H1277" s="240">
        <v>359.46</v>
      </c>
      <c r="I1277" s="240">
        <f t="shared" si="19"/>
        <v>359.46</v>
      </c>
      <c r="J1277" s="231" t="s">
        <v>1393</v>
      </c>
      <c r="K1277" s="231" t="s">
        <v>1394</v>
      </c>
      <c r="L1277" s="232">
        <v>45170</v>
      </c>
      <c r="M1277" s="232">
        <v>45199</v>
      </c>
    </row>
    <row r="1278" spans="1:13" ht="14.25" customHeight="1" x14ac:dyDescent="0.2">
      <c r="A1278" s="231" t="s">
        <v>0</v>
      </c>
      <c r="B1278" s="230">
        <v>113669</v>
      </c>
      <c r="C1278" s="230">
        <v>10750</v>
      </c>
      <c r="D1278" s="231" t="s">
        <v>909</v>
      </c>
      <c r="E1278" s="230">
        <v>14491032</v>
      </c>
      <c r="F1278" s="230">
        <v>31772</v>
      </c>
      <c r="G1278" s="230">
        <v>1</v>
      </c>
      <c r="H1278" s="240">
        <v>359.46</v>
      </c>
      <c r="I1278" s="240">
        <f t="shared" si="19"/>
        <v>359.46</v>
      </c>
      <c r="J1278" s="231" t="s">
        <v>1393</v>
      </c>
      <c r="K1278" s="231" t="s">
        <v>1394</v>
      </c>
      <c r="L1278" s="232">
        <v>45170</v>
      </c>
      <c r="M1278" s="232">
        <v>45199</v>
      </c>
    </row>
    <row r="1279" spans="1:13" ht="14.25" customHeight="1" x14ac:dyDescent="0.2">
      <c r="A1279" s="231" t="s">
        <v>0</v>
      </c>
      <c r="B1279" s="230">
        <v>113678</v>
      </c>
      <c r="C1279" s="230">
        <v>10766</v>
      </c>
      <c r="D1279" s="231" t="s">
        <v>914</v>
      </c>
      <c r="E1279" s="230">
        <v>14491032</v>
      </c>
      <c r="F1279" s="230">
        <v>31790</v>
      </c>
      <c r="G1279" s="230">
        <v>1</v>
      </c>
      <c r="H1279" s="240">
        <v>347.47</v>
      </c>
      <c r="I1279" s="240">
        <f t="shared" si="19"/>
        <v>347.47</v>
      </c>
      <c r="J1279" s="231" t="s">
        <v>1393</v>
      </c>
      <c r="K1279" s="231" t="s">
        <v>1394</v>
      </c>
      <c r="L1279" s="232">
        <v>45170</v>
      </c>
      <c r="M1279" s="232">
        <v>45199</v>
      </c>
    </row>
    <row r="1280" spans="1:13" ht="14.25" customHeight="1" x14ac:dyDescent="0.2">
      <c r="A1280" s="231" t="s">
        <v>0</v>
      </c>
      <c r="B1280" s="230">
        <v>113679</v>
      </c>
      <c r="C1280" s="230">
        <v>10750</v>
      </c>
      <c r="D1280" s="231" t="s">
        <v>356</v>
      </c>
      <c r="E1280" s="230">
        <v>14491032</v>
      </c>
      <c r="F1280" s="230">
        <v>31792</v>
      </c>
      <c r="G1280" s="230">
        <v>1</v>
      </c>
      <c r="H1280" s="240">
        <v>359.46</v>
      </c>
      <c r="I1280" s="240">
        <f t="shared" si="19"/>
        <v>359.46</v>
      </c>
      <c r="J1280" s="231" t="s">
        <v>1393</v>
      </c>
      <c r="K1280" s="231" t="s">
        <v>1394</v>
      </c>
      <c r="L1280" s="232">
        <v>45170</v>
      </c>
      <c r="M1280" s="232">
        <v>45199</v>
      </c>
    </row>
    <row r="1281" spans="1:13" ht="14.25" customHeight="1" x14ac:dyDescent="0.2">
      <c r="A1281" s="231" t="s">
        <v>0</v>
      </c>
      <c r="B1281" s="230">
        <v>113681</v>
      </c>
      <c r="C1281" s="230">
        <v>10750</v>
      </c>
      <c r="D1281" s="231" t="s">
        <v>915</v>
      </c>
      <c r="E1281" s="230">
        <v>14491032</v>
      </c>
      <c r="F1281" s="230">
        <v>31796</v>
      </c>
      <c r="G1281" s="230">
        <v>1</v>
      </c>
      <c r="H1281" s="240">
        <v>359.46</v>
      </c>
      <c r="I1281" s="240">
        <f t="shared" si="19"/>
        <v>359.46</v>
      </c>
      <c r="J1281" s="231" t="s">
        <v>1393</v>
      </c>
      <c r="K1281" s="231" t="s">
        <v>1394</v>
      </c>
      <c r="L1281" s="232">
        <v>45170</v>
      </c>
      <c r="M1281" s="232">
        <v>45199</v>
      </c>
    </row>
    <row r="1282" spans="1:13" ht="14.25" customHeight="1" x14ac:dyDescent="0.2">
      <c r="A1282" s="231" t="s">
        <v>0</v>
      </c>
      <c r="B1282" s="230">
        <v>113683</v>
      </c>
      <c r="C1282" s="230">
        <v>10750</v>
      </c>
      <c r="D1282" s="231" t="s">
        <v>917</v>
      </c>
      <c r="E1282" s="230">
        <v>14491032</v>
      </c>
      <c r="F1282" s="230">
        <v>31800</v>
      </c>
      <c r="G1282" s="230">
        <v>1</v>
      </c>
      <c r="H1282" s="240">
        <v>359.46</v>
      </c>
      <c r="I1282" s="240">
        <f t="shared" ref="I1282:I1345" si="20">G1282*H1282</f>
        <v>359.46</v>
      </c>
      <c r="J1282" s="231" t="s">
        <v>1393</v>
      </c>
      <c r="K1282" s="231" t="s">
        <v>1394</v>
      </c>
      <c r="L1282" s="232">
        <v>45170</v>
      </c>
      <c r="M1282" s="232">
        <v>45199</v>
      </c>
    </row>
    <row r="1283" spans="1:13" ht="14.25" customHeight="1" x14ac:dyDescent="0.2">
      <c r="A1283" s="231" t="s">
        <v>0</v>
      </c>
      <c r="B1283" s="230">
        <v>113687</v>
      </c>
      <c r="C1283" s="230">
        <v>10751</v>
      </c>
      <c r="D1283" s="231" t="s">
        <v>918</v>
      </c>
      <c r="E1283" s="230">
        <v>14491032</v>
      </c>
      <c r="F1283" s="230">
        <v>31808</v>
      </c>
      <c r="G1283" s="230">
        <v>1</v>
      </c>
      <c r="H1283" s="240">
        <v>359.46</v>
      </c>
      <c r="I1283" s="240">
        <f t="shared" si="20"/>
        <v>359.46</v>
      </c>
      <c r="J1283" s="231" t="s">
        <v>1393</v>
      </c>
      <c r="K1283" s="231" t="s">
        <v>1394</v>
      </c>
      <c r="L1283" s="232">
        <v>45170</v>
      </c>
      <c r="M1283" s="232">
        <v>45199</v>
      </c>
    </row>
    <row r="1284" spans="1:13" ht="14.25" customHeight="1" x14ac:dyDescent="0.2">
      <c r="A1284" s="231" t="s">
        <v>0</v>
      </c>
      <c r="B1284" s="230">
        <v>113693</v>
      </c>
      <c r="C1284" s="230">
        <v>10750</v>
      </c>
      <c r="D1284" s="231" t="s">
        <v>922</v>
      </c>
      <c r="E1284" s="230">
        <v>14491032</v>
      </c>
      <c r="F1284" s="230">
        <v>31820</v>
      </c>
      <c r="G1284" s="230">
        <v>1</v>
      </c>
      <c r="H1284" s="240">
        <v>359.46</v>
      </c>
      <c r="I1284" s="240">
        <f t="shared" si="20"/>
        <v>359.46</v>
      </c>
      <c r="J1284" s="231" t="s">
        <v>1393</v>
      </c>
      <c r="K1284" s="231" t="s">
        <v>1394</v>
      </c>
      <c r="L1284" s="232">
        <v>45170</v>
      </c>
      <c r="M1284" s="232">
        <v>45199</v>
      </c>
    </row>
    <row r="1285" spans="1:13" ht="14.25" customHeight="1" x14ac:dyDescent="0.2">
      <c r="A1285" s="231" t="s">
        <v>0</v>
      </c>
      <c r="B1285" s="230">
        <v>113726</v>
      </c>
      <c r="C1285" s="230">
        <v>10760</v>
      </c>
      <c r="D1285" s="231" t="s">
        <v>945</v>
      </c>
      <c r="E1285" s="230">
        <v>14491032</v>
      </c>
      <c r="F1285" s="230">
        <v>31886</v>
      </c>
      <c r="G1285" s="230">
        <v>1</v>
      </c>
      <c r="H1285" s="240">
        <v>359.46</v>
      </c>
      <c r="I1285" s="240">
        <f t="shared" si="20"/>
        <v>359.46</v>
      </c>
      <c r="J1285" s="231" t="s">
        <v>1393</v>
      </c>
      <c r="K1285" s="231" t="s">
        <v>1394</v>
      </c>
      <c r="L1285" s="232">
        <v>45170</v>
      </c>
      <c r="M1285" s="232">
        <v>45199</v>
      </c>
    </row>
    <row r="1286" spans="1:13" ht="14.25" customHeight="1" x14ac:dyDescent="0.2">
      <c r="A1286" s="231" t="s">
        <v>0</v>
      </c>
      <c r="B1286" s="230">
        <v>113732</v>
      </c>
      <c r="C1286" s="230">
        <v>10771</v>
      </c>
      <c r="D1286" s="231" t="s">
        <v>948</v>
      </c>
      <c r="E1286" s="230">
        <v>14491032</v>
      </c>
      <c r="F1286" s="230">
        <v>31898</v>
      </c>
      <c r="G1286" s="230">
        <v>1</v>
      </c>
      <c r="H1286" s="240">
        <v>359.46</v>
      </c>
      <c r="I1286" s="240">
        <f t="shared" si="20"/>
        <v>359.46</v>
      </c>
      <c r="J1286" s="231" t="s">
        <v>1393</v>
      </c>
      <c r="K1286" s="231" t="s">
        <v>1394</v>
      </c>
      <c r="L1286" s="232">
        <v>45170</v>
      </c>
      <c r="M1286" s="232">
        <v>45199</v>
      </c>
    </row>
    <row r="1287" spans="1:13" ht="14.25" customHeight="1" x14ac:dyDescent="0.2">
      <c r="A1287" s="231" t="s">
        <v>0</v>
      </c>
      <c r="B1287" s="230">
        <v>113762</v>
      </c>
      <c r="C1287" s="230">
        <v>10773</v>
      </c>
      <c r="D1287" s="231" t="s">
        <v>968</v>
      </c>
      <c r="E1287" s="230">
        <v>14491032</v>
      </c>
      <c r="F1287" s="230">
        <v>31965</v>
      </c>
      <c r="G1287" s="230">
        <v>1</v>
      </c>
      <c r="H1287" s="240">
        <v>359.46</v>
      </c>
      <c r="I1287" s="240">
        <f t="shared" si="20"/>
        <v>359.46</v>
      </c>
      <c r="J1287" s="231" t="s">
        <v>1393</v>
      </c>
      <c r="K1287" s="231" t="s">
        <v>1394</v>
      </c>
      <c r="L1287" s="232">
        <v>45170</v>
      </c>
      <c r="M1287" s="232">
        <v>45199</v>
      </c>
    </row>
    <row r="1288" spans="1:13" ht="14.25" customHeight="1" x14ac:dyDescent="0.2">
      <c r="A1288" s="231" t="s">
        <v>0</v>
      </c>
      <c r="B1288" s="230">
        <v>113768</v>
      </c>
      <c r="C1288" s="230">
        <v>10771</v>
      </c>
      <c r="D1288" s="231" t="s">
        <v>972</v>
      </c>
      <c r="E1288" s="230">
        <v>14491032</v>
      </c>
      <c r="F1288" s="230">
        <v>31982</v>
      </c>
      <c r="G1288" s="230">
        <v>1</v>
      </c>
      <c r="H1288" s="240">
        <v>359.46</v>
      </c>
      <c r="I1288" s="240">
        <f t="shared" si="20"/>
        <v>359.46</v>
      </c>
      <c r="J1288" s="231" t="s">
        <v>1393</v>
      </c>
      <c r="K1288" s="231" t="s">
        <v>1394</v>
      </c>
      <c r="L1288" s="232">
        <v>45170</v>
      </c>
      <c r="M1288" s="232">
        <v>45199</v>
      </c>
    </row>
    <row r="1289" spans="1:13" ht="14.25" customHeight="1" x14ac:dyDescent="0.2">
      <c r="A1289" s="231" t="s">
        <v>0</v>
      </c>
      <c r="B1289" s="230">
        <v>113778</v>
      </c>
      <c r="C1289" s="230">
        <v>10771</v>
      </c>
      <c r="D1289" s="231" t="s">
        <v>1376</v>
      </c>
      <c r="E1289" s="230">
        <v>14491032</v>
      </c>
      <c r="F1289" s="230">
        <v>32003</v>
      </c>
      <c r="G1289" s="230">
        <v>1</v>
      </c>
      <c r="H1289" s="240">
        <v>359.46</v>
      </c>
      <c r="I1289" s="240">
        <f t="shared" si="20"/>
        <v>359.46</v>
      </c>
      <c r="J1289" s="231" t="s">
        <v>1393</v>
      </c>
      <c r="K1289" s="231" t="s">
        <v>1394</v>
      </c>
      <c r="L1289" s="232">
        <v>45170</v>
      </c>
      <c r="M1289" s="232">
        <v>45199</v>
      </c>
    </row>
    <row r="1290" spans="1:13" ht="14.25" customHeight="1" x14ac:dyDescent="0.2">
      <c r="A1290" s="231" t="s">
        <v>0</v>
      </c>
      <c r="B1290" s="230">
        <v>113929</v>
      </c>
      <c r="C1290" s="230">
        <v>10750</v>
      </c>
      <c r="D1290" s="231" t="s">
        <v>994</v>
      </c>
      <c r="E1290" s="230">
        <v>14491032</v>
      </c>
      <c r="F1290" s="230">
        <v>33832</v>
      </c>
      <c r="G1290" s="230">
        <v>1</v>
      </c>
      <c r="H1290" s="240">
        <v>359.46</v>
      </c>
      <c r="I1290" s="240">
        <f t="shared" si="20"/>
        <v>359.46</v>
      </c>
      <c r="J1290" s="231" t="s">
        <v>1393</v>
      </c>
      <c r="K1290" s="231" t="s">
        <v>1394</v>
      </c>
      <c r="L1290" s="232">
        <v>45170</v>
      </c>
      <c r="M1290" s="232">
        <v>45199</v>
      </c>
    </row>
    <row r="1291" spans="1:13" ht="14.25" customHeight="1" x14ac:dyDescent="0.2">
      <c r="A1291" s="231" t="s">
        <v>0</v>
      </c>
      <c r="B1291" s="230">
        <v>114088</v>
      </c>
      <c r="C1291" s="230">
        <v>10745</v>
      </c>
      <c r="D1291" s="231" t="s">
        <v>1003</v>
      </c>
      <c r="E1291" s="230">
        <v>14491032</v>
      </c>
      <c r="F1291" s="230">
        <v>34328</v>
      </c>
      <c r="G1291" s="230">
        <v>1</v>
      </c>
      <c r="H1291" s="240">
        <v>359.46</v>
      </c>
      <c r="I1291" s="240">
        <f t="shared" si="20"/>
        <v>359.46</v>
      </c>
      <c r="J1291" s="231" t="s">
        <v>1393</v>
      </c>
      <c r="K1291" s="231" t="s">
        <v>1394</v>
      </c>
      <c r="L1291" s="232">
        <v>45170</v>
      </c>
      <c r="M1291" s="232">
        <v>45199</v>
      </c>
    </row>
    <row r="1292" spans="1:13" ht="14.25" customHeight="1" x14ac:dyDescent="0.2">
      <c r="A1292" s="231" t="s">
        <v>0</v>
      </c>
      <c r="B1292" s="230">
        <v>114125</v>
      </c>
      <c r="C1292" s="230">
        <v>10750</v>
      </c>
      <c r="D1292" s="231" t="s">
        <v>1016</v>
      </c>
      <c r="E1292" s="230">
        <v>14491032</v>
      </c>
      <c r="F1292" s="230">
        <v>34402</v>
      </c>
      <c r="G1292" s="230">
        <v>1</v>
      </c>
      <c r="H1292" s="240">
        <v>359.46</v>
      </c>
      <c r="I1292" s="240">
        <f t="shared" si="20"/>
        <v>359.46</v>
      </c>
      <c r="J1292" s="231" t="s">
        <v>1393</v>
      </c>
      <c r="K1292" s="231" t="s">
        <v>1394</v>
      </c>
      <c r="L1292" s="232">
        <v>45170</v>
      </c>
      <c r="M1292" s="232">
        <v>45199</v>
      </c>
    </row>
    <row r="1293" spans="1:13" ht="14.25" customHeight="1" x14ac:dyDescent="0.2">
      <c r="A1293" s="231" t="s">
        <v>0</v>
      </c>
      <c r="B1293" s="230">
        <v>114253</v>
      </c>
      <c r="C1293" s="230">
        <v>10757</v>
      </c>
      <c r="D1293" s="231" t="s">
        <v>1021</v>
      </c>
      <c r="E1293" s="230">
        <v>14491032</v>
      </c>
      <c r="F1293" s="230">
        <v>35785</v>
      </c>
      <c r="G1293" s="230">
        <v>1</v>
      </c>
      <c r="H1293" s="240">
        <v>359.46</v>
      </c>
      <c r="I1293" s="240">
        <f t="shared" si="20"/>
        <v>359.46</v>
      </c>
      <c r="J1293" s="231" t="s">
        <v>1393</v>
      </c>
      <c r="K1293" s="231" t="s">
        <v>1394</v>
      </c>
      <c r="L1293" s="232">
        <v>45170</v>
      </c>
      <c r="M1293" s="232">
        <v>45199</v>
      </c>
    </row>
    <row r="1294" spans="1:13" ht="14.25" customHeight="1" x14ac:dyDescent="0.2">
      <c r="A1294" s="231" t="s">
        <v>0</v>
      </c>
      <c r="B1294" s="230">
        <v>114254</v>
      </c>
      <c r="C1294" s="230">
        <v>10750</v>
      </c>
      <c r="D1294" s="231" t="s">
        <v>1022</v>
      </c>
      <c r="E1294" s="230">
        <v>14491032</v>
      </c>
      <c r="F1294" s="230">
        <v>35787</v>
      </c>
      <c r="G1294" s="230">
        <v>1</v>
      </c>
      <c r="H1294" s="240">
        <v>359.46</v>
      </c>
      <c r="I1294" s="240">
        <f t="shared" si="20"/>
        <v>359.46</v>
      </c>
      <c r="J1294" s="231" t="s">
        <v>1393</v>
      </c>
      <c r="K1294" s="231" t="s">
        <v>1394</v>
      </c>
      <c r="L1294" s="232">
        <v>45170</v>
      </c>
      <c r="M1294" s="232">
        <v>45199</v>
      </c>
    </row>
    <row r="1295" spans="1:13" ht="14.25" customHeight="1" x14ac:dyDescent="0.2">
      <c r="A1295" s="231" t="s">
        <v>0</v>
      </c>
      <c r="B1295" s="230">
        <v>114258</v>
      </c>
      <c r="C1295" s="230">
        <v>10758</v>
      </c>
      <c r="D1295" s="231" t="s">
        <v>1025</v>
      </c>
      <c r="E1295" s="230">
        <v>14491032</v>
      </c>
      <c r="F1295" s="230">
        <v>35795</v>
      </c>
      <c r="G1295" s="230">
        <v>1</v>
      </c>
      <c r="H1295" s="240">
        <v>359.46</v>
      </c>
      <c r="I1295" s="240">
        <f t="shared" si="20"/>
        <v>359.46</v>
      </c>
      <c r="J1295" s="231" t="s">
        <v>1393</v>
      </c>
      <c r="K1295" s="231" t="s">
        <v>1394</v>
      </c>
      <c r="L1295" s="232">
        <v>45170</v>
      </c>
      <c r="M1295" s="232">
        <v>45199</v>
      </c>
    </row>
    <row r="1296" spans="1:13" ht="14.25" customHeight="1" x14ac:dyDescent="0.2">
      <c r="A1296" s="231" t="s">
        <v>0</v>
      </c>
      <c r="B1296" s="230">
        <v>114260</v>
      </c>
      <c r="C1296" s="230">
        <v>10766</v>
      </c>
      <c r="D1296" s="231" t="s">
        <v>1027</v>
      </c>
      <c r="E1296" s="230">
        <v>14491032</v>
      </c>
      <c r="F1296" s="230">
        <v>35799</v>
      </c>
      <c r="G1296" s="230">
        <v>1</v>
      </c>
      <c r="H1296" s="240">
        <v>359.46</v>
      </c>
      <c r="I1296" s="240">
        <f t="shared" si="20"/>
        <v>359.46</v>
      </c>
      <c r="J1296" s="231" t="s">
        <v>1393</v>
      </c>
      <c r="K1296" s="231" t="s">
        <v>1394</v>
      </c>
      <c r="L1296" s="232">
        <v>45170</v>
      </c>
      <c r="M1296" s="232">
        <v>45199</v>
      </c>
    </row>
    <row r="1297" spans="1:13" ht="14.25" customHeight="1" x14ac:dyDescent="0.2">
      <c r="A1297" s="231" t="s">
        <v>0</v>
      </c>
      <c r="B1297" s="230">
        <v>114262</v>
      </c>
      <c r="C1297" s="230">
        <v>10760</v>
      </c>
      <c r="D1297" s="231" t="s">
        <v>1028</v>
      </c>
      <c r="E1297" s="230">
        <v>14491032</v>
      </c>
      <c r="F1297" s="230">
        <v>35803</v>
      </c>
      <c r="G1297" s="230">
        <v>1</v>
      </c>
      <c r="H1297" s="240">
        <v>347.47</v>
      </c>
      <c r="I1297" s="240">
        <f t="shared" si="20"/>
        <v>347.47</v>
      </c>
      <c r="J1297" s="231" t="s">
        <v>1393</v>
      </c>
      <c r="K1297" s="231" t="s">
        <v>1394</v>
      </c>
      <c r="L1297" s="232">
        <v>45170</v>
      </c>
      <c r="M1297" s="232">
        <v>45199</v>
      </c>
    </row>
    <row r="1298" spans="1:13" ht="14.25" customHeight="1" x14ac:dyDescent="0.2">
      <c r="A1298" s="231" t="s">
        <v>0</v>
      </c>
      <c r="B1298" s="230">
        <v>114265</v>
      </c>
      <c r="C1298" s="230">
        <v>10766</v>
      </c>
      <c r="D1298" s="231" t="s">
        <v>1030</v>
      </c>
      <c r="E1298" s="230">
        <v>14491032</v>
      </c>
      <c r="F1298" s="230">
        <v>35809</v>
      </c>
      <c r="G1298" s="230">
        <v>1</v>
      </c>
      <c r="H1298" s="240">
        <v>359.46</v>
      </c>
      <c r="I1298" s="240">
        <f t="shared" si="20"/>
        <v>359.46</v>
      </c>
      <c r="J1298" s="231" t="s">
        <v>1393</v>
      </c>
      <c r="K1298" s="231" t="s">
        <v>1394</v>
      </c>
      <c r="L1298" s="232">
        <v>45170</v>
      </c>
      <c r="M1298" s="232">
        <v>45199</v>
      </c>
    </row>
    <row r="1299" spans="1:13" ht="14.25" customHeight="1" x14ac:dyDescent="0.2">
      <c r="A1299" s="231" t="s">
        <v>0</v>
      </c>
      <c r="B1299" s="230">
        <v>114266</v>
      </c>
      <c r="C1299" s="230">
        <v>10750</v>
      </c>
      <c r="D1299" s="231" t="s">
        <v>1031</v>
      </c>
      <c r="E1299" s="230">
        <v>14491032</v>
      </c>
      <c r="F1299" s="230">
        <v>35811</v>
      </c>
      <c r="G1299" s="230">
        <v>1</v>
      </c>
      <c r="H1299" s="240">
        <v>359.46</v>
      </c>
      <c r="I1299" s="240">
        <f t="shared" si="20"/>
        <v>359.46</v>
      </c>
      <c r="J1299" s="231" t="s">
        <v>1393</v>
      </c>
      <c r="K1299" s="231" t="s">
        <v>1394</v>
      </c>
      <c r="L1299" s="232">
        <v>45170</v>
      </c>
      <c r="M1299" s="232">
        <v>45199</v>
      </c>
    </row>
    <row r="1300" spans="1:13" ht="14.25" customHeight="1" x14ac:dyDescent="0.2">
      <c r="A1300" s="231" t="s">
        <v>0</v>
      </c>
      <c r="B1300" s="230">
        <v>114267</v>
      </c>
      <c r="C1300" s="230">
        <v>10760</v>
      </c>
      <c r="D1300" s="231" t="s">
        <v>1032</v>
      </c>
      <c r="E1300" s="230">
        <v>14491032</v>
      </c>
      <c r="F1300" s="230">
        <v>35813</v>
      </c>
      <c r="G1300" s="230">
        <v>1</v>
      </c>
      <c r="H1300" s="240">
        <v>359.46</v>
      </c>
      <c r="I1300" s="240">
        <f t="shared" si="20"/>
        <v>359.46</v>
      </c>
      <c r="J1300" s="231" t="s">
        <v>1393</v>
      </c>
      <c r="K1300" s="231" t="s">
        <v>1394</v>
      </c>
      <c r="L1300" s="232">
        <v>45170</v>
      </c>
      <c r="M1300" s="232">
        <v>45199</v>
      </c>
    </row>
    <row r="1301" spans="1:13" ht="14.25" customHeight="1" x14ac:dyDescent="0.2">
      <c r="A1301" s="231" t="s">
        <v>0</v>
      </c>
      <c r="B1301" s="230">
        <v>114269</v>
      </c>
      <c r="C1301" s="230">
        <v>10758</v>
      </c>
      <c r="D1301" s="231" t="s">
        <v>1519</v>
      </c>
      <c r="E1301" s="230">
        <v>14491032</v>
      </c>
      <c r="F1301" s="230">
        <v>35817</v>
      </c>
      <c r="G1301" s="230">
        <v>1</v>
      </c>
      <c r="H1301" s="240">
        <v>359.46</v>
      </c>
      <c r="I1301" s="240">
        <f t="shared" si="20"/>
        <v>359.46</v>
      </c>
      <c r="J1301" s="231" t="s">
        <v>1393</v>
      </c>
      <c r="K1301" s="231" t="s">
        <v>1394</v>
      </c>
      <c r="L1301" s="232">
        <v>45170</v>
      </c>
      <c r="M1301" s="232">
        <v>45199</v>
      </c>
    </row>
    <row r="1302" spans="1:13" ht="14.25" customHeight="1" x14ac:dyDescent="0.2">
      <c r="A1302" s="231" t="s">
        <v>0</v>
      </c>
      <c r="B1302" s="230">
        <v>114273</v>
      </c>
      <c r="C1302" s="230">
        <v>10758</v>
      </c>
      <c r="D1302" s="231" t="s">
        <v>1034</v>
      </c>
      <c r="E1302" s="230">
        <v>14491032</v>
      </c>
      <c r="F1302" s="230">
        <v>35825</v>
      </c>
      <c r="G1302" s="230">
        <v>1</v>
      </c>
      <c r="H1302" s="240">
        <v>359.46</v>
      </c>
      <c r="I1302" s="240">
        <f t="shared" si="20"/>
        <v>359.46</v>
      </c>
      <c r="J1302" s="231" t="s">
        <v>1393</v>
      </c>
      <c r="K1302" s="231" t="s">
        <v>1394</v>
      </c>
      <c r="L1302" s="232">
        <v>45170</v>
      </c>
      <c r="M1302" s="232">
        <v>45199</v>
      </c>
    </row>
    <row r="1303" spans="1:13" ht="14.25" customHeight="1" x14ac:dyDescent="0.2">
      <c r="A1303" s="231" t="s">
        <v>0</v>
      </c>
      <c r="B1303" s="230">
        <v>114315</v>
      </c>
      <c r="C1303" s="230">
        <v>10757</v>
      </c>
      <c r="D1303" s="231" t="s">
        <v>1035</v>
      </c>
      <c r="E1303" s="230">
        <v>14491032</v>
      </c>
      <c r="F1303" s="230">
        <v>35848</v>
      </c>
      <c r="G1303" s="230">
        <v>1</v>
      </c>
      <c r="H1303" s="240">
        <v>359.46</v>
      </c>
      <c r="I1303" s="240">
        <f t="shared" si="20"/>
        <v>359.46</v>
      </c>
      <c r="J1303" s="231" t="s">
        <v>1393</v>
      </c>
      <c r="K1303" s="231" t="s">
        <v>1394</v>
      </c>
      <c r="L1303" s="232">
        <v>45170</v>
      </c>
      <c r="M1303" s="232">
        <v>45199</v>
      </c>
    </row>
    <row r="1304" spans="1:13" ht="14.25" customHeight="1" x14ac:dyDescent="0.2">
      <c r="A1304" s="231" t="s">
        <v>0</v>
      </c>
      <c r="B1304" s="230">
        <v>114316</v>
      </c>
      <c r="C1304" s="230">
        <v>10758</v>
      </c>
      <c r="D1304" s="231" t="s">
        <v>1036</v>
      </c>
      <c r="E1304" s="230">
        <v>14491032</v>
      </c>
      <c r="F1304" s="230">
        <v>35850</v>
      </c>
      <c r="G1304" s="230">
        <v>1</v>
      </c>
      <c r="H1304" s="240">
        <v>335.49</v>
      </c>
      <c r="I1304" s="240">
        <f t="shared" si="20"/>
        <v>335.49</v>
      </c>
      <c r="J1304" s="231" t="s">
        <v>1393</v>
      </c>
      <c r="K1304" s="231" t="s">
        <v>1394</v>
      </c>
      <c r="L1304" s="232">
        <v>45170</v>
      </c>
      <c r="M1304" s="232">
        <v>45199</v>
      </c>
    </row>
    <row r="1305" spans="1:13" ht="14.25" customHeight="1" x14ac:dyDescent="0.2">
      <c r="A1305" s="231" t="s">
        <v>0</v>
      </c>
      <c r="B1305" s="230">
        <v>114360</v>
      </c>
      <c r="C1305" s="230">
        <v>10766</v>
      </c>
      <c r="D1305" s="231" t="s">
        <v>1037</v>
      </c>
      <c r="E1305" s="230">
        <v>14491032</v>
      </c>
      <c r="F1305" s="230">
        <v>35856</v>
      </c>
      <c r="G1305" s="230">
        <v>1</v>
      </c>
      <c r="H1305" s="240">
        <v>359.46</v>
      </c>
      <c r="I1305" s="240">
        <f t="shared" si="20"/>
        <v>359.46</v>
      </c>
      <c r="J1305" s="231" t="s">
        <v>1393</v>
      </c>
      <c r="K1305" s="231" t="s">
        <v>1394</v>
      </c>
      <c r="L1305" s="232">
        <v>45170</v>
      </c>
      <c r="M1305" s="232">
        <v>45199</v>
      </c>
    </row>
    <row r="1306" spans="1:13" ht="14.25" customHeight="1" x14ac:dyDescent="0.2">
      <c r="A1306" s="231" t="s">
        <v>0</v>
      </c>
      <c r="B1306" s="230">
        <v>114404</v>
      </c>
      <c r="C1306" s="230">
        <v>10758</v>
      </c>
      <c r="D1306" s="231" t="s">
        <v>1039</v>
      </c>
      <c r="E1306" s="230">
        <v>14491032</v>
      </c>
      <c r="F1306" s="230">
        <v>35860</v>
      </c>
      <c r="G1306" s="230">
        <v>1</v>
      </c>
      <c r="H1306" s="240">
        <v>359.46</v>
      </c>
      <c r="I1306" s="240">
        <f t="shared" si="20"/>
        <v>359.46</v>
      </c>
      <c r="J1306" s="231" t="s">
        <v>1393</v>
      </c>
      <c r="K1306" s="231" t="s">
        <v>1394</v>
      </c>
      <c r="L1306" s="232">
        <v>45170</v>
      </c>
      <c r="M1306" s="232">
        <v>45199</v>
      </c>
    </row>
    <row r="1307" spans="1:13" ht="14.25" customHeight="1" x14ac:dyDescent="0.2">
      <c r="A1307" s="231" t="s">
        <v>0</v>
      </c>
      <c r="B1307" s="230">
        <v>114418</v>
      </c>
      <c r="C1307" s="230">
        <v>10750</v>
      </c>
      <c r="D1307" s="231" t="s">
        <v>1040</v>
      </c>
      <c r="E1307" s="230">
        <v>14491032</v>
      </c>
      <c r="F1307" s="230">
        <v>35862</v>
      </c>
      <c r="G1307" s="230">
        <v>1</v>
      </c>
      <c r="H1307" s="240">
        <v>359.46</v>
      </c>
      <c r="I1307" s="240">
        <f t="shared" si="20"/>
        <v>359.46</v>
      </c>
      <c r="J1307" s="231" t="s">
        <v>1393</v>
      </c>
      <c r="K1307" s="231" t="s">
        <v>1394</v>
      </c>
      <c r="L1307" s="232">
        <v>45170</v>
      </c>
      <c r="M1307" s="232">
        <v>45199</v>
      </c>
    </row>
    <row r="1308" spans="1:13" ht="14.25" customHeight="1" x14ac:dyDescent="0.2">
      <c r="A1308" s="231" t="s">
        <v>0</v>
      </c>
      <c r="B1308" s="230">
        <v>114454</v>
      </c>
      <c r="C1308" s="230">
        <v>10748</v>
      </c>
      <c r="D1308" s="231" t="s">
        <v>1041</v>
      </c>
      <c r="E1308" s="230">
        <v>14491032</v>
      </c>
      <c r="F1308" s="230">
        <v>35866</v>
      </c>
      <c r="G1308" s="230">
        <v>1</v>
      </c>
      <c r="H1308" s="240">
        <v>359.46</v>
      </c>
      <c r="I1308" s="240">
        <f t="shared" si="20"/>
        <v>359.46</v>
      </c>
      <c r="J1308" s="231" t="s">
        <v>1393</v>
      </c>
      <c r="K1308" s="231" t="s">
        <v>1394</v>
      </c>
      <c r="L1308" s="232">
        <v>45170</v>
      </c>
      <c r="M1308" s="232">
        <v>45199</v>
      </c>
    </row>
    <row r="1309" spans="1:13" ht="14.25" customHeight="1" x14ac:dyDescent="0.2">
      <c r="A1309" s="231" t="s">
        <v>0</v>
      </c>
      <c r="B1309" s="230">
        <v>114490</v>
      </c>
      <c r="C1309" s="230">
        <v>10766</v>
      </c>
      <c r="D1309" s="231" t="s">
        <v>1042</v>
      </c>
      <c r="E1309" s="230">
        <v>14491032</v>
      </c>
      <c r="F1309" s="230">
        <v>35870</v>
      </c>
      <c r="G1309" s="230">
        <v>1</v>
      </c>
      <c r="H1309" s="240">
        <v>359.46</v>
      </c>
      <c r="I1309" s="240">
        <f t="shared" si="20"/>
        <v>359.46</v>
      </c>
      <c r="J1309" s="231" t="s">
        <v>1393</v>
      </c>
      <c r="K1309" s="231" t="s">
        <v>1394</v>
      </c>
      <c r="L1309" s="232">
        <v>45170</v>
      </c>
      <c r="M1309" s="232">
        <v>45199</v>
      </c>
    </row>
    <row r="1310" spans="1:13" ht="14.25" customHeight="1" x14ac:dyDescent="0.2">
      <c r="A1310" s="231" t="s">
        <v>0</v>
      </c>
      <c r="B1310" s="230">
        <v>114493</v>
      </c>
      <c r="C1310" s="230">
        <v>10750</v>
      </c>
      <c r="D1310" s="231" t="s">
        <v>1043</v>
      </c>
      <c r="E1310" s="230">
        <v>14491032</v>
      </c>
      <c r="F1310" s="230">
        <v>35872</v>
      </c>
      <c r="G1310" s="230">
        <v>1</v>
      </c>
      <c r="H1310" s="240">
        <v>323.51</v>
      </c>
      <c r="I1310" s="240">
        <f t="shared" si="20"/>
        <v>323.51</v>
      </c>
      <c r="J1310" s="231" t="s">
        <v>1393</v>
      </c>
      <c r="K1310" s="231" t="s">
        <v>1394</v>
      </c>
      <c r="L1310" s="232">
        <v>45170</v>
      </c>
      <c r="M1310" s="232">
        <v>45199</v>
      </c>
    </row>
    <row r="1311" spans="1:13" ht="14.25" customHeight="1" x14ac:dyDescent="0.2">
      <c r="A1311" s="231" t="s">
        <v>0</v>
      </c>
      <c r="B1311" s="230">
        <v>114500</v>
      </c>
      <c r="C1311" s="230">
        <v>10757</v>
      </c>
      <c r="D1311" s="231" t="s">
        <v>1044</v>
      </c>
      <c r="E1311" s="230">
        <v>14491032</v>
      </c>
      <c r="F1311" s="230">
        <v>35882</v>
      </c>
      <c r="G1311" s="230">
        <v>1</v>
      </c>
      <c r="H1311" s="240">
        <v>335.49</v>
      </c>
      <c r="I1311" s="240">
        <f t="shared" si="20"/>
        <v>335.49</v>
      </c>
      <c r="J1311" s="231" t="s">
        <v>1393</v>
      </c>
      <c r="K1311" s="231" t="s">
        <v>1394</v>
      </c>
      <c r="L1311" s="232">
        <v>45170</v>
      </c>
      <c r="M1311" s="232">
        <v>45199</v>
      </c>
    </row>
    <row r="1312" spans="1:13" ht="14.25" customHeight="1" x14ac:dyDescent="0.2">
      <c r="A1312" s="231" t="s">
        <v>0</v>
      </c>
      <c r="B1312" s="230">
        <v>114504</v>
      </c>
      <c r="C1312" s="230">
        <v>10754</v>
      </c>
      <c r="D1312" s="231" t="s">
        <v>1325</v>
      </c>
      <c r="E1312" s="230">
        <v>14491032</v>
      </c>
      <c r="F1312" s="230">
        <v>35890</v>
      </c>
      <c r="G1312" s="230">
        <v>1</v>
      </c>
      <c r="H1312" s="240">
        <v>359.46</v>
      </c>
      <c r="I1312" s="240">
        <f t="shared" si="20"/>
        <v>359.46</v>
      </c>
      <c r="J1312" s="231" t="s">
        <v>1393</v>
      </c>
      <c r="K1312" s="231" t="s">
        <v>1394</v>
      </c>
      <c r="L1312" s="232">
        <v>45170</v>
      </c>
      <c r="M1312" s="232">
        <v>45199</v>
      </c>
    </row>
    <row r="1313" spans="1:13" ht="14.25" customHeight="1" x14ac:dyDescent="0.2">
      <c r="A1313" s="231" t="s">
        <v>0</v>
      </c>
      <c r="B1313" s="230">
        <v>114509</v>
      </c>
      <c r="C1313" s="230">
        <v>10760</v>
      </c>
      <c r="D1313" s="231" t="s">
        <v>1048</v>
      </c>
      <c r="E1313" s="230">
        <v>14491032</v>
      </c>
      <c r="F1313" s="230">
        <v>35900</v>
      </c>
      <c r="G1313" s="230">
        <v>1</v>
      </c>
      <c r="H1313" s="240">
        <v>359.46</v>
      </c>
      <c r="I1313" s="240">
        <f t="shared" si="20"/>
        <v>359.46</v>
      </c>
      <c r="J1313" s="231" t="s">
        <v>1393</v>
      </c>
      <c r="K1313" s="231" t="s">
        <v>1394</v>
      </c>
      <c r="L1313" s="232">
        <v>45170</v>
      </c>
      <c r="M1313" s="232">
        <v>45199</v>
      </c>
    </row>
    <row r="1314" spans="1:13" ht="14.25" customHeight="1" x14ac:dyDescent="0.2">
      <c r="A1314" s="231" t="s">
        <v>0</v>
      </c>
      <c r="B1314" s="230">
        <v>114527</v>
      </c>
      <c r="C1314" s="230">
        <v>10750</v>
      </c>
      <c r="D1314" s="231" t="s">
        <v>1052</v>
      </c>
      <c r="E1314" s="230">
        <v>14491032</v>
      </c>
      <c r="F1314" s="230">
        <v>36334</v>
      </c>
      <c r="G1314" s="230">
        <v>1</v>
      </c>
      <c r="H1314" s="240">
        <v>359.46</v>
      </c>
      <c r="I1314" s="240">
        <f t="shared" si="20"/>
        <v>359.46</v>
      </c>
      <c r="J1314" s="231" t="s">
        <v>1393</v>
      </c>
      <c r="K1314" s="231" t="s">
        <v>1394</v>
      </c>
      <c r="L1314" s="232">
        <v>45170</v>
      </c>
      <c r="M1314" s="232">
        <v>45199</v>
      </c>
    </row>
    <row r="1315" spans="1:13" ht="14.25" customHeight="1" x14ac:dyDescent="0.2">
      <c r="A1315" s="231" t="s">
        <v>0</v>
      </c>
      <c r="B1315" s="230">
        <v>114538</v>
      </c>
      <c r="C1315" s="230">
        <v>10771</v>
      </c>
      <c r="D1315" s="231" t="s">
        <v>1290</v>
      </c>
      <c r="E1315" s="230">
        <v>14491032</v>
      </c>
      <c r="F1315" s="230">
        <v>36351</v>
      </c>
      <c r="G1315" s="230">
        <v>1</v>
      </c>
      <c r="H1315" s="240">
        <v>359.46</v>
      </c>
      <c r="I1315" s="240">
        <f t="shared" si="20"/>
        <v>359.46</v>
      </c>
      <c r="J1315" s="231" t="s">
        <v>1393</v>
      </c>
      <c r="K1315" s="231" t="s">
        <v>1394</v>
      </c>
      <c r="L1315" s="232">
        <v>45170</v>
      </c>
      <c r="M1315" s="232">
        <v>45199</v>
      </c>
    </row>
    <row r="1316" spans="1:13" ht="14.25" customHeight="1" x14ac:dyDescent="0.2">
      <c r="A1316" s="231" t="s">
        <v>0</v>
      </c>
      <c r="B1316" s="230">
        <v>114539</v>
      </c>
      <c r="C1316" s="230">
        <v>10754</v>
      </c>
      <c r="D1316" s="231" t="s">
        <v>1055</v>
      </c>
      <c r="E1316" s="230">
        <v>14491032</v>
      </c>
      <c r="F1316" s="230">
        <v>36353</v>
      </c>
      <c r="G1316" s="230">
        <v>1</v>
      </c>
      <c r="H1316" s="240">
        <v>359.46</v>
      </c>
      <c r="I1316" s="240">
        <f t="shared" si="20"/>
        <v>359.46</v>
      </c>
      <c r="J1316" s="231" t="s">
        <v>1393</v>
      </c>
      <c r="K1316" s="231" t="s">
        <v>1394</v>
      </c>
      <c r="L1316" s="232">
        <v>45170</v>
      </c>
      <c r="M1316" s="232">
        <v>45199</v>
      </c>
    </row>
    <row r="1317" spans="1:13" ht="14.25" customHeight="1" x14ac:dyDescent="0.2">
      <c r="A1317" s="231" t="s">
        <v>0</v>
      </c>
      <c r="B1317" s="230">
        <v>114549</v>
      </c>
      <c r="C1317" s="230">
        <v>10751</v>
      </c>
      <c r="D1317" s="231" t="s">
        <v>1060</v>
      </c>
      <c r="E1317" s="230">
        <v>14491032</v>
      </c>
      <c r="F1317" s="230">
        <v>36375</v>
      </c>
      <c r="G1317" s="230">
        <v>1</v>
      </c>
      <c r="H1317" s="240">
        <v>359.46</v>
      </c>
      <c r="I1317" s="240">
        <f t="shared" si="20"/>
        <v>359.46</v>
      </c>
      <c r="J1317" s="231" t="s">
        <v>1393</v>
      </c>
      <c r="K1317" s="231" t="s">
        <v>1394</v>
      </c>
      <c r="L1317" s="232">
        <v>45170</v>
      </c>
      <c r="M1317" s="232">
        <v>45199</v>
      </c>
    </row>
    <row r="1318" spans="1:13" ht="14.25" customHeight="1" x14ac:dyDescent="0.2">
      <c r="A1318" s="231" t="s">
        <v>0</v>
      </c>
      <c r="B1318" s="230">
        <v>114606</v>
      </c>
      <c r="C1318" s="230">
        <v>10754</v>
      </c>
      <c r="D1318" s="231" t="s">
        <v>1062</v>
      </c>
      <c r="E1318" s="230">
        <v>14491032</v>
      </c>
      <c r="F1318" s="230">
        <v>36530</v>
      </c>
      <c r="G1318" s="230">
        <v>1</v>
      </c>
      <c r="H1318" s="240">
        <v>359.46</v>
      </c>
      <c r="I1318" s="240">
        <f t="shared" si="20"/>
        <v>359.46</v>
      </c>
      <c r="J1318" s="231" t="s">
        <v>1393</v>
      </c>
      <c r="K1318" s="231" t="s">
        <v>1394</v>
      </c>
      <c r="L1318" s="232">
        <v>45170</v>
      </c>
      <c r="M1318" s="232">
        <v>45199</v>
      </c>
    </row>
    <row r="1319" spans="1:13" ht="14.25" customHeight="1" x14ac:dyDescent="0.2">
      <c r="A1319" s="231" t="s">
        <v>0</v>
      </c>
      <c r="B1319" s="230">
        <v>114684</v>
      </c>
      <c r="C1319" s="230">
        <v>10750</v>
      </c>
      <c r="D1319" s="231" t="s">
        <v>1069</v>
      </c>
      <c r="E1319" s="230">
        <v>14491032</v>
      </c>
      <c r="F1319" s="230">
        <v>36815</v>
      </c>
      <c r="G1319" s="230">
        <v>1</v>
      </c>
      <c r="H1319" s="240">
        <v>359.46</v>
      </c>
      <c r="I1319" s="240">
        <f t="shared" si="20"/>
        <v>359.46</v>
      </c>
      <c r="J1319" s="231" t="s">
        <v>1393</v>
      </c>
      <c r="K1319" s="231" t="s">
        <v>1394</v>
      </c>
      <c r="L1319" s="232">
        <v>45170</v>
      </c>
      <c r="M1319" s="232">
        <v>45199</v>
      </c>
    </row>
    <row r="1320" spans="1:13" ht="14.25" customHeight="1" x14ac:dyDescent="0.2">
      <c r="A1320" s="231" t="s">
        <v>0</v>
      </c>
      <c r="B1320" s="230">
        <v>114691</v>
      </c>
      <c r="C1320" s="230">
        <v>10758</v>
      </c>
      <c r="D1320" s="231" t="s">
        <v>1072</v>
      </c>
      <c r="E1320" s="230">
        <v>14491032</v>
      </c>
      <c r="F1320" s="230">
        <v>36829</v>
      </c>
      <c r="G1320" s="230">
        <v>1</v>
      </c>
      <c r="H1320" s="240">
        <v>311.52999999999997</v>
      </c>
      <c r="I1320" s="240">
        <f t="shared" si="20"/>
        <v>311.52999999999997</v>
      </c>
      <c r="J1320" s="231" t="s">
        <v>1393</v>
      </c>
      <c r="K1320" s="231" t="s">
        <v>1394</v>
      </c>
      <c r="L1320" s="232">
        <v>45170</v>
      </c>
      <c r="M1320" s="232">
        <v>45199</v>
      </c>
    </row>
    <row r="1321" spans="1:13" ht="14.25" customHeight="1" x14ac:dyDescent="0.2">
      <c r="A1321" s="231" t="s">
        <v>0</v>
      </c>
      <c r="B1321" s="230">
        <v>114693</v>
      </c>
      <c r="C1321" s="230">
        <v>10758</v>
      </c>
      <c r="D1321" s="231" t="s">
        <v>1073</v>
      </c>
      <c r="E1321" s="230">
        <v>14491032</v>
      </c>
      <c r="F1321" s="230">
        <v>36834</v>
      </c>
      <c r="G1321" s="230">
        <v>1</v>
      </c>
      <c r="H1321" s="240">
        <v>359.46</v>
      </c>
      <c r="I1321" s="240">
        <f t="shared" si="20"/>
        <v>359.46</v>
      </c>
      <c r="J1321" s="231" t="s">
        <v>1393</v>
      </c>
      <c r="K1321" s="231" t="s">
        <v>1394</v>
      </c>
      <c r="L1321" s="232">
        <v>45170</v>
      </c>
      <c r="M1321" s="232">
        <v>45199</v>
      </c>
    </row>
    <row r="1322" spans="1:13" ht="14.25" customHeight="1" x14ac:dyDescent="0.2">
      <c r="A1322" s="231" t="s">
        <v>0</v>
      </c>
      <c r="B1322" s="230">
        <v>114698</v>
      </c>
      <c r="C1322" s="230">
        <v>10758</v>
      </c>
      <c r="D1322" s="231" t="s">
        <v>1076</v>
      </c>
      <c r="E1322" s="230">
        <v>14491032</v>
      </c>
      <c r="F1322" s="230">
        <v>36844</v>
      </c>
      <c r="G1322" s="230">
        <v>1</v>
      </c>
      <c r="H1322" s="240">
        <v>359.46</v>
      </c>
      <c r="I1322" s="240">
        <f t="shared" si="20"/>
        <v>359.46</v>
      </c>
      <c r="J1322" s="231" t="s">
        <v>1393</v>
      </c>
      <c r="K1322" s="231" t="s">
        <v>1394</v>
      </c>
      <c r="L1322" s="232">
        <v>45170</v>
      </c>
      <c r="M1322" s="232">
        <v>45199</v>
      </c>
    </row>
    <row r="1323" spans="1:13" ht="14.25" customHeight="1" x14ac:dyDescent="0.2">
      <c r="A1323" s="231" t="s">
        <v>0</v>
      </c>
      <c r="B1323" s="230">
        <v>114699</v>
      </c>
      <c r="C1323" s="230">
        <v>10758</v>
      </c>
      <c r="D1323" s="231" t="s">
        <v>1077</v>
      </c>
      <c r="E1323" s="230">
        <v>14491032</v>
      </c>
      <c r="F1323" s="230">
        <v>36846</v>
      </c>
      <c r="G1323" s="230">
        <v>1</v>
      </c>
      <c r="H1323" s="240">
        <v>359.46</v>
      </c>
      <c r="I1323" s="240">
        <f t="shared" si="20"/>
        <v>359.46</v>
      </c>
      <c r="J1323" s="231" t="s">
        <v>1393</v>
      </c>
      <c r="K1323" s="231" t="s">
        <v>1394</v>
      </c>
      <c r="L1323" s="232">
        <v>45170</v>
      </c>
      <c r="M1323" s="232">
        <v>45199</v>
      </c>
    </row>
    <row r="1324" spans="1:13" ht="14.25" customHeight="1" x14ac:dyDescent="0.2">
      <c r="A1324" s="231" t="s">
        <v>0</v>
      </c>
      <c r="B1324" s="230">
        <v>114700</v>
      </c>
      <c r="C1324" s="230">
        <v>10750</v>
      </c>
      <c r="D1324" s="231" t="s">
        <v>1078</v>
      </c>
      <c r="E1324" s="230">
        <v>14491032</v>
      </c>
      <c r="F1324" s="230">
        <v>36848</v>
      </c>
      <c r="G1324" s="230">
        <v>1</v>
      </c>
      <c r="H1324" s="240">
        <v>335.49</v>
      </c>
      <c r="I1324" s="240">
        <f t="shared" si="20"/>
        <v>335.49</v>
      </c>
      <c r="J1324" s="231" t="s">
        <v>1393</v>
      </c>
      <c r="K1324" s="231" t="s">
        <v>1394</v>
      </c>
      <c r="L1324" s="232">
        <v>45170</v>
      </c>
      <c r="M1324" s="232">
        <v>45199</v>
      </c>
    </row>
    <row r="1325" spans="1:13" ht="14.25" customHeight="1" x14ac:dyDescent="0.2">
      <c r="A1325" s="231" t="s">
        <v>0</v>
      </c>
      <c r="B1325" s="230">
        <v>114726</v>
      </c>
      <c r="C1325" s="230">
        <v>10758</v>
      </c>
      <c r="D1325" s="231" t="s">
        <v>1083</v>
      </c>
      <c r="E1325" s="230">
        <v>14491032</v>
      </c>
      <c r="F1325" s="230">
        <v>36900</v>
      </c>
      <c r="G1325" s="230">
        <v>1</v>
      </c>
      <c r="H1325" s="240">
        <v>359.46</v>
      </c>
      <c r="I1325" s="240">
        <f t="shared" si="20"/>
        <v>359.46</v>
      </c>
      <c r="J1325" s="231" t="s">
        <v>1393</v>
      </c>
      <c r="K1325" s="231" t="s">
        <v>1394</v>
      </c>
      <c r="L1325" s="232">
        <v>45170</v>
      </c>
      <c r="M1325" s="232">
        <v>45199</v>
      </c>
    </row>
    <row r="1326" spans="1:13" ht="14.25" customHeight="1" x14ac:dyDescent="0.2">
      <c r="A1326" s="231" t="s">
        <v>0</v>
      </c>
      <c r="B1326" s="230">
        <v>114732</v>
      </c>
      <c r="C1326" s="230">
        <v>10750</v>
      </c>
      <c r="D1326" s="231" t="s">
        <v>1385</v>
      </c>
      <c r="E1326" s="230">
        <v>14491032</v>
      </c>
      <c r="F1326" s="230">
        <v>36912</v>
      </c>
      <c r="G1326" s="230">
        <v>1</v>
      </c>
      <c r="H1326" s="240">
        <v>359.46</v>
      </c>
      <c r="I1326" s="240">
        <f t="shared" si="20"/>
        <v>359.46</v>
      </c>
      <c r="J1326" s="231" t="s">
        <v>1393</v>
      </c>
      <c r="K1326" s="231" t="s">
        <v>1394</v>
      </c>
      <c r="L1326" s="232">
        <v>45170</v>
      </c>
      <c r="M1326" s="232">
        <v>45199</v>
      </c>
    </row>
    <row r="1327" spans="1:13" ht="14.25" customHeight="1" x14ac:dyDescent="0.2">
      <c r="A1327" s="231" t="s">
        <v>0</v>
      </c>
      <c r="B1327" s="230">
        <v>114734</v>
      </c>
      <c r="C1327" s="230">
        <v>10758</v>
      </c>
      <c r="D1327" s="231" t="s">
        <v>1088</v>
      </c>
      <c r="E1327" s="230">
        <v>14491032</v>
      </c>
      <c r="F1327" s="230">
        <v>36916</v>
      </c>
      <c r="G1327" s="230">
        <v>1</v>
      </c>
      <c r="H1327" s="240">
        <v>359.46</v>
      </c>
      <c r="I1327" s="240">
        <f t="shared" si="20"/>
        <v>359.46</v>
      </c>
      <c r="J1327" s="231" t="s">
        <v>1393</v>
      </c>
      <c r="K1327" s="231" t="s">
        <v>1394</v>
      </c>
      <c r="L1327" s="232">
        <v>45170</v>
      </c>
      <c r="M1327" s="232">
        <v>45199</v>
      </c>
    </row>
    <row r="1328" spans="1:13" ht="14.25" customHeight="1" x14ac:dyDescent="0.2">
      <c r="A1328" s="231" t="s">
        <v>0</v>
      </c>
      <c r="B1328" s="230">
        <v>114742</v>
      </c>
      <c r="C1328" s="230">
        <v>10758</v>
      </c>
      <c r="D1328" s="231" t="s">
        <v>1728</v>
      </c>
      <c r="E1328" s="230">
        <v>14491032</v>
      </c>
      <c r="F1328" s="230">
        <v>36932</v>
      </c>
      <c r="G1328" s="230">
        <v>1</v>
      </c>
      <c r="H1328" s="240">
        <v>359.46</v>
      </c>
      <c r="I1328" s="240">
        <f t="shared" si="20"/>
        <v>359.46</v>
      </c>
      <c r="J1328" s="231" t="s">
        <v>1393</v>
      </c>
      <c r="K1328" s="231" t="s">
        <v>1394</v>
      </c>
      <c r="L1328" s="232">
        <v>45170</v>
      </c>
      <c r="M1328" s="232">
        <v>45199</v>
      </c>
    </row>
    <row r="1329" spans="1:13" ht="14.25" customHeight="1" x14ac:dyDescent="0.2">
      <c r="A1329" s="231" t="s">
        <v>0</v>
      </c>
      <c r="B1329" s="230">
        <v>114744</v>
      </c>
      <c r="C1329" s="230">
        <v>10758</v>
      </c>
      <c r="D1329" s="231" t="s">
        <v>1091</v>
      </c>
      <c r="E1329" s="230">
        <v>14491032</v>
      </c>
      <c r="F1329" s="230">
        <v>36936</v>
      </c>
      <c r="G1329" s="230">
        <v>1</v>
      </c>
      <c r="H1329" s="240">
        <v>359.46</v>
      </c>
      <c r="I1329" s="240">
        <f t="shared" si="20"/>
        <v>359.46</v>
      </c>
      <c r="J1329" s="231" t="s">
        <v>1393</v>
      </c>
      <c r="K1329" s="231" t="s">
        <v>1394</v>
      </c>
      <c r="L1329" s="232">
        <v>45170</v>
      </c>
      <c r="M1329" s="232">
        <v>45199</v>
      </c>
    </row>
    <row r="1330" spans="1:13" ht="14.25" customHeight="1" x14ac:dyDescent="0.2">
      <c r="A1330" s="231" t="s">
        <v>0</v>
      </c>
      <c r="B1330" s="230">
        <v>114748</v>
      </c>
      <c r="C1330" s="230">
        <v>10758</v>
      </c>
      <c r="D1330" s="231" t="s">
        <v>1093</v>
      </c>
      <c r="E1330" s="230">
        <v>14491032</v>
      </c>
      <c r="F1330" s="230">
        <v>36944</v>
      </c>
      <c r="G1330" s="230">
        <v>1</v>
      </c>
      <c r="H1330" s="240">
        <v>359.46</v>
      </c>
      <c r="I1330" s="240">
        <f t="shared" si="20"/>
        <v>359.46</v>
      </c>
      <c r="J1330" s="231" t="s">
        <v>1393</v>
      </c>
      <c r="K1330" s="231" t="s">
        <v>1394</v>
      </c>
      <c r="L1330" s="232">
        <v>45170</v>
      </c>
      <c r="M1330" s="232">
        <v>45199</v>
      </c>
    </row>
    <row r="1331" spans="1:13" ht="14.25" customHeight="1" x14ac:dyDescent="0.2">
      <c r="A1331" s="231" t="s">
        <v>0</v>
      </c>
      <c r="B1331" s="230">
        <v>114750</v>
      </c>
      <c r="C1331" s="230">
        <v>10758</v>
      </c>
      <c r="D1331" s="231" t="s">
        <v>1652</v>
      </c>
      <c r="E1331" s="230">
        <v>14491032</v>
      </c>
      <c r="F1331" s="230">
        <v>36948</v>
      </c>
      <c r="G1331" s="230">
        <v>1</v>
      </c>
      <c r="H1331" s="240">
        <v>347.47</v>
      </c>
      <c r="I1331" s="240">
        <f t="shared" si="20"/>
        <v>347.47</v>
      </c>
      <c r="J1331" s="231" t="s">
        <v>1393</v>
      </c>
      <c r="K1331" s="231" t="s">
        <v>1394</v>
      </c>
      <c r="L1331" s="232">
        <v>45170</v>
      </c>
      <c r="M1331" s="232">
        <v>45199</v>
      </c>
    </row>
    <row r="1332" spans="1:13" ht="14.25" customHeight="1" x14ac:dyDescent="0.2">
      <c r="A1332" s="231" t="s">
        <v>0</v>
      </c>
      <c r="B1332" s="230">
        <v>114751</v>
      </c>
      <c r="C1332" s="230">
        <v>10751</v>
      </c>
      <c r="D1332" s="231" t="s">
        <v>1096</v>
      </c>
      <c r="E1332" s="230">
        <v>14491032</v>
      </c>
      <c r="F1332" s="230">
        <v>36950</v>
      </c>
      <c r="G1332" s="230">
        <v>1</v>
      </c>
      <c r="H1332" s="240">
        <v>359.46</v>
      </c>
      <c r="I1332" s="240">
        <f t="shared" si="20"/>
        <v>359.46</v>
      </c>
      <c r="J1332" s="231" t="s">
        <v>1393</v>
      </c>
      <c r="K1332" s="231" t="s">
        <v>1394</v>
      </c>
      <c r="L1332" s="232">
        <v>45170</v>
      </c>
      <c r="M1332" s="232">
        <v>45199</v>
      </c>
    </row>
    <row r="1333" spans="1:13" ht="14.25" customHeight="1" x14ac:dyDescent="0.2">
      <c r="A1333" s="231" t="s">
        <v>0</v>
      </c>
      <c r="B1333" s="230">
        <v>114980</v>
      </c>
      <c r="C1333" s="230">
        <v>10757</v>
      </c>
      <c r="D1333" s="231" t="s">
        <v>1139</v>
      </c>
      <c r="E1333" s="230">
        <v>14491032</v>
      </c>
      <c r="F1333" s="230">
        <v>37737</v>
      </c>
      <c r="G1333" s="230">
        <v>1</v>
      </c>
      <c r="H1333" s="240">
        <v>359.46</v>
      </c>
      <c r="I1333" s="240">
        <f t="shared" si="20"/>
        <v>359.46</v>
      </c>
      <c r="J1333" s="231" t="s">
        <v>1393</v>
      </c>
      <c r="K1333" s="231" t="s">
        <v>1394</v>
      </c>
      <c r="L1333" s="232">
        <v>45170</v>
      </c>
      <c r="M1333" s="232">
        <v>45199</v>
      </c>
    </row>
    <row r="1334" spans="1:13" ht="14.25" customHeight="1" x14ac:dyDescent="0.2">
      <c r="A1334" s="231" t="s">
        <v>0</v>
      </c>
      <c r="B1334" s="230">
        <v>115008</v>
      </c>
      <c r="C1334" s="230">
        <v>10758</v>
      </c>
      <c r="D1334" s="231" t="s">
        <v>1143</v>
      </c>
      <c r="E1334" s="230">
        <v>14491032</v>
      </c>
      <c r="F1334" s="230">
        <v>37801</v>
      </c>
      <c r="G1334" s="230">
        <v>1</v>
      </c>
      <c r="H1334" s="240">
        <v>359.46</v>
      </c>
      <c r="I1334" s="240">
        <f t="shared" si="20"/>
        <v>359.46</v>
      </c>
      <c r="J1334" s="231" t="s">
        <v>1393</v>
      </c>
      <c r="K1334" s="231" t="s">
        <v>1394</v>
      </c>
      <c r="L1334" s="232">
        <v>45170</v>
      </c>
      <c r="M1334" s="232">
        <v>45199</v>
      </c>
    </row>
    <row r="1335" spans="1:13" ht="14.25" customHeight="1" x14ac:dyDescent="0.2">
      <c r="A1335" s="231" t="s">
        <v>0</v>
      </c>
      <c r="B1335" s="230">
        <v>115371</v>
      </c>
      <c r="C1335" s="230">
        <v>10760</v>
      </c>
      <c r="D1335" s="231" t="s">
        <v>1153</v>
      </c>
      <c r="E1335" s="230">
        <v>14491032</v>
      </c>
      <c r="F1335" s="230">
        <v>38934</v>
      </c>
      <c r="G1335" s="230">
        <v>1</v>
      </c>
      <c r="H1335" s="240">
        <v>359.46</v>
      </c>
      <c r="I1335" s="240">
        <f t="shared" si="20"/>
        <v>359.46</v>
      </c>
      <c r="J1335" s="231" t="s">
        <v>1393</v>
      </c>
      <c r="K1335" s="231" t="s">
        <v>1394</v>
      </c>
      <c r="L1335" s="232">
        <v>45170</v>
      </c>
      <c r="M1335" s="232">
        <v>45199</v>
      </c>
    </row>
    <row r="1336" spans="1:13" ht="14.25" customHeight="1" x14ac:dyDescent="0.2">
      <c r="A1336" s="231" t="s">
        <v>0</v>
      </c>
      <c r="B1336" s="230">
        <v>115378</v>
      </c>
      <c r="C1336" s="230">
        <v>10758</v>
      </c>
      <c r="D1336" s="231" t="s">
        <v>1154</v>
      </c>
      <c r="E1336" s="230">
        <v>14491032</v>
      </c>
      <c r="F1336" s="230">
        <v>38948</v>
      </c>
      <c r="G1336" s="230">
        <v>1</v>
      </c>
      <c r="H1336" s="240">
        <v>347.47</v>
      </c>
      <c r="I1336" s="240">
        <f t="shared" si="20"/>
        <v>347.47</v>
      </c>
      <c r="J1336" s="231" t="s">
        <v>1393</v>
      </c>
      <c r="K1336" s="231" t="s">
        <v>1394</v>
      </c>
      <c r="L1336" s="232">
        <v>45170</v>
      </c>
      <c r="M1336" s="232">
        <v>45199</v>
      </c>
    </row>
    <row r="1337" spans="1:13" ht="14.25" customHeight="1" x14ac:dyDescent="0.2">
      <c r="A1337" s="231" t="s">
        <v>0</v>
      </c>
      <c r="B1337" s="230">
        <v>115399</v>
      </c>
      <c r="C1337" s="230">
        <v>10757</v>
      </c>
      <c r="D1337" s="231" t="s">
        <v>1370</v>
      </c>
      <c r="E1337" s="230">
        <v>14491032</v>
      </c>
      <c r="F1337" s="230">
        <v>39004</v>
      </c>
      <c r="G1337" s="230">
        <v>1</v>
      </c>
      <c r="H1337" s="240">
        <v>359.46</v>
      </c>
      <c r="I1337" s="240">
        <f t="shared" si="20"/>
        <v>359.46</v>
      </c>
      <c r="J1337" s="231" t="s">
        <v>1393</v>
      </c>
      <c r="K1337" s="231" t="s">
        <v>1394</v>
      </c>
      <c r="L1337" s="232">
        <v>45170</v>
      </c>
      <c r="M1337" s="232">
        <v>45199</v>
      </c>
    </row>
    <row r="1338" spans="1:13" ht="14.25" customHeight="1" x14ac:dyDescent="0.2">
      <c r="A1338" s="231" t="s">
        <v>0</v>
      </c>
      <c r="B1338" s="230">
        <v>115400</v>
      </c>
      <c r="C1338" s="230">
        <v>10757</v>
      </c>
      <c r="D1338" s="231" t="s">
        <v>1157</v>
      </c>
      <c r="E1338" s="230">
        <v>14491032</v>
      </c>
      <c r="F1338" s="230">
        <v>39006</v>
      </c>
      <c r="G1338" s="230">
        <v>1</v>
      </c>
      <c r="H1338" s="240">
        <v>359.46</v>
      </c>
      <c r="I1338" s="240">
        <f t="shared" si="20"/>
        <v>359.46</v>
      </c>
      <c r="J1338" s="231" t="s">
        <v>1393</v>
      </c>
      <c r="K1338" s="231" t="s">
        <v>1394</v>
      </c>
      <c r="L1338" s="232">
        <v>45170</v>
      </c>
      <c r="M1338" s="232">
        <v>45199</v>
      </c>
    </row>
    <row r="1339" spans="1:13" ht="14.25" customHeight="1" x14ac:dyDescent="0.2">
      <c r="A1339" s="231" t="s">
        <v>0</v>
      </c>
      <c r="B1339" s="230">
        <v>115404</v>
      </c>
      <c r="C1339" s="230">
        <v>10750</v>
      </c>
      <c r="D1339" s="231" t="s">
        <v>1159</v>
      </c>
      <c r="E1339" s="230">
        <v>14491032</v>
      </c>
      <c r="F1339" s="230">
        <v>39014</v>
      </c>
      <c r="G1339" s="230">
        <v>1</v>
      </c>
      <c r="H1339" s="240">
        <v>359.46</v>
      </c>
      <c r="I1339" s="240">
        <f t="shared" si="20"/>
        <v>359.46</v>
      </c>
      <c r="J1339" s="231" t="s">
        <v>1393</v>
      </c>
      <c r="K1339" s="231" t="s">
        <v>1394</v>
      </c>
      <c r="L1339" s="232">
        <v>45170</v>
      </c>
      <c r="M1339" s="232">
        <v>45199</v>
      </c>
    </row>
    <row r="1340" spans="1:13" ht="14.25" customHeight="1" x14ac:dyDescent="0.2">
      <c r="A1340" s="231" t="s">
        <v>0</v>
      </c>
      <c r="B1340" s="230">
        <v>115406</v>
      </c>
      <c r="C1340" s="230">
        <v>10757</v>
      </c>
      <c r="D1340" s="231" t="s">
        <v>1328</v>
      </c>
      <c r="E1340" s="230">
        <v>14491032</v>
      </c>
      <c r="F1340" s="230">
        <v>39018</v>
      </c>
      <c r="G1340" s="230">
        <v>1</v>
      </c>
      <c r="H1340" s="240">
        <v>359.46</v>
      </c>
      <c r="I1340" s="240">
        <f t="shared" si="20"/>
        <v>359.46</v>
      </c>
      <c r="J1340" s="231" t="s">
        <v>1393</v>
      </c>
      <c r="K1340" s="231" t="s">
        <v>1394</v>
      </c>
      <c r="L1340" s="232">
        <v>45170</v>
      </c>
      <c r="M1340" s="232">
        <v>45199</v>
      </c>
    </row>
    <row r="1341" spans="1:13" ht="14.25" customHeight="1" x14ac:dyDescent="0.2">
      <c r="A1341" s="231" t="s">
        <v>0</v>
      </c>
      <c r="B1341" s="230">
        <v>115415</v>
      </c>
      <c r="C1341" s="230">
        <v>10757</v>
      </c>
      <c r="D1341" s="231" t="s">
        <v>1164</v>
      </c>
      <c r="E1341" s="230">
        <v>14491032</v>
      </c>
      <c r="F1341" s="230">
        <v>39037</v>
      </c>
      <c r="G1341" s="230">
        <v>1</v>
      </c>
      <c r="H1341" s="240">
        <v>359.46</v>
      </c>
      <c r="I1341" s="240">
        <f t="shared" si="20"/>
        <v>359.46</v>
      </c>
      <c r="J1341" s="231" t="s">
        <v>1393</v>
      </c>
      <c r="K1341" s="231" t="s">
        <v>1394</v>
      </c>
      <c r="L1341" s="232">
        <v>45170</v>
      </c>
      <c r="M1341" s="232">
        <v>45199</v>
      </c>
    </row>
    <row r="1342" spans="1:13" ht="14.25" customHeight="1" x14ac:dyDescent="0.2">
      <c r="A1342" s="231" t="s">
        <v>0</v>
      </c>
      <c r="B1342" s="230">
        <v>115818</v>
      </c>
      <c r="C1342" s="230">
        <v>10757</v>
      </c>
      <c r="D1342" s="231" t="s">
        <v>1341</v>
      </c>
      <c r="E1342" s="230">
        <v>14491032</v>
      </c>
      <c r="F1342" s="230">
        <v>40311</v>
      </c>
      <c r="G1342" s="230">
        <v>1</v>
      </c>
      <c r="H1342" s="240">
        <v>359.46</v>
      </c>
      <c r="I1342" s="240">
        <f t="shared" si="20"/>
        <v>359.46</v>
      </c>
      <c r="J1342" s="231" t="s">
        <v>1393</v>
      </c>
      <c r="K1342" s="231" t="s">
        <v>1394</v>
      </c>
      <c r="L1342" s="232">
        <v>45170</v>
      </c>
      <c r="M1342" s="232">
        <v>45199</v>
      </c>
    </row>
    <row r="1343" spans="1:13" ht="14.25" customHeight="1" x14ac:dyDescent="0.2">
      <c r="A1343" s="231" t="s">
        <v>0</v>
      </c>
      <c r="B1343" s="230">
        <v>116001</v>
      </c>
      <c r="C1343" s="230">
        <v>10750</v>
      </c>
      <c r="D1343" s="231" t="s">
        <v>1170</v>
      </c>
      <c r="E1343" s="230">
        <v>14491032</v>
      </c>
      <c r="F1343" s="230">
        <v>40857</v>
      </c>
      <c r="G1343" s="230">
        <v>1</v>
      </c>
      <c r="H1343" s="240">
        <v>359.46</v>
      </c>
      <c r="I1343" s="240">
        <f t="shared" si="20"/>
        <v>359.46</v>
      </c>
      <c r="J1343" s="231" t="s">
        <v>1393</v>
      </c>
      <c r="K1343" s="231" t="s">
        <v>1394</v>
      </c>
      <c r="L1343" s="232">
        <v>45170</v>
      </c>
      <c r="M1343" s="232">
        <v>45199</v>
      </c>
    </row>
    <row r="1344" spans="1:13" ht="14.25" customHeight="1" x14ac:dyDescent="0.2">
      <c r="A1344" s="231" t="s">
        <v>0</v>
      </c>
      <c r="B1344" s="230">
        <v>116002</v>
      </c>
      <c r="C1344" s="230">
        <v>10758</v>
      </c>
      <c r="D1344" s="231" t="s">
        <v>1171</v>
      </c>
      <c r="E1344" s="230">
        <v>14491032</v>
      </c>
      <c r="F1344" s="230">
        <v>40859</v>
      </c>
      <c r="G1344" s="230">
        <v>1</v>
      </c>
      <c r="H1344" s="240">
        <v>359.46</v>
      </c>
      <c r="I1344" s="240">
        <f t="shared" si="20"/>
        <v>359.46</v>
      </c>
      <c r="J1344" s="231" t="s">
        <v>1393</v>
      </c>
      <c r="K1344" s="231" t="s">
        <v>1394</v>
      </c>
      <c r="L1344" s="232">
        <v>45170</v>
      </c>
      <c r="M1344" s="232">
        <v>45199</v>
      </c>
    </row>
    <row r="1345" spans="1:13" ht="14.25" customHeight="1" x14ac:dyDescent="0.2">
      <c r="A1345" s="231" t="s">
        <v>0</v>
      </c>
      <c r="B1345" s="230">
        <v>116003</v>
      </c>
      <c r="C1345" s="230">
        <v>10763</v>
      </c>
      <c r="D1345" s="231" t="s">
        <v>1172</v>
      </c>
      <c r="E1345" s="230">
        <v>14491032</v>
      </c>
      <c r="F1345" s="230">
        <v>40861</v>
      </c>
      <c r="G1345" s="230">
        <v>1</v>
      </c>
      <c r="H1345" s="240">
        <v>359.46</v>
      </c>
      <c r="I1345" s="240">
        <f t="shared" si="20"/>
        <v>359.46</v>
      </c>
      <c r="J1345" s="231" t="s">
        <v>1393</v>
      </c>
      <c r="K1345" s="231" t="s">
        <v>1394</v>
      </c>
      <c r="L1345" s="232">
        <v>45170</v>
      </c>
      <c r="M1345" s="232">
        <v>45199</v>
      </c>
    </row>
    <row r="1346" spans="1:13" ht="14.25" customHeight="1" x14ac:dyDescent="0.2">
      <c r="A1346" s="231" t="s">
        <v>0</v>
      </c>
      <c r="B1346" s="230">
        <v>116004</v>
      </c>
      <c r="C1346" s="230">
        <v>10757</v>
      </c>
      <c r="D1346" s="231" t="s">
        <v>1173</v>
      </c>
      <c r="E1346" s="230">
        <v>14491032</v>
      </c>
      <c r="F1346" s="230">
        <v>40863</v>
      </c>
      <c r="G1346" s="230">
        <v>1</v>
      </c>
      <c r="H1346" s="240">
        <v>359.46</v>
      </c>
      <c r="I1346" s="240">
        <f t="shared" ref="I1346:I1407" si="21">G1346*H1346</f>
        <v>359.46</v>
      </c>
      <c r="J1346" s="231" t="s">
        <v>1393</v>
      </c>
      <c r="K1346" s="231" t="s">
        <v>1394</v>
      </c>
      <c r="L1346" s="232">
        <v>45170</v>
      </c>
      <c r="M1346" s="232">
        <v>45199</v>
      </c>
    </row>
    <row r="1347" spans="1:13" ht="14.25" customHeight="1" x14ac:dyDescent="0.2">
      <c r="A1347" s="231" t="s">
        <v>0</v>
      </c>
      <c r="B1347" s="230">
        <v>116006</v>
      </c>
      <c r="C1347" s="230">
        <v>10758</v>
      </c>
      <c r="D1347" s="231" t="s">
        <v>1364</v>
      </c>
      <c r="E1347" s="230">
        <v>14491032</v>
      </c>
      <c r="F1347" s="230">
        <v>40867</v>
      </c>
      <c r="G1347" s="230">
        <v>1</v>
      </c>
      <c r="H1347" s="240">
        <v>359.46</v>
      </c>
      <c r="I1347" s="240">
        <f t="shared" si="21"/>
        <v>359.46</v>
      </c>
      <c r="J1347" s="231" t="s">
        <v>1393</v>
      </c>
      <c r="K1347" s="231" t="s">
        <v>1394</v>
      </c>
      <c r="L1347" s="232">
        <v>45170</v>
      </c>
      <c r="M1347" s="232">
        <v>45199</v>
      </c>
    </row>
    <row r="1348" spans="1:13" ht="14.25" customHeight="1" x14ac:dyDescent="0.2">
      <c r="A1348" s="231" t="s">
        <v>0</v>
      </c>
      <c r="B1348" s="230">
        <v>116008</v>
      </c>
      <c r="C1348" s="230">
        <v>10761</v>
      </c>
      <c r="D1348" s="231" t="s">
        <v>1175</v>
      </c>
      <c r="E1348" s="230">
        <v>14491032</v>
      </c>
      <c r="F1348" s="230">
        <v>40871</v>
      </c>
      <c r="G1348" s="230">
        <v>1</v>
      </c>
      <c r="H1348" s="240">
        <v>359.46</v>
      </c>
      <c r="I1348" s="240">
        <f t="shared" si="21"/>
        <v>359.46</v>
      </c>
      <c r="J1348" s="231" t="s">
        <v>1393</v>
      </c>
      <c r="K1348" s="231" t="s">
        <v>1394</v>
      </c>
      <c r="L1348" s="232">
        <v>45170</v>
      </c>
      <c r="M1348" s="232">
        <v>45199</v>
      </c>
    </row>
    <row r="1349" spans="1:13" ht="14.25" customHeight="1" x14ac:dyDescent="0.2">
      <c r="A1349" s="231" t="s">
        <v>0</v>
      </c>
      <c r="B1349" s="230">
        <v>116010</v>
      </c>
      <c r="C1349" s="230">
        <v>10757</v>
      </c>
      <c r="D1349" s="231" t="s">
        <v>1176</v>
      </c>
      <c r="E1349" s="230">
        <v>14491032</v>
      </c>
      <c r="F1349" s="230">
        <v>40875</v>
      </c>
      <c r="G1349" s="230">
        <v>1</v>
      </c>
      <c r="H1349" s="240">
        <v>359.46</v>
      </c>
      <c r="I1349" s="240">
        <f t="shared" si="21"/>
        <v>359.46</v>
      </c>
      <c r="J1349" s="231" t="s">
        <v>1393</v>
      </c>
      <c r="K1349" s="231" t="s">
        <v>1394</v>
      </c>
      <c r="L1349" s="232">
        <v>45170</v>
      </c>
      <c r="M1349" s="232">
        <v>45199</v>
      </c>
    </row>
    <row r="1350" spans="1:13" ht="14.25" customHeight="1" x14ac:dyDescent="0.2">
      <c r="A1350" s="231" t="s">
        <v>0</v>
      </c>
      <c r="B1350" s="230">
        <v>116020</v>
      </c>
      <c r="C1350" s="230">
        <v>10761</v>
      </c>
      <c r="D1350" s="231" t="s">
        <v>1177</v>
      </c>
      <c r="E1350" s="230">
        <v>14491032</v>
      </c>
      <c r="F1350" s="230">
        <v>40899</v>
      </c>
      <c r="G1350" s="230">
        <v>1</v>
      </c>
      <c r="H1350" s="240">
        <v>359.46</v>
      </c>
      <c r="I1350" s="240">
        <f t="shared" si="21"/>
        <v>359.46</v>
      </c>
      <c r="J1350" s="231" t="s">
        <v>1393</v>
      </c>
      <c r="K1350" s="231" t="s">
        <v>1394</v>
      </c>
      <c r="L1350" s="232">
        <v>45170</v>
      </c>
      <c r="M1350" s="232">
        <v>45199</v>
      </c>
    </row>
    <row r="1351" spans="1:13" ht="14.25" customHeight="1" x14ac:dyDescent="0.2">
      <c r="A1351" s="231" t="s">
        <v>0</v>
      </c>
      <c r="B1351" s="230">
        <v>116031</v>
      </c>
      <c r="C1351" s="230">
        <v>10763</v>
      </c>
      <c r="D1351" s="231" t="s">
        <v>1182</v>
      </c>
      <c r="E1351" s="230">
        <v>14491032</v>
      </c>
      <c r="F1351" s="230">
        <v>40924</v>
      </c>
      <c r="G1351" s="230">
        <v>1</v>
      </c>
      <c r="H1351" s="240">
        <v>359.46</v>
      </c>
      <c r="I1351" s="240">
        <f t="shared" si="21"/>
        <v>359.46</v>
      </c>
      <c r="J1351" s="231" t="s">
        <v>1393</v>
      </c>
      <c r="K1351" s="231" t="s">
        <v>1394</v>
      </c>
      <c r="L1351" s="232">
        <v>45170</v>
      </c>
      <c r="M1351" s="232">
        <v>45199</v>
      </c>
    </row>
    <row r="1352" spans="1:13" ht="14.25" customHeight="1" x14ac:dyDescent="0.2">
      <c r="A1352" s="231" t="s">
        <v>0</v>
      </c>
      <c r="B1352" s="230">
        <v>116224</v>
      </c>
      <c r="C1352" s="230">
        <v>10766</v>
      </c>
      <c r="D1352" s="231" t="s">
        <v>1193</v>
      </c>
      <c r="E1352" s="230">
        <v>14491032</v>
      </c>
      <c r="F1352" s="230">
        <v>41557</v>
      </c>
      <c r="G1352" s="230">
        <v>1</v>
      </c>
      <c r="H1352" s="240">
        <v>359.46</v>
      </c>
      <c r="I1352" s="240">
        <f t="shared" si="21"/>
        <v>359.46</v>
      </c>
      <c r="J1352" s="231" t="s">
        <v>1393</v>
      </c>
      <c r="K1352" s="231" t="s">
        <v>1394</v>
      </c>
      <c r="L1352" s="232">
        <v>45170</v>
      </c>
      <c r="M1352" s="232">
        <v>45199</v>
      </c>
    </row>
    <row r="1353" spans="1:13" ht="14.25" customHeight="1" x14ac:dyDescent="0.2">
      <c r="A1353" s="231" t="s">
        <v>0</v>
      </c>
      <c r="B1353" s="230">
        <v>116226</v>
      </c>
      <c r="C1353" s="230">
        <v>10766</v>
      </c>
      <c r="D1353" s="231" t="s">
        <v>1195</v>
      </c>
      <c r="E1353" s="230">
        <v>14491032</v>
      </c>
      <c r="F1353" s="230">
        <v>41561</v>
      </c>
      <c r="G1353" s="230">
        <v>1</v>
      </c>
      <c r="H1353" s="240">
        <v>311.52999999999997</v>
      </c>
      <c r="I1353" s="240">
        <f t="shared" si="21"/>
        <v>311.52999999999997</v>
      </c>
      <c r="J1353" s="231" t="s">
        <v>1393</v>
      </c>
      <c r="K1353" s="231" t="s">
        <v>1394</v>
      </c>
      <c r="L1353" s="232">
        <v>45170</v>
      </c>
      <c r="M1353" s="232">
        <v>45199</v>
      </c>
    </row>
    <row r="1354" spans="1:13" ht="14.25" customHeight="1" x14ac:dyDescent="0.2">
      <c r="A1354" s="231" t="s">
        <v>0</v>
      </c>
      <c r="B1354" s="230">
        <v>116232</v>
      </c>
      <c r="C1354" s="230">
        <v>10766</v>
      </c>
      <c r="D1354" s="231" t="s">
        <v>1198</v>
      </c>
      <c r="E1354" s="230">
        <v>14491032</v>
      </c>
      <c r="F1354" s="230">
        <v>41571</v>
      </c>
      <c r="G1354" s="230">
        <v>1</v>
      </c>
      <c r="H1354" s="240">
        <v>359.46</v>
      </c>
      <c r="I1354" s="240">
        <f t="shared" si="21"/>
        <v>359.46</v>
      </c>
      <c r="J1354" s="231" t="s">
        <v>1393</v>
      </c>
      <c r="K1354" s="231" t="s">
        <v>1394</v>
      </c>
      <c r="L1354" s="232">
        <v>45170</v>
      </c>
      <c r="M1354" s="232">
        <v>45199</v>
      </c>
    </row>
    <row r="1355" spans="1:13" ht="14.25" customHeight="1" x14ac:dyDescent="0.2">
      <c r="A1355" s="231" t="s">
        <v>0</v>
      </c>
      <c r="B1355" s="230">
        <v>116321</v>
      </c>
      <c r="C1355" s="230">
        <v>10755</v>
      </c>
      <c r="D1355" s="231" t="s">
        <v>1310</v>
      </c>
      <c r="E1355" s="230">
        <v>14491032</v>
      </c>
      <c r="F1355" s="230">
        <v>41854</v>
      </c>
      <c r="G1355" s="230">
        <v>1</v>
      </c>
      <c r="H1355" s="240">
        <v>359.46</v>
      </c>
      <c r="I1355" s="240">
        <f t="shared" si="21"/>
        <v>359.46</v>
      </c>
      <c r="J1355" s="231" t="s">
        <v>1393</v>
      </c>
      <c r="K1355" s="231" t="s">
        <v>1394</v>
      </c>
      <c r="L1355" s="232">
        <v>45170</v>
      </c>
      <c r="M1355" s="232">
        <v>45199</v>
      </c>
    </row>
    <row r="1356" spans="1:13" ht="14.25" customHeight="1" x14ac:dyDescent="0.2">
      <c r="A1356" s="231" t="s">
        <v>0</v>
      </c>
      <c r="B1356" s="230">
        <v>116323</v>
      </c>
      <c r="C1356" s="230">
        <v>10758</v>
      </c>
      <c r="D1356" s="231" t="s">
        <v>1209</v>
      </c>
      <c r="E1356" s="230">
        <v>14491032</v>
      </c>
      <c r="F1356" s="230">
        <v>41858</v>
      </c>
      <c r="G1356" s="230">
        <v>1</v>
      </c>
      <c r="H1356" s="240">
        <v>359.46</v>
      </c>
      <c r="I1356" s="240">
        <f t="shared" si="21"/>
        <v>359.46</v>
      </c>
      <c r="J1356" s="231" t="s">
        <v>1393</v>
      </c>
      <c r="K1356" s="231" t="s">
        <v>1394</v>
      </c>
      <c r="L1356" s="232">
        <v>45170</v>
      </c>
      <c r="M1356" s="232">
        <v>45199</v>
      </c>
    </row>
    <row r="1357" spans="1:13" ht="14.25" customHeight="1" x14ac:dyDescent="0.2">
      <c r="A1357" s="231" t="s">
        <v>0</v>
      </c>
      <c r="B1357" s="230">
        <v>116327</v>
      </c>
      <c r="C1357" s="230">
        <v>10757</v>
      </c>
      <c r="D1357" s="231" t="s">
        <v>1522</v>
      </c>
      <c r="E1357" s="230">
        <v>14491032</v>
      </c>
      <c r="F1357" s="230">
        <v>41864</v>
      </c>
      <c r="G1357" s="230">
        <v>1</v>
      </c>
      <c r="H1357" s="240">
        <v>359.46</v>
      </c>
      <c r="I1357" s="240">
        <f t="shared" si="21"/>
        <v>359.46</v>
      </c>
      <c r="J1357" s="231" t="s">
        <v>1393</v>
      </c>
      <c r="K1357" s="231" t="s">
        <v>1394</v>
      </c>
      <c r="L1357" s="232">
        <v>45170</v>
      </c>
      <c r="M1357" s="232">
        <v>45199</v>
      </c>
    </row>
    <row r="1358" spans="1:13" ht="14.25" customHeight="1" x14ac:dyDescent="0.2">
      <c r="A1358" s="231" t="s">
        <v>0</v>
      </c>
      <c r="B1358" s="230">
        <v>116329</v>
      </c>
      <c r="C1358" s="230">
        <v>10763</v>
      </c>
      <c r="D1358" s="231" t="s">
        <v>1211</v>
      </c>
      <c r="E1358" s="230">
        <v>14491032</v>
      </c>
      <c r="F1358" s="230">
        <v>41868</v>
      </c>
      <c r="G1358" s="230">
        <v>1</v>
      </c>
      <c r="H1358" s="240">
        <v>347.47</v>
      </c>
      <c r="I1358" s="240">
        <f t="shared" si="21"/>
        <v>347.47</v>
      </c>
      <c r="J1358" s="231" t="s">
        <v>1393</v>
      </c>
      <c r="K1358" s="231" t="s">
        <v>1394</v>
      </c>
      <c r="L1358" s="232">
        <v>45170</v>
      </c>
      <c r="M1358" s="232">
        <v>45199</v>
      </c>
    </row>
    <row r="1359" spans="1:13" ht="14.25" customHeight="1" x14ac:dyDescent="0.2">
      <c r="A1359" s="231" t="s">
        <v>0</v>
      </c>
      <c r="B1359" s="230">
        <v>116330</v>
      </c>
      <c r="C1359" s="230">
        <v>10763</v>
      </c>
      <c r="D1359" s="231" t="s">
        <v>1212</v>
      </c>
      <c r="E1359" s="230">
        <v>14491032</v>
      </c>
      <c r="F1359" s="230">
        <v>41870</v>
      </c>
      <c r="G1359" s="230">
        <v>1</v>
      </c>
      <c r="H1359" s="240">
        <v>359.46</v>
      </c>
      <c r="I1359" s="240">
        <f t="shared" si="21"/>
        <v>359.46</v>
      </c>
      <c r="J1359" s="231" t="s">
        <v>1393</v>
      </c>
      <c r="K1359" s="231" t="s">
        <v>1394</v>
      </c>
      <c r="L1359" s="232">
        <v>45170</v>
      </c>
      <c r="M1359" s="232">
        <v>45199</v>
      </c>
    </row>
    <row r="1360" spans="1:13" ht="14.25" customHeight="1" x14ac:dyDescent="0.2">
      <c r="A1360" s="231" t="s">
        <v>0</v>
      </c>
      <c r="B1360" s="230">
        <v>116331</v>
      </c>
      <c r="C1360" s="230">
        <v>10758</v>
      </c>
      <c r="D1360" s="231" t="s">
        <v>1563</v>
      </c>
      <c r="E1360" s="230">
        <v>14491032</v>
      </c>
      <c r="F1360" s="230">
        <v>41872</v>
      </c>
      <c r="G1360" s="230">
        <v>1</v>
      </c>
      <c r="H1360" s="240">
        <v>95.85</v>
      </c>
      <c r="I1360" s="240">
        <f t="shared" si="21"/>
        <v>95.85</v>
      </c>
      <c r="J1360" s="231" t="s">
        <v>1393</v>
      </c>
      <c r="K1360" s="231" t="s">
        <v>1394</v>
      </c>
      <c r="L1360" s="232">
        <v>45170</v>
      </c>
      <c r="M1360" s="232">
        <v>45199</v>
      </c>
    </row>
    <row r="1361" spans="1:13" ht="14.25" customHeight="1" x14ac:dyDescent="0.2">
      <c r="A1361" s="231" t="s">
        <v>0</v>
      </c>
      <c r="B1361" s="230">
        <v>116389</v>
      </c>
      <c r="C1361" s="230">
        <v>10752</v>
      </c>
      <c r="D1361" s="231" t="s">
        <v>1217</v>
      </c>
      <c r="E1361" s="230">
        <v>14491032</v>
      </c>
      <c r="F1361" s="230">
        <v>42046</v>
      </c>
      <c r="G1361" s="230">
        <v>1</v>
      </c>
      <c r="H1361" s="240">
        <v>359.46</v>
      </c>
      <c r="I1361" s="240">
        <f t="shared" si="21"/>
        <v>359.46</v>
      </c>
      <c r="J1361" s="231" t="s">
        <v>1393</v>
      </c>
      <c r="K1361" s="231" t="s">
        <v>1394</v>
      </c>
      <c r="L1361" s="232">
        <v>45170</v>
      </c>
      <c r="M1361" s="232">
        <v>45199</v>
      </c>
    </row>
    <row r="1362" spans="1:13" ht="14.25" customHeight="1" x14ac:dyDescent="0.2">
      <c r="A1362" s="231" t="s">
        <v>0</v>
      </c>
      <c r="B1362" s="230">
        <v>116728</v>
      </c>
      <c r="C1362" s="230">
        <v>10745</v>
      </c>
      <c r="D1362" s="231" t="s">
        <v>1224</v>
      </c>
      <c r="E1362" s="230">
        <v>14491032</v>
      </c>
      <c r="F1362" s="230">
        <v>42843</v>
      </c>
      <c r="G1362" s="230">
        <v>1</v>
      </c>
      <c r="H1362" s="240">
        <v>335.49</v>
      </c>
      <c r="I1362" s="240">
        <f t="shared" si="21"/>
        <v>335.49</v>
      </c>
      <c r="J1362" s="231" t="s">
        <v>1393</v>
      </c>
      <c r="K1362" s="231" t="s">
        <v>1394</v>
      </c>
      <c r="L1362" s="232">
        <v>45170</v>
      </c>
      <c r="M1362" s="232">
        <v>45199</v>
      </c>
    </row>
    <row r="1363" spans="1:13" ht="14.25" customHeight="1" x14ac:dyDescent="0.2">
      <c r="A1363" s="231" t="s">
        <v>0</v>
      </c>
      <c r="B1363" s="230">
        <v>116972</v>
      </c>
      <c r="C1363" s="230">
        <v>10760</v>
      </c>
      <c r="D1363" s="231" t="s">
        <v>1241</v>
      </c>
      <c r="E1363" s="230">
        <v>14491032</v>
      </c>
      <c r="F1363" s="230">
        <v>43454</v>
      </c>
      <c r="G1363" s="230">
        <v>1</v>
      </c>
      <c r="H1363" s="240">
        <v>359.46</v>
      </c>
      <c r="I1363" s="240">
        <f t="shared" si="21"/>
        <v>359.46</v>
      </c>
      <c r="J1363" s="231" t="s">
        <v>1393</v>
      </c>
      <c r="K1363" s="231" t="s">
        <v>1394</v>
      </c>
      <c r="L1363" s="232">
        <v>45170</v>
      </c>
      <c r="M1363" s="232">
        <v>45199</v>
      </c>
    </row>
    <row r="1364" spans="1:13" ht="14.25" customHeight="1" x14ac:dyDescent="0.2">
      <c r="A1364" s="231" t="s">
        <v>0</v>
      </c>
      <c r="B1364" s="230">
        <v>116973</v>
      </c>
      <c r="C1364" s="230">
        <v>10757</v>
      </c>
      <c r="D1364" s="231" t="s">
        <v>1242</v>
      </c>
      <c r="E1364" s="230">
        <v>14491032</v>
      </c>
      <c r="F1364" s="230">
        <v>43456</v>
      </c>
      <c r="G1364" s="230">
        <v>1</v>
      </c>
      <c r="H1364" s="240">
        <v>335.49</v>
      </c>
      <c r="I1364" s="240">
        <f t="shared" si="21"/>
        <v>335.49</v>
      </c>
      <c r="J1364" s="231" t="s">
        <v>1393</v>
      </c>
      <c r="K1364" s="231" t="s">
        <v>1394</v>
      </c>
      <c r="L1364" s="232">
        <v>45170</v>
      </c>
      <c r="M1364" s="232">
        <v>45199</v>
      </c>
    </row>
    <row r="1365" spans="1:13" ht="14.25" customHeight="1" x14ac:dyDescent="0.2">
      <c r="A1365" s="231" t="s">
        <v>0</v>
      </c>
      <c r="B1365" s="230">
        <v>116976</v>
      </c>
      <c r="C1365" s="230">
        <v>10757</v>
      </c>
      <c r="D1365" s="231" t="s">
        <v>1244</v>
      </c>
      <c r="E1365" s="230">
        <v>14491032</v>
      </c>
      <c r="F1365" s="230">
        <v>43462</v>
      </c>
      <c r="G1365" s="230">
        <v>1</v>
      </c>
      <c r="H1365" s="240">
        <v>359.46</v>
      </c>
      <c r="I1365" s="240">
        <f t="shared" si="21"/>
        <v>359.46</v>
      </c>
      <c r="J1365" s="231" t="s">
        <v>1393</v>
      </c>
      <c r="K1365" s="231" t="s">
        <v>1394</v>
      </c>
      <c r="L1365" s="232">
        <v>45170</v>
      </c>
      <c r="M1365" s="232">
        <v>45199</v>
      </c>
    </row>
    <row r="1366" spans="1:13" ht="14.25" customHeight="1" x14ac:dyDescent="0.2">
      <c r="A1366" s="231" t="s">
        <v>0</v>
      </c>
      <c r="B1366" s="230">
        <v>116981</v>
      </c>
      <c r="C1366" s="230">
        <v>10758</v>
      </c>
      <c r="D1366" s="231" t="s">
        <v>1248</v>
      </c>
      <c r="E1366" s="230">
        <v>14491032</v>
      </c>
      <c r="F1366" s="230">
        <v>43472</v>
      </c>
      <c r="G1366" s="230">
        <v>1</v>
      </c>
      <c r="H1366" s="240">
        <v>359.46</v>
      </c>
      <c r="I1366" s="240">
        <f t="shared" si="21"/>
        <v>359.46</v>
      </c>
      <c r="J1366" s="231" t="s">
        <v>1393</v>
      </c>
      <c r="K1366" s="231" t="s">
        <v>1394</v>
      </c>
      <c r="L1366" s="232">
        <v>45170</v>
      </c>
      <c r="M1366" s="232">
        <v>45199</v>
      </c>
    </row>
    <row r="1367" spans="1:13" ht="14.25" customHeight="1" x14ac:dyDescent="0.2">
      <c r="A1367" s="231" t="s">
        <v>0</v>
      </c>
      <c r="B1367" s="230">
        <v>116983</v>
      </c>
      <c r="C1367" s="230">
        <v>10757</v>
      </c>
      <c r="D1367" s="231" t="s">
        <v>1249</v>
      </c>
      <c r="E1367" s="230">
        <v>14491032</v>
      </c>
      <c r="F1367" s="230">
        <v>43477</v>
      </c>
      <c r="G1367" s="230">
        <v>1</v>
      </c>
      <c r="H1367" s="240">
        <v>359.46</v>
      </c>
      <c r="I1367" s="240">
        <f t="shared" si="21"/>
        <v>359.46</v>
      </c>
      <c r="J1367" s="231" t="s">
        <v>1393</v>
      </c>
      <c r="K1367" s="231" t="s">
        <v>1394</v>
      </c>
      <c r="L1367" s="232">
        <v>45170</v>
      </c>
      <c r="M1367" s="232">
        <v>45199</v>
      </c>
    </row>
    <row r="1368" spans="1:13" ht="14.25" customHeight="1" x14ac:dyDescent="0.2">
      <c r="A1368" s="231" t="s">
        <v>0</v>
      </c>
      <c r="B1368" s="230">
        <v>116985</v>
      </c>
      <c r="C1368" s="230">
        <v>10763</v>
      </c>
      <c r="D1368" s="231" t="s">
        <v>1250</v>
      </c>
      <c r="E1368" s="230">
        <v>14491032</v>
      </c>
      <c r="F1368" s="230">
        <v>43481</v>
      </c>
      <c r="G1368" s="230">
        <v>1</v>
      </c>
      <c r="H1368" s="240">
        <v>359.46</v>
      </c>
      <c r="I1368" s="240">
        <f t="shared" si="21"/>
        <v>359.46</v>
      </c>
      <c r="J1368" s="231" t="s">
        <v>1393</v>
      </c>
      <c r="K1368" s="231" t="s">
        <v>1395</v>
      </c>
      <c r="L1368" s="232">
        <v>45170</v>
      </c>
      <c r="M1368" s="232">
        <v>45199</v>
      </c>
    </row>
    <row r="1369" spans="1:13" ht="14.25" customHeight="1" x14ac:dyDescent="0.2">
      <c r="A1369" s="231" t="s">
        <v>0</v>
      </c>
      <c r="B1369" s="230">
        <v>117235</v>
      </c>
      <c r="C1369" s="230">
        <v>10748</v>
      </c>
      <c r="D1369" s="231" t="s">
        <v>1258</v>
      </c>
      <c r="E1369" s="230">
        <v>14491032</v>
      </c>
      <c r="F1369" s="230">
        <v>44086</v>
      </c>
      <c r="G1369" s="230">
        <v>1</v>
      </c>
      <c r="H1369" s="240">
        <v>347.47</v>
      </c>
      <c r="I1369" s="240">
        <f t="shared" si="21"/>
        <v>347.47</v>
      </c>
      <c r="J1369" s="231" t="s">
        <v>1393</v>
      </c>
      <c r="K1369" s="231" t="s">
        <v>1394</v>
      </c>
      <c r="L1369" s="232">
        <v>45170</v>
      </c>
      <c r="M1369" s="232">
        <v>45199</v>
      </c>
    </row>
    <row r="1370" spans="1:13" ht="14.25" customHeight="1" x14ac:dyDescent="0.2">
      <c r="A1370" s="231" t="s">
        <v>0</v>
      </c>
      <c r="B1370" s="230">
        <v>117236</v>
      </c>
      <c r="C1370" s="230">
        <v>10750</v>
      </c>
      <c r="D1370" s="231" t="s">
        <v>1259</v>
      </c>
      <c r="E1370" s="230">
        <v>14491032</v>
      </c>
      <c r="F1370" s="230">
        <v>44088</v>
      </c>
      <c r="G1370" s="230">
        <v>1</v>
      </c>
      <c r="H1370" s="240">
        <v>359.46</v>
      </c>
      <c r="I1370" s="240">
        <f t="shared" si="21"/>
        <v>359.46</v>
      </c>
      <c r="J1370" s="231" t="s">
        <v>1393</v>
      </c>
      <c r="K1370" s="231" t="s">
        <v>1394</v>
      </c>
      <c r="L1370" s="232">
        <v>45170</v>
      </c>
      <c r="M1370" s="232">
        <v>45199</v>
      </c>
    </row>
    <row r="1371" spans="1:13" ht="14.25" customHeight="1" x14ac:dyDescent="0.2">
      <c r="A1371" s="231" t="s">
        <v>0</v>
      </c>
      <c r="B1371" s="230">
        <v>117240</v>
      </c>
      <c r="C1371" s="230">
        <v>10745</v>
      </c>
      <c r="D1371" s="231" t="s">
        <v>1262</v>
      </c>
      <c r="E1371" s="230">
        <v>14491032</v>
      </c>
      <c r="F1371" s="230">
        <v>44096</v>
      </c>
      <c r="G1371" s="230">
        <v>1</v>
      </c>
      <c r="H1371" s="240">
        <v>359.46</v>
      </c>
      <c r="I1371" s="240">
        <f t="shared" si="21"/>
        <v>359.46</v>
      </c>
      <c r="J1371" s="231" t="s">
        <v>1393</v>
      </c>
      <c r="K1371" s="231" t="s">
        <v>1394</v>
      </c>
      <c r="L1371" s="232">
        <v>45170</v>
      </c>
      <c r="M1371" s="232">
        <v>45199</v>
      </c>
    </row>
    <row r="1372" spans="1:13" ht="14.25" customHeight="1" x14ac:dyDescent="0.2">
      <c r="A1372" s="231" t="s">
        <v>0</v>
      </c>
      <c r="B1372" s="230">
        <v>117409</v>
      </c>
      <c r="C1372" s="230">
        <v>10750</v>
      </c>
      <c r="D1372" s="231" t="s">
        <v>1277</v>
      </c>
      <c r="E1372" s="230">
        <v>14491032</v>
      </c>
      <c r="F1372" s="230">
        <v>44520</v>
      </c>
      <c r="G1372" s="230">
        <v>1</v>
      </c>
      <c r="H1372" s="240">
        <v>359.46</v>
      </c>
      <c r="I1372" s="240">
        <f t="shared" si="21"/>
        <v>359.46</v>
      </c>
      <c r="J1372" s="231" t="s">
        <v>1393</v>
      </c>
      <c r="K1372" s="231" t="s">
        <v>1394</v>
      </c>
      <c r="L1372" s="232">
        <v>45170</v>
      </c>
      <c r="M1372" s="232">
        <v>45199</v>
      </c>
    </row>
    <row r="1373" spans="1:13" ht="14.25" customHeight="1" x14ac:dyDescent="0.2">
      <c r="A1373" s="231" t="s">
        <v>0</v>
      </c>
      <c r="B1373" s="230">
        <v>118049</v>
      </c>
      <c r="C1373" s="230">
        <v>10757</v>
      </c>
      <c r="D1373" s="231" t="s">
        <v>1587</v>
      </c>
      <c r="E1373" s="230">
        <v>14491032</v>
      </c>
      <c r="F1373" s="230">
        <v>45886</v>
      </c>
      <c r="G1373" s="230">
        <v>1</v>
      </c>
      <c r="H1373" s="240">
        <v>359.46</v>
      </c>
      <c r="I1373" s="240">
        <f t="shared" si="21"/>
        <v>359.46</v>
      </c>
      <c r="J1373" s="231" t="s">
        <v>1393</v>
      </c>
      <c r="K1373" s="231" t="s">
        <v>1395</v>
      </c>
      <c r="L1373" s="232">
        <v>45170</v>
      </c>
      <c r="M1373" s="232">
        <v>45199</v>
      </c>
    </row>
    <row r="1374" spans="1:13" ht="14.25" customHeight="1" x14ac:dyDescent="0.2">
      <c r="A1374" s="231" t="s">
        <v>0</v>
      </c>
      <c r="B1374" s="230">
        <v>118050</v>
      </c>
      <c r="C1374" s="230">
        <v>10758</v>
      </c>
      <c r="D1374" s="231" t="s">
        <v>1412</v>
      </c>
      <c r="E1374" s="230">
        <v>14491032</v>
      </c>
      <c r="F1374" s="230">
        <v>45888</v>
      </c>
      <c r="G1374" s="230">
        <v>1</v>
      </c>
      <c r="H1374" s="240">
        <v>359.46</v>
      </c>
      <c r="I1374" s="240">
        <f t="shared" si="21"/>
        <v>359.46</v>
      </c>
      <c r="J1374" s="231" t="s">
        <v>1393</v>
      </c>
      <c r="K1374" s="231" t="s">
        <v>1394</v>
      </c>
      <c r="L1374" s="232">
        <v>45170</v>
      </c>
      <c r="M1374" s="232">
        <v>45199</v>
      </c>
    </row>
    <row r="1375" spans="1:13" ht="14.25" customHeight="1" x14ac:dyDescent="0.2">
      <c r="A1375" s="231" t="s">
        <v>0</v>
      </c>
      <c r="B1375" s="230">
        <v>118056</v>
      </c>
      <c r="C1375" s="230">
        <v>10758</v>
      </c>
      <c r="D1375" s="231" t="s">
        <v>1401</v>
      </c>
      <c r="E1375" s="230">
        <v>14491032</v>
      </c>
      <c r="F1375" s="230">
        <v>45900</v>
      </c>
      <c r="G1375" s="230">
        <v>1</v>
      </c>
      <c r="H1375" s="240">
        <v>359.46</v>
      </c>
      <c r="I1375" s="240">
        <f t="shared" si="21"/>
        <v>359.46</v>
      </c>
      <c r="J1375" s="231" t="s">
        <v>1393</v>
      </c>
      <c r="K1375" s="231" t="s">
        <v>1394</v>
      </c>
      <c r="L1375" s="232">
        <v>45170</v>
      </c>
      <c r="M1375" s="232">
        <v>45199</v>
      </c>
    </row>
    <row r="1376" spans="1:13" ht="14.25" customHeight="1" x14ac:dyDescent="0.2">
      <c r="A1376" s="231" t="s">
        <v>0</v>
      </c>
      <c r="B1376" s="230">
        <v>118057</v>
      </c>
      <c r="C1376" s="230">
        <v>10757</v>
      </c>
      <c r="D1376" s="231" t="s">
        <v>1406</v>
      </c>
      <c r="E1376" s="230">
        <v>14491032</v>
      </c>
      <c r="F1376" s="230">
        <v>45902</v>
      </c>
      <c r="G1376" s="230">
        <v>1</v>
      </c>
      <c r="H1376" s="240">
        <v>347.47</v>
      </c>
      <c r="I1376" s="240">
        <f t="shared" si="21"/>
        <v>347.47</v>
      </c>
      <c r="J1376" s="231" t="s">
        <v>1393</v>
      </c>
      <c r="K1376" s="231" t="s">
        <v>1394</v>
      </c>
      <c r="L1376" s="232">
        <v>45170</v>
      </c>
      <c r="M1376" s="232">
        <v>45199</v>
      </c>
    </row>
    <row r="1377" spans="1:13" ht="14.25" customHeight="1" x14ac:dyDescent="0.2">
      <c r="A1377" s="231" t="s">
        <v>0</v>
      </c>
      <c r="B1377" s="230">
        <v>118058</v>
      </c>
      <c r="C1377" s="230">
        <v>10758</v>
      </c>
      <c r="D1377" s="231" t="s">
        <v>1408</v>
      </c>
      <c r="E1377" s="230">
        <v>14491032</v>
      </c>
      <c r="F1377" s="230">
        <v>45904</v>
      </c>
      <c r="G1377" s="230">
        <v>1</v>
      </c>
      <c r="H1377" s="240">
        <v>359.46</v>
      </c>
      <c r="I1377" s="240">
        <f t="shared" si="21"/>
        <v>359.46</v>
      </c>
      <c r="J1377" s="231" t="s">
        <v>1393</v>
      </c>
      <c r="K1377" s="231" t="s">
        <v>1394</v>
      </c>
      <c r="L1377" s="232">
        <v>45170</v>
      </c>
      <c r="M1377" s="232">
        <v>45199</v>
      </c>
    </row>
    <row r="1378" spans="1:13" ht="14.25" customHeight="1" x14ac:dyDescent="0.2">
      <c r="A1378" s="231" t="s">
        <v>0</v>
      </c>
      <c r="B1378" s="230">
        <v>118059</v>
      </c>
      <c r="C1378" s="230">
        <v>10757</v>
      </c>
      <c r="D1378" s="231" t="s">
        <v>1431</v>
      </c>
      <c r="E1378" s="230">
        <v>14491032</v>
      </c>
      <c r="F1378" s="230">
        <v>45906</v>
      </c>
      <c r="G1378" s="230">
        <v>1</v>
      </c>
      <c r="H1378" s="240">
        <v>347.47</v>
      </c>
      <c r="I1378" s="240">
        <f t="shared" si="21"/>
        <v>347.47</v>
      </c>
      <c r="J1378" s="231" t="s">
        <v>1393</v>
      </c>
      <c r="K1378" s="231" t="s">
        <v>1394</v>
      </c>
      <c r="L1378" s="232">
        <v>45170</v>
      </c>
      <c r="M1378" s="232">
        <v>45199</v>
      </c>
    </row>
    <row r="1379" spans="1:13" ht="14.25" customHeight="1" x14ac:dyDescent="0.2">
      <c r="A1379" s="231" t="s">
        <v>0</v>
      </c>
      <c r="B1379" s="230">
        <v>118060</v>
      </c>
      <c r="C1379" s="230">
        <v>10757</v>
      </c>
      <c r="D1379" s="231" t="s">
        <v>1410</v>
      </c>
      <c r="E1379" s="230">
        <v>14491032</v>
      </c>
      <c r="F1379" s="230">
        <v>45908</v>
      </c>
      <c r="G1379" s="230">
        <v>1</v>
      </c>
      <c r="H1379" s="240">
        <v>347.47</v>
      </c>
      <c r="I1379" s="240">
        <f t="shared" si="21"/>
        <v>347.47</v>
      </c>
      <c r="J1379" s="231" t="s">
        <v>1393</v>
      </c>
      <c r="K1379" s="231" t="s">
        <v>1394</v>
      </c>
      <c r="L1379" s="232">
        <v>45170</v>
      </c>
      <c r="M1379" s="232">
        <v>45199</v>
      </c>
    </row>
    <row r="1380" spans="1:13" ht="14.25" customHeight="1" x14ac:dyDescent="0.2">
      <c r="A1380" s="231" t="s">
        <v>0</v>
      </c>
      <c r="B1380" s="230">
        <v>118633</v>
      </c>
      <c r="C1380" s="230">
        <v>10758</v>
      </c>
      <c r="D1380" s="231" t="s">
        <v>1400</v>
      </c>
      <c r="E1380" s="230">
        <v>14491032</v>
      </c>
      <c r="F1380" s="230">
        <v>47160</v>
      </c>
      <c r="G1380" s="230">
        <v>1</v>
      </c>
      <c r="H1380" s="240">
        <v>359.46</v>
      </c>
      <c r="I1380" s="240">
        <f t="shared" si="21"/>
        <v>359.46</v>
      </c>
      <c r="J1380" s="231" t="s">
        <v>1393</v>
      </c>
      <c r="K1380" s="231" t="s">
        <v>1394</v>
      </c>
      <c r="L1380" s="232">
        <v>45170</v>
      </c>
      <c r="M1380" s="232">
        <v>45199</v>
      </c>
    </row>
    <row r="1381" spans="1:13" ht="14.25" customHeight="1" x14ac:dyDescent="0.2">
      <c r="A1381" s="231" t="s">
        <v>0</v>
      </c>
      <c r="B1381" s="230">
        <v>118635</v>
      </c>
      <c r="C1381" s="230">
        <v>10758</v>
      </c>
      <c r="D1381" s="231" t="s">
        <v>1416</v>
      </c>
      <c r="E1381" s="230">
        <v>14491032</v>
      </c>
      <c r="F1381" s="230">
        <v>47164</v>
      </c>
      <c r="G1381" s="230">
        <v>1</v>
      </c>
      <c r="H1381" s="240">
        <v>359.46</v>
      </c>
      <c r="I1381" s="240">
        <f t="shared" si="21"/>
        <v>359.46</v>
      </c>
      <c r="J1381" s="231" t="s">
        <v>1393</v>
      </c>
      <c r="K1381" s="231" t="s">
        <v>1394</v>
      </c>
      <c r="L1381" s="232">
        <v>45170</v>
      </c>
      <c r="M1381" s="232">
        <v>45199</v>
      </c>
    </row>
    <row r="1382" spans="1:13" ht="14.25" customHeight="1" x14ac:dyDescent="0.2">
      <c r="A1382" s="231" t="s">
        <v>0</v>
      </c>
      <c r="B1382" s="230">
        <v>118641</v>
      </c>
      <c r="C1382" s="230">
        <v>10758</v>
      </c>
      <c r="D1382" s="231" t="s">
        <v>1411</v>
      </c>
      <c r="E1382" s="230">
        <v>14491032</v>
      </c>
      <c r="F1382" s="230">
        <v>47177</v>
      </c>
      <c r="G1382" s="230">
        <v>1</v>
      </c>
      <c r="H1382" s="240">
        <v>359.46</v>
      </c>
      <c r="I1382" s="240">
        <f t="shared" si="21"/>
        <v>359.46</v>
      </c>
      <c r="J1382" s="231" t="s">
        <v>1393</v>
      </c>
      <c r="K1382" s="231" t="s">
        <v>1394</v>
      </c>
      <c r="L1382" s="232">
        <v>45170</v>
      </c>
      <c r="M1382" s="232">
        <v>45199</v>
      </c>
    </row>
    <row r="1383" spans="1:13" ht="14.25" customHeight="1" x14ac:dyDescent="0.2">
      <c r="A1383" s="231" t="s">
        <v>0</v>
      </c>
      <c r="B1383" s="230">
        <v>118646</v>
      </c>
      <c r="C1383" s="230">
        <v>10757</v>
      </c>
      <c r="D1383" s="231" t="s">
        <v>1399</v>
      </c>
      <c r="E1383" s="230">
        <v>14491032</v>
      </c>
      <c r="F1383" s="230">
        <v>47185</v>
      </c>
      <c r="G1383" s="230">
        <v>1</v>
      </c>
      <c r="H1383" s="240">
        <v>347.47</v>
      </c>
      <c r="I1383" s="240">
        <f t="shared" si="21"/>
        <v>347.47</v>
      </c>
      <c r="J1383" s="231" t="s">
        <v>1393</v>
      </c>
      <c r="K1383" s="231" t="s">
        <v>1394</v>
      </c>
      <c r="L1383" s="232">
        <v>45170</v>
      </c>
      <c r="M1383" s="232">
        <v>45199</v>
      </c>
    </row>
    <row r="1384" spans="1:13" ht="14.25" customHeight="1" x14ac:dyDescent="0.2">
      <c r="A1384" s="231" t="s">
        <v>0</v>
      </c>
      <c r="B1384" s="230">
        <v>119114</v>
      </c>
      <c r="C1384" s="230">
        <v>10751</v>
      </c>
      <c r="D1384" s="231" t="s">
        <v>1444</v>
      </c>
      <c r="E1384" s="230">
        <v>14491032</v>
      </c>
      <c r="F1384" s="230">
        <v>48250</v>
      </c>
      <c r="G1384" s="230">
        <v>1</v>
      </c>
      <c r="H1384" s="240">
        <v>359.46</v>
      </c>
      <c r="I1384" s="240">
        <f t="shared" si="21"/>
        <v>359.46</v>
      </c>
      <c r="J1384" s="231" t="s">
        <v>1393</v>
      </c>
      <c r="K1384" s="231" t="s">
        <v>1394</v>
      </c>
      <c r="L1384" s="232">
        <v>45170</v>
      </c>
      <c r="M1384" s="232">
        <v>45199</v>
      </c>
    </row>
    <row r="1385" spans="1:13" ht="12.75" customHeight="1" x14ac:dyDescent="0.2">
      <c r="A1385" s="231" t="s">
        <v>0</v>
      </c>
      <c r="B1385" s="230">
        <v>119643</v>
      </c>
      <c r="C1385" s="230">
        <v>10757</v>
      </c>
      <c r="D1385" s="231" t="s">
        <v>1476</v>
      </c>
      <c r="E1385" s="230">
        <v>14491032</v>
      </c>
      <c r="F1385" s="230">
        <v>49601</v>
      </c>
      <c r="G1385" s="230">
        <v>1</v>
      </c>
      <c r="H1385" s="240">
        <v>359.46</v>
      </c>
      <c r="I1385" s="240">
        <f t="shared" si="21"/>
        <v>359.46</v>
      </c>
      <c r="J1385" s="231" t="s">
        <v>1393</v>
      </c>
      <c r="K1385" s="231" t="s">
        <v>1394</v>
      </c>
      <c r="L1385" s="232">
        <v>45170</v>
      </c>
      <c r="M1385" s="232">
        <v>45199</v>
      </c>
    </row>
    <row r="1386" spans="1:13" ht="12.75" customHeight="1" x14ac:dyDescent="0.2">
      <c r="A1386" s="231" t="s">
        <v>0</v>
      </c>
      <c r="B1386" s="230">
        <v>119645</v>
      </c>
      <c r="C1386" s="230">
        <v>10757</v>
      </c>
      <c r="D1386" s="231" t="s">
        <v>1465</v>
      </c>
      <c r="E1386" s="230">
        <v>14491032</v>
      </c>
      <c r="F1386" s="230">
        <v>49605</v>
      </c>
      <c r="G1386" s="230">
        <v>1</v>
      </c>
      <c r="H1386" s="240">
        <v>359.46</v>
      </c>
      <c r="I1386" s="240">
        <f t="shared" si="21"/>
        <v>359.46</v>
      </c>
      <c r="J1386" s="231" t="s">
        <v>1393</v>
      </c>
      <c r="K1386" s="231" t="s">
        <v>1394</v>
      </c>
      <c r="L1386" s="232">
        <v>45170</v>
      </c>
      <c r="M1386" s="232">
        <v>45199</v>
      </c>
    </row>
    <row r="1387" spans="1:13" ht="12.75" customHeight="1" x14ac:dyDescent="0.2">
      <c r="A1387" s="231" t="s">
        <v>0</v>
      </c>
      <c r="B1387" s="230">
        <v>119649</v>
      </c>
      <c r="C1387" s="230">
        <v>10758</v>
      </c>
      <c r="D1387" s="231" t="s">
        <v>1467</v>
      </c>
      <c r="E1387" s="230">
        <v>14491032</v>
      </c>
      <c r="F1387" s="230">
        <v>49614</v>
      </c>
      <c r="G1387" s="230">
        <v>1</v>
      </c>
      <c r="H1387" s="240">
        <v>347.47</v>
      </c>
      <c r="I1387" s="240">
        <f t="shared" si="21"/>
        <v>347.47</v>
      </c>
      <c r="J1387" s="231" t="s">
        <v>1393</v>
      </c>
      <c r="K1387" s="231" t="s">
        <v>1394</v>
      </c>
      <c r="L1387" s="232">
        <v>45170</v>
      </c>
      <c r="M1387" s="232">
        <v>45199</v>
      </c>
    </row>
    <row r="1388" spans="1:13" ht="12.75" customHeight="1" x14ac:dyDescent="0.2">
      <c r="A1388" s="231" t="s">
        <v>0</v>
      </c>
      <c r="B1388" s="230">
        <v>119652</v>
      </c>
      <c r="C1388" s="230">
        <v>10751</v>
      </c>
      <c r="D1388" s="231" t="s">
        <v>1468</v>
      </c>
      <c r="E1388" s="230">
        <v>14491032</v>
      </c>
      <c r="F1388" s="230">
        <v>49622</v>
      </c>
      <c r="G1388" s="230">
        <v>1</v>
      </c>
      <c r="H1388" s="240">
        <v>359.46</v>
      </c>
      <c r="I1388" s="240">
        <f t="shared" si="21"/>
        <v>359.46</v>
      </c>
      <c r="J1388" s="231" t="s">
        <v>1393</v>
      </c>
      <c r="K1388" s="231" t="s">
        <v>1394</v>
      </c>
      <c r="L1388" s="232">
        <v>45170</v>
      </c>
      <c r="M1388" s="232">
        <v>45199</v>
      </c>
    </row>
    <row r="1389" spans="1:13" ht="12.75" customHeight="1" x14ac:dyDescent="0.2">
      <c r="A1389" s="231" t="s">
        <v>0</v>
      </c>
      <c r="B1389" s="230">
        <v>119672</v>
      </c>
      <c r="C1389" s="230">
        <v>10754</v>
      </c>
      <c r="D1389" s="231" t="s">
        <v>1477</v>
      </c>
      <c r="E1389" s="230">
        <v>14491032</v>
      </c>
      <c r="F1389" s="230">
        <v>49672</v>
      </c>
      <c r="G1389" s="230">
        <v>1</v>
      </c>
      <c r="H1389" s="240">
        <v>359.46</v>
      </c>
      <c r="I1389" s="240">
        <f t="shared" si="21"/>
        <v>359.46</v>
      </c>
      <c r="J1389" s="231" t="s">
        <v>1393</v>
      </c>
      <c r="K1389" s="231" t="s">
        <v>1394</v>
      </c>
      <c r="L1389" s="232">
        <v>45170</v>
      </c>
      <c r="M1389" s="232">
        <v>45199</v>
      </c>
    </row>
    <row r="1390" spans="1:13" ht="12.75" customHeight="1" x14ac:dyDescent="0.2">
      <c r="A1390" s="231" t="s">
        <v>0</v>
      </c>
      <c r="B1390" s="230">
        <v>119679</v>
      </c>
      <c r="C1390" s="230">
        <v>10758</v>
      </c>
      <c r="D1390" s="231" t="s">
        <v>1472</v>
      </c>
      <c r="E1390" s="230">
        <v>14491032</v>
      </c>
      <c r="F1390" s="230">
        <v>49687</v>
      </c>
      <c r="G1390" s="230">
        <v>1</v>
      </c>
      <c r="H1390" s="240">
        <v>359.46</v>
      </c>
      <c r="I1390" s="240">
        <f t="shared" si="21"/>
        <v>359.46</v>
      </c>
      <c r="J1390" s="231" t="s">
        <v>1393</v>
      </c>
      <c r="K1390" s="231" t="s">
        <v>1394</v>
      </c>
      <c r="L1390" s="232">
        <v>45170</v>
      </c>
      <c r="M1390" s="232">
        <v>45199</v>
      </c>
    </row>
    <row r="1391" spans="1:13" ht="12.75" customHeight="1" x14ac:dyDescent="0.2">
      <c r="A1391" s="231" t="s">
        <v>0</v>
      </c>
      <c r="B1391" s="230">
        <v>119921</v>
      </c>
      <c r="C1391" s="230">
        <v>10757</v>
      </c>
      <c r="D1391" s="231" t="s">
        <v>1486</v>
      </c>
      <c r="E1391" s="230">
        <v>14491032</v>
      </c>
      <c r="F1391" s="230">
        <v>50247</v>
      </c>
      <c r="G1391" s="230">
        <v>1</v>
      </c>
      <c r="H1391" s="240">
        <v>359.46</v>
      </c>
      <c r="I1391" s="240">
        <f t="shared" si="21"/>
        <v>359.46</v>
      </c>
      <c r="J1391" s="231" t="s">
        <v>1393</v>
      </c>
      <c r="K1391" s="231" t="s">
        <v>1394</v>
      </c>
      <c r="L1391" s="232">
        <v>45170</v>
      </c>
      <c r="M1391" s="232">
        <v>45199</v>
      </c>
    </row>
    <row r="1392" spans="1:13" ht="12.75" customHeight="1" x14ac:dyDescent="0.2">
      <c r="A1392" s="231" t="s">
        <v>0</v>
      </c>
      <c r="B1392" s="230">
        <v>119929</v>
      </c>
      <c r="C1392" s="230">
        <v>10757</v>
      </c>
      <c r="D1392" s="231" t="s">
        <v>1493</v>
      </c>
      <c r="E1392" s="230">
        <v>14491032</v>
      </c>
      <c r="F1392" s="230">
        <v>50260</v>
      </c>
      <c r="G1392" s="230">
        <v>1</v>
      </c>
      <c r="H1392" s="240">
        <v>347.47</v>
      </c>
      <c r="I1392" s="240">
        <f t="shared" si="21"/>
        <v>347.47</v>
      </c>
      <c r="J1392" s="231" t="s">
        <v>1393</v>
      </c>
      <c r="K1392" s="231" t="s">
        <v>1394</v>
      </c>
      <c r="L1392" s="232">
        <v>45170</v>
      </c>
      <c r="M1392" s="232">
        <v>45199</v>
      </c>
    </row>
    <row r="1393" spans="1:13" ht="12.75" customHeight="1" x14ac:dyDescent="0.2">
      <c r="A1393" s="231" t="s">
        <v>0</v>
      </c>
      <c r="B1393" s="230">
        <v>119930</v>
      </c>
      <c r="C1393" s="230">
        <v>10763</v>
      </c>
      <c r="D1393" s="231" t="s">
        <v>1489</v>
      </c>
      <c r="E1393" s="230">
        <v>14491032</v>
      </c>
      <c r="F1393" s="230">
        <v>50262</v>
      </c>
      <c r="G1393" s="230">
        <v>1</v>
      </c>
      <c r="H1393" s="240">
        <v>359.46</v>
      </c>
      <c r="I1393" s="240">
        <f t="shared" si="21"/>
        <v>359.46</v>
      </c>
      <c r="J1393" s="231" t="s">
        <v>1393</v>
      </c>
      <c r="K1393" s="231" t="s">
        <v>1394</v>
      </c>
      <c r="L1393" s="232">
        <v>45170</v>
      </c>
      <c r="M1393" s="232">
        <v>45199</v>
      </c>
    </row>
    <row r="1394" spans="1:13" ht="12.75" customHeight="1" x14ac:dyDescent="0.2">
      <c r="A1394" s="231" t="s">
        <v>0</v>
      </c>
      <c r="B1394" s="230">
        <v>119936</v>
      </c>
      <c r="C1394" s="230">
        <v>10763</v>
      </c>
      <c r="D1394" s="231" t="s">
        <v>1494</v>
      </c>
      <c r="E1394" s="230">
        <v>14491032</v>
      </c>
      <c r="F1394" s="230">
        <v>50276</v>
      </c>
      <c r="G1394" s="230">
        <v>1</v>
      </c>
      <c r="H1394" s="240">
        <v>359.46</v>
      </c>
      <c r="I1394" s="240">
        <f t="shared" si="21"/>
        <v>359.46</v>
      </c>
      <c r="J1394" s="231" t="s">
        <v>1393</v>
      </c>
      <c r="K1394" s="231" t="s">
        <v>1394</v>
      </c>
      <c r="L1394" s="232">
        <v>45170</v>
      </c>
      <c r="M1394" s="232">
        <v>45199</v>
      </c>
    </row>
    <row r="1395" spans="1:13" ht="12.75" customHeight="1" x14ac:dyDescent="0.2">
      <c r="A1395" s="231" t="s">
        <v>0</v>
      </c>
      <c r="B1395" s="230">
        <v>120355</v>
      </c>
      <c r="C1395" s="230">
        <v>10757</v>
      </c>
      <c r="D1395" s="231" t="s">
        <v>1514</v>
      </c>
      <c r="E1395" s="230">
        <v>14491032</v>
      </c>
      <c r="F1395" s="230">
        <v>51393</v>
      </c>
      <c r="G1395" s="230">
        <v>1</v>
      </c>
      <c r="H1395" s="240">
        <v>359.46</v>
      </c>
      <c r="I1395" s="240">
        <f t="shared" si="21"/>
        <v>359.46</v>
      </c>
      <c r="J1395" s="231" t="s">
        <v>1393</v>
      </c>
      <c r="K1395" s="231" t="s">
        <v>1394</v>
      </c>
      <c r="L1395" s="232">
        <v>45170</v>
      </c>
      <c r="M1395" s="232">
        <v>45199</v>
      </c>
    </row>
    <row r="1396" spans="1:13" ht="12.75" customHeight="1" x14ac:dyDescent="0.2">
      <c r="A1396" s="231" t="s">
        <v>0</v>
      </c>
      <c r="B1396" s="230">
        <v>121319</v>
      </c>
      <c r="C1396" s="230">
        <v>10757</v>
      </c>
      <c r="D1396" s="231" t="s">
        <v>1544</v>
      </c>
      <c r="E1396" s="230">
        <v>14491032</v>
      </c>
      <c r="F1396" s="230">
        <v>53492</v>
      </c>
      <c r="G1396" s="230">
        <v>1</v>
      </c>
      <c r="H1396" s="240">
        <v>359.46</v>
      </c>
      <c r="I1396" s="240">
        <f t="shared" si="21"/>
        <v>359.46</v>
      </c>
      <c r="J1396" s="231" t="s">
        <v>1393</v>
      </c>
      <c r="K1396" s="231" t="s">
        <v>1394</v>
      </c>
      <c r="L1396" s="232">
        <v>45170</v>
      </c>
      <c r="M1396" s="232">
        <v>45199</v>
      </c>
    </row>
    <row r="1397" spans="1:13" ht="12.75" customHeight="1" x14ac:dyDescent="0.2">
      <c r="A1397" s="231" t="s">
        <v>0</v>
      </c>
      <c r="B1397" s="230">
        <v>121677</v>
      </c>
      <c r="C1397" s="230">
        <v>10763</v>
      </c>
      <c r="D1397" s="231" t="s">
        <v>1597</v>
      </c>
      <c r="E1397" s="230">
        <v>14491032</v>
      </c>
      <c r="F1397" s="230">
        <v>54320</v>
      </c>
      <c r="G1397" s="230">
        <v>1</v>
      </c>
      <c r="H1397" s="240">
        <v>359.46</v>
      </c>
      <c r="I1397" s="240">
        <f t="shared" si="21"/>
        <v>359.46</v>
      </c>
      <c r="J1397" s="231" t="s">
        <v>1393</v>
      </c>
      <c r="K1397" s="231" t="s">
        <v>1394</v>
      </c>
      <c r="L1397" s="232">
        <v>45170</v>
      </c>
      <c r="M1397" s="232">
        <v>45199</v>
      </c>
    </row>
    <row r="1398" spans="1:13" ht="12.75" customHeight="1" x14ac:dyDescent="0.2">
      <c r="A1398" s="231" t="s">
        <v>0</v>
      </c>
      <c r="B1398" s="230">
        <v>121685</v>
      </c>
      <c r="C1398" s="230">
        <v>10757</v>
      </c>
      <c r="D1398" s="231" t="s">
        <v>1605</v>
      </c>
      <c r="E1398" s="230">
        <v>14491032</v>
      </c>
      <c r="F1398" s="230">
        <v>54457</v>
      </c>
      <c r="G1398" s="230">
        <v>1</v>
      </c>
      <c r="H1398" s="240">
        <v>359.46</v>
      </c>
      <c r="I1398" s="240">
        <f t="shared" si="21"/>
        <v>359.46</v>
      </c>
      <c r="J1398" s="231" t="s">
        <v>1393</v>
      </c>
      <c r="K1398" s="231" t="s">
        <v>1394</v>
      </c>
      <c r="L1398" s="232">
        <v>45170</v>
      </c>
      <c r="M1398" s="232">
        <v>45199</v>
      </c>
    </row>
    <row r="1399" spans="1:13" ht="12.75" customHeight="1" x14ac:dyDescent="0.2">
      <c r="A1399" s="231" t="s">
        <v>0</v>
      </c>
      <c r="B1399" s="230">
        <v>121849</v>
      </c>
      <c r="C1399" s="230">
        <v>10758</v>
      </c>
      <c r="D1399" s="231" t="s">
        <v>1613</v>
      </c>
      <c r="E1399" s="230">
        <v>14491032</v>
      </c>
      <c r="F1399" s="230">
        <v>54716</v>
      </c>
      <c r="G1399" s="230">
        <v>1</v>
      </c>
      <c r="H1399" s="240">
        <v>347.47</v>
      </c>
      <c r="I1399" s="240">
        <f t="shared" si="21"/>
        <v>347.47</v>
      </c>
      <c r="J1399" s="231" t="s">
        <v>1393</v>
      </c>
      <c r="K1399" s="231" t="s">
        <v>1394</v>
      </c>
      <c r="L1399" s="232">
        <v>45170</v>
      </c>
      <c r="M1399" s="232">
        <v>45199</v>
      </c>
    </row>
    <row r="1400" spans="1:13" ht="12.75" customHeight="1" x14ac:dyDescent="0.2">
      <c r="A1400" s="231" t="s">
        <v>0</v>
      </c>
      <c r="B1400" s="230">
        <v>121851</v>
      </c>
      <c r="C1400" s="230">
        <v>10758</v>
      </c>
      <c r="D1400" s="231" t="s">
        <v>1610</v>
      </c>
      <c r="E1400" s="230">
        <v>14491032</v>
      </c>
      <c r="F1400" s="230">
        <v>54721</v>
      </c>
      <c r="G1400" s="230">
        <v>1</v>
      </c>
      <c r="H1400" s="240">
        <v>359.46</v>
      </c>
      <c r="I1400" s="240">
        <f t="shared" si="21"/>
        <v>359.46</v>
      </c>
      <c r="J1400" s="231" t="s">
        <v>1393</v>
      </c>
      <c r="K1400" s="231" t="s">
        <v>1394</v>
      </c>
      <c r="L1400" s="232">
        <v>45170</v>
      </c>
      <c r="M1400" s="232">
        <v>45199</v>
      </c>
    </row>
    <row r="1401" spans="1:13" ht="12.75" customHeight="1" x14ac:dyDescent="0.2">
      <c r="A1401" s="231" t="s">
        <v>0</v>
      </c>
      <c r="B1401" s="230">
        <v>121857</v>
      </c>
      <c r="C1401" s="230">
        <v>10757</v>
      </c>
      <c r="D1401" s="231" t="s">
        <v>1633</v>
      </c>
      <c r="E1401" s="230">
        <v>14491032</v>
      </c>
      <c r="F1401" s="230">
        <v>54731</v>
      </c>
      <c r="G1401" s="230">
        <v>1</v>
      </c>
      <c r="H1401" s="240">
        <v>359.46</v>
      </c>
      <c r="I1401" s="240">
        <f t="shared" si="21"/>
        <v>359.46</v>
      </c>
      <c r="J1401" s="231" t="s">
        <v>1393</v>
      </c>
      <c r="K1401" s="231" t="s">
        <v>1394</v>
      </c>
      <c r="L1401" s="232">
        <v>45170</v>
      </c>
      <c r="M1401" s="232">
        <v>45199</v>
      </c>
    </row>
    <row r="1402" spans="1:13" ht="12.75" customHeight="1" x14ac:dyDescent="0.2">
      <c r="A1402" s="231" t="s">
        <v>0</v>
      </c>
      <c r="B1402" s="230">
        <v>121953</v>
      </c>
      <c r="C1402" s="230">
        <v>10761</v>
      </c>
      <c r="D1402" s="231" t="s">
        <v>1620</v>
      </c>
      <c r="E1402" s="230">
        <v>14491032</v>
      </c>
      <c r="F1402" s="230">
        <v>54961</v>
      </c>
      <c r="G1402" s="230">
        <v>1</v>
      </c>
      <c r="H1402" s="240">
        <v>359.46</v>
      </c>
      <c r="I1402" s="240">
        <f t="shared" si="21"/>
        <v>359.46</v>
      </c>
      <c r="J1402" s="231" t="s">
        <v>1393</v>
      </c>
      <c r="K1402" s="231" t="s">
        <v>1394</v>
      </c>
      <c r="L1402" s="232">
        <v>45170</v>
      </c>
      <c r="M1402" s="232">
        <v>45199</v>
      </c>
    </row>
    <row r="1403" spans="1:13" ht="12.75" customHeight="1" x14ac:dyDescent="0.2">
      <c r="A1403" s="231" t="s">
        <v>0</v>
      </c>
      <c r="B1403" s="230">
        <v>121957</v>
      </c>
      <c r="C1403" s="230">
        <v>10758</v>
      </c>
      <c r="D1403" s="231" t="s">
        <v>1621</v>
      </c>
      <c r="E1403" s="230">
        <v>14491032</v>
      </c>
      <c r="F1403" s="230">
        <v>54969</v>
      </c>
      <c r="G1403" s="230">
        <v>1</v>
      </c>
      <c r="H1403" s="240">
        <v>359.46</v>
      </c>
      <c r="I1403" s="240">
        <f t="shared" si="21"/>
        <v>359.46</v>
      </c>
      <c r="J1403" s="231" t="s">
        <v>1393</v>
      </c>
      <c r="K1403" s="231" t="s">
        <v>1394</v>
      </c>
      <c r="L1403" s="232">
        <v>45170</v>
      </c>
      <c r="M1403" s="232">
        <v>45199</v>
      </c>
    </row>
    <row r="1404" spans="1:13" ht="12.75" customHeight="1" x14ac:dyDescent="0.2">
      <c r="A1404" s="231" t="s">
        <v>0</v>
      </c>
      <c r="B1404" s="230">
        <v>122089</v>
      </c>
      <c r="C1404" s="230">
        <v>10766</v>
      </c>
      <c r="D1404" s="231" t="s">
        <v>1639</v>
      </c>
      <c r="E1404" s="230">
        <v>14491032</v>
      </c>
      <c r="F1404" s="230">
        <v>55292</v>
      </c>
      <c r="G1404" s="230">
        <v>1</v>
      </c>
      <c r="H1404" s="240">
        <v>359.46</v>
      </c>
      <c r="I1404" s="240">
        <f t="shared" si="21"/>
        <v>359.46</v>
      </c>
      <c r="J1404" s="231" t="s">
        <v>1393</v>
      </c>
      <c r="K1404" s="231" t="s">
        <v>1394</v>
      </c>
      <c r="L1404" s="232">
        <v>45170</v>
      </c>
      <c r="M1404" s="232">
        <v>45199</v>
      </c>
    </row>
    <row r="1405" spans="1:13" ht="12.75" customHeight="1" x14ac:dyDescent="0.2">
      <c r="A1405" s="231" t="s">
        <v>0</v>
      </c>
      <c r="B1405" s="230">
        <v>122247</v>
      </c>
      <c r="C1405" s="230">
        <v>10757</v>
      </c>
      <c r="D1405" s="231" t="s">
        <v>1672</v>
      </c>
      <c r="E1405" s="230">
        <v>14491032</v>
      </c>
      <c r="F1405" s="230">
        <v>55736</v>
      </c>
      <c r="G1405" s="230">
        <v>1</v>
      </c>
      <c r="H1405" s="240">
        <v>335.49</v>
      </c>
      <c r="I1405" s="240">
        <f t="shared" si="21"/>
        <v>335.49</v>
      </c>
      <c r="J1405" s="231" t="s">
        <v>1393</v>
      </c>
      <c r="K1405" s="231" t="s">
        <v>1394</v>
      </c>
      <c r="L1405" s="232">
        <v>45170</v>
      </c>
      <c r="M1405" s="232">
        <v>45199</v>
      </c>
    </row>
    <row r="1406" spans="1:13" ht="12.75" customHeight="1" x14ac:dyDescent="0.2">
      <c r="A1406" s="231" t="s">
        <v>0</v>
      </c>
      <c r="B1406" s="230">
        <v>122553</v>
      </c>
      <c r="C1406" s="230">
        <v>10758</v>
      </c>
      <c r="D1406" s="231" t="s">
        <v>1717</v>
      </c>
      <c r="E1406" s="230">
        <v>14491032</v>
      </c>
      <c r="F1406" s="230">
        <v>56498</v>
      </c>
      <c r="G1406" s="230">
        <v>1</v>
      </c>
      <c r="H1406" s="240">
        <v>359.46</v>
      </c>
      <c r="I1406" s="240">
        <f t="shared" si="21"/>
        <v>359.46</v>
      </c>
      <c r="J1406" s="231" t="s">
        <v>1393</v>
      </c>
      <c r="K1406" s="231" t="s">
        <v>1394</v>
      </c>
      <c r="L1406" s="232">
        <v>45170</v>
      </c>
      <c r="M1406" s="232">
        <v>45199</v>
      </c>
    </row>
    <row r="1407" spans="1:13" ht="12.75" customHeight="1" x14ac:dyDescent="0.2">
      <c r="A1407" s="231" t="s">
        <v>0</v>
      </c>
      <c r="B1407" s="230">
        <v>122554</v>
      </c>
      <c r="C1407" s="230">
        <v>10758</v>
      </c>
      <c r="D1407" s="231" t="s">
        <v>1721</v>
      </c>
      <c r="E1407" s="230">
        <v>14491032</v>
      </c>
      <c r="F1407" s="230">
        <v>56500</v>
      </c>
      <c r="G1407" s="230">
        <v>1</v>
      </c>
      <c r="H1407" s="240">
        <v>359.46</v>
      </c>
      <c r="I1407" s="240">
        <f t="shared" si="21"/>
        <v>359.46</v>
      </c>
      <c r="J1407" s="231" t="s">
        <v>1393</v>
      </c>
      <c r="K1407" s="231" t="s">
        <v>1394</v>
      </c>
      <c r="L1407" s="232">
        <v>45170</v>
      </c>
      <c r="M1407" s="232">
        <v>45199</v>
      </c>
    </row>
    <row r="1408" spans="1:13" ht="12.75" customHeight="1" x14ac:dyDescent="0.2">
      <c r="A1408" s="82"/>
      <c r="B1408" s="82"/>
      <c r="C1408" s="9"/>
      <c r="D1408" s="82"/>
      <c r="E1408" s="82"/>
      <c r="F1408" s="82"/>
      <c r="G1408" s="83"/>
      <c r="H1408" s="211">
        <f>SUBTOTAL(9,H2:H1407)</f>
        <v>503602.99000001053</v>
      </c>
      <c r="I1408" s="211">
        <f>SUBTOTAL(9,I2:I1407)</f>
        <v>503602.99000001053</v>
      </c>
      <c r="J1408" s="9"/>
      <c r="K1408" s="84"/>
      <c r="L1408" s="84"/>
      <c r="M1408" s="8"/>
    </row>
    <row r="1409" spans="1:13" ht="12.75" customHeight="1" x14ac:dyDescent="0.2">
      <c r="A1409" s="9"/>
      <c r="B1409" s="82"/>
      <c r="C1409" s="82"/>
      <c r="D1409" s="9"/>
      <c r="E1409" s="82"/>
      <c r="F1409" s="82"/>
      <c r="G1409" s="82"/>
      <c r="H1409" s="83"/>
      <c r="J1409" s="9"/>
      <c r="K1409" s="9"/>
      <c r="L1409" s="84"/>
      <c r="M1409" s="84"/>
    </row>
  </sheetData>
  <autoFilter ref="A1:M1407" xr:uid="{3084AD14-36A0-4958-BA96-3259F389FD76}">
    <sortState xmlns:xlrd2="http://schemas.microsoft.com/office/spreadsheetml/2017/richdata2" ref="A2:M1409">
      <sortCondition descending="1" ref="I1:I1391"/>
    </sortState>
  </autoFilter>
  <conditionalFormatting sqref="E1409:E1048576 D2:D1408 E1">
    <cfRule type="duplicateValues" dxfId="3" priority="1"/>
  </conditionalFormatting>
  <pageMargins left="0.78740157480314998" right="0.78740157480314998" top="0.78740157480314998" bottom="0.78740157480314998" header="0.39370078740157499" footer="0.39370078740157499"/>
  <pageSetup paperSize="9" fitToWidth="0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ED66D-0644-4325-9EFB-2B403508CC4B}">
  <sheetPr codeName="Planilha4"/>
  <dimension ref="A1:M1423"/>
  <sheetViews>
    <sheetView workbookViewId="0">
      <pane ySplit="1" topLeftCell="A1009" activePane="bottomLeft" state="frozen"/>
      <selection pane="bottomLeft" activeCell="B1018" sqref="B1018"/>
    </sheetView>
  </sheetViews>
  <sheetFormatPr defaultColWidth="11.42578125" defaultRowHeight="12.75" customHeight="1" x14ac:dyDescent="0.2"/>
  <cols>
    <col min="1" max="1" width="27.5703125" style="8" bestFit="1" customWidth="1"/>
    <col min="2" max="2" width="11.42578125" style="8" customWidth="1"/>
    <col min="3" max="3" width="11.42578125" style="31" customWidth="1"/>
    <col min="4" max="4" width="31.7109375" style="31" bestFit="1" customWidth="1"/>
    <col min="5" max="5" width="26.7109375" style="8" customWidth="1"/>
    <col min="6" max="6" width="16.42578125" style="8" customWidth="1"/>
    <col min="7" max="7" width="11.42578125" style="8" customWidth="1"/>
    <col min="8" max="8" width="11.42578125" style="31" customWidth="1"/>
    <col min="9" max="9" width="17.140625" style="31" bestFit="1" customWidth="1"/>
    <col min="10" max="10" width="13.28515625" style="31" customWidth="1"/>
    <col min="11" max="11" width="28.5703125" style="10" bestFit="1" customWidth="1"/>
    <col min="12" max="12" width="11.42578125" style="8" customWidth="1"/>
    <col min="13" max="13" width="13.28515625" style="8" customWidth="1"/>
    <col min="14" max="16384" width="11.42578125" style="8"/>
  </cols>
  <sheetData>
    <row r="1" spans="1:13" ht="18.75" customHeight="1" x14ac:dyDescent="0.2">
      <c r="A1" s="79" t="s">
        <v>1418</v>
      </c>
      <c r="B1" s="79" t="s">
        <v>1419</v>
      </c>
      <c r="C1" s="79" t="s">
        <v>1420</v>
      </c>
      <c r="D1" s="79" t="s">
        <v>1421</v>
      </c>
      <c r="E1" s="79" t="s">
        <v>1422</v>
      </c>
      <c r="F1" s="79" t="s">
        <v>1423</v>
      </c>
      <c r="G1" s="79" t="s">
        <v>1424</v>
      </c>
      <c r="H1" s="79" t="s">
        <v>1425</v>
      </c>
      <c r="I1" s="210" t="s">
        <v>1719</v>
      </c>
      <c r="J1" s="79" t="s">
        <v>1426</v>
      </c>
      <c r="K1" s="79" t="s">
        <v>1427</v>
      </c>
      <c r="L1" s="79" t="s">
        <v>1428</v>
      </c>
      <c r="M1" s="79" t="s">
        <v>1429</v>
      </c>
    </row>
    <row r="2" spans="1:13" ht="18.75" customHeight="1" x14ac:dyDescent="0.2">
      <c r="A2" s="231" t="s">
        <v>1591</v>
      </c>
      <c r="B2" s="230">
        <v>112476</v>
      </c>
      <c r="C2" s="230">
        <v>10773</v>
      </c>
      <c r="D2" s="231" t="s">
        <v>204</v>
      </c>
      <c r="E2" s="230">
        <v>14491078</v>
      </c>
      <c r="F2" s="230">
        <v>29387</v>
      </c>
      <c r="G2" s="230">
        <v>25</v>
      </c>
      <c r="H2" s="240">
        <v>26.3</v>
      </c>
      <c r="I2" s="240">
        <f>G2*H2</f>
        <v>657.5</v>
      </c>
      <c r="J2" s="231" t="s">
        <v>1311</v>
      </c>
      <c r="K2" s="231" t="s">
        <v>1315</v>
      </c>
      <c r="L2" s="232">
        <v>45170</v>
      </c>
      <c r="M2" s="232">
        <v>45199</v>
      </c>
    </row>
    <row r="3" spans="1:13" ht="18.75" customHeight="1" x14ac:dyDescent="0.2">
      <c r="A3" s="231" t="s">
        <v>1591</v>
      </c>
      <c r="B3" s="230">
        <v>112876</v>
      </c>
      <c r="C3" s="230">
        <v>10773</v>
      </c>
      <c r="D3" s="231" t="s">
        <v>469</v>
      </c>
      <c r="E3" s="230">
        <v>14491078</v>
      </c>
      <c r="F3" s="230">
        <v>30187</v>
      </c>
      <c r="G3" s="230">
        <v>25</v>
      </c>
      <c r="H3" s="240">
        <v>26.3</v>
      </c>
      <c r="I3" s="240">
        <f t="shared" ref="I3:I66" si="0">G3*H3</f>
        <v>657.5</v>
      </c>
      <c r="J3" s="231" t="s">
        <v>1311</v>
      </c>
      <c r="K3" s="231" t="s">
        <v>1312</v>
      </c>
      <c r="L3" s="232">
        <v>45170</v>
      </c>
      <c r="M3" s="232">
        <v>45199</v>
      </c>
    </row>
    <row r="4" spans="1:13" ht="18.75" customHeight="1" x14ac:dyDescent="0.2">
      <c r="A4" s="231" t="s">
        <v>1591</v>
      </c>
      <c r="B4" s="230">
        <v>113711</v>
      </c>
      <c r="C4" s="230">
        <v>10775</v>
      </c>
      <c r="D4" s="231" t="s">
        <v>929</v>
      </c>
      <c r="E4" s="230">
        <v>14491078</v>
      </c>
      <c r="F4" s="230">
        <v>31857</v>
      </c>
      <c r="G4" s="230">
        <v>25</v>
      </c>
      <c r="H4" s="240">
        <v>26.3</v>
      </c>
      <c r="I4" s="240">
        <f t="shared" si="0"/>
        <v>657.5</v>
      </c>
      <c r="J4" s="231" t="s">
        <v>1311</v>
      </c>
      <c r="K4" s="231" t="s">
        <v>1312</v>
      </c>
      <c r="L4" s="232">
        <v>45170</v>
      </c>
      <c r="M4" s="232">
        <v>45199</v>
      </c>
    </row>
    <row r="5" spans="1:13" ht="18.75" customHeight="1" x14ac:dyDescent="0.2">
      <c r="A5" s="231" t="s">
        <v>1591</v>
      </c>
      <c r="B5" s="230">
        <v>113720</v>
      </c>
      <c r="C5" s="230">
        <v>10775</v>
      </c>
      <c r="D5" s="231" t="s">
        <v>937</v>
      </c>
      <c r="E5" s="230">
        <v>14491078</v>
      </c>
      <c r="F5" s="230">
        <v>31875</v>
      </c>
      <c r="G5" s="230">
        <v>25</v>
      </c>
      <c r="H5" s="240">
        <v>26.3</v>
      </c>
      <c r="I5" s="240">
        <f t="shared" si="0"/>
        <v>657.5</v>
      </c>
      <c r="J5" s="231" t="s">
        <v>1311</v>
      </c>
      <c r="K5" s="231" t="s">
        <v>1312</v>
      </c>
      <c r="L5" s="232">
        <v>45170</v>
      </c>
      <c r="M5" s="232">
        <v>45199</v>
      </c>
    </row>
    <row r="6" spans="1:13" ht="18.75" customHeight="1" x14ac:dyDescent="0.2">
      <c r="A6" s="231" t="s">
        <v>1591</v>
      </c>
      <c r="B6" s="230">
        <v>113739</v>
      </c>
      <c r="C6" s="230">
        <v>10775</v>
      </c>
      <c r="D6" s="231" t="s">
        <v>961</v>
      </c>
      <c r="E6" s="230">
        <v>14491078</v>
      </c>
      <c r="F6" s="230">
        <v>31913</v>
      </c>
      <c r="G6" s="230">
        <v>25</v>
      </c>
      <c r="H6" s="240">
        <v>26.3</v>
      </c>
      <c r="I6" s="240">
        <f t="shared" si="0"/>
        <v>657.5</v>
      </c>
      <c r="J6" s="231" t="s">
        <v>1311</v>
      </c>
      <c r="K6" s="231" t="s">
        <v>1312</v>
      </c>
      <c r="L6" s="232">
        <v>45170</v>
      </c>
      <c r="M6" s="232">
        <v>45199</v>
      </c>
    </row>
    <row r="7" spans="1:13" ht="18.75" customHeight="1" x14ac:dyDescent="0.2">
      <c r="A7" s="231" t="s">
        <v>1591</v>
      </c>
      <c r="B7" s="230">
        <v>113741</v>
      </c>
      <c r="C7" s="230">
        <v>10773</v>
      </c>
      <c r="D7" s="231" t="s">
        <v>963</v>
      </c>
      <c r="E7" s="230">
        <v>14491078</v>
      </c>
      <c r="F7" s="230">
        <v>31917</v>
      </c>
      <c r="G7" s="230">
        <v>25</v>
      </c>
      <c r="H7" s="240">
        <v>26.3</v>
      </c>
      <c r="I7" s="240">
        <f t="shared" si="0"/>
        <v>657.5</v>
      </c>
      <c r="J7" s="231" t="s">
        <v>1311</v>
      </c>
      <c r="K7" s="231" t="s">
        <v>1315</v>
      </c>
      <c r="L7" s="232">
        <v>45170</v>
      </c>
      <c r="M7" s="232">
        <v>45199</v>
      </c>
    </row>
    <row r="8" spans="1:13" ht="18.75" customHeight="1" x14ac:dyDescent="0.2">
      <c r="A8" s="231" t="s">
        <v>1591</v>
      </c>
      <c r="B8" s="230">
        <v>113742</v>
      </c>
      <c r="C8" s="230">
        <v>10776</v>
      </c>
      <c r="D8" s="231" t="s">
        <v>965</v>
      </c>
      <c r="E8" s="230">
        <v>14491078</v>
      </c>
      <c r="F8" s="230">
        <v>31919</v>
      </c>
      <c r="G8" s="230">
        <v>25</v>
      </c>
      <c r="H8" s="240">
        <v>26.3</v>
      </c>
      <c r="I8" s="240">
        <f t="shared" si="0"/>
        <v>657.5</v>
      </c>
      <c r="J8" s="231" t="s">
        <v>1311</v>
      </c>
      <c r="K8" s="231" t="s">
        <v>1312</v>
      </c>
      <c r="L8" s="232">
        <v>45170</v>
      </c>
      <c r="M8" s="232">
        <v>45199</v>
      </c>
    </row>
    <row r="9" spans="1:13" ht="18.75" customHeight="1" x14ac:dyDescent="0.2">
      <c r="A9" s="231" t="s">
        <v>1591</v>
      </c>
      <c r="B9" s="230">
        <v>113743</v>
      </c>
      <c r="C9" s="230">
        <v>10776</v>
      </c>
      <c r="D9" s="231" t="s">
        <v>966</v>
      </c>
      <c r="E9" s="230">
        <v>14491078</v>
      </c>
      <c r="F9" s="230">
        <v>31921</v>
      </c>
      <c r="G9" s="230">
        <v>25</v>
      </c>
      <c r="H9" s="240">
        <v>26.3</v>
      </c>
      <c r="I9" s="240">
        <f t="shared" si="0"/>
        <v>657.5</v>
      </c>
      <c r="J9" s="231" t="s">
        <v>1311</v>
      </c>
      <c r="K9" s="231" t="s">
        <v>1312</v>
      </c>
      <c r="L9" s="232">
        <v>45170</v>
      </c>
      <c r="M9" s="232">
        <v>45199</v>
      </c>
    </row>
    <row r="10" spans="1:13" ht="18.75" customHeight="1" x14ac:dyDescent="0.2">
      <c r="A10" s="231" t="s">
        <v>1591</v>
      </c>
      <c r="B10" s="230">
        <v>113795</v>
      </c>
      <c r="C10" s="230">
        <v>10775</v>
      </c>
      <c r="D10" s="231" t="s">
        <v>985</v>
      </c>
      <c r="E10" s="230">
        <v>14491078</v>
      </c>
      <c r="F10" s="230">
        <v>32043</v>
      </c>
      <c r="G10" s="230">
        <v>25</v>
      </c>
      <c r="H10" s="240">
        <v>26.3</v>
      </c>
      <c r="I10" s="240">
        <f t="shared" si="0"/>
        <v>657.5</v>
      </c>
      <c r="J10" s="231" t="s">
        <v>1311</v>
      </c>
      <c r="K10" s="231" t="s">
        <v>1312</v>
      </c>
      <c r="L10" s="232">
        <v>45170</v>
      </c>
      <c r="M10" s="232">
        <v>45199</v>
      </c>
    </row>
    <row r="11" spans="1:13" ht="18.75" customHeight="1" x14ac:dyDescent="0.2">
      <c r="A11" s="231" t="s">
        <v>1591</v>
      </c>
      <c r="B11" s="230">
        <v>113846</v>
      </c>
      <c r="C11" s="230">
        <v>10774</v>
      </c>
      <c r="D11" s="231" t="s">
        <v>988</v>
      </c>
      <c r="E11" s="230">
        <v>14491078</v>
      </c>
      <c r="F11" s="230">
        <v>33631</v>
      </c>
      <c r="G11" s="230">
        <v>25</v>
      </c>
      <c r="H11" s="240">
        <v>26.3</v>
      </c>
      <c r="I11" s="240">
        <f t="shared" si="0"/>
        <v>657.5</v>
      </c>
      <c r="J11" s="231" t="s">
        <v>1311</v>
      </c>
      <c r="K11" s="231" t="s">
        <v>1312</v>
      </c>
      <c r="L11" s="232">
        <v>45170</v>
      </c>
      <c r="M11" s="232">
        <v>45199</v>
      </c>
    </row>
    <row r="12" spans="1:13" ht="18.75" customHeight="1" x14ac:dyDescent="0.2">
      <c r="A12" s="231" t="s">
        <v>1591</v>
      </c>
      <c r="B12" s="230">
        <v>113930</v>
      </c>
      <c r="C12" s="230">
        <v>10788</v>
      </c>
      <c r="D12" s="231" t="s">
        <v>995</v>
      </c>
      <c r="E12" s="230">
        <v>14491078</v>
      </c>
      <c r="F12" s="230">
        <v>33835</v>
      </c>
      <c r="G12" s="230">
        <v>25</v>
      </c>
      <c r="H12" s="240">
        <v>26.3</v>
      </c>
      <c r="I12" s="240">
        <f t="shared" si="0"/>
        <v>657.5</v>
      </c>
      <c r="J12" s="231" t="s">
        <v>1311</v>
      </c>
      <c r="K12" s="231" t="s">
        <v>1315</v>
      </c>
      <c r="L12" s="232">
        <v>45170</v>
      </c>
      <c r="M12" s="232">
        <v>45199</v>
      </c>
    </row>
    <row r="13" spans="1:13" ht="18.75" customHeight="1" x14ac:dyDescent="0.2">
      <c r="A13" s="231" t="s">
        <v>1591</v>
      </c>
      <c r="B13" s="230">
        <v>119241</v>
      </c>
      <c r="C13" s="230">
        <v>10775</v>
      </c>
      <c r="D13" s="231" t="s">
        <v>1460</v>
      </c>
      <c r="E13" s="230">
        <v>14491078</v>
      </c>
      <c r="F13" s="230">
        <v>48553</v>
      </c>
      <c r="G13" s="230">
        <v>25</v>
      </c>
      <c r="H13" s="240">
        <v>26.3</v>
      </c>
      <c r="I13" s="240">
        <f t="shared" si="0"/>
        <v>657.5</v>
      </c>
      <c r="J13" s="231" t="s">
        <v>1311</v>
      </c>
      <c r="K13" s="231" t="s">
        <v>1315</v>
      </c>
      <c r="L13" s="232">
        <v>45170</v>
      </c>
      <c r="M13" s="232">
        <v>45199</v>
      </c>
    </row>
    <row r="14" spans="1:13" ht="18.75" customHeight="1" x14ac:dyDescent="0.2">
      <c r="A14" s="231" t="s">
        <v>1591</v>
      </c>
      <c r="B14" s="230">
        <v>119242</v>
      </c>
      <c r="C14" s="230">
        <v>10775</v>
      </c>
      <c r="D14" s="231" t="s">
        <v>1456</v>
      </c>
      <c r="E14" s="230">
        <v>14491078</v>
      </c>
      <c r="F14" s="230">
        <v>48555</v>
      </c>
      <c r="G14" s="230">
        <v>25</v>
      </c>
      <c r="H14" s="240">
        <v>26.3</v>
      </c>
      <c r="I14" s="240">
        <f t="shared" si="0"/>
        <v>657.5</v>
      </c>
      <c r="J14" s="231" t="s">
        <v>1311</v>
      </c>
      <c r="K14" s="231" t="s">
        <v>1312</v>
      </c>
      <c r="L14" s="232">
        <v>45170</v>
      </c>
      <c r="M14" s="232">
        <v>45199</v>
      </c>
    </row>
    <row r="15" spans="1:13" ht="18.75" customHeight="1" x14ac:dyDescent="0.2">
      <c r="A15" s="231" t="s">
        <v>1591</v>
      </c>
      <c r="B15" s="230">
        <v>119752</v>
      </c>
      <c r="C15" s="230">
        <v>10775</v>
      </c>
      <c r="D15" s="231" t="s">
        <v>1483</v>
      </c>
      <c r="E15" s="230">
        <v>14491078</v>
      </c>
      <c r="F15" s="230">
        <v>49848</v>
      </c>
      <c r="G15" s="230">
        <v>25</v>
      </c>
      <c r="H15" s="240">
        <v>26.3</v>
      </c>
      <c r="I15" s="240">
        <f t="shared" si="0"/>
        <v>657.5</v>
      </c>
      <c r="J15" s="231" t="s">
        <v>1311</v>
      </c>
      <c r="K15" s="231" t="s">
        <v>1315</v>
      </c>
      <c r="L15" s="232">
        <v>45170</v>
      </c>
      <c r="M15" s="232">
        <v>45199</v>
      </c>
    </row>
    <row r="16" spans="1:13" ht="18.75" customHeight="1" x14ac:dyDescent="0.2">
      <c r="A16" s="231" t="s">
        <v>1591</v>
      </c>
      <c r="B16" s="230">
        <v>119753</v>
      </c>
      <c r="C16" s="230">
        <v>10775</v>
      </c>
      <c r="D16" s="231" t="s">
        <v>1484</v>
      </c>
      <c r="E16" s="230">
        <v>14491078</v>
      </c>
      <c r="F16" s="230">
        <v>49850</v>
      </c>
      <c r="G16" s="230">
        <v>25</v>
      </c>
      <c r="H16" s="240">
        <v>26.3</v>
      </c>
      <c r="I16" s="240">
        <f t="shared" si="0"/>
        <v>657.5</v>
      </c>
      <c r="J16" s="231" t="s">
        <v>1311</v>
      </c>
      <c r="K16" s="231" t="s">
        <v>1315</v>
      </c>
      <c r="L16" s="232">
        <v>45170</v>
      </c>
      <c r="M16" s="232">
        <v>45199</v>
      </c>
    </row>
    <row r="17" spans="1:13" ht="18.75" customHeight="1" x14ac:dyDescent="0.2">
      <c r="A17" s="231" t="s">
        <v>1591</v>
      </c>
      <c r="B17" s="230">
        <v>119754</v>
      </c>
      <c r="C17" s="230">
        <v>10775</v>
      </c>
      <c r="D17" s="231" t="s">
        <v>1463</v>
      </c>
      <c r="E17" s="230">
        <v>14491078</v>
      </c>
      <c r="F17" s="230">
        <v>49852</v>
      </c>
      <c r="G17" s="230">
        <v>25</v>
      </c>
      <c r="H17" s="240">
        <v>26.3</v>
      </c>
      <c r="I17" s="240">
        <f t="shared" si="0"/>
        <v>657.5</v>
      </c>
      <c r="J17" s="231" t="s">
        <v>1311</v>
      </c>
      <c r="K17" s="231" t="s">
        <v>1315</v>
      </c>
      <c r="L17" s="232">
        <v>45170</v>
      </c>
      <c r="M17" s="232">
        <v>45199</v>
      </c>
    </row>
    <row r="18" spans="1:13" ht="18.75" customHeight="1" x14ac:dyDescent="0.2">
      <c r="A18" s="231" t="s">
        <v>1591</v>
      </c>
      <c r="B18" s="230">
        <v>121690</v>
      </c>
      <c r="C18" s="230">
        <v>10773</v>
      </c>
      <c r="D18" s="231" t="s">
        <v>1601</v>
      </c>
      <c r="E18" s="230">
        <v>14491078</v>
      </c>
      <c r="F18" s="230">
        <v>54342</v>
      </c>
      <c r="G18" s="230">
        <v>25</v>
      </c>
      <c r="H18" s="240">
        <v>26.3</v>
      </c>
      <c r="I18" s="240">
        <f t="shared" si="0"/>
        <v>657.5</v>
      </c>
      <c r="J18" s="231" t="s">
        <v>1311</v>
      </c>
      <c r="K18" s="231" t="s">
        <v>1315</v>
      </c>
      <c r="L18" s="232">
        <v>45170</v>
      </c>
      <c r="M18" s="232">
        <v>45199</v>
      </c>
    </row>
    <row r="19" spans="1:13" ht="18.75" customHeight="1" x14ac:dyDescent="0.2">
      <c r="A19" s="231" t="s">
        <v>1591</v>
      </c>
      <c r="B19" s="230">
        <v>121802</v>
      </c>
      <c r="C19" s="230">
        <v>10774</v>
      </c>
      <c r="D19" s="231" t="s">
        <v>1590</v>
      </c>
      <c r="E19" s="230">
        <v>14491078</v>
      </c>
      <c r="F19" s="230">
        <v>54629</v>
      </c>
      <c r="G19" s="230">
        <v>25</v>
      </c>
      <c r="H19" s="240">
        <v>26.3</v>
      </c>
      <c r="I19" s="240">
        <f t="shared" si="0"/>
        <v>657.5</v>
      </c>
      <c r="J19" s="231" t="s">
        <v>1311</v>
      </c>
      <c r="K19" s="231" t="s">
        <v>1315</v>
      </c>
      <c r="L19" s="232">
        <v>45170</v>
      </c>
      <c r="M19" s="232">
        <v>45199</v>
      </c>
    </row>
    <row r="20" spans="1:13" ht="18.75" customHeight="1" x14ac:dyDescent="0.2">
      <c r="A20" s="231" t="s">
        <v>1591</v>
      </c>
      <c r="B20" s="230">
        <v>121817</v>
      </c>
      <c r="C20" s="230">
        <v>10775</v>
      </c>
      <c r="D20" s="231" t="s">
        <v>1606</v>
      </c>
      <c r="E20" s="230">
        <v>14491078</v>
      </c>
      <c r="F20" s="230">
        <v>55015</v>
      </c>
      <c r="G20" s="230">
        <v>25</v>
      </c>
      <c r="H20" s="240">
        <v>26.3</v>
      </c>
      <c r="I20" s="240">
        <f t="shared" si="0"/>
        <v>657.5</v>
      </c>
      <c r="J20" s="231" t="s">
        <v>1311</v>
      </c>
      <c r="K20" s="231" t="s">
        <v>1315</v>
      </c>
      <c r="L20" s="232">
        <v>45170</v>
      </c>
      <c r="M20" s="232">
        <v>45199</v>
      </c>
    </row>
    <row r="21" spans="1:13" ht="18.75" customHeight="1" x14ac:dyDescent="0.2">
      <c r="A21" s="231" t="s">
        <v>1591</v>
      </c>
      <c r="B21" s="230">
        <v>121816</v>
      </c>
      <c r="C21" s="230">
        <v>10775</v>
      </c>
      <c r="D21" s="231" t="s">
        <v>1607</v>
      </c>
      <c r="E21" s="230">
        <v>14491078</v>
      </c>
      <c r="F21" s="230">
        <v>55016</v>
      </c>
      <c r="G21" s="230">
        <v>25</v>
      </c>
      <c r="H21" s="240">
        <v>26.3</v>
      </c>
      <c r="I21" s="240">
        <f t="shared" si="0"/>
        <v>657.5</v>
      </c>
      <c r="J21" s="231" t="s">
        <v>1311</v>
      </c>
      <c r="K21" s="231" t="s">
        <v>1315</v>
      </c>
      <c r="L21" s="232">
        <v>45170</v>
      </c>
      <c r="M21" s="232">
        <v>45199</v>
      </c>
    </row>
    <row r="22" spans="1:13" ht="18.75" customHeight="1" x14ac:dyDescent="0.2">
      <c r="A22" s="231" t="s">
        <v>1591</v>
      </c>
      <c r="B22" s="230">
        <v>121815</v>
      </c>
      <c r="C22" s="230">
        <v>10775</v>
      </c>
      <c r="D22" s="231" t="s">
        <v>1608</v>
      </c>
      <c r="E22" s="230">
        <v>14491078</v>
      </c>
      <c r="F22" s="230">
        <v>55017</v>
      </c>
      <c r="G22" s="230">
        <v>25</v>
      </c>
      <c r="H22" s="240">
        <v>26.3</v>
      </c>
      <c r="I22" s="240">
        <f t="shared" si="0"/>
        <v>657.5</v>
      </c>
      <c r="J22" s="231" t="s">
        <v>1311</v>
      </c>
      <c r="K22" s="231" t="s">
        <v>1315</v>
      </c>
      <c r="L22" s="232">
        <v>45170</v>
      </c>
      <c r="M22" s="232">
        <v>45199</v>
      </c>
    </row>
    <row r="23" spans="1:13" ht="18.75" customHeight="1" x14ac:dyDescent="0.2">
      <c r="A23" s="231" t="s">
        <v>1591</v>
      </c>
      <c r="B23" s="230">
        <v>121941</v>
      </c>
      <c r="C23" s="230">
        <v>10775</v>
      </c>
      <c r="D23" s="231" t="s">
        <v>1611</v>
      </c>
      <c r="E23" s="230">
        <v>14491078</v>
      </c>
      <c r="F23" s="230">
        <v>55021</v>
      </c>
      <c r="G23" s="230">
        <v>25</v>
      </c>
      <c r="H23" s="240">
        <v>26.3</v>
      </c>
      <c r="I23" s="240">
        <f t="shared" si="0"/>
        <v>657.5</v>
      </c>
      <c r="J23" s="231" t="s">
        <v>1311</v>
      </c>
      <c r="K23" s="231" t="s">
        <v>1315</v>
      </c>
      <c r="L23" s="232">
        <v>45170</v>
      </c>
      <c r="M23" s="232">
        <v>45199</v>
      </c>
    </row>
    <row r="24" spans="1:13" ht="18.75" customHeight="1" x14ac:dyDescent="0.2">
      <c r="A24" s="231" t="s">
        <v>1591</v>
      </c>
      <c r="B24" s="230">
        <v>121947</v>
      </c>
      <c r="C24" s="230">
        <v>10775</v>
      </c>
      <c r="D24" s="231" t="s">
        <v>1615</v>
      </c>
      <c r="E24" s="230">
        <v>14491078</v>
      </c>
      <c r="F24" s="230">
        <v>55022</v>
      </c>
      <c r="G24" s="230">
        <v>25</v>
      </c>
      <c r="H24" s="240">
        <v>26.3</v>
      </c>
      <c r="I24" s="240">
        <f t="shared" si="0"/>
        <v>657.5</v>
      </c>
      <c r="J24" s="231" t="s">
        <v>1311</v>
      </c>
      <c r="K24" s="231" t="s">
        <v>1315</v>
      </c>
      <c r="L24" s="232">
        <v>45170</v>
      </c>
      <c r="M24" s="232">
        <v>45199</v>
      </c>
    </row>
    <row r="25" spans="1:13" ht="18.75" customHeight="1" x14ac:dyDescent="0.2">
      <c r="A25" s="231" t="s">
        <v>1591</v>
      </c>
      <c r="B25" s="230">
        <v>121948</v>
      </c>
      <c r="C25" s="230">
        <v>10775</v>
      </c>
      <c r="D25" s="231" t="s">
        <v>1617</v>
      </c>
      <c r="E25" s="230">
        <v>14491078</v>
      </c>
      <c r="F25" s="230">
        <v>55023</v>
      </c>
      <c r="G25" s="230">
        <v>25</v>
      </c>
      <c r="H25" s="240">
        <v>26.3</v>
      </c>
      <c r="I25" s="240">
        <f t="shared" si="0"/>
        <v>657.5</v>
      </c>
      <c r="J25" s="231" t="s">
        <v>1311</v>
      </c>
      <c r="K25" s="231" t="s">
        <v>1315</v>
      </c>
      <c r="L25" s="232">
        <v>45170</v>
      </c>
      <c r="M25" s="232">
        <v>45199</v>
      </c>
    </row>
    <row r="26" spans="1:13" ht="18.75" customHeight="1" x14ac:dyDescent="0.2">
      <c r="A26" s="231" t="s">
        <v>1591</v>
      </c>
      <c r="B26" s="230">
        <v>121950</v>
      </c>
      <c r="C26" s="230">
        <v>10775</v>
      </c>
      <c r="D26" s="231" t="s">
        <v>1619</v>
      </c>
      <c r="E26" s="230">
        <v>14491078</v>
      </c>
      <c r="F26" s="230">
        <v>55024</v>
      </c>
      <c r="G26" s="230">
        <v>25</v>
      </c>
      <c r="H26" s="240">
        <v>26.3</v>
      </c>
      <c r="I26" s="240">
        <f t="shared" si="0"/>
        <v>657.5</v>
      </c>
      <c r="J26" s="231" t="s">
        <v>1311</v>
      </c>
      <c r="K26" s="231" t="s">
        <v>1315</v>
      </c>
      <c r="L26" s="232">
        <v>45170</v>
      </c>
      <c r="M26" s="232">
        <v>45199</v>
      </c>
    </row>
    <row r="27" spans="1:13" ht="18.75" customHeight="1" x14ac:dyDescent="0.2">
      <c r="A27" s="231" t="s">
        <v>1591</v>
      </c>
      <c r="B27" s="230">
        <v>121949</v>
      </c>
      <c r="C27" s="230">
        <v>10775</v>
      </c>
      <c r="D27" s="231" t="s">
        <v>1623</v>
      </c>
      <c r="E27" s="230">
        <v>14491078</v>
      </c>
      <c r="F27" s="230">
        <v>55025</v>
      </c>
      <c r="G27" s="230">
        <v>25</v>
      </c>
      <c r="H27" s="240">
        <v>26.3</v>
      </c>
      <c r="I27" s="240">
        <f t="shared" si="0"/>
        <v>657.5</v>
      </c>
      <c r="J27" s="231" t="s">
        <v>1311</v>
      </c>
      <c r="K27" s="231" t="s">
        <v>1315</v>
      </c>
      <c r="L27" s="232">
        <v>45170</v>
      </c>
      <c r="M27" s="232">
        <v>45199</v>
      </c>
    </row>
    <row r="28" spans="1:13" ht="18.75" customHeight="1" x14ac:dyDescent="0.2">
      <c r="A28" s="231" t="s">
        <v>1591</v>
      </c>
      <c r="B28" s="230">
        <v>121946</v>
      </c>
      <c r="C28" s="230">
        <v>10775</v>
      </c>
      <c r="D28" s="231" t="s">
        <v>1626</v>
      </c>
      <c r="E28" s="230">
        <v>14491078</v>
      </c>
      <c r="F28" s="230">
        <v>55026</v>
      </c>
      <c r="G28" s="230">
        <v>25</v>
      </c>
      <c r="H28" s="240">
        <v>26.3</v>
      </c>
      <c r="I28" s="240">
        <f t="shared" si="0"/>
        <v>657.5</v>
      </c>
      <c r="J28" s="231" t="s">
        <v>1311</v>
      </c>
      <c r="K28" s="231" t="s">
        <v>1315</v>
      </c>
      <c r="L28" s="232">
        <v>45170</v>
      </c>
      <c r="M28" s="232">
        <v>45199</v>
      </c>
    </row>
    <row r="29" spans="1:13" ht="18.75" customHeight="1" x14ac:dyDescent="0.2">
      <c r="A29" s="231" t="s">
        <v>1591</v>
      </c>
      <c r="B29" s="230">
        <v>121951</v>
      </c>
      <c r="C29" s="230">
        <v>10775</v>
      </c>
      <c r="D29" s="231" t="s">
        <v>1628</v>
      </c>
      <c r="E29" s="230">
        <v>14491078</v>
      </c>
      <c r="F29" s="230">
        <v>55027</v>
      </c>
      <c r="G29" s="230">
        <v>25</v>
      </c>
      <c r="H29" s="240">
        <v>26.3</v>
      </c>
      <c r="I29" s="240">
        <f t="shared" si="0"/>
        <v>657.5</v>
      </c>
      <c r="J29" s="231" t="s">
        <v>1311</v>
      </c>
      <c r="K29" s="231" t="s">
        <v>1315</v>
      </c>
      <c r="L29" s="232">
        <v>45170</v>
      </c>
      <c r="M29" s="232">
        <v>45199</v>
      </c>
    </row>
    <row r="30" spans="1:13" ht="18.75" customHeight="1" x14ac:dyDescent="0.2">
      <c r="A30" s="231" t="s">
        <v>1591</v>
      </c>
      <c r="B30" s="230">
        <v>121952</v>
      </c>
      <c r="C30" s="230">
        <v>10775</v>
      </c>
      <c r="D30" s="231" t="s">
        <v>1630</v>
      </c>
      <c r="E30" s="230">
        <v>14491078</v>
      </c>
      <c r="F30" s="230">
        <v>55028</v>
      </c>
      <c r="G30" s="230">
        <v>25</v>
      </c>
      <c r="H30" s="240">
        <v>26.3</v>
      </c>
      <c r="I30" s="240">
        <f t="shared" si="0"/>
        <v>657.5</v>
      </c>
      <c r="J30" s="231" t="s">
        <v>1311</v>
      </c>
      <c r="K30" s="231" t="s">
        <v>1315</v>
      </c>
      <c r="L30" s="232">
        <v>45170</v>
      </c>
      <c r="M30" s="232">
        <v>45199</v>
      </c>
    </row>
    <row r="31" spans="1:13" ht="18.75" customHeight="1" x14ac:dyDescent="0.2">
      <c r="A31" s="231" t="s">
        <v>1591</v>
      </c>
      <c r="B31" s="230">
        <v>121939</v>
      </c>
      <c r="C31" s="230">
        <v>10775</v>
      </c>
      <c r="D31" s="231" t="s">
        <v>1622</v>
      </c>
      <c r="E31" s="230">
        <v>14491078</v>
      </c>
      <c r="F31" s="230">
        <v>55060</v>
      </c>
      <c r="G31" s="230">
        <v>25</v>
      </c>
      <c r="H31" s="240">
        <v>26.3</v>
      </c>
      <c r="I31" s="240">
        <f t="shared" si="0"/>
        <v>657.5</v>
      </c>
      <c r="J31" s="231" t="s">
        <v>1311</v>
      </c>
      <c r="K31" s="231" t="s">
        <v>1315</v>
      </c>
      <c r="L31" s="232">
        <v>45170</v>
      </c>
      <c r="M31" s="232">
        <v>45199</v>
      </c>
    </row>
    <row r="32" spans="1:13" ht="18.75" customHeight="1" x14ac:dyDescent="0.2">
      <c r="A32" s="231" t="s">
        <v>10</v>
      </c>
      <c r="B32" s="230">
        <v>112172</v>
      </c>
      <c r="C32" s="230">
        <v>10771</v>
      </c>
      <c r="D32" s="231" t="s">
        <v>6</v>
      </c>
      <c r="E32" s="230">
        <v>14491078</v>
      </c>
      <c r="F32" s="230">
        <v>28779</v>
      </c>
      <c r="G32" s="230">
        <v>25</v>
      </c>
      <c r="H32" s="240">
        <v>26.3</v>
      </c>
      <c r="I32" s="240">
        <f t="shared" si="0"/>
        <v>657.5</v>
      </c>
      <c r="J32" s="231" t="s">
        <v>1311</v>
      </c>
      <c r="K32" s="231" t="s">
        <v>1312</v>
      </c>
      <c r="L32" s="232">
        <v>45170</v>
      </c>
      <c r="M32" s="232">
        <v>45199</v>
      </c>
    </row>
    <row r="33" spans="1:13" ht="18.75" customHeight="1" x14ac:dyDescent="0.2">
      <c r="A33" s="231" t="s">
        <v>10</v>
      </c>
      <c r="B33" s="230">
        <v>112174</v>
      </c>
      <c r="C33" s="230">
        <v>10760</v>
      </c>
      <c r="D33" s="231" t="s">
        <v>11</v>
      </c>
      <c r="E33" s="230">
        <v>14491078</v>
      </c>
      <c r="F33" s="230">
        <v>28783</v>
      </c>
      <c r="G33" s="230">
        <v>25</v>
      </c>
      <c r="H33" s="240">
        <v>26.3</v>
      </c>
      <c r="I33" s="240">
        <f t="shared" si="0"/>
        <v>657.5</v>
      </c>
      <c r="J33" s="231" t="s">
        <v>1311</v>
      </c>
      <c r="K33" s="231" t="s">
        <v>1312</v>
      </c>
      <c r="L33" s="232">
        <v>45170</v>
      </c>
      <c r="M33" s="232">
        <v>45199</v>
      </c>
    </row>
    <row r="34" spans="1:13" ht="18.75" customHeight="1" x14ac:dyDescent="0.2">
      <c r="A34" s="231" t="s">
        <v>10</v>
      </c>
      <c r="B34" s="230">
        <v>112175</v>
      </c>
      <c r="C34" s="230">
        <v>10745</v>
      </c>
      <c r="D34" s="231" t="s">
        <v>12</v>
      </c>
      <c r="E34" s="230">
        <v>14491078</v>
      </c>
      <c r="F34" s="230">
        <v>28785</v>
      </c>
      <c r="G34" s="230">
        <v>25</v>
      </c>
      <c r="H34" s="240">
        <v>26.3</v>
      </c>
      <c r="I34" s="240">
        <f t="shared" si="0"/>
        <v>657.5</v>
      </c>
      <c r="J34" s="231" t="s">
        <v>1311</v>
      </c>
      <c r="K34" s="231" t="s">
        <v>1312</v>
      </c>
      <c r="L34" s="232">
        <v>45170</v>
      </c>
      <c r="M34" s="232">
        <v>45199</v>
      </c>
    </row>
    <row r="35" spans="1:13" ht="18.75" customHeight="1" x14ac:dyDescent="0.2">
      <c r="A35" s="231" t="s">
        <v>10</v>
      </c>
      <c r="B35" s="230">
        <v>112178</v>
      </c>
      <c r="C35" s="230">
        <v>10757</v>
      </c>
      <c r="D35" s="231" t="s">
        <v>16</v>
      </c>
      <c r="E35" s="230">
        <v>14491078</v>
      </c>
      <c r="F35" s="230">
        <v>28791</v>
      </c>
      <c r="G35" s="230">
        <v>25</v>
      </c>
      <c r="H35" s="240">
        <v>26.3</v>
      </c>
      <c r="I35" s="240">
        <f t="shared" si="0"/>
        <v>657.5</v>
      </c>
      <c r="J35" s="231" t="s">
        <v>1311</v>
      </c>
      <c r="K35" s="231" t="s">
        <v>1312</v>
      </c>
      <c r="L35" s="232">
        <v>45170</v>
      </c>
      <c r="M35" s="232">
        <v>45199</v>
      </c>
    </row>
    <row r="36" spans="1:13" ht="18.75" customHeight="1" x14ac:dyDescent="0.2">
      <c r="A36" s="231" t="s">
        <v>10</v>
      </c>
      <c r="B36" s="230">
        <v>112179</v>
      </c>
      <c r="C36" s="230">
        <v>10757</v>
      </c>
      <c r="D36" s="231" t="s">
        <v>17</v>
      </c>
      <c r="E36" s="230">
        <v>14491078</v>
      </c>
      <c r="F36" s="230">
        <v>28793</v>
      </c>
      <c r="G36" s="230">
        <v>25</v>
      </c>
      <c r="H36" s="240">
        <v>26.3</v>
      </c>
      <c r="I36" s="240">
        <f t="shared" si="0"/>
        <v>657.5</v>
      </c>
      <c r="J36" s="231" t="s">
        <v>1311</v>
      </c>
      <c r="K36" s="231" t="s">
        <v>1312</v>
      </c>
      <c r="L36" s="232">
        <v>45170</v>
      </c>
      <c r="M36" s="232">
        <v>45199</v>
      </c>
    </row>
    <row r="37" spans="1:13" ht="18.75" customHeight="1" x14ac:dyDescent="0.2">
      <c r="A37" s="231" t="s">
        <v>10</v>
      </c>
      <c r="B37" s="230">
        <v>112183</v>
      </c>
      <c r="C37" s="230">
        <v>10757</v>
      </c>
      <c r="D37" s="231" t="s">
        <v>18</v>
      </c>
      <c r="E37" s="230">
        <v>14491078</v>
      </c>
      <c r="F37" s="230">
        <v>28801</v>
      </c>
      <c r="G37" s="230">
        <v>25</v>
      </c>
      <c r="H37" s="240">
        <v>26.3</v>
      </c>
      <c r="I37" s="240">
        <f t="shared" si="0"/>
        <v>657.5</v>
      </c>
      <c r="J37" s="231" t="s">
        <v>1311</v>
      </c>
      <c r="K37" s="231" t="s">
        <v>1312</v>
      </c>
      <c r="L37" s="232">
        <v>45170</v>
      </c>
      <c r="M37" s="232">
        <v>45199</v>
      </c>
    </row>
    <row r="38" spans="1:13" ht="18.75" customHeight="1" x14ac:dyDescent="0.2">
      <c r="A38" s="231" t="s">
        <v>10</v>
      </c>
      <c r="B38" s="230">
        <v>112193</v>
      </c>
      <c r="C38" s="230">
        <v>10763</v>
      </c>
      <c r="D38" s="231" t="s">
        <v>25</v>
      </c>
      <c r="E38" s="230">
        <v>14491078</v>
      </c>
      <c r="F38" s="230">
        <v>28821</v>
      </c>
      <c r="G38" s="230">
        <v>25</v>
      </c>
      <c r="H38" s="240">
        <v>26.3</v>
      </c>
      <c r="I38" s="240">
        <f t="shared" si="0"/>
        <v>657.5</v>
      </c>
      <c r="J38" s="231" t="s">
        <v>1311</v>
      </c>
      <c r="K38" s="231" t="s">
        <v>1312</v>
      </c>
      <c r="L38" s="232">
        <v>45170</v>
      </c>
      <c r="M38" s="232">
        <v>45199</v>
      </c>
    </row>
    <row r="39" spans="1:13" ht="18.75" customHeight="1" x14ac:dyDescent="0.2">
      <c r="A39" s="231" t="s">
        <v>10</v>
      </c>
      <c r="B39" s="230">
        <v>112201</v>
      </c>
      <c r="C39" s="230">
        <v>10745</v>
      </c>
      <c r="D39" s="231" t="s">
        <v>1375</v>
      </c>
      <c r="E39" s="230">
        <v>14491078</v>
      </c>
      <c r="F39" s="230">
        <v>28837</v>
      </c>
      <c r="G39" s="230">
        <v>25</v>
      </c>
      <c r="H39" s="240">
        <v>26.3</v>
      </c>
      <c r="I39" s="240">
        <f t="shared" si="0"/>
        <v>657.5</v>
      </c>
      <c r="J39" s="231" t="s">
        <v>1311</v>
      </c>
      <c r="K39" s="231" t="s">
        <v>1312</v>
      </c>
      <c r="L39" s="232">
        <v>45170</v>
      </c>
      <c r="M39" s="232">
        <v>45199</v>
      </c>
    </row>
    <row r="40" spans="1:13" ht="18.75" customHeight="1" x14ac:dyDescent="0.2">
      <c r="A40" s="231" t="s">
        <v>10</v>
      </c>
      <c r="B40" s="230">
        <v>112204</v>
      </c>
      <c r="C40" s="230">
        <v>10745</v>
      </c>
      <c r="D40" s="231" t="s">
        <v>33</v>
      </c>
      <c r="E40" s="230">
        <v>14491078</v>
      </c>
      <c r="F40" s="230">
        <v>28843</v>
      </c>
      <c r="G40" s="230">
        <v>25</v>
      </c>
      <c r="H40" s="240">
        <v>26.3</v>
      </c>
      <c r="I40" s="240">
        <f t="shared" si="0"/>
        <v>657.5</v>
      </c>
      <c r="J40" s="231" t="s">
        <v>1311</v>
      </c>
      <c r="K40" s="231" t="s">
        <v>1312</v>
      </c>
      <c r="L40" s="232">
        <v>45170</v>
      </c>
      <c r="M40" s="232">
        <v>45199</v>
      </c>
    </row>
    <row r="41" spans="1:13" ht="18.75" customHeight="1" x14ac:dyDescent="0.2">
      <c r="A41" s="231" t="s">
        <v>10</v>
      </c>
      <c r="B41" s="230">
        <v>112208</v>
      </c>
      <c r="C41" s="230">
        <v>10766</v>
      </c>
      <c r="D41" s="231" t="s">
        <v>1354</v>
      </c>
      <c r="E41" s="230">
        <v>14491078</v>
      </c>
      <c r="F41" s="230">
        <v>28851</v>
      </c>
      <c r="G41" s="230">
        <v>25</v>
      </c>
      <c r="H41" s="240">
        <v>26.3</v>
      </c>
      <c r="I41" s="240">
        <f t="shared" si="0"/>
        <v>657.5</v>
      </c>
      <c r="J41" s="231" t="s">
        <v>1311</v>
      </c>
      <c r="K41" s="231" t="s">
        <v>1312</v>
      </c>
      <c r="L41" s="232">
        <v>45170</v>
      </c>
      <c r="M41" s="232">
        <v>45199</v>
      </c>
    </row>
    <row r="42" spans="1:13" ht="18.75" customHeight="1" x14ac:dyDescent="0.2">
      <c r="A42" s="231" t="s">
        <v>10</v>
      </c>
      <c r="B42" s="230">
        <v>112212</v>
      </c>
      <c r="C42" s="230">
        <v>10758</v>
      </c>
      <c r="D42" s="231" t="s">
        <v>37</v>
      </c>
      <c r="E42" s="230">
        <v>14491078</v>
      </c>
      <c r="F42" s="230">
        <v>28859</v>
      </c>
      <c r="G42" s="230">
        <v>25</v>
      </c>
      <c r="H42" s="240">
        <v>26.3</v>
      </c>
      <c r="I42" s="240">
        <f t="shared" si="0"/>
        <v>657.5</v>
      </c>
      <c r="J42" s="231" t="s">
        <v>1311</v>
      </c>
      <c r="K42" s="231" t="s">
        <v>1312</v>
      </c>
      <c r="L42" s="232">
        <v>45170</v>
      </c>
      <c r="M42" s="232">
        <v>45199</v>
      </c>
    </row>
    <row r="43" spans="1:13" ht="18.75" customHeight="1" x14ac:dyDescent="0.2">
      <c r="A43" s="231" t="s">
        <v>10</v>
      </c>
      <c r="B43" s="230">
        <v>112226</v>
      </c>
      <c r="C43" s="230">
        <v>10750</v>
      </c>
      <c r="D43" s="231" t="s">
        <v>48</v>
      </c>
      <c r="E43" s="230">
        <v>14491078</v>
      </c>
      <c r="F43" s="230">
        <v>28887</v>
      </c>
      <c r="G43" s="230">
        <v>25</v>
      </c>
      <c r="H43" s="240">
        <v>26.3</v>
      </c>
      <c r="I43" s="240">
        <f t="shared" si="0"/>
        <v>657.5</v>
      </c>
      <c r="J43" s="231" t="s">
        <v>1311</v>
      </c>
      <c r="K43" s="231" t="s">
        <v>1312</v>
      </c>
      <c r="L43" s="232">
        <v>45170</v>
      </c>
      <c r="M43" s="232">
        <v>45199</v>
      </c>
    </row>
    <row r="44" spans="1:13" ht="18.75" customHeight="1" x14ac:dyDescent="0.2">
      <c r="A44" s="231" t="s">
        <v>10</v>
      </c>
      <c r="B44" s="230">
        <v>112232</v>
      </c>
      <c r="C44" s="230">
        <v>10750</v>
      </c>
      <c r="D44" s="231" t="s">
        <v>53</v>
      </c>
      <c r="E44" s="230">
        <v>14491078</v>
      </c>
      <c r="F44" s="230">
        <v>28899</v>
      </c>
      <c r="G44" s="230">
        <v>25</v>
      </c>
      <c r="H44" s="240">
        <v>26.3</v>
      </c>
      <c r="I44" s="240">
        <f t="shared" si="0"/>
        <v>657.5</v>
      </c>
      <c r="J44" s="231" t="s">
        <v>1311</v>
      </c>
      <c r="K44" s="231" t="s">
        <v>1312</v>
      </c>
      <c r="L44" s="232">
        <v>45170</v>
      </c>
      <c r="M44" s="232">
        <v>45199</v>
      </c>
    </row>
    <row r="45" spans="1:13" ht="18.75" customHeight="1" x14ac:dyDescent="0.2">
      <c r="A45" s="231" t="s">
        <v>10</v>
      </c>
      <c r="B45" s="230">
        <v>112238</v>
      </c>
      <c r="C45" s="230">
        <v>10751</v>
      </c>
      <c r="D45" s="231" t="s">
        <v>44</v>
      </c>
      <c r="E45" s="230">
        <v>14491078</v>
      </c>
      <c r="F45" s="230">
        <v>28911</v>
      </c>
      <c r="G45" s="230">
        <v>25</v>
      </c>
      <c r="H45" s="240">
        <v>26.3</v>
      </c>
      <c r="I45" s="240">
        <f t="shared" si="0"/>
        <v>657.5</v>
      </c>
      <c r="J45" s="231" t="s">
        <v>1311</v>
      </c>
      <c r="K45" s="231" t="s">
        <v>1312</v>
      </c>
      <c r="L45" s="232">
        <v>45170</v>
      </c>
      <c r="M45" s="232">
        <v>45199</v>
      </c>
    </row>
    <row r="46" spans="1:13" ht="18.75" customHeight="1" x14ac:dyDescent="0.2">
      <c r="A46" s="231" t="s">
        <v>10</v>
      </c>
      <c r="B46" s="230">
        <v>112239</v>
      </c>
      <c r="C46" s="230">
        <v>10754</v>
      </c>
      <c r="D46" s="231" t="s">
        <v>57</v>
      </c>
      <c r="E46" s="230">
        <v>14491078</v>
      </c>
      <c r="F46" s="230">
        <v>28913</v>
      </c>
      <c r="G46" s="230">
        <v>25</v>
      </c>
      <c r="H46" s="240">
        <v>26.3</v>
      </c>
      <c r="I46" s="240">
        <f t="shared" si="0"/>
        <v>657.5</v>
      </c>
      <c r="J46" s="231" t="s">
        <v>1311</v>
      </c>
      <c r="K46" s="231" t="s">
        <v>1312</v>
      </c>
      <c r="L46" s="232">
        <v>45170</v>
      </c>
      <c r="M46" s="232">
        <v>45199</v>
      </c>
    </row>
    <row r="47" spans="1:13" ht="18.75" customHeight="1" x14ac:dyDescent="0.2">
      <c r="A47" s="231" t="s">
        <v>10</v>
      </c>
      <c r="B47" s="230">
        <v>112242</v>
      </c>
      <c r="C47" s="230">
        <v>10758</v>
      </c>
      <c r="D47" s="231" t="s">
        <v>59</v>
      </c>
      <c r="E47" s="230">
        <v>14491078</v>
      </c>
      <c r="F47" s="230">
        <v>28919</v>
      </c>
      <c r="G47" s="230">
        <v>25</v>
      </c>
      <c r="H47" s="240">
        <v>26.3</v>
      </c>
      <c r="I47" s="240">
        <f t="shared" si="0"/>
        <v>657.5</v>
      </c>
      <c r="J47" s="231" t="s">
        <v>1311</v>
      </c>
      <c r="K47" s="231" t="s">
        <v>1312</v>
      </c>
      <c r="L47" s="232">
        <v>45170</v>
      </c>
      <c r="M47" s="232">
        <v>45199</v>
      </c>
    </row>
    <row r="48" spans="1:13" ht="18.75" customHeight="1" x14ac:dyDescent="0.2">
      <c r="A48" s="231" t="s">
        <v>10</v>
      </c>
      <c r="B48" s="230">
        <v>112245</v>
      </c>
      <c r="C48" s="230">
        <v>10750</v>
      </c>
      <c r="D48" s="231" t="s">
        <v>60</v>
      </c>
      <c r="E48" s="230">
        <v>14491078</v>
      </c>
      <c r="F48" s="230">
        <v>28925</v>
      </c>
      <c r="G48" s="230">
        <v>25</v>
      </c>
      <c r="H48" s="240">
        <v>26.3</v>
      </c>
      <c r="I48" s="240">
        <f t="shared" si="0"/>
        <v>657.5</v>
      </c>
      <c r="J48" s="231" t="s">
        <v>1311</v>
      </c>
      <c r="K48" s="231" t="s">
        <v>1312</v>
      </c>
      <c r="L48" s="232">
        <v>45170</v>
      </c>
      <c r="M48" s="232">
        <v>45199</v>
      </c>
    </row>
    <row r="49" spans="1:13" ht="18.75" customHeight="1" x14ac:dyDescent="0.2">
      <c r="A49" s="231" t="s">
        <v>10</v>
      </c>
      <c r="B49" s="230">
        <v>112248</v>
      </c>
      <c r="C49" s="230">
        <v>10750</v>
      </c>
      <c r="D49" s="231" t="s">
        <v>61</v>
      </c>
      <c r="E49" s="230">
        <v>14491078</v>
      </c>
      <c r="F49" s="230">
        <v>28931</v>
      </c>
      <c r="G49" s="230">
        <v>25</v>
      </c>
      <c r="H49" s="240">
        <v>26.3</v>
      </c>
      <c r="I49" s="240">
        <f t="shared" si="0"/>
        <v>657.5</v>
      </c>
      <c r="J49" s="231" t="s">
        <v>1311</v>
      </c>
      <c r="K49" s="231" t="s">
        <v>1312</v>
      </c>
      <c r="L49" s="232">
        <v>45170</v>
      </c>
      <c r="M49" s="232">
        <v>45199</v>
      </c>
    </row>
    <row r="50" spans="1:13" ht="18.75" customHeight="1" x14ac:dyDescent="0.2">
      <c r="A50" s="231" t="s">
        <v>10</v>
      </c>
      <c r="B50" s="230">
        <v>112252</v>
      </c>
      <c r="C50" s="230">
        <v>10750</v>
      </c>
      <c r="D50" s="231" t="s">
        <v>63</v>
      </c>
      <c r="E50" s="230">
        <v>14491078</v>
      </c>
      <c r="F50" s="230">
        <v>28939</v>
      </c>
      <c r="G50" s="230">
        <v>25</v>
      </c>
      <c r="H50" s="240">
        <v>26.3</v>
      </c>
      <c r="I50" s="240">
        <f t="shared" si="0"/>
        <v>657.5</v>
      </c>
      <c r="J50" s="231" t="s">
        <v>1311</v>
      </c>
      <c r="K50" s="231" t="s">
        <v>1312</v>
      </c>
      <c r="L50" s="232">
        <v>45170</v>
      </c>
      <c r="M50" s="232">
        <v>45199</v>
      </c>
    </row>
    <row r="51" spans="1:13" ht="18.75" customHeight="1" x14ac:dyDescent="0.2">
      <c r="A51" s="231" t="s">
        <v>10</v>
      </c>
      <c r="B51" s="230">
        <v>112255</v>
      </c>
      <c r="C51" s="230">
        <v>10750</v>
      </c>
      <c r="D51" s="231" t="s">
        <v>66</v>
      </c>
      <c r="E51" s="230">
        <v>14491078</v>
      </c>
      <c r="F51" s="230">
        <v>28945</v>
      </c>
      <c r="G51" s="230">
        <v>25</v>
      </c>
      <c r="H51" s="240">
        <v>26.3</v>
      </c>
      <c r="I51" s="240">
        <f t="shared" si="0"/>
        <v>657.5</v>
      </c>
      <c r="J51" s="231" t="s">
        <v>1311</v>
      </c>
      <c r="K51" s="231" t="s">
        <v>1312</v>
      </c>
      <c r="L51" s="232">
        <v>45170</v>
      </c>
      <c r="M51" s="232">
        <v>45199</v>
      </c>
    </row>
    <row r="52" spans="1:13" ht="18.75" customHeight="1" x14ac:dyDescent="0.2">
      <c r="A52" s="231" t="s">
        <v>10</v>
      </c>
      <c r="B52" s="230">
        <v>112261</v>
      </c>
      <c r="C52" s="230">
        <v>10751</v>
      </c>
      <c r="D52" s="231" t="s">
        <v>71</v>
      </c>
      <c r="E52" s="230">
        <v>14491078</v>
      </c>
      <c r="F52" s="230">
        <v>28957</v>
      </c>
      <c r="G52" s="230">
        <v>25</v>
      </c>
      <c r="H52" s="240">
        <v>26.3</v>
      </c>
      <c r="I52" s="240">
        <f t="shared" si="0"/>
        <v>657.5</v>
      </c>
      <c r="J52" s="231" t="s">
        <v>1311</v>
      </c>
      <c r="K52" s="231" t="s">
        <v>1312</v>
      </c>
      <c r="L52" s="232">
        <v>45170</v>
      </c>
      <c r="M52" s="232">
        <v>45199</v>
      </c>
    </row>
    <row r="53" spans="1:13" ht="18.75" customHeight="1" x14ac:dyDescent="0.2">
      <c r="A53" s="231" t="s">
        <v>10</v>
      </c>
      <c r="B53" s="230">
        <v>112263</v>
      </c>
      <c r="C53" s="230">
        <v>10750</v>
      </c>
      <c r="D53" s="231" t="s">
        <v>73</v>
      </c>
      <c r="E53" s="230">
        <v>14491078</v>
      </c>
      <c r="F53" s="230">
        <v>28961</v>
      </c>
      <c r="G53" s="230">
        <v>25</v>
      </c>
      <c r="H53" s="240">
        <v>26.3</v>
      </c>
      <c r="I53" s="240">
        <f t="shared" si="0"/>
        <v>657.5</v>
      </c>
      <c r="J53" s="231" t="s">
        <v>1311</v>
      </c>
      <c r="K53" s="231" t="s">
        <v>1312</v>
      </c>
      <c r="L53" s="232">
        <v>45170</v>
      </c>
      <c r="M53" s="232">
        <v>45199</v>
      </c>
    </row>
    <row r="54" spans="1:13" ht="18.75" customHeight="1" x14ac:dyDescent="0.2">
      <c r="A54" s="231" t="s">
        <v>10</v>
      </c>
      <c r="B54" s="230">
        <v>112264</v>
      </c>
      <c r="C54" s="230">
        <v>10750</v>
      </c>
      <c r="D54" s="231" t="s">
        <v>1356</v>
      </c>
      <c r="E54" s="230">
        <v>14491078</v>
      </c>
      <c r="F54" s="230">
        <v>28963</v>
      </c>
      <c r="G54" s="230">
        <v>25</v>
      </c>
      <c r="H54" s="240">
        <v>26.3</v>
      </c>
      <c r="I54" s="240">
        <f t="shared" si="0"/>
        <v>657.5</v>
      </c>
      <c r="J54" s="231" t="s">
        <v>1311</v>
      </c>
      <c r="K54" s="231" t="s">
        <v>1312</v>
      </c>
      <c r="L54" s="232">
        <v>45170</v>
      </c>
      <c r="M54" s="232">
        <v>45199</v>
      </c>
    </row>
    <row r="55" spans="1:13" ht="18.75" customHeight="1" x14ac:dyDescent="0.2">
      <c r="A55" s="231" t="s">
        <v>10</v>
      </c>
      <c r="B55" s="230">
        <v>112268</v>
      </c>
      <c r="C55" s="230">
        <v>10750</v>
      </c>
      <c r="D55" s="231" t="s">
        <v>76</v>
      </c>
      <c r="E55" s="230">
        <v>14491078</v>
      </c>
      <c r="F55" s="230">
        <v>28971</v>
      </c>
      <c r="G55" s="230">
        <v>25</v>
      </c>
      <c r="H55" s="240">
        <v>26.3</v>
      </c>
      <c r="I55" s="240">
        <f t="shared" si="0"/>
        <v>657.5</v>
      </c>
      <c r="J55" s="231" t="s">
        <v>1311</v>
      </c>
      <c r="K55" s="231" t="s">
        <v>1312</v>
      </c>
      <c r="L55" s="232">
        <v>45170</v>
      </c>
      <c r="M55" s="232">
        <v>45199</v>
      </c>
    </row>
    <row r="56" spans="1:13" ht="18.75" customHeight="1" x14ac:dyDescent="0.2">
      <c r="A56" s="231" t="s">
        <v>10</v>
      </c>
      <c r="B56" s="230">
        <v>112269</v>
      </c>
      <c r="C56" s="230">
        <v>10751</v>
      </c>
      <c r="D56" s="231" t="s">
        <v>77</v>
      </c>
      <c r="E56" s="230">
        <v>14491078</v>
      </c>
      <c r="F56" s="230">
        <v>28973</v>
      </c>
      <c r="G56" s="230">
        <v>25</v>
      </c>
      <c r="H56" s="240">
        <v>26.3</v>
      </c>
      <c r="I56" s="240">
        <f t="shared" si="0"/>
        <v>657.5</v>
      </c>
      <c r="J56" s="231" t="s">
        <v>1311</v>
      </c>
      <c r="K56" s="231" t="s">
        <v>1312</v>
      </c>
      <c r="L56" s="232">
        <v>45170</v>
      </c>
      <c r="M56" s="232">
        <v>45199</v>
      </c>
    </row>
    <row r="57" spans="1:13" ht="18.75" customHeight="1" x14ac:dyDescent="0.2">
      <c r="A57" s="231" t="s">
        <v>10</v>
      </c>
      <c r="B57" s="230">
        <v>112278</v>
      </c>
      <c r="C57" s="230">
        <v>10750</v>
      </c>
      <c r="D57" s="231" t="s">
        <v>83</v>
      </c>
      <c r="E57" s="230">
        <v>14491078</v>
      </c>
      <c r="F57" s="230">
        <v>28991</v>
      </c>
      <c r="G57" s="230">
        <v>25</v>
      </c>
      <c r="H57" s="240">
        <v>26.3</v>
      </c>
      <c r="I57" s="240">
        <f t="shared" si="0"/>
        <v>657.5</v>
      </c>
      <c r="J57" s="231" t="s">
        <v>1311</v>
      </c>
      <c r="K57" s="231" t="s">
        <v>1312</v>
      </c>
      <c r="L57" s="232">
        <v>45170</v>
      </c>
      <c r="M57" s="232">
        <v>45199</v>
      </c>
    </row>
    <row r="58" spans="1:13" ht="18.75" customHeight="1" x14ac:dyDescent="0.2">
      <c r="A58" s="231" t="s">
        <v>10</v>
      </c>
      <c r="B58" s="230">
        <v>112280</v>
      </c>
      <c r="C58" s="230">
        <v>10750</v>
      </c>
      <c r="D58" s="231" t="s">
        <v>86</v>
      </c>
      <c r="E58" s="230">
        <v>14491078</v>
      </c>
      <c r="F58" s="230">
        <v>28995</v>
      </c>
      <c r="G58" s="230">
        <v>25</v>
      </c>
      <c r="H58" s="240">
        <v>26.3</v>
      </c>
      <c r="I58" s="240">
        <f t="shared" si="0"/>
        <v>657.5</v>
      </c>
      <c r="J58" s="231" t="s">
        <v>1311</v>
      </c>
      <c r="K58" s="231" t="s">
        <v>1312</v>
      </c>
      <c r="L58" s="232">
        <v>45170</v>
      </c>
      <c r="M58" s="232">
        <v>45199</v>
      </c>
    </row>
    <row r="59" spans="1:13" ht="18.75" customHeight="1" x14ac:dyDescent="0.2">
      <c r="A59" s="231" t="s">
        <v>10</v>
      </c>
      <c r="B59" s="230">
        <v>112282</v>
      </c>
      <c r="C59" s="230">
        <v>10750</v>
      </c>
      <c r="D59" s="231" t="s">
        <v>88</v>
      </c>
      <c r="E59" s="230">
        <v>14491078</v>
      </c>
      <c r="F59" s="230">
        <v>28999</v>
      </c>
      <c r="G59" s="230">
        <v>25</v>
      </c>
      <c r="H59" s="240">
        <v>26.3</v>
      </c>
      <c r="I59" s="240">
        <f t="shared" si="0"/>
        <v>657.5</v>
      </c>
      <c r="J59" s="231" t="s">
        <v>1311</v>
      </c>
      <c r="K59" s="231" t="s">
        <v>1312</v>
      </c>
      <c r="L59" s="232">
        <v>45170</v>
      </c>
      <c r="M59" s="232">
        <v>45199</v>
      </c>
    </row>
    <row r="60" spans="1:13" ht="18.75" customHeight="1" x14ac:dyDescent="0.2">
      <c r="A60" s="231" t="s">
        <v>10</v>
      </c>
      <c r="B60" s="230">
        <v>112283</v>
      </c>
      <c r="C60" s="230">
        <v>10750</v>
      </c>
      <c r="D60" s="231" t="s">
        <v>89</v>
      </c>
      <c r="E60" s="230">
        <v>14491078</v>
      </c>
      <c r="F60" s="230">
        <v>29001</v>
      </c>
      <c r="G60" s="230">
        <v>25</v>
      </c>
      <c r="H60" s="240">
        <v>26.3</v>
      </c>
      <c r="I60" s="240">
        <f t="shared" si="0"/>
        <v>657.5</v>
      </c>
      <c r="J60" s="231" t="s">
        <v>1311</v>
      </c>
      <c r="K60" s="231" t="s">
        <v>1312</v>
      </c>
      <c r="L60" s="232">
        <v>45170</v>
      </c>
      <c r="M60" s="232">
        <v>45199</v>
      </c>
    </row>
    <row r="61" spans="1:13" ht="18.75" customHeight="1" x14ac:dyDescent="0.2">
      <c r="A61" s="231" t="s">
        <v>10</v>
      </c>
      <c r="B61" s="230">
        <v>112290</v>
      </c>
      <c r="C61" s="230">
        <v>10751</v>
      </c>
      <c r="D61" s="231" t="s">
        <v>91</v>
      </c>
      <c r="E61" s="230">
        <v>14491078</v>
      </c>
      <c r="F61" s="230">
        <v>29015</v>
      </c>
      <c r="G61" s="230">
        <v>25</v>
      </c>
      <c r="H61" s="240">
        <v>26.3</v>
      </c>
      <c r="I61" s="240">
        <f t="shared" si="0"/>
        <v>657.5</v>
      </c>
      <c r="J61" s="231" t="s">
        <v>1311</v>
      </c>
      <c r="K61" s="231" t="s">
        <v>1312</v>
      </c>
      <c r="L61" s="232">
        <v>45170</v>
      </c>
      <c r="M61" s="232">
        <v>45199</v>
      </c>
    </row>
    <row r="62" spans="1:13" ht="18.75" customHeight="1" x14ac:dyDescent="0.2">
      <c r="A62" s="231" t="s">
        <v>10</v>
      </c>
      <c r="B62" s="230">
        <v>112294</v>
      </c>
      <c r="C62" s="230">
        <v>10750</v>
      </c>
      <c r="D62" s="231" t="s">
        <v>1388</v>
      </c>
      <c r="E62" s="230">
        <v>14491078</v>
      </c>
      <c r="F62" s="230">
        <v>29023</v>
      </c>
      <c r="G62" s="230">
        <v>25</v>
      </c>
      <c r="H62" s="240">
        <v>26.3</v>
      </c>
      <c r="I62" s="240">
        <f t="shared" si="0"/>
        <v>657.5</v>
      </c>
      <c r="J62" s="231" t="s">
        <v>1311</v>
      </c>
      <c r="K62" s="231" t="s">
        <v>1312</v>
      </c>
      <c r="L62" s="232">
        <v>45170</v>
      </c>
      <c r="M62" s="232">
        <v>45199</v>
      </c>
    </row>
    <row r="63" spans="1:13" ht="18.75" customHeight="1" x14ac:dyDescent="0.2">
      <c r="A63" s="231" t="s">
        <v>10</v>
      </c>
      <c r="B63" s="230">
        <v>112298</v>
      </c>
      <c r="C63" s="230">
        <v>10750</v>
      </c>
      <c r="D63" s="231" t="s">
        <v>96</v>
      </c>
      <c r="E63" s="230">
        <v>14491078</v>
      </c>
      <c r="F63" s="230">
        <v>29031</v>
      </c>
      <c r="G63" s="230">
        <v>25</v>
      </c>
      <c r="H63" s="240">
        <v>26.3</v>
      </c>
      <c r="I63" s="240">
        <f t="shared" si="0"/>
        <v>657.5</v>
      </c>
      <c r="J63" s="231" t="s">
        <v>1311</v>
      </c>
      <c r="K63" s="231" t="s">
        <v>1312</v>
      </c>
      <c r="L63" s="232">
        <v>45170</v>
      </c>
      <c r="M63" s="232">
        <v>45199</v>
      </c>
    </row>
    <row r="64" spans="1:13" ht="18.75" customHeight="1" x14ac:dyDescent="0.2">
      <c r="A64" s="231" t="s">
        <v>10</v>
      </c>
      <c r="B64" s="230">
        <v>112303</v>
      </c>
      <c r="C64" s="230">
        <v>10750</v>
      </c>
      <c r="D64" s="231" t="s">
        <v>99</v>
      </c>
      <c r="E64" s="230">
        <v>14491078</v>
      </c>
      <c r="F64" s="230">
        <v>29041</v>
      </c>
      <c r="G64" s="230">
        <v>24</v>
      </c>
      <c r="H64" s="240">
        <v>26.3</v>
      </c>
      <c r="I64" s="240">
        <f t="shared" si="0"/>
        <v>631.20000000000005</v>
      </c>
      <c r="J64" s="231" t="s">
        <v>1311</v>
      </c>
      <c r="K64" s="231" t="s">
        <v>1312</v>
      </c>
      <c r="L64" s="232">
        <v>45170</v>
      </c>
      <c r="M64" s="232">
        <v>45199</v>
      </c>
    </row>
    <row r="65" spans="1:13" ht="18.75" customHeight="1" x14ac:dyDescent="0.2">
      <c r="A65" s="231" t="s">
        <v>10</v>
      </c>
      <c r="B65" s="230">
        <v>112306</v>
      </c>
      <c r="C65" s="230">
        <v>10750</v>
      </c>
      <c r="D65" s="231" t="s">
        <v>100</v>
      </c>
      <c r="E65" s="230">
        <v>14491078</v>
      </c>
      <c r="F65" s="230">
        <v>29047</v>
      </c>
      <c r="G65" s="230">
        <v>25</v>
      </c>
      <c r="H65" s="240">
        <v>26.3</v>
      </c>
      <c r="I65" s="240">
        <f t="shared" si="0"/>
        <v>657.5</v>
      </c>
      <c r="J65" s="231" t="s">
        <v>1311</v>
      </c>
      <c r="K65" s="231" t="s">
        <v>1312</v>
      </c>
      <c r="L65" s="232">
        <v>45170</v>
      </c>
      <c r="M65" s="232">
        <v>45199</v>
      </c>
    </row>
    <row r="66" spans="1:13" ht="18.75" customHeight="1" x14ac:dyDescent="0.2">
      <c r="A66" s="231" t="s">
        <v>10</v>
      </c>
      <c r="B66" s="230">
        <v>112320</v>
      </c>
      <c r="C66" s="230">
        <v>10750</v>
      </c>
      <c r="D66" s="231" t="s">
        <v>105</v>
      </c>
      <c r="E66" s="230">
        <v>14491078</v>
      </c>
      <c r="F66" s="230">
        <v>29075</v>
      </c>
      <c r="G66" s="230">
        <v>25</v>
      </c>
      <c r="H66" s="240">
        <v>26.3</v>
      </c>
      <c r="I66" s="240">
        <f t="shared" si="0"/>
        <v>657.5</v>
      </c>
      <c r="J66" s="231" t="s">
        <v>1311</v>
      </c>
      <c r="K66" s="231" t="s">
        <v>1312</v>
      </c>
      <c r="L66" s="232">
        <v>45170</v>
      </c>
      <c r="M66" s="232">
        <v>45199</v>
      </c>
    </row>
    <row r="67" spans="1:13" ht="18.75" customHeight="1" x14ac:dyDescent="0.2">
      <c r="A67" s="231" t="s">
        <v>10</v>
      </c>
      <c r="B67" s="230">
        <v>112328</v>
      </c>
      <c r="C67" s="230">
        <v>10750</v>
      </c>
      <c r="D67" s="231" t="s">
        <v>110</v>
      </c>
      <c r="E67" s="230">
        <v>14491078</v>
      </c>
      <c r="F67" s="230">
        <v>29091</v>
      </c>
      <c r="G67" s="230">
        <v>25</v>
      </c>
      <c r="H67" s="240">
        <v>26.3</v>
      </c>
      <c r="I67" s="240">
        <f t="shared" ref="I67:I130" si="1">G67*H67</f>
        <v>657.5</v>
      </c>
      <c r="J67" s="231" t="s">
        <v>1311</v>
      </c>
      <c r="K67" s="231" t="s">
        <v>1312</v>
      </c>
      <c r="L67" s="232">
        <v>45170</v>
      </c>
      <c r="M67" s="232">
        <v>45199</v>
      </c>
    </row>
    <row r="68" spans="1:13" ht="18.75" customHeight="1" x14ac:dyDescent="0.2">
      <c r="A68" s="231" t="s">
        <v>10</v>
      </c>
      <c r="B68" s="230">
        <v>112329</v>
      </c>
      <c r="C68" s="230">
        <v>10760</v>
      </c>
      <c r="D68" s="231" t="s">
        <v>111</v>
      </c>
      <c r="E68" s="230">
        <v>14491078</v>
      </c>
      <c r="F68" s="230">
        <v>29093</v>
      </c>
      <c r="G68" s="230">
        <v>25</v>
      </c>
      <c r="H68" s="240">
        <v>26.3</v>
      </c>
      <c r="I68" s="240">
        <f t="shared" si="1"/>
        <v>657.5</v>
      </c>
      <c r="J68" s="231" t="s">
        <v>1311</v>
      </c>
      <c r="K68" s="231" t="s">
        <v>1312</v>
      </c>
      <c r="L68" s="232">
        <v>45170</v>
      </c>
      <c r="M68" s="232">
        <v>45199</v>
      </c>
    </row>
    <row r="69" spans="1:13" ht="18.75" customHeight="1" x14ac:dyDescent="0.2">
      <c r="A69" s="231" t="s">
        <v>10</v>
      </c>
      <c r="B69" s="230">
        <v>112330</v>
      </c>
      <c r="C69" s="230">
        <v>10750</v>
      </c>
      <c r="D69" s="231" t="s">
        <v>112</v>
      </c>
      <c r="E69" s="230">
        <v>14491078</v>
      </c>
      <c r="F69" s="230">
        <v>29095</v>
      </c>
      <c r="G69" s="230">
        <v>25</v>
      </c>
      <c r="H69" s="240">
        <v>26.3</v>
      </c>
      <c r="I69" s="240">
        <f t="shared" si="1"/>
        <v>657.5</v>
      </c>
      <c r="J69" s="231" t="s">
        <v>1311</v>
      </c>
      <c r="K69" s="231" t="s">
        <v>1312</v>
      </c>
      <c r="L69" s="232">
        <v>45170</v>
      </c>
      <c r="M69" s="232">
        <v>45199</v>
      </c>
    </row>
    <row r="70" spans="1:13" ht="18.75" customHeight="1" x14ac:dyDescent="0.2">
      <c r="A70" s="231" t="s">
        <v>10</v>
      </c>
      <c r="B70" s="230">
        <v>112331</v>
      </c>
      <c r="C70" s="230">
        <v>10750</v>
      </c>
      <c r="D70" s="231" t="s">
        <v>113</v>
      </c>
      <c r="E70" s="230">
        <v>14491078</v>
      </c>
      <c r="F70" s="230">
        <v>29097</v>
      </c>
      <c r="G70" s="230">
        <v>25</v>
      </c>
      <c r="H70" s="240">
        <v>26.3</v>
      </c>
      <c r="I70" s="240">
        <f t="shared" si="1"/>
        <v>657.5</v>
      </c>
      <c r="J70" s="231" t="s">
        <v>1311</v>
      </c>
      <c r="K70" s="231" t="s">
        <v>1312</v>
      </c>
      <c r="L70" s="232">
        <v>45170</v>
      </c>
      <c r="M70" s="232">
        <v>45199</v>
      </c>
    </row>
    <row r="71" spans="1:13" ht="18.75" customHeight="1" x14ac:dyDescent="0.2">
      <c r="A71" s="231" t="s">
        <v>10</v>
      </c>
      <c r="B71" s="230">
        <v>112332</v>
      </c>
      <c r="C71" s="230">
        <v>10750</v>
      </c>
      <c r="D71" s="231" t="s">
        <v>114</v>
      </c>
      <c r="E71" s="230">
        <v>14491078</v>
      </c>
      <c r="F71" s="230">
        <v>29099</v>
      </c>
      <c r="G71" s="230">
        <v>25</v>
      </c>
      <c r="H71" s="240">
        <v>26.3</v>
      </c>
      <c r="I71" s="240">
        <f t="shared" si="1"/>
        <v>657.5</v>
      </c>
      <c r="J71" s="231" t="s">
        <v>1311</v>
      </c>
      <c r="K71" s="231" t="s">
        <v>1312</v>
      </c>
      <c r="L71" s="232">
        <v>45170</v>
      </c>
      <c r="M71" s="232">
        <v>45199</v>
      </c>
    </row>
    <row r="72" spans="1:13" ht="18.75" customHeight="1" x14ac:dyDescent="0.2">
      <c r="A72" s="231" t="s">
        <v>10</v>
      </c>
      <c r="B72" s="230">
        <v>112337</v>
      </c>
      <c r="C72" s="230">
        <v>10754</v>
      </c>
      <c r="D72" s="231" t="s">
        <v>117</v>
      </c>
      <c r="E72" s="230">
        <v>14491078</v>
      </c>
      <c r="F72" s="230">
        <v>29109</v>
      </c>
      <c r="G72" s="230">
        <v>25</v>
      </c>
      <c r="H72" s="240">
        <v>26.3</v>
      </c>
      <c r="I72" s="240">
        <f t="shared" si="1"/>
        <v>657.5</v>
      </c>
      <c r="J72" s="231" t="s">
        <v>1311</v>
      </c>
      <c r="K72" s="231" t="s">
        <v>1312</v>
      </c>
      <c r="L72" s="232">
        <v>45170</v>
      </c>
      <c r="M72" s="232">
        <v>45199</v>
      </c>
    </row>
    <row r="73" spans="1:13" ht="18.75" customHeight="1" x14ac:dyDescent="0.2">
      <c r="A73" s="231" t="s">
        <v>10</v>
      </c>
      <c r="B73" s="230">
        <v>112345</v>
      </c>
      <c r="C73" s="230">
        <v>10756</v>
      </c>
      <c r="D73" s="231" t="s">
        <v>122</v>
      </c>
      <c r="E73" s="230">
        <v>14491078</v>
      </c>
      <c r="F73" s="230">
        <v>29125</v>
      </c>
      <c r="G73" s="230">
        <v>25</v>
      </c>
      <c r="H73" s="240">
        <v>26.3</v>
      </c>
      <c r="I73" s="240">
        <f t="shared" si="1"/>
        <v>657.5</v>
      </c>
      <c r="J73" s="231" t="s">
        <v>1311</v>
      </c>
      <c r="K73" s="231" t="s">
        <v>1312</v>
      </c>
      <c r="L73" s="232">
        <v>45170</v>
      </c>
      <c r="M73" s="232">
        <v>45199</v>
      </c>
    </row>
    <row r="74" spans="1:13" ht="18.75" customHeight="1" x14ac:dyDescent="0.2">
      <c r="A74" s="231" t="s">
        <v>10</v>
      </c>
      <c r="B74" s="230">
        <v>112354</v>
      </c>
      <c r="C74" s="230">
        <v>10760</v>
      </c>
      <c r="D74" s="231" t="s">
        <v>128</v>
      </c>
      <c r="E74" s="230">
        <v>14491078</v>
      </c>
      <c r="F74" s="230">
        <v>29143</v>
      </c>
      <c r="G74" s="230">
        <v>25</v>
      </c>
      <c r="H74" s="240">
        <v>26.3</v>
      </c>
      <c r="I74" s="240">
        <f t="shared" si="1"/>
        <v>657.5</v>
      </c>
      <c r="J74" s="231" t="s">
        <v>1311</v>
      </c>
      <c r="K74" s="231" t="s">
        <v>1312</v>
      </c>
      <c r="L74" s="232">
        <v>45170</v>
      </c>
      <c r="M74" s="232">
        <v>45199</v>
      </c>
    </row>
    <row r="75" spans="1:13" ht="18.75" customHeight="1" x14ac:dyDescent="0.2">
      <c r="A75" s="231" t="s">
        <v>10</v>
      </c>
      <c r="B75" s="230">
        <v>112355</v>
      </c>
      <c r="C75" s="230">
        <v>10750</v>
      </c>
      <c r="D75" s="231" t="s">
        <v>1289</v>
      </c>
      <c r="E75" s="230">
        <v>14491078</v>
      </c>
      <c r="F75" s="230">
        <v>29145</v>
      </c>
      <c r="G75" s="230">
        <v>25</v>
      </c>
      <c r="H75" s="240">
        <v>26.3</v>
      </c>
      <c r="I75" s="240">
        <f t="shared" si="1"/>
        <v>657.5</v>
      </c>
      <c r="J75" s="231" t="s">
        <v>1311</v>
      </c>
      <c r="K75" s="231" t="s">
        <v>1315</v>
      </c>
      <c r="L75" s="232">
        <v>45170</v>
      </c>
      <c r="M75" s="232">
        <v>45199</v>
      </c>
    </row>
    <row r="76" spans="1:13" ht="18.75" customHeight="1" x14ac:dyDescent="0.2">
      <c r="A76" s="231" t="s">
        <v>10</v>
      </c>
      <c r="B76" s="230">
        <v>112363</v>
      </c>
      <c r="C76" s="230">
        <v>10760</v>
      </c>
      <c r="D76" s="231" t="s">
        <v>131</v>
      </c>
      <c r="E76" s="230">
        <v>14491078</v>
      </c>
      <c r="F76" s="230">
        <v>29161</v>
      </c>
      <c r="G76" s="230">
        <v>25</v>
      </c>
      <c r="H76" s="240">
        <v>26.3</v>
      </c>
      <c r="I76" s="240">
        <f t="shared" si="1"/>
        <v>657.5</v>
      </c>
      <c r="J76" s="231" t="s">
        <v>1311</v>
      </c>
      <c r="K76" s="231" t="s">
        <v>1312</v>
      </c>
      <c r="L76" s="232">
        <v>45170</v>
      </c>
      <c r="M76" s="232">
        <v>45199</v>
      </c>
    </row>
    <row r="77" spans="1:13" ht="18.75" customHeight="1" x14ac:dyDescent="0.2">
      <c r="A77" s="231" t="s">
        <v>10</v>
      </c>
      <c r="B77" s="230">
        <v>112368</v>
      </c>
      <c r="C77" s="230">
        <v>10760</v>
      </c>
      <c r="D77" s="231" t="s">
        <v>134</v>
      </c>
      <c r="E77" s="230">
        <v>14491078</v>
      </c>
      <c r="F77" s="230">
        <v>29171</v>
      </c>
      <c r="G77" s="230">
        <v>25</v>
      </c>
      <c r="H77" s="240">
        <v>26.3</v>
      </c>
      <c r="I77" s="240">
        <f t="shared" si="1"/>
        <v>657.5</v>
      </c>
      <c r="J77" s="231" t="s">
        <v>1311</v>
      </c>
      <c r="K77" s="231" t="s">
        <v>1312</v>
      </c>
      <c r="L77" s="232">
        <v>45170</v>
      </c>
      <c r="M77" s="232">
        <v>45199</v>
      </c>
    </row>
    <row r="78" spans="1:13" ht="18.75" customHeight="1" x14ac:dyDescent="0.2">
      <c r="A78" s="231" t="s">
        <v>10</v>
      </c>
      <c r="B78" s="230">
        <v>112377</v>
      </c>
      <c r="C78" s="230">
        <v>10756</v>
      </c>
      <c r="D78" s="231" t="s">
        <v>140</v>
      </c>
      <c r="E78" s="230">
        <v>14491078</v>
      </c>
      <c r="F78" s="230">
        <v>29189</v>
      </c>
      <c r="G78" s="230">
        <v>25</v>
      </c>
      <c r="H78" s="240">
        <v>26.3</v>
      </c>
      <c r="I78" s="240">
        <f t="shared" si="1"/>
        <v>657.5</v>
      </c>
      <c r="J78" s="231" t="s">
        <v>1311</v>
      </c>
      <c r="K78" s="231" t="s">
        <v>1312</v>
      </c>
      <c r="L78" s="232">
        <v>45170</v>
      </c>
      <c r="M78" s="232">
        <v>45199</v>
      </c>
    </row>
    <row r="79" spans="1:13" ht="18.75" customHeight="1" x14ac:dyDescent="0.2">
      <c r="A79" s="231" t="s">
        <v>10</v>
      </c>
      <c r="B79" s="230">
        <v>112397</v>
      </c>
      <c r="C79" s="230">
        <v>10750</v>
      </c>
      <c r="D79" s="231" t="s">
        <v>153</v>
      </c>
      <c r="E79" s="230">
        <v>14491078</v>
      </c>
      <c r="F79" s="230">
        <v>29229</v>
      </c>
      <c r="G79" s="230">
        <v>25</v>
      </c>
      <c r="H79" s="240">
        <v>26.3</v>
      </c>
      <c r="I79" s="240">
        <f t="shared" si="1"/>
        <v>657.5</v>
      </c>
      <c r="J79" s="231" t="s">
        <v>1311</v>
      </c>
      <c r="K79" s="231" t="s">
        <v>1312</v>
      </c>
      <c r="L79" s="232">
        <v>45170</v>
      </c>
      <c r="M79" s="232">
        <v>45199</v>
      </c>
    </row>
    <row r="80" spans="1:13" ht="18.75" customHeight="1" x14ac:dyDescent="0.2">
      <c r="A80" s="231" t="s">
        <v>10</v>
      </c>
      <c r="B80" s="230">
        <v>112398</v>
      </c>
      <c r="C80" s="230">
        <v>10750</v>
      </c>
      <c r="D80" s="231" t="s">
        <v>154</v>
      </c>
      <c r="E80" s="230">
        <v>14491078</v>
      </c>
      <c r="F80" s="230">
        <v>29231</v>
      </c>
      <c r="G80" s="230">
        <v>25</v>
      </c>
      <c r="H80" s="240">
        <v>26.3</v>
      </c>
      <c r="I80" s="240">
        <f t="shared" si="1"/>
        <v>657.5</v>
      </c>
      <c r="J80" s="231" t="s">
        <v>1311</v>
      </c>
      <c r="K80" s="231" t="s">
        <v>1312</v>
      </c>
      <c r="L80" s="232">
        <v>45170</v>
      </c>
      <c r="M80" s="232">
        <v>45199</v>
      </c>
    </row>
    <row r="81" spans="1:13" ht="18.75" customHeight="1" x14ac:dyDescent="0.2">
      <c r="A81" s="231" t="s">
        <v>10</v>
      </c>
      <c r="B81" s="230">
        <v>112399</v>
      </c>
      <c r="C81" s="230">
        <v>10750</v>
      </c>
      <c r="D81" s="231" t="s">
        <v>155</v>
      </c>
      <c r="E81" s="230">
        <v>14491078</v>
      </c>
      <c r="F81" s="230">
        <v>29233</v>
      </c>
      <c r="G81" s="230">
        <v>25</v>
      </c>
      <c r="H81" s="240">
        <v>26.3</v>
      </c>
      <c r="I81" s="240">
        <f t="shared" si="1"/>
        <v>657.5</v>
      </c>
      <c r="J81" s="231" t="s">
        <v>1311</v>
      </c>
      <c r="K81" s="231" t="s">
        <v>1312</v>
      </c>
      <c r="L81" s="232">
        <v>45170</v>
      </c>
      <c r="M81" s="232">
        <v>45199</v>
      </c>
    </row>
    <row r="82" spans="1:13" ht="18.75" customHeight="1" x14ac:dyDescent="0.2">
      <c r="A82" s="231" t="s">
        <v>10</v>
      </c>
      <c r="B82" s="230">
        <v>112422</v>
      </c>
      <c r="C82" s="230">
        <v>10750</v>
      </c>
      <c r="D82" s="231" t="s">
        <v>171</v>
      </c>
      <c r="E82" s="230">
        <v>14491078</v>
      </c>
      <c r="F82" s="230">
        <v>29279</v>
      </c>
      <c r="G82" s="230">
        <v>25</v>
      </c>
      <c r="H82" s="240">
        <v>26.3</v>
      </c>
      <c r="I82" s="240">
        <f t="shared" si="1"/>
        <v>657.5</v>
      </c>
      <c r="J82" s="231" t="s">
        <v>1311</v>
      </c>
      <c r="K82" s="231" t="s">
        <v>1312</v>
      </c>
      <c r="L82" s="232">
        <v>45170</v>
      </c>
      <c r="M82" s="232">
        <v>45199</v>
      </c>
    </row>
    <row r="83" spans="1:13" ht="18.75" customHeight="1" x14ac:dyDescent="0.2">
      <c r="A83" s="231" t="s">
        <v>10</v>
      </c>
      <c r="B83" s="230">
        <v>112431</v>
      </c>
      <c r="C83" s="230">
        <v>10757</v>
      </c>
      <c r="D83" s="231" t="s">
        <v>174</v>
      </c>
      <c r="E83" s="230">
        <v>14491078</v>
      </c>
      <c r="F83" s="230">
        <v>29297</v>
      </c>
      <c r="G83" s="230">
        <v>25</v>
      </c>
      <c r="H83" s="240">
        <v>26.3</v>
      </c>
      <c r="I83" s="240">
        <f t="shared" si="1"/>
        <v>657.5</v>
      </c>
      <c r="J83" s="231" t="s">
        <v>1311</v>
      </c>
      <c r="K83" s="231" t="s">
        <v>1312</v>
      </c>
      <c r="L83" s="232">
        <v>45170</v>
      </c>
      <c r="M83" s="232">
        <v>45199</v>
      </c>
    </row>
    <row r="84" spans="1:13" ht="18.75" customHeight="1" x14ac:dyDescent="0.2">
      <c r="A84" s="231" t="s">
        <v>10</v>
      </c>
      <c r="B84" s="230">
        <v>112436</v>
      </c>
      <c r="C84" s="230">
        <v>10756</v>
      </c>
      <c r="D84" s="231" t="s">
        <v>178</v>
      </c>
      <c r="E84" s="230">
        <v>14491078</v>
      </c>
      <c r="F84" s="230">
        <v>29307</v>
      </c>
      <c r="G84" s="230">
        <v>25</v>
      </c>
      <c r="H84" s="240">
        <v>26.3</v>
      </c>
      <c r="I84" s="240">
        <f t="shared" si="1"/>
        <v>657.5</v>
      </c>
      <c r="J84" s="231" t="s">
        <v>1311</v>
      </c>
      <c r="K84" s="231" t="s">
        <v>1312</v>
      </c>
      <c r="L84" s="232">
        <v>45170</v>
      </c>
      <c r="M84" s="232">
        <v>45199</v>
      </c>
    </row>
    <row r="85" spans="1:13" ht="18.75" customHeight="1" x14ac:dyDescent="0.2">
      <c r="A85" s="231" t="s">
        <v>10</v>
      </c>
      <c r="B85" s="230">
        <v>112445</v>
      </c>
      <c r="C85" s="230">
        <v>10754</v>
      </c>
      <c r="D85" s="231" t="s">
        <v>186</v>
      </c>
      <c r="E85" s="230">
        <v>14491078</v>
      </c>
      <c r="F85" s="230">
        <v>29325</v>
      </c>
      <c r="G85" s="230">
        <v>25</v>
      </c>
      <c r="H85" s="240">
        <v>26.3</v>
      </c>
      <c r="I85" s="240">
        <f t="shared" si="1"/>
        <v>657.5</v>
      </c>
      <c r="J85" s="231" t="s">
        <v>1311</v>
      </c>
      <c r="K85" s="231" t="s">
        <v>1312</v>
      </c>
      <c r="L85" s="232">
        <v>45170</v>
      </c>
      <c r="M85" s="232">
        <v>45199</v>
      </c>
    </row>
    <row r="86" spans="1:13" ht="18.75" customHeight="1" x14ac:dyDescent="0.2">
      <c r="A86" s="231" t="s">
        <v>10</v>
      </c>
      <c r="B86" s="230">
        <v>112461</v>
      </c>
      <c r="C86" s="230">
        <v>10756</v>
      </c>
      <c r="D86" s="231" t="s">
        <v>196</v>
      </c>
      <c r="E86" s="230">
        <v>14491078</v>
      </c>
      <c r="F86" s="230">
        <v>29357</v>
      </c>
      <c r="G86" s="230">
        <v>25</v>
      </c>
      <c r="H86" s="240">
        <v>26.3</v>
      </c>
      <c r="I86" s="240">
        <f t="shared" si="1"/>
        <v>657.5</v>
      </c>
      <c r="J86" s="231" t="s">
        <v>1311</v>
      </c>
      <c r="K86" s="231" t="s">
        <v>1312</v>
      </c>
      <c r="L86" s="232">
        <v>45170</v>
      </c>
      <c r="M86" s="232">
        <v>45199</v>
      </c>
    </row>
    <row r="87" spans="1:13" ht="18.75" customHeight="1" x14ac:dyDescent="0.2">
      <c r="A87" s="231" t="s">
        <v>10</v>
      </c>
      <c r="B87" s="230">
        <v>112469</v>
      </c>
      <c r="C87" s="230">
        <v>10750</v>
      </c>
      <c r="D87" s="231" t="s">
        <v>198</v>
      </c>
      <c r="E87" s="230">
        <v>14491078</v>
      </c>
      <c r="F87" s="230">
        <v>29373</v>
      </c>
      <c r="G87" s="230">
        <v>25</v>
      </c>
      <c r="H87" s="240">
        <v>26.3</v>
      </c>
      <c r="I87" s="240">
        <f t="shared" si="1"/>
        <v>657.5</v>
      </c>
      <c r="J87" s="231" t="s">
        <v>1311</v>
      </c>
      <c r="K87" s="231" t="s">
        <v>1312</v>
      </c>
      <c r="L87" s="232">
        <v>45170</v>
      </c>
      <c r="M87" s="232">
        <v>45199</v>
      </c>
    </row>
    <row r="88" spans="1:13" ht="18.75" customHeight="1" x14ac:dyDescent="0.2">
      <c r="A88" s="231" t="s">
        <v>10</v>
      </c>
      <c r="B88" s="230">
        <v>112497</v>
      </c>
      <c r="C88" s="230">
        <v>10763</v>
      </c>
      <c r="D88" s="231" t="s">
        <v>1378</v>
      </c>
      <c r="E88" s="230">
        <v>14491078</v>
      </c>
      <c r="F88" s="230">
        <v>29429</v>
      </c>
      <c r="G88" s="230">
        <v>25</v>
      </c>
      <c r="H88" s="240">
        <v>26.3</v>
      </c>
      <c r="I88" s="240">
        <f t="shared" si="1"/>
        <v>657.5</v>
      </c>
      <c r="J88" s="231" t="s">
        <v>1311</v>
      </c>
      <c r="K88" s="231" t="s">
        <v>1312</v>
      </c>
      <c r="L88" s="232">
        <v>45170</v>
      </c>
      <c r="M88" s="232">
        <v>45199</v>
      </c>
    </row>
    <row r="89" spans="1:13" ht="18.75" customHeight="1" x14ac:dyDescent="0.2">
      <c r="A89" s="231" t="s">
        <v>10</v>
      </c>
      <c r="B89" s="230">
        <v>112510</v>
      </c>
      <c r="C89" s="230">
        <v>10757</v>
      </c>
      <c r="D89" s="231" t="s">
        <v>227</v>
      </c>
      <c r="E89" s="230">
        <v>14491078</v>
      </c>
      <c r="F89" s="230">
        <v>29455</v>
      </c>
      <c r="G89" s="230">
        <v>25</v>
      </c>
      <c r="H89" s="240">
        <v>26.3</v>
      </c>
      <c r="I89" s="240">
        <f t="shared" si="1"/>
        <v>657.5</v>
      </c>
      <c r="J89" s="231" t="s">
        <v>1311</v>
      </c>
      <c r="K89" s="231" t="s">
        <v>1312</v>
      </c>
      <c r="L89" s="232">
        <v>45170</v>
      </c>
      <c r="M89" s="232">
        <v>45199</v>
      </c>
    </row>
    <row r="90" spans="1:13" ht="18.75" customHeight="1" x14ac:dyDescent="0.2">
      <c r="A90" s="231" t="s">
        <v>10</v>
      </c>
      <c r="B90" s="230">
        <v>112522</v>
      </c>
      <c r="C90" s="230">
        <v>10751</v>
      </c>
      <c r="D90" s="231" t="s">
        <v>237</v>
      </c>
      <c r="E90" s="230">
        <v>14491078</v>
      </c>
      <c r="F90" s="230">
        <v>29479</v>
      </c>
      <c r="G90" s="230">
        <v>25</v>
      </c>
      <c r="H90" s="240">
        <v>26.3</v>
      </c>
      <c r="I90" s="240">
        <f t="shared" si="1"/>
        <v>657.5</v>
      </c>
      <c r="J90" s="231" t="s">
        <v>1311</v>
      </c>
      <c r="K90" s="231" t="s">
        <v>1312</v>
      </c>
      <c r="L90" s="232">
        <v>45170</v>
      </c>
      <c r="M90" s="232">
        <v>45199</v>
      </c>
    </row>
    <row r="91" spans="1:13" ht="18.75" customHeight="1" x14ac:dyDescent="0.2">
      <c r="A91" s="231" t="s">
        <v>10</v>
      </c>
      <c r="B91" s="230">
        <v>112532</v>
      </c>
      <c r="C91" s="230">
        <v>10750</v>
      </c>
      <c r="D91" s="231" t="s">
        <v>244</v>
      </c>
      <c r="E91" s="230">
        <v>14491078</v>
      </c>
      <c r="F91" s="230">
        <v>29499</v>
      </c>
      <c r="G91" s="230">
        <v>25</v>
      </c>
      <c r="H91" s="240">
        <v>26.3</v>
      </c>
      <c r="I91" s="240">
        <f t="shared" si="1"/>
        <v>657.5</v>
      </c>
      <c r="J91" s="231" t="s">
        <v>1311</v>
      </c>
      <c r="K91" s="231" t="s">
        <v>1312</v>
      </c>
      <c r="L91" s="232">
        <v>45170</v>
      </c>
      <c r="M91" s="232">
        <v>45199</v>
      </c>
    </row>
    <row r="92" spans="1:13" ht="18.75" customHeight="1" x14ac:dyDescent="0.2">
      <c r="A92" s="231" t="s">
        <v>10</v>
      </c>
      <c r="B92" s="230">
        <v>112537</v>
      </c>
      <c r="C92" s="230">
        <v>10766</v>
      </c>
      <c r="D92" s="231" t="s">
        <v>248</v>
      </c>
      <c r="E92" s="230">
        <v>14491078</v>
      </c>
      <c r="F92" s="230">
        <v>29509</v>
      </c>
      <c r="G92" s="230">
        <v>25</v>
      </c>
      <c r="H92" s="240">
        <v>26.3</v>
      </c>
      <c r="I92" s="240">
        <f t="shared" si="1"/>
        <v>657.5</v>
      </c>
      <c r="J92" s="231" t="s">
        <v>1311</v>
      </c>
      <c r="K92" s="231" t="s">
        <v>1312</v>
      </c>
      <c r="L92" s="232">
        <v>45170</v>
      </c>
      <c r="M92" s="232">
        <v>45199</v>
      </c>
    </row>
    <row r="93" spans="1:13" ht="18.75" customHeight="1" x14ac:dyDescent="0.2">
      <c r="A93" s="231" t="s">
        <v>10</v>
      </c>
      <c r="B93" s="230">
        <v>112538</v>
      </c>
      <c r="C93" s="230">
        <v>10750</v>
      </c>
      <c r="D93" s="231" t="s">
        <v>249</v>
      </c>
      <c r="E93" s="230">
        <v>14491078</v>
      </c>
      <c r="F93" s="230">
        <v>29511</v>
      </c>
      <c r="G93" s="230">
        <v>25</v>
      </c>
      <c r="H93" s="240">
        <v>26.3</v>
      </c>
      <c r="I93" s="240">
        <f t="shared" si="1"/>
        <v>657.5</v>
      </c>
      <c r="J93" s="231" t="s">
        <v>1311</v>
      </c>
      <c r="K93" s="231" t="s">
        <v>1312</v>
      </c>
      <c r="L93" s="232">
        <v>45170</v>
      </c>
      <c r="M93" s="232">
        <v>45199</v>
      </c>
    </row>
    <row r="94" spans="1:13" ht="18.75" customHeight="1" x14ac:dyDescent="0.2">
      <c r="A94" s="231" t="s">
        <v>10</v>
      </c>
      <c r="B94" s="230">
        <v>112547</v>
      </c>
      <c r="C94" s="230">
        <v>10750</v>
      </c>
      <c r="D94" s="231" t="s">
        <v>257</v>
      </c>
      <c r="E94" s="230">
        <v>14491078</v>
      </c>
      <c r="F94" s="230">
        <v>29529</v>
      </c>
      <c r="G94" s="230">
        <v>25</v>
      </c>
      <c r="H94" s="240">
        <v>26.3</v>
      </c>
      <c r="I94" s="240">
        <f t="shared" si="1"/>
        <v>657.5</v>
      </c>
      <c r="J94" s="231" t="s">
        <v>1311</v>
      </c>
      <c r="K94" s="231" t="s">
        <v>1312</v>
      </c>
      <c r="L94" s="232">
        <v>45170</v>
      </c>
      <c r="M94" s="232">
        <v>45199</v>
      </c>
    </row>
    <row r="95" spans="1:13" ht="18.75" customHeight="1" x14ac:dyDescent="0.2">
      <c r="A95" s="231" t="s">
        <v>10</v>
      </c>
      <c r="B95" s="230">
        <v>112549</v>
      </c>
      <c r="C95" s="230">
        <v>10750</v>
      </c>
      <c r="D95" s="231" t="s">
        <v>259</v>
      </c>
      <c r="E95" s="230">
        <v>14491078</v>
      </c>
      <c r="F95" s="230">
        <v>29533</v>
      </c>
      <c r="G95" s="230">
        <v>25</v>
      </c>
      <c r="H95" s="240">
        <v>26.3</v>
      </c>
      <c r="I95" s="240">
        <f t="shared" si="1"/>
        <v>657.5</v>
      </c>
      <c r="J95" s="231" t="s">
        <v>1311</v>
      </c>
      <c r="K95" s="231" t="s">
        <v>1312</v>
      </c>
      <c r="L95" s="232">
        <v>45170</v>
      </c>
      <c r="M95" s="232">
        <v>45199</v>
      </c>
    </row>
    <row r="96" spans="1:13" ht="18.75" customHeight="1" x14ac:dyDescent="0.2">
      <c r="A96" s="231" t="s">
        <v>10</v>
      </c>
      <c r="B96" s="230">
        <v>112561</v>
      </c>
      <c r="C96" s="230">
        <v>10750</v>
      </c>
      <c r="D96" s="231" t="s">
        <v>266</v>
      </c>
      <c r="E96" s="230">
        <v>14491078</v>
      </c>
      <c r="F96" s="230">
        <v>29557</v>
      </c>
      <c r="G96" s="230">
        <v>25</v>
      </c>
      <c r="H96" s="240">
        <v>26.3</v>
      </c>
      <c r="I96" s="240">
        <f t="shared" si="1"/>
        <v>657.5</v>
      </c>
      <c r="J96" s="231" t="s">
        <v>1311</v>
      </c>
      <c r="K96" s="231" t="s">
        <v>1312</v>
      </c>
      <c r="L96" s="232">
        <v>45170</v>
      </c>
      <c r="M96" s="232">
        <v>45199</v>
      </c>
    </row>
    <row r="97" spans="1:13" ht="18.75" customHeight="1" x14ac:dyDescent="0.2">
      <c r="A97" s="231" t="s">
        <v>10</v>
      </c>
      <c r="B97" s="230">
        <v>112586</v>
      </c>
      <c r="C97" s="230">
        <v>10751</v>
      </c>
      <c r="D97" s="231" t="s">
        <v>279</v>
      </c>
      <c r="E97" s="230">
        <v>14491078</v>
      </c>
      <c r="F97" s="230">
        <v>29607</v>
      </c>
      <c r="G97" s="230">
        <v>25</v>
      </c>
      <c r="H97" s="240">
        <v>26.3</v>
      </c>
      <c r="I97" s="240">
        <f t="shared" si="1"/>
        <v>657.5</v>
      </c>
      <c r="J97" s="231" t="s">
        <v>1311</v>
      </c>
      <c r="K97" s="231" t="s">
        <v>1312</v>
      </c>
      <c r="L97" s="232">
        <v>45170</v>
      </c>
      <c r="M97" s="232">
        <v>45199</v>
      </c>
    </row>
    <row r="98" spans="1:13" s="39" customFormat="1" ht="18.75" customHeight="1" x14ac:dyDescent="0.2">
      <c r="A98" s="231" t="s">
        <v>10</v>
      </c>
      <c r="B98" s="230">
        <v>112612</v>
      </c>
      <c r="C98" s="230">
        <v>10763</v>
      </c>
      <c r="D98" s="231" t="s">
        <v>297</v>
      </c>
      <c r="E98" s="230">
        <v>14491078</v>
      </c>
      <c r="F98" s="230">
        <v>29659</v>
      </c>
      <c r="G98" s="230">
        <v>25</v>
      </c>
      <c r="H98" s="240">
        <v>26.3</v>
      </c>
      <c r="I98" s="240">
        <f t="shared" si="1"/>
        <v>657.5</v>
      </c>
      <c r="J98" s="231" t="s">
        <v>1311</v>
      </c>
      <c r="K98" s="231" t="s">
        <v>1312</v>
      </c>
      <c r="L98" s="232">
        <v>45170</v>
      </c>
      <c r="M98" s="232">
        <v>45199</v>
      </c>
    </row>
    <row r="99" spans="1:13" ht="18.75" customHeight="1" x14ac:dyDescent="0.2">
      <c r="A99" s="231" t="s">
        <v>10</v>
      </c>
      <c r="B99" s="230">
        <v>112620</v>
      </c>
      <c r="C99" s="230">
        <v>10763</v>
      </c>
      <c r="D99" s="231" t="s">
        <v>304</v>
      </c>
      <c r="E99" s="230">
        <v>14491078</v>
      </c>
      <c r="F99" s="230">
        <v>29675</v>
      </c>
      <c r="G99" s="230">
        <v>25</v>
      </c>
      <c r="H99" s="240">
        <v>26.3</v>
      </c>
      <c r="I99" s="240">
        <f t="shared" si="1"/>
        <v>657.5</v>
      </c>
      <c r="J99" s="231" t="s">
        <v>1311</v>
      </c>
      <c r="K99" s="231" t="s">
        <v>1312</v>
      </c>
      <c r="L99" s="232">
        <v>45170</v>
      </c>
      <c r="M99" s="232">
        <v>45199</v>
      </c>
    </row>
    <row r="100" spans="1:13" ht="18.75" customHeight="1" x14ac:dyDescent="0.2">
      <c r="A100" s="231" t="s">
        <v>10</v>
      </c>
      <c r="B100" s="230">
        <v>112632</v>
      </c>
      <c r="C100" s="230">
        <v>10750</v>
      </c>
      <c r="D100" s="231" t="s">
        <v>311</v>
      </c>
      <c r="E100" s="230">
        <v>14491078</v>
      </c>
      <c r="F100" s="230">
        <v>29699</v>
      </c>
      <c r="G100" s="230">
        <v>25</v>
      </c>
      <c r="H100" s="240">
        <v>26.3</v>
      </c>
      <c r="I100" s="240">
        <f t="shared" si="1"/>
        <v>657.5</v>
      </c>
      <c r="J100" s="231" t="s">
        <v>1311</v>
      </c>
      <c r="K100" s="231" t="s">
        <v>1312</v>
      </c>
      <c r="L100" s="232">
        <v>45170</v>
      </c>
      <c r="M100" s="232">
        <v>45199</v>
      </c>
    </row>
    <row r="101" spans="1:13" ht="18.75" customHeight="1" x14ac:dyDescent="0.2">
      <c r="A101" s="231" t="s">
        <v>10</v>
      </c>
      <c r="B101" s="230">
        <v>112641</v>
      </c>
      <c r="C101" s="230">
        <v>10750</v>
      </c>
      <c r="D101" s="231" t="s">
        <v>316</v>
      </c>
      <c r="E101" s="230">
        <v>14491078</v>
      </c>
      <c r="F101" s="230">
        <v>29717</v>
      </c>
      <c r="G101" s="230">
        <v>25</v>
      </c>
      <c r="H101" s="240">
        <v>26.3</v>
      </c>
      <c r="I101" s="240">
        <f t="shared" si="1"/>
        <v>657.5</v>
      </c>
      <c r="J101" s="231" t="s">
        <v>1311</v>
      </c>
      <c r="K101" s="231" t="s">
        <v>1312</v>
      </c>
      <c r="L101" s="232">
        <v>45170</v>
      </c>
      <c r="M101" s="232">
        <v>45199</v>
      </c>
    </row>
    <row r="102" spans="1:13" ht="18.75" customHeight="1" x14ac:dyDescent="0.2">
      <c r="A102" s="231" t="s">
        <v>10</v>
      </c>
      <c r="B102" s="230">
        <v>112659</v>
      </c>
      <c r="C102" s="230">
        <v>10750</v>
      </c>
      <c r="D102" s="231" t="s">
        <v>325</v>
      </c>
      <c r="E102" s="230">
        <v>14491078</v>
      </c>
      <c r="F102" s="230">
        <v>29753</v>
      </c>
      <c r="G102" s="230">
        <v>25</v>
      </c>
      <c r="H102" s="240">
        <v>26.3</v>
      </c>
      <c r="I102" s="240">
        <f t="shared" si="1"/>
        <v>657.5</v>
      </c>
      <c r="J102" s="231" t="s">
        <v>1311</v>
      </c>
      <c r="K102" s="231" t="s">
        <v>1312</v>
      </c>
      <c r="L102" s="232">
        <v>45170</v>
      </c>
      <c r="M102" s="232">
        <v>45199</v>
      </c>
    </row>
    <row r="103" spans="1:13" ht="18.75" customHeight="1" x14ac:dyDescent="0.2">
      <c r="A103" s="231" t="s">
        <v>10</v>
      </c>
      <c r="B103" s="230">
        <v>112675</v>
      </c>
      <c r="C103" s="230">
        <v>10750</v>
      </c>
      <c r="D103" s="231" t="s">
        <v>333</v>
      </c>
      <c r="E103" s="230">
        <v>14491078</v>
      </c>
      <c r="F103" s="230">
        <v>29785</v>
      </c>
      <c r="G103" s="230">
        <v>25</v>
      </c>
      <c r="H103" s="240">
        <v>26.3</v>
      </c>
      <c r="I103" s="240">
        <f t="shared" si="1"/>
        <v>657.5</v>
      </c>
      <c r="J103" s="231" t="s">
        <v>1311</v>
      </c>
      <c r="K103" s="231" t="s">
        <v>1312</v>
      </c>
      <c r="L103" s="232">
        <v>45170</v>
      </c>
      <c r="M103" s="232">
        <v>45199</v>
      </c>
    </row>
    <row r="104" spans="1:13" ht="18.75" customHeight="1" x14ac:dyDescent="0.2">
      <c r="A104" s="231" t="s">
        <v>10</v>
      </c>
      <c r="B104" s="230">
        <v>112681</v>
      </c>
      <c r="C104" s="230">
        <v>10750</v>
      </c>
      <c r="D104" s="231" t="s">
        <v>337</v>
      </c>
      <c r="E104" s="230">
        <v>14491078</v>
      </c>
      <c r="F104" s="230">
        <v>29797</v>
      </c>
      <c r="G104" s="230">
        <v>25</v>
      </c>
      <c r="H104" s="240">
        <v>26.3</v>
      </c>
      <c r="I104" s="240">
        <f t="shared" si="1"/>
        <v>657.5</v>
      </c>
      <c r="J104" s="231" t="s">
        <v>1311</v>
      </c>
      <c r="K104" s="231" t="s">
        <v>1315</v>
      </c>
      <c r="L104" s="232">
        <v>45170</v>
      </c>
      <c r="M104" s="232">
        <v>45199</v>
      </c>
    </row>
    <row r="105" spans="1:13" ht="18.75" customHeight="1" x14ac:dyDescent="0.2">
      <c r="A105" s="231" t="s">
        <v>10</v>
      </c>
      <c r="B105" s="230">
        <v>112684</v>
      </c>
      <c r="C105" s="230">
        <v>10750</v>
      </c>
      <c r="D105" s="231" t="s">
        <v>340</v>
      </c>
      <c r="E105" s="230">
        <v>14491078</v>
      </c>
      <c r="F105" s="230">
        <v>29803</v>
      </c>
      <c r="G105" s="230">
        <v>25</v>
      </c>
      <c r="H105" s="240">
        <v>26.3</v>
      </c>
      <c r="I105" s="240">
        <f t="shared" si="1"/>
        <v>657.5</v>
      </c>
      <c r="J105" s="231" t="s">
        <v>1311</v>
      </c>
      <c r="K105" s="231" t="s">
        <v>1312</v>
      </c>
      <c r="L105" s="232">
        <v>45170</v>
      </c>
      <c r="M105" s="232">
        <v>45199</v>
      </c>
    </row>
    <row r="106" spans="1:13" ht="18.75" customHeight="1" x14ac:dyDescent="0.2">
      <c r="A106" s="231" t="s">
        <v>10</v>
      </c>
      <c r="B106" s="230">
        <v>112685</v>
      </c>
      <c r="C106" s="230">
        <v>10763</v>
      </c>
      <c r="D106" s="231" t="s">
        <v>341</v>
      </c>
      <c r="E106" s="230">
        <v>14491078</v>
      </c>
      <c r="F106" s="230">
        <v>29805</v>
      </c>
      <c r="G106" s="230">
        <v>25</v>
      </c>
      <c r="H106" s="240">
        <v>26.3</v>
      </c>
      <c r="I106" s="240">
        <f t="shared" si="1"/>
        <v>657.5</v>
      </c>
      <c r="J106" s="231" t="s">
        <v>1311</v>
      </c>
      <c r="K106" s="231" t="s">
        <v>1312</v>
      </c>
      <c r="L106" s="232">
        <v>45170</v>
      </c>
      <c r="M106" s="232">
        <v>45199</v>
      </c>
    </row>
    <row r="107" spans="1:13" ht="18.75" customHeight="1" x14ac:dyDescent="0.2">
      <c r="A107" s="231" t="s">
        <v>10</v>
      </c>
      <c r="B107" s="230">
        <v>112690</v>
      </c>
      <c r="C107" s="230">
        <v>10757</v>
      </c>
      <c r="D107" s="231" t="s">
        <v>1552</v>
      </c>
      <c r="E107" s="230">
        <v>14491078</v>
      </c>
      <c r="F107" s="230">
        <v>29815</v>
      </c>
      <c r="G107" s="230">
        <v>25</v>
      </c>
      <c r="H107" s="240">
        <v>26.3</v>
      </c>
      <c r="I107" s="240">
        <f t="shared" si="1"/>
        <v>657.5</v>
      </c>
      <c r="J107" s="231" t="s">
        <v>1311</v>
      </c>
      <c r="K107" s="231" t="s">
        <v>1312</v>
      </c>
      <c r="L107" s="232">
        <v>45170</v>
      </c>
      <c r="M107" s="232">
        <v>45199</v>
      </c>
    </row>
    <row r="108" spans="1:13" ht="18.75" customHeight="1" x14ac:dyDescent="0.2">
      <c r="A108" s="231" t="s">
        <v>10</v>
      </c>
      <c r="B108" s="230">
        <v>112703</v>
      </c>
      <c r="C108" s="230">
        <v>10750</v>
      </c>
      <c r="D108" s="231" t="s">
        <v>353</v>
      </c>
      <c r="E108" s="230">
        <v>14491078</v>
      </c>
      <c r="F108" s="230">
        <v>29841</v>
      </c>
      <c r="G108" s="230">
        <v>25</v>
      </c>
      <c r="H108" s="240">
        <v>26.3</v>
      </c>
      <c r="I108" s="240">
        <f t="shared" si="1"/>
        <v>657.5</v>
      </c>
      <c r="J108" s="231" t="s">
        <v>1311</v>
      </c>
      <c r="K108" s="231" t="s">
        <v>1312</v>
      </c>
      <c r="L108" s="232">
        <v>45170</v>
      </c>
      <c r="M108" s="232">
        <v>45199</v>
      </c>
    </row>
    <row r="109" spans="1:13" ht="18.75" customHeight="1" x14ac:dyDescent="0.2">
      <c r="A109" s="231" t="s">
        <v>10</v>
      </c>
      <c r="B109" s="230">
        <v>112716</v>
      </c>
      <c r="C109" s="230">
        <v>10751</v>
      </c>
      <c r="D109" s="231" t="s">
        <v>360</v>
      </c>
      <c r="E109" s="230">
        <v>14491078</v>
      </c>
      <c r="F109" s="230">
        <v>29867</v>
      </c>
      <c r="G109" s="230">
        <v>25</v>
      </c>
      <c r="H109" s="240">
        <v>26.3</v>
      </c>
      <c r="I109" s="240">
        <f t="shared" si="1"/>
        <v>657.5</v>
      </c>
      <c r="J109" s="231" t="s">
        <v>1311</v>
      </c>
      <c r="K109" s="231" t="s">
        <v>1312</v>
      </c>
      <c r="L109" s="232">
        <v>45170</v>
      </c>
      <c r="M109" s="232">
        <v>45199</v>
      </c>
    </row>
    <row r="110" spans="1:13" ht="18.75" customHeight="1" x14ac:dyDescent="0.2">
      <c r="A110" s="231" t="s">
        <v>10</v>
      </c>
      <c r="B110" s="230">
        <v>112744</v>
      </c>
      <c r="C110" s="230">
        <v>10756</v>
      </c>
      <c r="D110" s="231" t="s">
        <v>1382</v>
      </c>
      <c r="E110" s="230">
        <v>14491078</v>
      </c>
      <c r="F110" s="230">
        <v>29923</v>
      </c>
      <c r="G110" s="230">
        <v>25</v>
      </c>
      <c r="H110" s="240">
        <v>26.3</v>
      </c>
      <c r="I110" s="240">
        <f t="shared" si="1"/>
        <v>657.5</v>
      </c>
      <c r="J110" s="231" t="s">
        <v>1311</v>
      </c>
      <c r="K110" s="231" t="s">
        <v>1312</v>
      </c>
      <c r="L110" s="232">
        <v>45170</v>
      </c>
      <c r="M110" s="232">
        <v>45199</v>
      </c>
    </row>
    <row r="111" spans="1:13" ht="18.75" customHeight="1" x14ac:dyDescent="0.2">
      <c r="A111" s="231" t="s">
        <v>10</v>
      </c>
      <c r="B111" s="230">
        <v>112748</v>
      </c>
      <c r="C111" s="230">
        <v>10757</v>
      </c>
      <c r="D111" s="231" t="s">
        <v>382</v>
      </c>
      <c r="E111" s="230">
        <v>14491078</v>
      </c>
      <c r="F111" s="230">
        <v>29931</v>
      </c>
      <c r="G111" s="230">
        <v>25</v>
      </c>
      <c r="H111" s="240">
        <v>26.3</v>
      </c>
      <c r="I111" s="240">
        <f t="shared" si="1"/>
        <v>657.5</v>
      </c>
      <c r="J111" s="231" t="s">
        <v>1311</v>
      </c>
      <c r="K111" s="231" t="s">
        <v>1312</v>
      </c>
      <c r="L111" s="232">
        <v>45170</v>
      </c>
      <c r="M111" s="232">
        <v>45199</v>
      </c>
    </row>
    <row r="112" spans="1:13" ht="18.75" customHeight="1" x14ac:dyDescent="0.2">
      <c r="A112" s="231" t="s">
        <v>10</v>
      </c>
      <c r="B112" s="230">
        <v>112761</v>
      </c>
      <c r="C112" s="230">
        <v>10750</v>
      </c>
      <c r="D112" s="231" t="s">
        <v>389</v>
      </c>
      <c r="E112" s="230">
        <v>14491078</v>
      </c>
      <c r="F112" s="230">
        <v>29957</v>
      </c>
      <c r="G112" s="230">
        <v>25</v>
      </c>
      <c r="H112" s="240">
        <v>26.3</v>
      </c>
      <c r="I112" s="240">
        <f t="shared" si="1"/>
        <v>657.5</v>
      </c>
      <c r="J112" s="231" t="s">
        <v>1311</v>
      </c>
      <c r="K112" s="231" t="s">
        <v>1312</v>
      </c>
      <c r="L112" s="232">
        <v>45170</v>
      </c>
      <c r="M112" s="232">
        <v>45199</v>
      </c>
    </row>
    <row r="113" spans="1:13" ht="18.75" customHeight="1" x14ac:dyDescent="0.2">
      <c r="A113" s="231" t="s">
        <v>10</v>
      </c>
      <c r="B113" s="230">
        <v>112785</v>
      </c>
      <c r="C113" s="230">
        <v>10750</v>
      </c>
      <c r="D113" s="231" t="s">
        <v>408</v>
      </c>
      <c r="E113" s="230">
        <v>14491078</v>
      </c>
      <c r="F113" s="230">
        <v>30005</v>
      </c>
      <c r="G113" s="230">
        <v>25</v>
      </c>
      <c r="H113" s="240">
        <v>26.3</v>
      </c>
      <c r="I113" s="240">
        <f t="shared" si="1"/>
        <v>657.5</v>
      </c>
      <c r="J113" s="231" t="s">
        <v>1311</v>
      </c>
      <c r="K113" s="231" t="s">
        <v>1312</v>
      </c>
      <c r="L113" s="232">
        <v>45170</v>
      </c>
      <c r="M113" s="232">
        <v>45199</v>
      </c>
    </row>
    <row r="114" spans="1:13" ht="18.75" customHeight="1" x14ac:dyDescent="0.2">
      <c r="A114" s="231" t="s">
        <v>10</v>
      </c>
      <c r="B114" s="230">
        <v>112793</v>
      </c>
      <c r="C114" s="230">
        <v>10751</v>
      </c>
      <c r="D114" s="231" t="s">
        <v>414</v>
      </c>
      <c r="E114" s="230">
        <v>14491078</v>
      </c>
      <c r="F114" s="230">
        <v>30021</v>
      </c>
      <c r="G114" s="230">
        <v>25</v>
      </c>
      <c r="H114" s="240">
        <v>26.3</v>
      </c>
      <c r="I114" s="240">
        <f t="shared" si="1"/>
        <v>657.5</v>
      </c>
      <c r="J114" s="231" t="s">
        <v>1311</v>
      </c>
      <c r="K114" s="231" t="s">
        <v>1312</v>
      </c>
      <c r="L114" s="232">
        <v>45170</v>
      </c>
      <c r="M114" s="232">
        <v>45199</v>
      </c>
    </row>
    <row r="115" spans="1:13" ht="18.75" customHeight="1" x14ac:dyDescent="0.2">
      <c r="A115" s="231" t="s">
        <v>10</v>
      </c>
      <c r="B115" s="230">
        <v>112813</v>
      </c>
      <c r="C115" s="230">
        <v>10763</v>
      </c>
      <c r="D115" s="231" t="s">
        <v>394</v>
      </c>
      <c r="E115" s="230">
        <v>14491078</v>
      </c>
      <c r="F115" s="230">
        <v>30061</v>
      </c>
      <c r="G115" s="230">
        <v>25</v>
      </c>
      <c r="H115" s="240">
        <v>26.3</v>
      </c>
      <c r="I115" s="240">
        <f t="shared" si="1"/>
        <v>657.5</v>
      </c>
      <c r="J115" s="231" t="s">
        <v>1311</v>
      </c>
      <c r="K115" s="231" t="s">
        <v>1312</v>
      </c>
      <c r="L115" s="232">
        <v>45170</v>
      </c>
      <c r="M115" s="232">
        <v>45199</v>
      </c>
    </row>
    <row r="116" spans="1:13" ht="18.75" customHeight="1" x14ac:dyDescent="0.2">
      <c r="A116" s="231" t="s">
        <v>10</v>
      </c>
      <c r="B116" s="230">
        <v>112815</v>
      </c>
      <c r="C116" s="230">
        <v>10760</v>
      </c>
      <c r="D116" s="231" t="s">
        <v>431</v>
      </c>
      <c r="E116" s="230">
        <v>14491078</v>
      </c>
      <c r="F116" s="230">
        <v>30065</v>
      </c>
      <c r="G116" s="230">
        <v>25</v>
      </c>
      <c r="H116" s="240">
        <v>26.3</v>
      </c>
      <c r="I116" s="240">
        <f t="shared" si="1"/>
        <v>657.5</v>
      </c>
      <c r="J116" s="231" t="s">
        <v>1311</v>
      </c>
      <c r="K116" s="231" t="s">
        <v>1312</v>
      </c>
      <c r="L116" s="232">
        <v>45170</v>
      </c>
      <c r="M116" s="232">
        <v>45199</v>
      </c>
    </row>
    <row r="117" spans="1:13" ht="18.75" customHeight="1" x14ac:dyDescent="0.2">
      <c r="A117" s="231" t="s">
        <v>10</v>
      </c>
      <c r="B117" s="230">
        <v>112824</v>
      </c>
      <c r="C117" s="230">
        <v>10750</v>
      </c>
      <c r="D117" s="231" t="s">
        <v>438</v>
      </c>
      <c r="E117" s="230">
        <v>14491078</v>
      </c>
      <c r="F117" s="230">
        <v>30083</v>
      </c>
      <c r="G117" s="230">
        <v>25</v>
      </c>
      <c r="H117" s="240">
        <v>26.3</v>
      </c>
      <c r="I117" s="240">
        <f t="shared" si="1"/>
        <v>657.5</v>
      </c>
      <c r="J117" s="231" t="s">
        <v>1311</v>
      </c>
      <c r="K117" s="231" t="s">
        <v>1312</v>
      </c>
      <c r="L117" s="232">
        <v>45170</v>
      </c>
      <c r="M117" s="232">
        <v>45199</v>
      </c>
    </row>
    <row r="118" spans="1:13" ht="18.75" customHeight="1" x14ac:dyDescent="0.2">
      <c r="A118" s="231" t="s">
        <v>10</v>
      </c>
      <c r="B118" s="230">
        <v>112830</v>
      </c>
      <c r="C118" s="230">
        <v>10760</v>
      </c>
      <c r="D118" s="231" t="s">
        <v>442</v>
      </c>
      <c r="E118" s="230">
        <v>14491078</v>
      </c>
      <c r="F118" s="230">
        <v>30095</v>
      </c>
      <c r="G118" s="230">
        <v>25</v>
      </c>
      <c r="H118" s="240">
        <v>26.3</v>
      </c>
      <c r="I118" s="240">
        <f t="shared" si="1"/>
        <v>657.5</v>
      </c>
      <c r="J118" s="231" t="s">
        <v>1311</v>
      </c>
      <c r="K118" s="231" t="s">
        <v>1312</v>
      </c>
      <c r="L118" s="232">
        <v>45170</v>
      </c>
      <c r="M118" s="232">
        <v>45199</v>
      </c>
    </row>
    <row r="119" spans="1:13" ht="18.75" customHeight="1" x14ac:dyDescent="0.2">
      <c r="A119" s="231" t="s">
        <v>10</v>
      </c>
      <c r="B119" s="230">
        <v>112847</v>
      </c>
      <c r="C119" s="230">
        <v>10756</v>
      </c>
      <c r="D119" s="231" t="s">
        <v>451</v>
      </c>
      <c r="E119" s="230">
        <v>14491078</v>
      </c>
      <c r="F119" s="230">
        <v>30129</v>
      </c>
      <c r="G119" s="230">
        <v>25</v>
      </c>
      <c r="H119" s="240">
        <v>26.3</v>
      </c>
      <c r="I119" s="240">
        <f t="shared" si="1"/>
        <v>657.5</v>
      </c>
      <c r="J119" s="231" t="s">
        <v>1311</v>
      </c>
      <c r="K119" s="231" t="s">
        <v>1312</v>
      </c>
      <c r="L119" s="232">
        <v>45170</v>
      </c>
      <c r="M119" s="232">
        <v>45199</v>
      </c>
    </row>
    <row r="120" spans="1:13" ht="18.75" customHeight="1" x14ac:dyDescent="0.2">
      <c r="A120" s="231" t="s">
        <v>10</v>
      </c>
      <c r="B120" s="230">
        <v>112870</v>
      </c>
      <c r="C120" s="230">
        <v>10750</v>
      </c>
      <c r="D120" s="231" t="s">
        <v>1344</v>
      </c>
      <c r="E120" s="230">
        <v>14491078</v>
      </c>
      <c r="F120" s="230">
        <v>30175</v>
      </c>
      <c r="G120" s="230">
        <v>25</v>
      </c>
      <c r="H120" s="240">
        <v>26.3</v>
      </c>
      <c r="I120" s="240">
        <f t="shared" si="1"/>
        <v>657.5</v>
      </c>
      <c r="J120" s="231" t="s">
        <v>1311</v>
      </c>
      <c r="K120" s="231" t="s">
        <v>1312</v>
      </c>
      <c r="L120" s="232">
        <v>45170</v>
      </c>
      <c r="M120" s="232">
        <v>45199</v>
      </c>
    </row>
    <row r="121" spans="1:13" ht="18.75" customHeight="1" x14ac:dyDescent="0.2">
      <c r="A121" s="231" t="s">
        <v>10</v>
      </c>
      <c r="B121" s="230">
        <v>112900</v>
      </c>
      <c r="C121" s="230">
        <v>10760</v>
      </c>
      <c r="D121" s="231" t="s">
        <v>487</v>
      </c>
      <c r="E121" s="230">
        <v>14491078</v>
      </c>
      <c r="F121" s="230">
        <v>30235</v>
      </c>
      <c r="G121" s="230">
        <v>25</v>
      </c>
      <c r="H121" s="240">
        <v>26.3</v>
      </c>
      <c r="I121" s="240">
        <f t="shared" si="1"/>
        <v>657.5</v>
      </c>
      <c r="J121" s="231" t="s">
        <v>1311</v>
      </c>
      <c r="K121" s="231" t="s">
        <v>1312</v>
      </c>
      <c r="L121" s="232">
        <v>45170</v>
      </c>
      <c r="M121" s="232">
        <v>45199</v>
      </c>
    </row>
    <row r="122" spans="1:13" ht="18.75" customHeight="1" x14ac:dyDescent="0.2">
      <c r="A122" s="231" t="s">
        <v>10</v>
      </c>
      <c r="B122" s="230">
        <v>112908</v>
      </c>
      <c r="C122" s="230">
        <v>10763</v>
      </c>
      <c r="D122" s="231" t="s">
        <v>492</v>
      </c>
      <c r="E122" s="230">
        <v>14491078</v>
      </c>
      <c r="F122" s="230">
        <v>30251</v>
      </c>
      <c r="G122" s="230">
        <v>25</v>
      </c>
      <c r="H122" s="240">
        <v>26.3</v>
      </c>
      <c r="I122" s="240">
        <f t="shared" si="1"/>
        <v>657.5</v>
      </c>
      <c r="J122" s="231" t="s">
        <v>1311</v>
      </c>
      <c r="K122" s="231" t="s">
        <v>1312</v>
      </c>
      <c r="L122" s="232">
        <v>45170</v>
      </c>
      <c r="M122" s="232">
        <v>45199</v>
      </c>
    </row>
    <row r="123" spans="1:13" ht="18.75" customHeight="1" x14ac:dyDescent="0.2">
      <c r="A123" s="231" t="s">
        <v>10</v>
      </c>
      <c r="B123" s="230">
        <v>113043</v>
      </c>
      <c r="C123" s="230">
        <v>10763</v>
      </c>
      <c r="D123" s="231" t="s">
        <v>559</v>
      </c>
      <c r="E123" s="230">
        <v>14491078</v>
      </c>
      <c r="F123" s="230">
        <v>30521</v>
      </c>
      <c r="G123" s="230">
        <v>25</v>
      </c>
      <c r="H123" s="240">
        <v>26.3</v>
      </c>
      <c r="I123" s="240">
        <f t="shared" si="1"/>
        <v>657.5</v>
      </c>
      <c r="J123" s="231" t="s">
        <v>1311</v>
      </c>
      <c r="K123" s="231" t="s">
        <v>1312</v>
      </c>
      <c r="L123" s="232">
        <v>45170</v>
      </c>
      <c r="M123" s="232">
        <v>45199</v>
      </c>
    </row>
    <row r="124" spans="1:13" ht="18.75" customHeight="1" x14ac:dyDescent="0.2">
      <c r="A124" s="231" t="s">
        <v>10</v>
      </c>
      <c r="B124" s="230">
        <v>113095</v>
      </c>
      <c r="C124" s="230">
        <v>10771</v>
      </c>
      <c r="D124" s="231" t="s">
        <v>585</v>
      </c>
      <c r="E124" s="230">
        <v>14491078</v>
      </c>
      <c r="F124" s="230">
        <v>30625</v>
      </c>
      <c r="G124" s="230">
        <v>25</v>
      </c>
      <c r="H124" s="240">
        <v>26.3</v>
      </c>
      <c r="I124" s="240">
        <f t="shared" si="1"/>
        <v>657.5</v>
      </c>
      <c r="J124" s="231" t="s">
        <v>1311</v>
      </c>
      <c r="K124" s="231" t="s">
        <v>1312</v>
      </c>
      <c r="L124" s="232">
        <v>45170</v>
      </c>
      <c r="M124" s="232">
        <v>45199</v>
      </c>
    </row>
    <row r="125" spans="1:13" ht="18.75" customHeight="1" x14ac:dyDescent="0.2">
      <c r="A125" s="231" t="s">
        <v>10</v>
      </c>
      <c r="B125" s="230">
        <v>113116</v>
      </c>
      <c r="C125" s="230">
        <v>10750</v>
      </c>
      <c r="D125" s="231" t="s">
        <v>594</v>
      </c>
      <c r="E125" s="230">
        <v>14491078</v>
      </c>
      <c r="F125" s="230">
        <v>30667</v>
      </c>
      <c r="G125" s="230">
        <v>25</v>
      </c>
      <c r="H125" s="240">
        <v>26.3</v>
      </c>
      <c r="I125" s="240">
        <f t="shared" si="1"/>
        <v>657.5</v>
      </c>
      <c r="J125" s="231" t="s">
        <v>1311</v>
      </c>
      <c r="K125" s="231" t="s">
        <v>1312</v>
      </c>
      <c r="L125" s="232">
        <v>45170</v>
      </c>
      <c r="M125" s="232">
        <v>45199</v>
      </c>
    </row>
    <row r="126" spans="1:13" ht="18.75" customHeight="1" x14ac:dyDescent="0.2">
      <c r="A126" s="231" t="s">
        <v>10</v>
      </c>
      <c r="B126" s="230">
        <v>113120</v>
      </c>
      <c r="C126" s="230">
        <v>10756</v>
      </c>
      <c r="D126" s="231" t="s">
        <v>598</v>
      </c>
      <c r="E126" s="230">
        <v>14491078</v>
      </c>
      <c r="F126" s="230">
        <v>30675</v>
      </c>
      <c r="G126" s="230">
        <v>25</v>
      </c>
      <c r="H126" s="240">
        <v>26.3</v>
      </c>
      <c r="I126" s="240">
        <f t="shared" si="1"/>
        <v>657.5</v>
      </c>
      <c r="J126" s="231" t="s">
        <v>1311</v>
      </c>
      <c r="K126" s="231" t="s">
        <v>1312</v>
      </c>
      <c r="L126" s="232">
        <v>45170</v>
      </c>
      <c r="M126" s="232">
        <v>45199</v>
      </c>
    </row>
    <row r="127" spans="1:13" ht="18.75" customHeight="1" x14ac:dyDescent="0.2">
      <c r="A127" s="231" t="s">
        <v>10</v>
      </c>
      <c r="B127" s="230">
        <v>113127</v>
      </c>
      <c r="C127" s="230">
        <v>10750</v>
      </c>
      <c r="D127" s="231" t="s">
        <v>1366</v>
      </c>
      <c r="E127" s="230">
        <v>14491078</v>
      </c>
      <c r="F127" s="230">
        <v>30689</v>
      </c>
      <c r="G127" s="230">
        <v>25</v>
      </c>
      <c r="H127" s="240">
        <v>26.3</v>
      </c>
      <c r="I127" s="240">
        <f t="shared" si="1"/>
        <v>657.5</v>
      </c>
      <c r="J127" s="231" t="s">
        <v>1311</v>
      </c>
      <c r="K127" s="231" t="s">
        <v>1312</v>
      </c>
      <c r="L127" s="232">
        <v>45170</v>
      </c>
      <c r="M127" s="232">
        <v>45199</v>
      </c>
    </row>
    <row r="128" spans="1:13" ht="18.75" customHeight="1" x14ac:dyDescent="0.2">
      <c r="A128" s="231" t="s">
        <v>10</v>
      </c>
      <c r="B128" s="230">
        <v>113139</v>
      </c>
      <c r="C128" s="230">
        <v>10750</v>
      </c>
      <c r="D128" s="231" t="s">
        <v>608</v>
      </c>
      <c r="E128" s="230">
        <v>14491078</v>
      </c>
      <c r="F128" s="230">
        <v>30713</v>
      </c>
      <c r="G128" s="230">
        <v>25</v>
      </c>
      <c r="H128" s="240">
        <v>26.3</v>
      </c>
      <c r="I128" s="240">
        <f t="shared" si="1"/>
        <v>657.5</v>
      </c>
      <c r="J128" s="231" t="s">
        <v>1311</v>
      </c>
      <c r="K128" s="231" t="s">
        <v>1312</v>
      </c>
      <c r="L128" s="232">
        <v>45170</v>
      </c>
      <c r="M128" s="232">
        <v>45199</v>
      </c>
    </row>
    <row r="129" spans="1:13" ht="18.75" customHeight="1" x14ac:dyDescent="0.2">
      <c r="A129" s="231" t="s">
        <v>10</v>
      </c>
      <c r="B129" s="230">
        <v>113141</v>
      </c>
      <c r="C129" s="230">
        <v>10754</v>
      </c>
      <c r="D129" s="231" t="s">
        <v>610</v>
      </c>
      <c r="E129" s="230">
        <v>14491078</v>
      </c>
      <c r="F129" s="230">
        <v>30717</v>
      </c>
      <c r="G129" s="230">
        <v>25</v>
      </c>
      <c r="H129" s="240">
        <v>26.3</v>
      </c>
      <c r="I129" s="240">
        <f t="shared" si="1"/>
        <v>657.5</v>
      </c>
      <c r="J129" s="231" t="s">
        <v>1311</v>
      </c>
      <c r="K129" s="231" t="s">
        <v>1312</v>
      </c>
      <c r="L129" s="232">
        <v>45170</v>
      </c>
      <c r="M129" s="232">
        <v>45199</v>
      </c>
    </row>
    <row r="130" spans="1:13" ht="18.75" customHeight="1" x14ac:dyDescent="0.2">
      <c r="A130" s="231" t="s">
        <v>10</v>
      </c>
      <c r="B130" s="230">
        <v>113146</v>
      </c>
      <c r="C130" s="230">
        <v>10750</v>
      </c>
      <c r="D130" s="231" t="s">
        <v>612</v>
      </c>
      <c r="E130" s="230">
        <v>14491078</v>
      </c>
      <c r="F130" s="230">
        <v>30727</v>
      </c>
      <c r="G130" s="230">
        <v>25</v>
      </c>
      <c r="H130" s="240">
        <v>26.3</v>
      </c>
      <c r="I130" s="240">
        <f t="shared" si="1"/>
        <v>657.5</v>
      </c>
      <c r="J130" s="231" t="s">
        <v>1311</v>
      </c>
      <c r="K130" s="231" t="s">
        <v>1312</v>
      </c>
      <c r="L130" s="232">
        <v>45170</v>
      </c>
      <c r="M130" s="232">
        <v>45199</v>
      </c>
    </row>
    <row r="131" spans="1:13" ht="18.75" customHeight="1" x14ac:dyDescent="0.2">
      <c r="A131" s="231" t="s">
        <v>10</v>
      </c>
      <c r="B131" s="230">
        <v>113153</v>
      </c>
      <c r="C131" s="230">
        <v>10766</v>
      </c>
      <c r="D131" s="231" t="s">
        <v>616</v>
      </c>
      <c r="E131" s="230">
        <v>14491078</v>
      </c>
      <c r="F131" s="230">
        <v>30741</v>
      </c>
      <c r="G131" s="230">
        <v>25</v>
      </c>
      <c r="H131" s="240">
        <v>26.3</v>
      </c>
      <c r="I131" s="240">
        <f t="shared" ref="I131:I194" si="2">G131*H131</f>
        <v>657.5</v>
      </c>
      <c r="J131" s="231" t="s">
        <v>1311</v>
      </c>
      <c r="K131" s="231" t="s">
        <v>1312</v>
      </c>
      <c r="L131" s="232">
        <v>45170</v>
      </c>
      <c r="M131" s="232">
        <v>45199</v>
      </c>
    </row>
    <row r="132" spans="1:13" ht="18.75" customHeight="1" x14ac:dyDescent="0.2">
      <c r="A132" s="231" t="s">
        <v>10</v>
      </c>
      <c r="B132" s="230">
        <v>113177</v>
      </c>
      <c r="C132" s="230">
        <v>10750</v>
      </c>
      <c r="D132" s="231" t="s">
        <v>631</v>
      </c>
      <c r="E132" s="230">
        <v>14491078</v>
      </c>
      <c r="F132" s="230">
        <v>30789</v>
      </c>
      <c r="G132" s="230">
        <v>25</v>
      </c>
      <c r="H132" s="240">
        <v>26.3</v>
      </c>
      <c r="I132" s="240">
        <f t="shared" si="2"/>
        <v>657.5</v>
      </c>
      <c r="J132" s="231" t="s">
        <v>1311</v>
      </c>
      <c r="K132" s="231" t="s">
        <v>1312</v>
      </c>
      <c r="L132" s="232">
        <v>45170</v>
      </c>
      <c r="M132" s="232">
        <v>45199</v>
      </c>
    </row>
    <row r="133" spans="1:13" ht="18.75" customHeight="1" x14ac:dyDescent="0.2">
      <c r="A133" s="231" t="s">
        <v>10</v>
      </c>
      <c r="B133" s="230">
        <v>113206</v>
      </c>
      <c r="C133" s="230">
        <v>10750</v>
      </c>
      <c r="D133" s="231" t="s">
        <v>649</v>
      </c>
      <c r="E133" s="230">
        <v>14491078</v>
      </c>
      <c r="F133" s="230">
        <v>30847</v>
      </c>
      <c r="G133" s="230">
        <v>25</v>
      </c>
      <c r="H133" s="240">
        <v>26.3</v>
      </c>
      <c r="I133" s="240">
        <f t="shared" si="2"/>
        <v>657.5</v>
      </c>
      <c r="J133" s="231" t="s">
        <v>1311</v>
      </c>
      <c r="K133" s="231" t="s">
        <v>1312</v>
      </c>
      <c r="L133" s="232">
        <v>45170</v>
      </c>
      <c r="M133" s="232">
        <v>45199</v>
      </c>
    </row>
    <row r="134" spans="1:13" ht="18.75" customHeight="1" x14ac:dyDescent="0.2">
      <c r="A134" s="231" t="s">
        <v>10</v>
      </c>
      <c r="B134" s="230">
        <v>113217</v>
      </c>
      <c r="C134" s="230">
        <v>10745</v>
      </c>
      <c r="D134" s="231" t="s">
        <v>653</v>
      </c>
      <c r="E134" s="230">
        <v>14491078</v>
      </c>
      <c r="F134" s="230">
        <v>30869</v>
      </c>
      <c r="G134" s="230">
        <v>24</v>
      </c>
      <c r="H134" s="240">
        <v>26.3</v>
      </c>
      <c r="I134" s="240">
        <f t="shared" si="2"/>
        <v>631.20000000000005</v>
      </c>
      <c r="J134" s="231" t="s">
        <v>1311</v>
      </c>
      <c r="K134" s="231" t="s">
        <v>1312</v>
      </c>
      <c r="L134" s="232">
        <v>45170</v>
      </c>
      <c r="M134" s="232">
        <v>45199</v>
      </c>
    </row>
    <row r="135" spans="1:13" ht="18.75" customHeight="1" x14ac:dyDescent="0.2">
      <c r="A135" s="231" t="s">
        <v>10</v>
      </c>
      <c r="B135" s="230">
        <v>113237</v>
      </c>
      <c r="C135" s="230">
        <v>10750</v>
      </c>
      <c r="D135" s="231" t="s">
        <v>665</v>
      </c>
      <c r="E135" s="230">
        <v>14491078</v>
      </c>
      <c r="F135" s="230">
        <v>30909</v>
      </c>
      <c r="G135" s="230">
        <v>25</v>
      </c>
      <c r="H135" s="240">
        <v>26.3</v>
      </c>
      <c r="I135" s="240">
        <f t="shared" si="2"/>
        <v>657.5</v>
      </c>
      <c r="J135" s="231" t="s">
        <v>1311</v>
      </c>
      <c r="K135" s="231" t="s">
        <v>1312</v>
      </c>
      <c r="L135" s="232">
        <v>45170</v>
      </c>
      <c r="M135" s="232">
        <v>45199</v>
      </c>
    </row>
    <row r="136" spans="1:13" ht="18.75" customHeight="1" x14ac:dyDescent="0.2">
      <c r="A136" s="231" t="s">
        <v>10</v>
      </c>
      <c r="B136" s="230">
        <v>113250</v>
      </c>
      <c r="C136" s="230">
        <v>10760</v>
      </c>
      <c r="D136" s="231" t="s">
        <v>670</v>
      </c>
      <c r="E136" s="230">
        <v>14491078</v>
      </c>
      <c r="F136" s="230">
        <v>30935</v>
      </c>
      <c r="G136" s="230">
        <v>25</v>
      </c>
      <c r="H136" s="240">
        <v>26.3</v>
      </c>
      <c r="I136" s="240">
        <f t="shared" si="2"/>
        <v>657.5</v>
      </c>
      <c r="J136" s="231" t="s">
        <v>1311</v>
      </c>
      <c r="K136" s="231" t="s">
        <v>1312</v>
      </c>
      <c r="L136" s="232">
        <v>45170</v>
      </c>
      <c r="M136" s="232">
        <v>45199</v>
      </c>
    </row>
    <row r="137" spans="1:13" ht="18.75" customHeight="1" x14ac:dyDescent="0.2">
      <c r="A137" s="231" t="s">
        <v>10</v>
      </c>
      <c r="B137" s="230">
        <v>113262</v>
      </c>
      <c r="C137" s="230">
        <v>10750</v>
      </c>
      <c r="D137" s="231" t="s">
        <v>676</v>
      </c>
      <c r="E137" s="230">
        <v>14491078</v>
      </c>
      <c r="F137" s="230">
        <v>30959</v>
      </c>
      <c r="G137" s="230">
        <v>25</v>
      </c>
      <c r="H137" s="240">
        <v>26.3</v>
      </c>
      <c r="I137" s="240">
        <f t="shared" si="2"/>
        <v>657.5</v>
      </c>
      <c r="J137" s="231" t="s">
        <v>1311</v>
      </c>
      <c r="K137" s="231" t="s">
        <v>1312</v>
      </c>
      <c r="L137" s="232">
        <v>45170</v>
      </c>
      <c r="M137" s="232">
        <v>45199</v>
      </c>
    </row>
    <row r="138" spans="1:13" ht="18.75" customHeight="1" x14ac:dyDescent="0.2">
      <c r="A138" s="231" t="s">
        <v>10</v>
      </c>
      <c r="B138" s="230">
        <v>113263</v>
      </c>
      <c r="C138" s="230">
        <v>10754</v>
      </c>
      <c r="D138" s="231" t="s">
        <v>1371</v>
      </c>
      <c r="E138" s="230">
        <v>14491078</v>
      </c>
      <c r="F138" s="230">
        <v>30961</v>
      </c>
      <c r="G138" s="230">
        <v>25</v>
      </c>
      <c r="H138" s="240">
        <v>26.3</v>
      </c>
      <c r="I138" s="240">
        <f t="shared" si="2"/>
        <v>657.5</v>
      </c>
      <c r="J138" s="231" t="s">
        <v>1311</v>
      </c>
      <c r="K138" s="231" t="s">
        <v>1312</v>
      </c>
      <c r="L138" s="232">
        <v>45170</v>
      </c>
      <c r="M138" s="232">
        <v>45199</v>
      </c>
    </row>
    <row r="139" spans="1:13" ht="18.75" customHeight="1" x14ac:dyDescent="0.2">
      <c r="A139" s="231" t="s">
        <v>10</v>
      </c>
      <c r="B139" s="230">
        <v>113276</v>
      </c>
      <c r="C139" s="230">
        <v>10745</v>
      </c>
      <c r="D139" s="231" t="s">
        <v>684</v>
      </c>
      <c r="E139" s="230">
        <v>14491078</v>
      </c>
      <c r="F139" s="230">
        <v>30987</v>
      </c>
      <c r="G139" s="230">
        <v>25</v>
      </c>
      <c r="H139" s="240">
        <v>26.3</v>
      </c>
      <c r="I139" s="240">
        <f t="shared" si="2"/>
        <v>657.5</v>
      </c>
      <c r="J139" s="231" t="s">
        <v>1311</v>
      </c>
      <c r="K139" s="231" t="s">
        <v>1312</v>
      </c>
      <c r="L139" s="232">
        <v>45170</v>
      </c>
      <c r="M139" s="232">
        <v>45199</v>
      </c>
    </row>
    <row r="140" spans="1:13" ht="18.75" customHeight="1" x14ac:dyDescent="0.2">
      <c r="A140" s="231" t="s">
        <v>10</v>
      </c>
      <c r="B140" s="230">
        <v>113278</v>
      </c>
      <c r="C140" s="230">
        <v>10763</v>
      </c>
      <c r="D140" s="231" t="s">
        <v>685</v>
      </c>
      <c r="E140" s="230">
        <v>14491078</v>
      </c>
      <c r="F140" s="230">
        <v>30991</v>
      </c>
      <c r="G140" s="230">
        <v>25</v>
      </c>
      <c r="H140" s="240">
        <v>26.3</v>
      </c>
      <c r="I140" s="240">
        <f t="shared" si="2"/>
        <v>657.5</v>
      </c>
      <c r="J140" s="231" t="s">
        <v>1311</v>
      </c>
      <c r="K140" s="231" t="s">
        <v>1312</v>
      </c>
      <c r="L140" s="232">
        <v>45170</v>
      </c>
      <c r="M140" s="232">
        <v>45199</v>
      </c>
    </row>
    <row r="141" spans="1:13" ht="18.75" customHeight="1" x14ac:dyDescent="0.2">
      <c r="A141" s="231" t="s">
        <v>10</v>
      </c>
      <c r="B141" s="230">
        <v>113289</v>
      </c>
      <c r="C141" s="230">
        <v>10750</v>
      </c>
      <c r="D141" s="231" t="s">
        <v>692</v>
      </c>
      <c r="E141" s="230">
        <v>14491078</v>
      </c>
      <c r="F141" s="230">
        <v>31013</v>
      </c>
      <c r="G141" s="230">
        <v>25</v>
      </c>
      <c r="H141" s="240">
        <v>26.3</v>
      </c>
      <c r="I141" s="240">
        <f t="shared" si="2"/>
        <v>657.5</v>
      </c>
      <c r="J141" s="231" t="s">
        <v>1311</v>
      </c>
      <c r="K141" s="231" t="s">
        <v>1312</v>
      </c>
      <c r="L141" s="232">
        <v>45170</v>
      </c>
      <c r="M141" s="232">
        <v>45199</v>
      </c>
    </row>
    <row r="142" spans="1:13" ht="18.75" customHeight="1" x14ac:dyDescent="0.2">
      <c r="A142" s="231" t="s">
        <v>10</v>
      </c>
      <c r="B142" s="230">
        <v>113323</v>
      </c>
      <c r="C142" s="230">
        <v>10766</v>
      </c>
      <c r="D142" s="231" t="s">
        <v>707</v>
      </c>
      <c r="E142" s="230">
        <v>14491078</v>
      </c>
      <c r="F142" s="230">
        <v>31081</v>
      </c>
      <c r="G142" s="230">
        <v>25</v>
      </c>
      <c r="H142" s="240">
        <v>26.3</v>
      </c>
      <c r="I142" s="240">
        <f t="shared" si="2"/>
        <v>657.5</v>
      </c>
      <c r="J142" s="231" t="s">
        <v>1311</v>
      </c>
      <c r="K142" s="231" t="s">
        <v>1312</v>
      </c>
      <c r="L142" s="232">
        <v>45170</v>
      </c>
      <c r="M142" s="232">
        <v>45199</v>
      </c>
    </row>
    <row r="143" spans="1:13" ht="18.75" customHeight="1" x14ac:dyDescent="0.2">
      <c r="A143" s="231" t="s">
        <v>10</v>
      </c>
      <c r="B143" s="230">
        <v>113337</v>
      </c>
      <c r="C143" s="230">
        <v>10760</v>
      </c>
      <c r="D143" s="231" t="s">
        <v>716</v>
      </c>
      <c r="E143" s="230">
        <v>14491078</v>
      </c>
      <c r="F143" s="230">
        <v>31109</v>
      </c>
      <c r="G143" s="230">
        <v>25</v>
      </c>
      <c r="H143" s="240">
        <v>26.3</v>
      </c>
      <c r="I143" s="240">
        <f t="shared" si="2"/>
        <v>657.5</v>
      </c>
      <c r="J143" s="231" t="s">
        <v>1311</v>
      </c>
      <c r="K143" s="231" t="s">
        <v>1312</v>
      </c>
      <c r="L143" s="232">
        <v>45170</v>
      </c>
      <c r="M143" s="232">
        <v>45199</v>
      </c>
    </row>
    <row r="144" spans="1:13" ht="18.75" customHeight="1" x14ac:dyDescent="0.2">
      <c r="A144" s="231" t="s">
        <v>10</v>
      </c>
      <c r="B144" s="230">
        <v>113342</v>
      </c>
      <c r="C144" s="230">
        <v>10755</v>
      </c>
      <c r="D144" s="231" t="s">
        <v>719</v>
      </c>
      <c r="E144" s="230">
        <v>14491078</v>
      </c>
      <c r="F144" s="230">
        <v>31119</v>
      </c>
      <c r="G144" s="230">
        <v>25</v>
      </c>
      <c r="H144" s="240">
        <v>26.3</v>
      </c>
      <c r="I144" s="240">
        <f t="shared" si="2"/>
        <v>657.5</v>
      </c>
      <c r="J144" s="231" t="s">
        <v>1311</v>
      </c>
      <c r="K144" s="231" t="s">
        <v>1312</v>
      </c>
      <c r="L144" s="232">
        <v>45170</v>
      </c>
      <c r="M144" s="232">
        <v>45199</v>
      </c>
    </row>
    <row r="145" spans="1:13" ht="18.75" customHeight="1" x14ac:dyDescent="0.2">
      <c r="A145" s="231" t="s">
        <v>10</v>
      </c>
      <c r="B145" s="230">
        <v>113369</v>
      </c>
      <c r="C145" s="230">
        <v>10750</v>
      </c>
      <c r="D145" s="231" t="s">
        <v>736</v>
      </c>
      <c r="E145" s="230">
        <v>14491078</v>
      </c>
      <c r="F145" s="230">
        <v>31173</v>
      </c>
      <c r="G145" s="230">
        <v>25</v>
      </c>
      <c r="H145" s="240">
        <v>26.3</v>
      </c>
      <c r="I145" s="240">
        <f t="shared" si="2"/>
        <v>657.5</v>
      </c>
      <c r="J145" s="231" t="s">
        <v>1311</v>
      </c>
      <c r="K145" s="231" t="s">
        <v>1312</v>
      </c>
      <c r="L145" s="232">
        <v>45170</v>
      </c>
      <c r="M145" s="232">
        <v>45199</v>
      </c>
    </row>
    <row r="146" spans="1:13" ht="18.75" customHeight="1" x14ac:dyDescent="0.2">
      <c r="A146" s="231" t="s">
        <v>10</v>
      </c>
      <c r="B146" s="230">
        <v>113390</v>
      </c>
      <c r="C146" s="230">
        <v>10773</v>
      </c>
      <c r="D146" s="231" t="s">
        <v>1334</v>
      </c>
      <c r="E146" s="230">
        <v>14491078</v>
      </c>
      <c r="F146" s="230">
        <v>31215</v>
      </c>
      <c r="G146" s="230">
        <v>25</v>
      </c>
      <c r="H146" s="240">
        <v>26.3</v>
      </c>
      <c r="I146" s="240">
        <f t="shared" si="2"/>
        <v>657.5</v>
      </c>
      <c r="J146" s="231" t="s">
        <v>1311</v>
      </c>
      <c r="K146" s="231" t="s">
        <v>1312</v>
      </c>
      <c r="L146" s="232">
        <v>45170</v>
      </c>
      <c r="M146" s="232">
        <v>45199</v>
      </c>
    </row>
    <row r="147" spans="1:13" ht="18.75" customHeight="1" x14ac:dyDescent="0.2">
      <c r="A147" s="231" t="s">
        <v>10</v>
      </c>
      <c r="B147" s="230">
        <v>113392</v>
      </c>
      <c r="C147" s="230">
        <v>10750</v>
      </c>
      <c r="D147" s="231" t="s">
        <v>752</v>
      </c>
      <c r="E147" s="230">
        <v>14491078</v>
      </c>
      <c r="F147" s="230">
        <v>31219</v>
      </c>
      <c r="G147" s="230">
        <v>25</v>
      </c>
      <c r="H147" s="240">
        <v>26.3</v>
      </c>
      <c r="I147" s="240">
        <f t="shared" si="2"/>
        <v>657.5</v>
      </c>
      <c r="J147" s="231" t="s">
        <v>1311</v>
      </c>
      <c r="K147" s="231" t="s">
        <v>1312</v>
      </c>
      <c r="L147" s="232">
        <v>45170</v>
      </c>
      <c r="M147" s="232">
        <v>45199</v>
      </c>
    </row>
    <row r="148" spans="1:13" ht="18.75" customHeight="1" x14ac:dyDescent="0.2">
      <c r="A148" s="231" t="s">
        <v>10</v>
      </c>
      <c r="B148" s="230">
        <v>113436</v>
      </c>
      <c r="C148" s="230">
        <v>10750</v>
      </c>
      <c r="D148" s="231" t="s">
        <v>780</v>
      </c>
      <c r="E148" s="230">
        <v>14491078</v>
      </c>
      <c r="F148" s="230">
        <v>31307</v>
      </c>
      <c r="G148" s="230">
        <v>25</v>
      </c>
      <c r="H148" s="240">
        <v>26.3</v>
      </c>
      <c r="I148" s="240">
        <f t="shared" si="2"/>
        <v>657.5</v>
      </c>
      <c r="J148" s="231" t="s">
        <v>1311</v>
      </c>
      <c r="K148" s="231" t="s">
        <v>1312</v>
      </c>
      <c r="L148" s="232">
        <v>45170</v>
      </c>
      <c r="M148" s="232">
        <v>45199</v>
      </c>
    </row>
    <row r="149" spans="1:13" ht="18.75" customHeight="1" x14ac:dyDescent="0.2">
      <c r="A149" s="231" t="s">
        <v>10</v>
      </c>
      <c r="B149" s="230">
        <v>113464</v>
      </c>
      <c r="C149" s="230">
        <v>10756</v>
      </c>
      <c r="D149" s="231" t="s">
        <v>796</v>
      </c>
      <c r="E149" s="230">
        <v>14491078</v>
      </c>
      <c r="F149" s="230">
        <v>31363</v>
      </c>
      <c r="G149" s="230">
        <v>25</v>
      </c>
      <c r="H149" s="240">
        <v>26.3</v>
      </c>
      <c r="I149" s="240">
        <f t="shared" si="2"/>
        <v>657.5</v>
      </c>
      <c r="J149" s="231" t="s">
        <v>1311</v>
      </c>
      <c r="K149" s="231" t="s">
        <v>1312</v>
      </c>
      <c r="L149" s="232">
        <v>45170</v>
      </c>
      <c r="M149" s="232">
        <v>45199</v>
      </c>
    </row>
    <row r="150" spans="1:13" ht="18.75" customHeight="1" x14ac:dyDescent="0.2">
      <c r="A150" s="231" t="s">
        <v>10</v>
      </c>
      <c r="B150" s="230">
        <v>113471</v>
      </c>
      <c r="C150" s="230">
        <v>10766</v>
      </c>
      <c r="D150" s="231" t="s">
        <v>800</v>
      </c>
      <c r="E150" s="230">
        <v>14491078</v>
      </c>
      <c r="F150" s="230">
        <v>31377</v>
      </c>
      <c r="G150" s="230">
        <v>25</v>
      </c>
      <c r="H150" s="240">
        <v>26.3</v>
      </c>
      <c r="I150" s="240">
        <f t="shared" si="2"/>
        <v>657.5</v>
      </c>
      <c r="J150" s="231" t="s">
        <v>1311</v>
      </c>
      <c r="K150" s="231" t="s">
        <v>1312</v>
      </c>
      <c r="L150" s="232">
        <v>45170</v>
      </c>
      <c r="M150" s="232">
        <v>45199</v>
      </c>
    </row>
    <row r="151" spans="1:13" ht="18.75" customHeight="1" x14ac:dyDescent="0.2">
      <c r="A151" s="231" t="s">
        <v>10</v>
      </c>
      <c r="B151" s="230">
        <v>113477</v>
      </c>
      <c r="C151" s="230">
        <v>10766</v>
      </c>
      <c r="D151" s="231" t="s">
        <v>802</v>
      </c>
      <c r="E151" s="230">
        <v>14491078</v>
      </c>
      <c r="F151" s="230">
        <v>31389</v>
      </c>
      <c r="G151" s="230">
        <v>25</v>
      </c>
      <c r="H151" s="240">
        <v>26.3</v>
      </c>
      <c r="I151" s="240">
        <f t="shared" si="2"/>
        <v>657.5</v>
      </c>
      <c r="J151" s="231" t="s">
        <v>1311</v>
      </c>
      <c r="K151" s="231" t="s">
        <v>1312</v>
      </c>
      <c r="L151" s="232">
        <v>45170</v>
      </c>
      <c r="M151" s="232">
        <v>45199</v>
      </c>
    </row>
    <row r="152" spans="1:13" ht="18.75" customHeight="1" x14ac:dyDescent="0.2">
      <c r="A152" s="231" t="s">
        <v>10</v>
      </c>
      <c r="B152" s="230">
        <v>113480</v>
      </c>
      <c r="C152" s="230">
        <v>10750</v>
      </c>
      <c r="D152" s="231" t="s">
        <v>804</v>
      </c>
      <c r="E152" s="230">
        <v>14491078</v>
      </c>
      <c r="F152" s="230">
        <v>31395</v>
      </c>
      <c r="G152" s="230">
        <v>25</v>
      </c>
      <c r="H152" s="240">
        <v>26.3</v>
      </c>
      <c r="I152" s="240">
        <f t="shared" si="2"/>
        <v>657.5</v>
      </c>
      <c r="J152" s="231" t="s">
        <v>1311</v>
      </c>
      <c r="K152" s="231" t="s">
        <v>1312</v>
      </c>
      <c r="L152" s="232">
        <v>45170</v>
      </c>
      <c r="M152" s="232">
        <v>45199</v>
      </c>
    </row>
    <row r="153" spans="1:13" ht="18.75" customHeight="1" x14ac:dyDescent="0.2">
      <c r="A153" s="231" t="s">
        <v>10</v>
      </c>
      <c r="B153" s="230">
        <v>113496</v>
      </c>
      <c r="C153" s="230">
        <v>10750</v>
      </c>
      <c r="D153" s="231" t="s">
        <v>812</v>
      </c>
      <c r="E153" s="230">
        <v>14491078</v>
      </c>
      <c r="F153" s="230">
        <v>31427</v>
      </c>
      <c r="G153" s="230">
        <v>25</v>
      </c>
      <c r="H153" s="240">
        <v>26.3</v>
      </c>
      <c r="I153" s="240">
        <f t="shared" si="2"/>
        <v>657.5</v>
      </c>
      <c r="J153" s="231" t="s">
        <v>1311</v>
      </c>
      <c r="K153" s="231" t="s">
        <v>1312</v>
      </c>
      <c r="L153" s="232">
        <v>45170</v>
      </c>
      <c r="M153" s="232">
        <v>45199</v>
      </c>
    </row>
    <row r="154" spans="1:13" ht="18.75" customHeight="1" x14ac:dyDescent="0.2">
      <c r="A154" s="231" t="s">
        <v>10</v>
      </c>
      <c r="B154" s="230">
        <v>113515</v>
      </c>
      <c r="C154" s="230">
        <v>10750</v>
      </c>
      <c r="D154" s="231" t="s">
        <v>821</v>
      </c>
      <c r="E154" s="230">
        <v>14491078</v>
      </c>
      <c r="F154" s="230">
        <v>31465</v>
      </c>
      <c r="G154" s="230">
        <v>25</v>
      </c>
      <c r="H154" s="240">
        <v>26.3</v>
      </c>
      <c r="I154" s="240">
        <f t="shared" si="2"/>
        <v>657.5</v>
      </c>
      <c r="J154" s="231" t="s">
        <v>1311</v>
      </c>
      <c r="K154" s="231" t="s">
        <v>1312</v>
      </c>
      <c r="L154" s="232">
        <v>45170</v>
      </c>
      <c r="M154" s="232">
        <v>45199</v>
      </c>
    </row>
    <row r="155" spans="1:13" ht="18.75" customHeight="1" x14ac:dyDescent="0.2">
      <c r="A155" s="231" t="s">
        <v>10</v>
      </c>
      <c r="B155" s="230">
        <v>113516</v>
      </c>
      <c r="C155" s="230">
        <v>10750</v>
      </c>
      <c r="D155" s="231" t="s">
        <v>822</v>
      </c>
      <c r="E155" s="230">
        <v>14491078</v>
      </c>
      <c r="F155" s="230">
        <v>31467</v>
      </c>
      <c r="G155" s="230">
        <v>25</v>
      </c>
      <c r="H155" s="240">
        <v>26.3</v>
      </c>
      <c r="I155" s="240">
        <f t="shared" si="2"/>
        <v>657.5</v>
      </c>
      <c r="J155" s="231" t="s">
        <v>1311</v>
      </c>
      <c r="K155" s="231" t="s">
        <v>1312</v>
      </c>
      <c r="L155" s="232">
        <v>45170</v>
      </c>
      <c r="M155" s="232">
        <v>45199</v>
      </c>
    </row>
    <row r="156" spans="1:13" ht="18.75" customHeight="1" x14ac:dyDescent="0.2">
      <c r="A156" s="231" t="s">
        <v>10</v>
      </c>
      <c r="B156" s="230">
        <v>113531</v>
      </c>
      <c r="C156" s="230">
        <v>10750</v>
      </c>
      <c r="D156" s="231" t="s">
        <v>1383</v>
      </c>
      <c r="E156" s="230">
        <v>14491078</v>
      </c>
      <c r="F156" s="230">
        <v>31497</v>
      </c>
      <c r="G156" s="230">
        <v>25</v>
      </c>
      <c r="H156" s="240">
        <v>26.3</v>
      </c>
      <c r="I156" s="240">
        <f t="shared" si="2"/>
        <v>657.5</v>
      </c>
      <c r="J156" s="231" t="s">
        <v>1311</v>
      </c>
      <c r="K156" s="231" t="s">
        <v>1312</v>
      </c>
      <c r="L156" s="232">
        <v>45170</v>
      </c>
      <c r="M156" s="232">
        <v>45199</v>
      </c>
    </row>
    <row r="157" spans="1:13" ht="18.75" customHeight="1" x14ac:dyDescent="0.2">
      <c r="A157" s="231" t="s">
        <v>10</v>
      </c>
      <c r="B157" s="230">
        <v>113532</v>
      </c>
      <c r="C157" s="230">
        <v>10758</v>
      </c>
      <c r="D157" s="231" t="s">
        <v>831</v>
      </c>
      <c r="E157" s="230">
        <v>14491078</v>
      </c>
      <c r="F157" s="230">
        <v>31499</v>
      </c>
      <c r="G157" s="230">
        <v>25</v>
      </c>
      <c r="H157" s="240">
        <v>26.3</v>
      </c>
      <c r="I157" s="240">
        <f t="shared" si="2"/>
        <v>657.5</v>
      </c>
      <c r="J157" s="231" t="s">
        <v>1311</v>
      </c>
      <c r="K157" s="231" t="s">
        <v>1312</v>
      </c>
      <c r="L157" s="232">
        <v>45170</v>
      </c>
      <c r="M157" s="232">
        <v>45199</v>
      </c>
    </row>
    <row r="158" spans="1:13" ht="18.75" customHeight="1" x14ac:dyDescent="0.2">
      <c r="A158" s="231" t="s">
        <v>10</v>
      </c>
      <c r="B158" s="230">
        <v>113533</v>
      </c>
      <c r="C158" s="230">
        <v>10750</v>
      </c>
      <c r="D158" s="231" t="s">
        <v>832</v>
      </c>
      <c r="E158" s="230">
        <v>14491078</v>
      </c>
      <c r="F158" s="230">
        <v>31501</v>
      </c>
      <c r="G158" s="230">
        <v>25</v>
      </c>
      <c r="H158" s="240">
        <v>26.3</v>
      </c>
      <c r="I158" s="240">
        <f t="shared" si="2"/>
        <v>657.5</v>
      </c>
      <c r="J158" s="231" t="s">
        <v>1311</v>
      </c>
      <c r="K158" s="231" t="s">
        <v>1312</v>
      </c>
      <c r="L158" s="232">
        <v>45170</v>
      </c>
      <c r="M158" s="232">
        <v>45199</v>
      </c>
    </row>
    <row r="159" spans="1:13" ht="18.75" customHeight="1" x14ac:dyDescent="0.2">
      <c r="A159" s="231" t="s">
        <v>10</v>
      </c>
      <c r="B159" s="230">
        <v>113536</v>
      </c>
      <c r="C159" s="230">
        <v>10754</v>
      </c>
      <c r="D159" s="231" t="s">
        <v>834</v>
      </c>
      <c r="E159" s="230">
        <v>14491078</v>
      </c>
      <c r="F159" s="230">
        <v>31507</v>
      </c>
      <c r="G159" s="230">
        <v>25</v>
      </c>
      <c r="H159" s="240">
        <v>26.3</v>
      </c>
      <c r="I159" s="240">
        <f t="shared" si="2"/>
        <v>657.5</v>
      </c>
      <c r="J159" s="231" t="s">
        <v>1311</v>
      </c>
      <c r="K159" s="231" t="s">
        <v>1312</v>
      </c>
      <c r="L159" s="232">
        <v>45170</v>
      </c>
      <c r="M159" s="232">
        <v>45199</v>
      </c>
    </row>
    <row r="160" spans="1:13" ht="18.75" customHeight="1" x14ac:dyDescent="0.2">
      <c r="A160" s="231" t="s">
        <v>10</v>
      </c>
      <c r="B160" s="230">
        <v>113550</v>
      </c>
      <c r="C160" s="230">
        <v>10760</v>
      </c>
      <c r="D160" s="231" t="s">
        <v>844</v>
      </c>
      <c r="E160" s="230">
        <v>14491078</v>
      </c>
      <c r="F160" s="230">
        <v>31535</v>
      </c>
      <c r="G160" s="230">
        <v>25</v>
      </c>
      <c r="H160" s="240">
        <v>26.3</v>
      </c>
      <c r="I160" s="240">
        <f t="shared" si="2"/>
        <v>657.5</v>
      </c>
      <c r="J160" s="231" t="s">
        <v>1311</v>
      </c>
      <c r="K160" s="231" t="s">
        <v>1312</v>
      </c>
      <c r="L160" s="232">
        <v>45170</v>
      </c>
      <c r="M160" s="232">
        <v>45199</v>
      </c>
    </row>
    <row r="161" spans="1:13" ht="18.75" customHeight="1" x14ac:dyDescent="0.2">
      <c r="A161" s="231" t="s">
        <v>10</v>
      </c>
      <c r="B161" s="230">
        <v>113560</v>
      </c>
      <c r="C161" s="230">
        <v>10760</v>
      </c>
      <c r="D161" s="231" t="s">
        <v>851</v>
      </c>
      <c r="E161" s="230">
        <v>14491078</v>
      </c>
      <c r="F161" s="230">
        <v>31555</v>
      </c>
      <c r="G161" s="230">
        <v>25</v>
      </c>
      <c r="H161" s="240">
        <v>26.3</v>
      </c>
      <c r="I161" s="240">
        <f t="shared" si="2"/>
        <v>657.5</v>
      </c>
      <c r="J161" s="231" t="s">
        <v>1311</v>
      </c>
      <c r="K161" s="231" t="s">
        <v>1312</v>
      </c>
      <c r="L161" s="232">
        <v>45170</v>
      </c>
      <c r="M161" s="232">
        <v>45199</v>
      </c>
    </row>
    <row r="162" spans="1:13" ht="18.75" customHeight="1" x14ac:dyDescent="0.2">
      <c r="A162" s="231" t="s">
        <v>10</v>
      </c>
      <c r="B162" s="230">
        <v>113561</v>
      </c>
      <c r="C162" s="230">
        <v>10750</v>
      </c>
      <c r="D162" s="231" t="s">
        <v>852</v>
      </c>
      <c r="E162" s="230">
        <v>14491078</v>
      </c>
      <c r="F162" s="230">
        <v>31557</v>
      </c>
      <c r="G162" s="230">
        <v>25</v>
      </c>
      <c r="H162" s="240">
        <v>26.3</v>
      </c>
      <c r="I162" s="240">
        <f t="shared" si="2"/>
        <v>657.5</v>
      </c>
      <c r="J162" s="231" t="s">
        <v>1311</v>
      </c>
      <c r="K162" s="231" t="s">
        <v>1312</v>
      </c>
      <c r="L162" s="232">
        <v>45170</v>
      </c>
      <c r="M162" s="232">
        <v>45199</v>
      </c>
    </row>
    <row r="163" spans="1:13" ht="18.75" customHeight="1" x14ac:dyDescent="0.2">
      <c r="A163" s="231" t="s">
        <v>10</v>
      </c>
      <c r="B163" s="230">
        <v>113586</v>
      </c>
      <c r="C163" s="230">
        <v>10750</v>
      </c>
      <c r="D163" s="231" t="s">
        <v>862</v>
      </c>
      <c r="E163" s="230">
        <v>14491078</v>
      </c>
      <c r="F163" s="230">
        <v>31607</v>
      </c>
      <c r="G163" s="230">
        <v>25</v>
      </c>
      <c r="H163" s="240">
        <v>26.3</v>
      </c>
      <c r="I163" s="240">
        <f t="shared" si="2"/>
        <v>657.5</v>
      </c>
      <c r="J163" s="231" t="s">
        <v>1311</v>
      </c>
      <c r="K163" s="231" t="s">
        <v>1312</v>
      </c>
      <c r="L163" s="232">
        <v>45170</v>
      </c>
      <c r="M163" s="232">
        <v>45199</v>
      </c>
    </row>
    <row r="164" spans="1:13" ht="18.75" customHeight="1" x14ac:dyDescent="0.2">
      <c r="A164" s="231" t="s">
        <v>10</v>
      </c>
      <c r="B164" s="230">
        <v>113589</v>
      </c>
      <c r="C164" s="230">
        <v>10760</v>
      </c>
      <c r="D164" s="231" t="s">
        <v>1404</v>
      </c>
      <c r="E164" s="230">
        <v>14491078</v>
      </c>
      <c r="F164" s="230">
        <v>31613</v>
      </c>
      <c r="G164" s="230">
        <v>25</v>
      </c>
      <c r="H164" s="240">
        <v>26.3</v>
      </c>
      <c r="I164" s="240">
        <f t="shared" si="2"/>
        <v>657.5</v>
      </c>
      <c r="J164" s="231" t="s">
        <v>1311</v>
      </c>
      <c r="K164" s="231" t="s">
        <v>1312</v>
      </c>
      <c r="L164" s="232">
        <v>45170</v>
      </c>
      <c r="M164" s="232">
        <v>45199</v>
      </c>
    </row>
    <row r="165" spans="1:13" ht="18.75" customHeight="1" x14ac:dyDescent="0.2">
      <c r="A165" s="231" t="s">
        <v>10</v>
      </c>
      <c r="B165" s="230">
        <v>113590</v>
      </c>
      <c r="C165" s="230">
        <v>10757</v>
      </c>
      <c r="D165" s="231" t="s">
        <v>865</v>
      </c>
      <c r="E165" s="230">
        <v>14491078</v>
      </c>
      <c r="F165" s="230">
        <v>31615</v>
      </c>
      <c r="G165" s="230">
        <v>25</v>
      </c>
      <c r="H165" s="240">
        <v>26.3</v>
      </c>
      <c r="I165" s="240">
        <f t="shared" si="2"/>
        <v>657.5</v>
      </c>
      <c r="J165" s="231" t="s">
        <v>1311</v>
      </c>
      <c r="K165" s="231" t="s">
        <v>1312</v>
      </c>
      <c r="L165" s="232">
        <v>45170</v>
      </c>
      <c r="M165" s="232">
        <v>45199</v>
      </c>
    </row>
    <row r="166" spans="1:13" ht="18.75" customHeight="1" x14ac:dyDescent="0.2">
      <c r="A166" s="231" t="s">
        <v>10</v>
      </c>
      <c r="B166" s="230">
        <v>113609</v>
      </c>
      <c r="C166" s="230">
        <v>10760</v>
      </c>
      <c r="D166" s="231" t="s">
        <v>874</v>
      </c>
      <c r="E166" s="230">
        <v>14491078</v>
      </c>
      <c r="F166" s="230">
        <v>31653</v>
      </c>
      <c r="G166" s="230">
        <v>25</v>
      </c>
      <c r="H166" s="240">
        <v>26.3</v>
      </c>
      <c r="I166" s="240">
        <f t="shared" si="2"/>
        <v>657.5</v>
      </c>
      <c r="J166" s="231" t="s">
        <v>1311</v>
      </c>
      <c r="K166" s="231" t="s">
        <v>1312</v>
      </c>
      <c r="L166" s="232">
        <v>45170</v>
      </c>
      <c r="M166" s="232">
        <v>45199</v>
      </c>
    </row>
    <row r="167" spans="1:13" ht="18.75" customHeight="1" x14ac:dyDescent="0.2">
      <c r="A167" s="231" t="s">
        <v>10</v>
      </c>
      <c r="B167" s="230">
        <v>113627</v>
      </c>
      <c r="C167" s="230">
        <v>10757</v>
      </c>
      <c r="D167" s="231" t="s">
        <v>883</v>
      </c>
      <c r="E167" s="230">
        <v>14491078</v>
      </c>
      <c r="F167" s="230">
        <v>31689</v>
      </c>
      <c r="G167" s="230">
        <v>25</v>
      </c>
      <c r="H167" s="240">
        <v>26.3</v>
      </c>
      <c r="I167" s="240">
        <f t="shared" si="2"/>
        <v>657.5</v>
      </c>
      <c r="J167" s="231" t="s">
        <v>1311</v>
      </c>
      <c r="K167" s="231" t="s">
        <v>1312</v>
      </c>
      <c r="L167" s="232">
        <v>45170</v>
      </c>
      <c r="M167" s="232">
        <v>45199</v>
      </c>
    </row>
    <row r="168" spans="1:13" ht="18.75" customHeight="1" x14ac:dyDescent="0.2">
      <c r="A168" s="231" t="s">
        <v>10</v>
      </c>
      <c r="B168" s="230">
        <v>113631</v>
      </c>
      <c r="C168" s="230">
        <v>10750</v>
      </c>
      <c r="D168" s="231" t="s">
        <v>886</v>
      </c>
      <c r="E168" s="230">
        <v>14491078</v>
      </c>
      <c r="F168" s="230">
        <v>31697</v>
      </c>
      <c r="G168" s="230">
        <v>25</v>
      </c>
      <c r="H168" s="240">
        <v>26.3</v>
      </c>
      <c r="I168" s="240">
        <f t="shared" si="2"/>
        <v>657.5</v>
      </c>
      <c r="J168" s="231" t="s">
        <v>1311</v>
      </c>
      <c r="K168" s="231" t="s">
        <v>1312</v>
      </c>
      <c r="L168" s="232">
        <v>45170</v>
      </c>
      <c r="M168" s="232">
        <v>45199</v>
      </c>
    </row>
    <row r="169" spans="1:13" ht="18.75" customHeight="1" x14ac:dyDescent="0.2">
      <c r="A169" s="231" t="s">
        <v>10</v>
      </c>
      <c r="B169" s="230">
        <v>113658</v>
      </c>
      <c r="C169" s="230">
        <v>10771</v>
      </c>
      <c r="D169" s="231" t="s">
        <v>902</v>
      </c>
      <c r="E169" s="230">
        <v>14491078</v>
      </c>
      <c r="F169" s="230">
        <v>31751</v>
      </c>
      <c r="G169" s="230">
        <v>25</v>
      </c>
      <c r="H169" s="240">
        <v>26.3</v>
      </c>
      <c r="I169" s="240">
        <f t="shared" si="2"/>
        <v>657.5</v>
      </c>
      <c r="J169" s="231" t="s">
        <v>1311</v>
      </c>
      <c r="K169" s="231" t="s">
        <v>1312</v>
      </c>
      <c r="L169" s="232">
        <v>45170</v>
      </c>
      <c r="M169" s="232">
        <v>45199</v>
      </c>
    </row>
    <row r="170" spans="1:13" ht="18.75" customHeight="1" x14ac:dyDescent="0.2">
      <c r="A170" s="231" t="s">
        <v>10</v>
      </c>
      <c r="B170" s="230">
        <v>113677</v>
      </c>
      <c r="C170" s="230">
        <v>10750</v>
      </c>
      <c r="D170" s="231" t="s">
        <v>913</v>
      </c>
      <c r="E170" s="230">
        <v>14491078</v>
      </c>
      <c r="F170" s="230">
        <v>31789</v>
      </c>
      <c r="G170" s="230">
        <v>25</v>
      </c>
      <c r="H170" s="240">
        <v>26.3</v>
      </c>
      <c r="I170" s="240">
        <f t="shared" si="2"/>
        <v>657.5</v>
      </c>
      <c r="J170" s="231" t="s">
        <v>1311</v>
      </c>
      <c r="K170" s="231" t="s">
        <v>1312</v>
      </c>
      <c r="L170" s="232">
        <v>45170</v>
      </c>
      <c r="M170" s="232">
        <v>45199</v>
      </c>
    </row>
    <row r="171" spans="1:13" ht="18.75" customHeight="1" x14ac:dyDescent="0.2">
      <c r="A171" s="231" t="s">
        <v>10</v>
      </c>
      <c r="B171" s="230">
        <v>113712</v>
      </c>
      <c r="C171" s="230">
        <v>10763</v>
      </c>
      <c r="D171" s="231" t="s">
        <v>931</v>
      </c>
      <c r="E171" s="230">
        <v>14491078</v>
      </c>
      <c r="F171" s="230">
        <v>31859</v>
      </c>
      <c r="G171" s="230">
        <v>25</v>
      </c>
      <c r="H171" s="240">
        <v>26.3</v>
      </c>
      <c r="I171" s="240">
        <f t="shared" si="2"/>
        <v>657.5</v>
      </c>
      <c r="J171" s="231" t="s">
        <v>1311</v>
      </c>
      <c r="K171" s="231" t="s">
        <v>1312</v>
      </c>
      <c r="L171" s="232">
        <v>45170</v>
      </c>
      <c r="M171" s="232">
        <v>45199</v>
      </c>
    </row>
    <row r="172" spans="1:13" ht="18.75" customHeight="1" x14ac:dyDescent="0.2">
      <c r="A172" s="231" t="s">
        <v>10</v>
      </c>
      <c r="B172" s="230">
        <v>113722</v>
      </c>
      <c r="C172" s="230">
        <v>10763</v>
      </c>
      <c r="D172" s="231" t="s">
        <v>939</v>
      </c>
      <c r="E172" s="230">
        <v>14491078</v>
      </c>
      <c r="F172" s="230">
        <v>31879</v>
      </c>
      <c r="G172" s="230">
        <v>25</v>
      </c>
      <c r="H172" s="240">
        <v>26.3</v>
      </c>
      <c r="I172" s="240">
        <f t="shared" si="2"/>
        <v>657.5</v>
      </c>
      <c r="J172" s="231" t="s">
        <v>1311</v>
      </c>
      <c r="K172" s="231" t="s">
        <v>1312</v>
      </c>
      <c r="L172" s="232">
        <v>45170</v>
      </c>
      <c r="M172" s="232">
        <v>45199</v>
      </c>
    </row>
    <row r="173" spans="1:13" ht="18.75" customHeight="1" x14ac:dyDescent="0.2">
      <c r="A173" s="231" t="s">
        <v>10</v>
      </c>
      <c r="B173" s="230">
        <v>113774</v>
      </c>
      <c r="C173" s="230">
        <v>10771</v>
      </c>
      <c r="D173" s="231" t="s">
        <v>975</v>
      </c>
      <c r="E173" s="230">
        <v>14491078</v>
      </c>
      <c r="F173" s="230">
        <v>31996</v>
      </c>
      <c r="G173" s="230">
        <v>25</v>
      </c>
      <c r="H173" s="240">
        <v>26.3</v>
      </c>
      <c r="I173" s="240">
        <f t="shared" si="2"/>
        <v>657.5</v>
      </c>
      <c r="J173" s="231" t="s">
        <v>1311</v>
      </c>
      <c r="K173" s="231" t="s">
        <v>1315</v>
      </c>
      <c r="L173" s="232">
        <v>45170</v>
      </c>
      <c r="M173" s="232">
        <v>45199</v>
      </c>
    </row>
    <row r="174" spans="1:13" ht="18.75" customHeight="1" x14ac:dyDescent="0.2">
      <c r="A174" s="231" t="s">
        <v>10</v>
      </c>
      <c r="B174" s="230">
        <v>112818</v>
      </c>
      <c r="C174" s="230">
        <v>10771</v>
      </c>
      <c r="D174" s="231" t="s">
        <v>433</v>
      </c>
      <c r="E174" s="230">
        <v>14491078</v>
      </c>
      <c r="F174" s="230">
        <v>33624</v>
      </c>
      <c r="G174" s="230">
        <v>25</v>
      </c>
      <c r="H174" s="240">
        <v>26.3</v>
      </c>
      <c r="I174" s="240">
        <f t="shared" si="2"/>
        <v>657.5</v>
      </c>
      <c r="J174" s="231" t="s">
        <v>1311</v>
      </c>
      <c r="K174" s="231" t="s">
        <v>1312</v>
      </c>
      <c r="L174" s="232">
        <v>45170</v>
      </c>
      <c r="M174" s="232">
        <v>45199</v>
      </c>
    </row>
    <row r="175" spans="1:13" ht="18.75" customHeight="1" x14ac:dyDescent="0.2">
      <c r="A175" s="231" t="s">
        <v>10</v>
      </c>
      <c r="B175" s="230">
        <v>114031</v>
      </c>
      <c r="C175" s="230">
        <v>10771</v>
      </c>
      <c r="D175" s="231" t="s">
        <v>1000</v>
      </c>
      <c r="E175" s="230">
        <v>14491078</v>
      </c>
      <c r="F175" s="230">
        <v>34127</v>
      </c>
      <c r="G175" s="230">
        <v>25</v>
      </c>
      <c r="H175" s="240">
        <v>26.3</v>
      </c>
      <c r="I175" s="240">
        <f t="shared" si="2"/>
        <v>657.5</v>
      </c>
      <c r="J175" s="231" t="s">
        <v>1311</v>
      </c>
      <c r="K175" s="231" t="s">
        <v>1312</v>
      </c>
      <c r="L175" s="232">
        <v>45170</v>
      </c>
      <c r="M175" s="232">
        <v>45199</v>
      </c>
    </row>
    <row r="176" spans="1:13" ht="18.75" customHeight="1" x14ac:dyDescent="0.2">
      <c r="A176" s="231" t="s">
        <v>10</v>
      </c>
      <c r="B176" s="230">
        <v>114034</v>
      </c>
      <c r="C176" s="230">
        <v>10771</v>
      </c>
      <c r="D176" s="231" t="s">
        <v>1001</v>
      </c>
      <c r="E176" s="230">
        <v>14491078</v>
      </c>
      <c r="F176" s="230">
        <v>34133</v>
      </c>
      <c r="G176" s="230">
        <v>25</v>
      </c>
      <c r="H176" s="240">
        <v>26.3</v>
      </c>
      <c r="I176" s="240">
        <f t="shared" si="2"/>
        <v>657.5</v>
      </c>
      <c r="J176" s="231" t="s">
        <v>1311</v>
      </c>
      <c r="K176" s="231" t="s">
        <v>1312</v>
      </c>
      <c r="L176" s="232">
        <v>45170</v>
      </c>
      <c r="M176" s="232">
        <v>45199</v>
      </c>
    </row>
    <row r="177" spans="1:13" ht="18.75" customHeight="1" x14ac:dyDescent="0.2">
      <c r="A177" s="231" t="s">
        <v>10</v>
      </c>
      <c r="B177" s="230">
        <v>114106</v>
      </c>
      <c r="C177" s="230">
        <v>10757</v>
      </c>
      <c r="D177" s="231" t="s">
        <v>1010</v>
      </c>
      <c r="E177" s="230">
        <v>14491078</v>
      </c>
      <c r="F177" s="230">
        <v>34362</v>
      </c>
      <c r="G177" s="230">
        <v>25</v>
      </c>
      <c r="H177" s="240">
        <v>26.3</v>
      </c>
      <c r="I177" s="240">
        <f t="shared" si="2"/>
        <v>657.5</v>
      </c>
      <c r="J177" s="231" t="s">
        <v>1311</v>
      </c>
      <c r="K177" s="231" t="s">
        <v>1312</v>
      </c>
      <c r="L177" s="232">
        <v>45170</v>
      </c>
      <c r="M177" s="232">
        <v>45199</v>
      </c>
    </row>
    <row r="178" spans="1:13" ht="18.75" customHeight="1" x14ac:dyDescent="0.2">
      <c r="A178" s="231" t="s">
        <v>10</v>
      </c>
      <c r="B178" s="230">
        <v>114272</v>
      </c>
      <c r="C178" s="230">
        <v>10750</v>
      </c>
      <c r="D178" s="231" t="s">
        <v>1033</v>
      </c>
      <c r="E178" s="230">
        <v>14491078</v>
      </c>
      <c r="F178" s="230">
        <v>35824</v>
      </c>
      <c r="G178" s="230">
        <v>25</v>
      </c>
      <c r="H178" s="240">
        <v>26.3</v>
      </c>
      <c r="I178" s="240">
        <f t="shared" si="2"/>
        <v>657.5</v>
      </c>
      <c r="J178" s="231" t="s">
        <v>1311</v>
      </c>
      <c r="K178" s="231" t="s">
        <v>1312</v>
      </c>
      <c r="L178" s="232">
        <v>45170</v>
      </c>
      <c r="M178" s="232">
        <v>45199</v>
      </c>
    </row>
    <row r="179" spans="1:13" ht="18.75" customHeight="1" x14ac:dyDescent="0.2">
      <c r="A179" s="231" t="s">
        <v>10</v>
      </c>
      <c r="B179" s="230">
        <v>114541</v>
      </c>
      <c r="C179" s="230">
        <v>10757</v>
      </c>
      <c r="D179" s="231" t="s">
        <v>1056</v>
      </c>
      <c r="E179" s="230">
        <v>14491078</v>
      </c>
      <c r="F179" s="230">
        <v>36358</v>
      </c>
      <c r="G179" s="230">
        <v>24</v>
      </c>
      <c r="H179" s="240">
        <v>26.3</v>
      </c>
      <c r="I179" s="240">
        <f t="shared" si="2"/>
        <v>631.20000000000005</v>
      </c>
      <c r="J179" s="231" t="s">
        <v>1311</v>
      </c>
      <c r="K179" s="231" t="s">
        <v>1312</v>
      </c>
      <c r="L179" s="232">
        <v>45170</v>
      </c>
      <c r="M179" s="232">
        <v>45199</v>
      </c>
    </row>
    <row r="180" spans="1:13" ht="18.75" customHeight="1" x14ac:dyDescent="0.2">
      <c r="A180" s="231" t="s">
        <v>10</v>
      </c>
      <c r="B180" s="230">
        <v>114679</v>
      </c>
      <c r="C180" s="230">
        <v>10751</v>
      </c>
      <c r="D180" s="231" t="s">
        <v>1066</v>
      </c>
      <c r="E180" s="230">
        <v>14491078</v>
      </c>
      <c r="F180" s="230">
        <v>36798</v>
      </c>
      <c r="G180" s="230">
        <v>25</v>
      </c>
      <c r="H180" s="240">
        <v>26.3</v>
      </c>
      <c r="I180" s="240">
        <f t="shared" si="2"/>
        <v>657.5</v>
      </c>
      <c r="J180" s="231" t="s">
        <v>1311</v>
      </c>
      <c r="K180" s="231" t="s">
        <v>1312</v>
      </c>
      <c r="L180" s="232">
        <v>45170</v>
      </c>
      <c r="M180" s="232">
        <v>45199</v>
      </c>
    </row>
    <row r="181" spans="1:13" ht="18.75" customHeight="1" x14ac:dyDescent="0.2">
      <c r="A181" s="231" t="s">
        <v>10</v>
      </c>
      <c r="B181" s="230">
        <v>114682</v>
      </c>
      <c r="C181" s="230">
        <v>10758</v>
      </c>
      <c r="D181" s="231" t="s">
        <v>1067</v>
      </c>
      <c r="E181" s="230">
        <v>14491078</v>
      </c>
      <c r="F181" s="230">
        <v>36812</v>
      </c>
      <c r="G181" s="230">
        <v>25</v>
      </c>
      <c r="H181" s="240">
        <v>26.3</v>
      </c>
      <c r="I181" s="240">
        <f t="shared" si="2"/>
        <v>657.5</v>
      </c>
      <c r="J181" s="231" t="s">
        <v>1311</v>
      </c>
      <c r="K181" s="231" t="s">
        <v>1312</v>
      </c>
      <c r="L181" s="232">
        <v>45170</v>
      </c>
      <c r="M181" s="232">
        <v>45199</v>
      </c>
    </row>
    <row r="182" spans="1:13" ht="18.75" customHeight="1" x14ac:dyDescent="0.2">
      <c r="A182" s="231" t="s">
        <v>10</v>
      </c>
      <c r="B182" s="230">
        <v>114685</v>
      </c>
      <c r="C182" s="230">
        <v>10754</v>
      </c>
      <c r="D182" s="231" t="s">
        <v>1070</v>
      </c>
      <c r="E182" s="230">
        <v>14491078</v>
      </c>
      <c r="F182" s="230">
        <v>36818</v>
      </c>
      <c r="G182" s="230">
        <v>25</v>
      </c>
      <c r="H182" s="240">
        <v>26.3</v>
      </c>
      <c r="I182" s="240">
        <f t="shared" si="2"/>
        <v>657.5</v>
      </c>
      <c r="J182" s="231" t="s">
        <v>1311</v>
      </c>
      <c r="K182" s="231" t="s">
        <v>1312</v>
      </c>
      <c r="L182" s="232">
        <v>45170</v>
      </c>
      <c r="M182" s="232">
        <v>45199</v>
      </c>
    </row>
    <row r="183" spans="1:13" ht="18.75" customHeight="1" x14ac:dyDescent="0.2">
      <c r="A183" s="231" t="s">
        <v>10</v>
      </c>
      <c r="B183" s="230">
        <v>114702</v>
      </c>
      <c r="C183" s="230">
        <v>10750</v>
      </c>
      <c r="D183" s="231" t="s">
        <v>1079</v>
      </c>
      <c r="E183" s="230">
        <v>14491078</v>
      </c>
      <c r="F183" s="230">
        <v>36853</v>
      </c>
      <c r="G183" s="230">
        <v>24</v>
      </c>
      <c r="H183" s="240">
        <v>26.3</v>
      </c>
      <c r="I183" s="240">
        <f t="shared" si="2"/>
        <v>631.20000000000005</v>
      </c>
      <c r="J183" s="231" t="s">
        <v>1311</v>
      </c>
      <c r="K183" s="231" t="s">
        <v>1312</v>
      </c>
      <c r="L183" s="232">
        <v>45170</v>
      </c>
      <c r="M183" s="232">
        <v>45199</v>
      </c>
    </row>
    <row r="184" spans="1:13" ht="18.75" customHeight="1" x14ac:dyDescent="0.2">
      <c r="A184" s="231" t="s">
        <v>10</v>
      </c>
      <c r="B184" s="230">
        <v>114711</v>
      </c>
      <c r="C184" s="230">
        <v>10758</v>
      </c>
      <c r="D184" s="231" t="s">
        <v>1081</v>
      </c>
      <c r="E184" s="230">
        <v>14491078</v>
      </c>
      <c r="F184" s="230">
        <v>36871</v>
      </c>
      <c r="G184" s="230">
        <v>25</v>
      </c>
      <c r="H184" s="240">
        <v>26.3</v>
      </c>
      <c r="I184" s="240">
        <f t="shared" si="2"/>
        <v>657.5</v>
      </c>
      <c r="J184" s="231" t="s">
        <v>1311</v>
      </c>
      <c r="K184" s="231" t="s">
        <v>1312</v>
      </c>
      <c r="L184" s="232">
        <v>45170</v>
      </c>
      <c r="M184" s="232">
        <v>45199</v>
      </c>
    </row>
    <row r="185" spans="1:13" ht="18.75" customHeight="1" x14ac:dyDescent="0.2">
      <c r="A185" s="231" t="s">
        <v>10</v>
      </c>
      <c r="B185" s="230">
        <v>114712</v>
      </c>
      <c r="C185" s="230">
        <v>10750</v>
      </c>
      <c r="D185" s="231" t="s">
        <v>1082</v>
      </c>
      <c r="E185" s="230">
        <v>14491078</v>
      </c>
      <c r="F185" s="230">
        <v>36873</v>
      </c>
      <c r="G185" s="230">
        <v>25</v>
      </c>
      <c r="H185" s="240">
        <v>26.3</v>
      </c>
      <c r="I185" s="240">
        <f t="shared" si="2"/>
        <v>657.5</v>
      </c>
      <c r="J185" s="231" t="s">
        <v>1311</v>
      </c>
      <c r="K185" s="231" t="s">
        <v>1312</v>
      </c>
      <c r="L185" s="232">
        <v>45170</v>
      </c>
      <c r="M185" s="232">
        <v>45199</v>
      </c>
    </row>
    <row r="186" spans="1:13" ht="18.75" customHeight="1" x14ac:dyDescent="0.2">
      <c r="A186" s="231" t="s">
        <v>10</v>
      </c>
      <c r="B186" s="230">
        <v>114749</v>
      </c>
      <c r="C186" s="230">
        <v>10758</v>
      </c>
      <c r="D186" s="231" t="s">
        <v>1094</v>
      </c>
      <c r="E186" s="230">
        <v>14491078</v>
      </c>
      <c r="F186" s="230">
        <v>36947</v>
      </c>
      <c r="G186" s="230">
        <v>25</v>
      </c>
      <c r="H186" s="240">
        <v>26.3</v>
      </c>
      <c r="I186" s="240">
        <f t="shared" si="2"/>
        <v>657.5</v>
      </c>
      <c r="J186" s="231" t="s">
        <v>1311</v>
      </c>
      <c r="K186" s="231" t="s">
        <v>1312</v>
      </c>
      <c r="L186" s="232">
        <v>45170</v>
      </c>
      <c r="M186" s="232">
        <v>45199</v>
      </c>
    </row>
    <row r="187" spans="1:13" ht="18.75" customHeight="1" x14ac:dyDescent="0.2">
      <c r="A187" s="231" t="s">
        <v>10</v>
      </c>
      <c r="B187" s="230">
        <v>114930</v>
      </c>
      <c r="C187" s="230">
        <v>10757</v>
      </c>
      <c r="D187" s="231" t="s">
        <v>1381</v>
      </c>
      <c r="E187" s="230">
        <v>14491078</v>
      </c>
      <c r="F187" s="230">
        <v>37639</v>
      </c>
      <c r="G187" s="230">
        <v>25</v>
      </c>
      <c r="H187" s="240">
        <v>26.3</v>
      </c>
      <c r="I187" s="240">
        <f t="shared" si="2"/>
        <v>657.5</v>
      </c>
      <c r="J187" s="231" t="s">
        <v>1311</v>
      </c>
      <c r="K187" s="231" t="s">
        <v>1312</v>
      </c>
      <c r="L187" s="232">
        <v>45170</v>
      </c>
      <c r="M187" s="232">
        <v>45199</v>
      </c>
    </row>
    <row r="188" spans="1:13" ht="18.75" customHeight="1" x14ac:dyDescent="0.2">
      <c r="A188" s="231" t="s">
        <v>10</v>
      </c>
      <c r="B188" s="230">
        <v>115223</v>
      </c>
      <c r="C188" s="230">
        <v>10755</v>
      </c>
      <c r="D188" s="231" t="s">
        <v>1149</v>
      </c>
      <c r="E188" s="230">
        <v>14491078</v>
      </c>
      <c r="F188" s="230">
        <v>38497</v>
      </c>
      <c r="G188" s="230">
        <v>25</v>
      </c>
      <c r="H188" s="240">
        <v>26.3</v>
      </c>
      <c r="I188" s="240">
        <f t="shared" si="2"/>
        <v>657.5</v>
      </c>
      <c r="J188" s="231" t="s">
        <v>1311</v>
      </c>
      <c r="K188" s="231" t="s">
        <v>1312</v>
      </c>
      <c r="L188" s="232">
        <v>45170</v>
      </c>
      <c r="M188" s="232">
        <v>45199</v>
      </c>
    </row>
    <row r="189" spans="1:13" ht="18.75" customHeight="1" x14ac:dyDescent="0.2">
      <c r="A189" s="231" t="s">
        <v>10</v>
      </c>
      <c r="B189" s="230">
        <v>116021</v>
      </c>
      <c r="C189" s="230">
        <v>10766</v>
      </c>
      <c r="D189" s="231" t="s">
        <v>1178</v>
      </c>
      <c r="E189" s="230">
        <v>14491078</v>
      </c>
      <c r="F189" s="230">
        <v>40902</v>
      </c>
      <c r="G189" s="230">
        <v>24</v>
      </c>
      <c r="H189" s="240">
        <v>26.3</v>
      </c>
      <c r="I189" s="240">
        <f t="shared" si="2"/>
        <v>631.20000000000005</v>
      </c>
      <c r="J189" s="231" t="s">
        <v>1311</v>
      </c>
      <c r="K189" s="231" t="s">
        <v>1312</v>
      </c>
      <c r="L189" s="232">
        <v>45170</v>
      </c>
      <c r="M189" s="232">
        <v>45199</v>
      </c>
    </row>
    <row r="190" spans="1:13" ht="18.75" customHeight="1" x14ac:dyDescent="0.2">
      <c r="A190" s="231" t="s">
        <v>10</v>
      </c>
      <c r="B190" s="230">
        <v>116024</v>
      </c>
      <c r="C190" s="230">
        <v>10760</v>
      </c>
      <c r="D190" s="231" t="s">
        <v>1179</v>
      </c>
      <c r="E190" s="230">
        <v>14491078</v>
      </c>
      <c r="F190" s="230">
        <v>40909</v>
      </c>
      <c r="G190" s="230">
        <v>25</v>
      </c>
      <c r="H190" s="240">
        <v>26.3</v>
      </c>
      <c r="I190" s="240">
        <f t="shared" si="2"/>
        <v>657.5</v>
      </c>
      <c r="J190" s="231" t="s">
        <v>1311</v>
      </c>
      <c r="K190" s="231" t="s">
        <v>1312</v>
      </c>
      <c r="L190" s="232">
        <v>45170</v>
      </c>
      <c r="M190" s="232">
        <v>45199</v>
      </c>
    </row>
    <row r="191" spans="1:13" ht="18.75" customHeight="1" x14ac:dyDescent="0.2">
      <c r="A191" s="231" t="s">
        <v>10</v>
      </c>
      <c r="B191" s="230">
        <v>116027</v>
      </c>
      <c r="C191" s="230">
        <v>10757</v>
      </c>
      <c r="D191" s="231" t="s">
        <v>1181</v>
      </c>
      <c r="E191" s="230">
        <v>14491078</v>
      </c>
      <c r="F191" s="230">
        <v>40915</v>
      </c>
      <c r="G191" s="230">
        <v>23</v>
      </c>
      <c r="H191" s="240">
        <v>26.3</v>
      </c>
      <c r="I191" s="240">
        <f t="shared" si="2"/>
        <v>604.9</v>
      </c>
      <c r="J191" s="231" t="s">
        <v>1311</v>
      </c>
      <c r="K191" s="231" t="s">
        <v>1312</v>
      </c>
      <c r="L191" s="232">
        <v>45170</v>
      </c>
      <c r="M191" s="232">
        <v>45199</v>
      </c>
    </row>
    <row r="192" spans="1:13" ht="18.75" customHeight="1" x14ac:dyDescent="0.2">
      <c r="A192" s="231" t="s">
        <v>10</v>
      </c>
      <c r="B192" s="230">
        <v>116316</v>
      </c>
      <c r="C192" s="230">
        <v>10757</v>
      </c>
      <c r="D192" s="231" t="s">
        <v>1205</v>
      </c>
      <c r="E192" s="230">
        <v>14491078</v>
      </c>
      <c r="F192" s="230">
        <v>41847</v>
      </c>
      <c r="G192" s="230">
        <v>25</v>
      </c>
      <c r="H192" s="240">
        <v>26.3</v>
      </c>
      <c r="I192" s="240">
        <f t="shared" si="2"/>
        <v>657.5</v>
      </c>
      <c r="J192" s="231" t="s">
        <v>1311</v>
      </c>
      <c r="K192" s="231" t="s">
        <v>1312</v>
      </c>
      <c r="L192" s="232">
        <v>45170</v>
      </c>
      <c r="M192" s="232">
        <v>45199</v>
      </c>
    </row>
    <row r="193" spans="1:13" ht="18.75" customHeight="1" x14ac:dyDescent="0.2">
      <c r="A193" s="231" t="s">
        <v>10</v>
      </c>
      <c r="B193" s="230">
        <v>116320</v>
      </c>
      <c r="C193" s="230">
        <v>10766</v>
      </c>
      <c r="D193" s="231" t="s">
        <v>1206</v>
      </c>
      <c r="E193" s="230">
        <v>14491078</v>
      </c>
      <c r="F193" s="230">
        <v>41853</v>
      </c>
      <c r="G193" s="230">
        <v>25</v>
      </c>
      <c r="H193" s="240">
        <v>26.3</v>
      </c>
      <c r="I193" s="240">
        <f t="shared" si="2"/>
        <v>657.5</v>
      </c>
      <c r="J193" s="231" t="s">
        <v>1311</v>
      </c>
      <c r="K193" s="231" t="s">
        <v>1312</v>
      </c>
      <c r="L193" s="232">
        <v>45170</v>
      </c>
      <c r="M193" s="232">
        <v>45199</v>
      </c>
    </row>
    <row r="194" spans="1:13" ht="18.75" customHeight="1" x14ac:dyDescent="0.2">
      <c r="A194" s="231" t="s">
        <v>10</v>
      </c>
      <c r="B194" s="230">
        <v>116326</v>
      </c>
      <c r="C194" s="230">
        <v>10766</v>
      </c>
      <c r="D194" s="231" t="s">
        <v>1210</v>
      </c>
      <c r="E194" s="230">
        <v>14491078</v>
      </c>
      <c r="F194" s="230">
        <v>41863</v>
      </c>
      <c r="G194" s="230">
        <v>25</v>
      </c>
      <c r="H194" s="240">
        <v>26.3</v>
      </c>
      <c r="I194" s="240">
        <f t="shared" si="2"/>
        <v>657.5</v>
      </c>
      <c r="J194" s="231" t="s">
        <v>1311</v>
      </c>
      <c r="K194" s="231" t="s">
        <v>1312</v>
      </c>
      <c r="L194" s="232">
        <v>45170</v>
      </c>
      <c r="M194" s="232">
        <v>45199</v>
      </c>
    </row>
    <row r="195" spans="1:13" ht="18.75" customHeight="1" x14ac:dyDescent="0.2">
      <c r="A195" s="231" t="s">
        <v>10</v>
      </c>
      <c r="B195" s="230">
        <v>116712</v>
      </c>
      <c r="C195" s="230">
        <v>10760</v>
      </c>
      <c r="D195" s="231" t="s">
        <v>1218</v>
      </c>
      <c r="E195" s="230">
        <v>14491078</v>
      </c>
      <c r="F195" s="230">
        <v>42810</v>
      </c>
      <c r="G195" s="230">
        <v>25</v>
      </c>
      <c r="H195" s="240">
        <v>26.3</v>
      </c>
      <c r="I195" s="240">
        <f t="shared" ref="I195:I258" si="3">G195*H195</f>
        <v>657.5</v>
      </c>
      <c r="J195" s="231" t="s">
        <v>1311</v>
      </c>
      <c r="K195" s="231" t="s">
        <v>1312</v>
      </c>
      <c r="L195" s="232">
        <v>45170</v>
      </c>
      <c r="M195" s="232">
        <v>45199</v>
      </c>
    </row>
    <row r="196" spans="1:13" ht="18.75" customHeight="1" x14ac:dyDescent="0.2">
      <c r="A196" s="231" t="s">
        <v>10</v>
      </c>
      <c r="B196" s="230">
        <v>116720</v>
      </c>
      <c r="C196" s="230">
        <v>10754</v>
      </c>
      <c r="D196" s="231" t="s">
        <v>680</v>
      </c>
      <c r="E196" s="230">
        <v>14491078</v>
      </c>
      <c r="F196" s="230">
        <v>42826</v>
      </c>
      <c r="G196" s="230">
        <v>25</v>
      </c>
      <c r="H196" s="240">
        <v>26.3</v>
      </c>
      <c r="I196" s="240">
        <f t="shared" si="3"/>
        <v>657.5</v>
      </c>
      <c r="J196" s="231" t="s">
        <v>1311</v>
      </c>
      <c r="K196" s="231" t="s">
        <v>1312</v>
      </c>
      <c r="L196" s="232">
        <v>45170</v>
      </c>
      <c r="M196" s="232">
        <v>45199</v>
      </c>
    </row>
    <row r="197" spans="1:13" ht="18.75" customHeight="1" x14ac:dyDescent="0.2">
      <c r="A197" s="231" t="s">
        <v>10</v>
      </c>
      <c r="B197" s="230">
        <v>116974</v>
      </c>
      <c r="C197" s="230">
        <v>10766</v>
      </c>
      <c r="D197" s="231" t="s">
        <v>1333</v>
      </c>
      <c r="E197" s="230">
        <v>14491078</v>
      </c>
      <c r="F197" s="230">
        <v>43459</v>
      </c>
      <c r="G197" s="230">
        <v>25</v>
      </c>
      <c r="H197" s="240">
        <v>26.3</v>
      </c>
      <c r="I197" s="240">
        <f t="shared" si="3"/>
        <v>657.5</v>
      </c>
      <c r="J197" s="231" t="s">
        <v>1311</v>
      </c>
      <c r="K197" s="231" t="s">
        <v>1312</v>
      </c>
      <c r="L197" s="232">
        <v>45170</v>
      </c>
      <c r="M197" s="232">
        <v>45199</v>
      </c>
    </row>
    <row r="198" spans="1:13" ht="18.75" customHeight="1" x14ac:dyDescent="0.2">
      <c r="A198" s="231" t="s">
        <v>10</v>
      </c>
      <c r="B198" s="230">
        <v>116978</v>
      </c>
      <c r="C198" s="230">
        <v>10745</v>
      </c>
      <c r="D198" s="231" t="s">
        <v>1246</v>
      </c>
      <c r="E198" s="230">
        <v>14491078</v>
      </c>
      <c r="F198" s="230">
        <v>43467</v>
      </c>
      <c r="G198" s="230">
        <v>23</v>
      </c>
      <c r="H198" s="240">
        <v>26.3</v>
      </c>
      <c r="I198" s="240">
        <f t="shared" si="3"/>
        <v>604.9</v>
      </c>
      <c r="J198" s="231" t="s">
        <v>1311</v>
      </c>
      <c r="K198" s="231" t="s">
        <v>1312</v>
      </c>
      <c r="L198" s="232">
        <v>45170</v>
      </c>
      <c r="M198" s="232">
        <v>45199</v>
      </c>
    </row>
    <row r="199" spans="1:13" ht="18.75" customHeight="1" x14ac:dyDescent="0.2">
      <c r="A199" s="231" t="s">
        <v>10</v>
      </c>
      <c r="B199" s="230">
        <v>117247</v>
      </c>
      <c r="C199" s="230">
        <v>10771</v>
      </c>
      <c r="D199" s="231" t="s">
        <v>1265</v>
      </c>
      <c r="E199" s="230">
        <v>14491078</v>
      </c>
      <c r="F199" s="230">
        <v>44111</v>
      </c>
      <c r="G199" s="230">
        <v>25</v>
      </c>
      <c r="H199" s="240">
        <v>26.3</v>
      </c>
      <c r="I199" s="240">
        <f t="shared" si="3"/>
        <v>657.5</v>
      </c>
      <c r="J199" s="231" t="s">
        <v>1311</v>
      </c>
      <c r="K199" s="231" t="s">
        <v>1312</v>
      </c>
      <c r="L199" s="232">
        <v>45170</v>
      </c>
      <c r="M199" s="232">
        <v>45199</v>
      </c>
    </row>
    <row r="200" spans="1:13" ht="18.75" customHeight="1" x14ac:dyDescent="0.2">
      <c r="A200" s="231" t="s">
        <v>10</v>
      </c>
      <c r="B200" s="230">
        <v>117406</v>
      </c>
      <c r="C200" s="230">
        <v>10750</v>
      </c>
      <c r="D200" s="231" t="s">
        <v>1274</v>
      </c>
      <c r="E200" s="230">
        <v>14491078</v>
      </c>
      <c r="F200" s="230">
        <v>44515</v>
      </c>
      <c r="G200" s="230">
        <v>25</v>
      </c>
      <c r="H200" s="240">
        <v>26.3</v>
      </c>
      <c r="I200" s="240">
        <f t="shared" si="3"/>
        <v>657.5</v>
      </c>
      <c r="J200" s="231" t="s">
        <v>1311</v>
      </c>
      <c r="K200" s="231" t="s">
        <v>1315</v>
      </c>
      <c r="L200" s="232">
        <v>45170</v>
      </c>
      <c r="M200" s="232">
        <v>45199</v>
      </c>
    </row>
    <row r="201" spans="1:13" ht="18.75" customHeight="1" x14ac:dyDescent="0.2">
      <c r="A201" s="231" t="s">
        <v>10</v>
      </c>
      <c r="B201" s="230">
        <v>117414</v>
      </c>
      <c r="C201" s="230">
        <v>10750</v>
      </c>
      <c r="D201" s="231" t="s">
        <v>1280</v>
      </c>
      <c r="E201" s="230">
        <v>14491078</v>
      </c>
      <c r="F201" s="230">
        <v>44529</v>
      </c>
      <c r="G201" s="230">
        <v>25</v>
      </c>
      <c r="H201" s="240">
        <v>26.3</v>
      </c>
      <c r="I201" s="240">
        <f t="shared" si="3"/>
        <v>657.5</v>
      </c>
      <c r="J201" s="231" t="s">
        <v>1311</v>
      </c>
      <c r="K201" s="231" t="s">
        <v>1312</v>
      </c>
      <c r="L201" s="232">
        <v>45170</v>
      </c>
      <c r="M201" s="232">
        <v>45199</v>
      </c>
    </row>
    <row r="202" spans="1:13" ht="18.75" customHeight="1" x14ac:dyDescent="0.2">
      <c r="A202" s="231" t="s">
        <v>10</v>
      </c>
      <c r="B202" s="230">
        <v>118053</v>
      </c>
      <c r="C202" s="230">
        <v>10757</v>
      </c>
      <c r="D202" s="231" t="s">
        <v>1417</v>
      </c>
      <c r="E202" s="230">
        <v>14491078</v>
      </c>
      <c r="F202" s="230">
        <v>45895</v>
      </c>
      <c r="G202" s="230">
        <v>25</v>
      </c>
      <c r="H202" s="240">
        <v>26.3</v>
      </c>
      <c r="I202" s="240">
        <f t="shared" si="3"/>
        <v>657.5</v>
      </c>
      <c r="J202" s="231" t="s">
        <v>1311</v>
      </c>
      <c r="K202" s="231" t="s">
        <v>1312</v>
      </c>
      <c r="L202" s="232">
        <v>45170</v>
      </c>
      <c r="M202" s="232">
        <v>45199</v>
      </c>
    </row>
    <row r="203" spans="1:13" ht="18.75" customHeight="1" x14ac:dyDescent="0.2">
      <c r="A203" s="231" t="s">
        <v>10</v>
      </c>
      <c r="B203" s="230">
        <v>118054</v>
      </c>
      <c r="C203" s="230">
        <v>10758</v>
      </c>
      <c r="D203" s="231" t="s">
        <v>1430</v>
      </c>
      <c r="E203" s="230">
        <v>14491078</v>
      </c>
      <c r="F203" s="230">
        <v>45897</v>
      </c>
      <c r="G203" s="230">
        <v>25</v>
      </c>
      <c r="H203" s="240">
        <v>26.3</v>
      </c>
      <c r="I203" s="240">
        <f t="shared" si="3"/>
        <v>657.5</v>
      </c>
      <c r="J203" s="231" t="s">
        <v>1311</v>
      </c>
      <c r="K203" s="231" t="s">
        <v>1312</v>
      </c>
      <c r="L203" s="232">
        <v>45170</v>
      </c>
      <c r="M203" s="232">
        <v>45199</v>
      </c>
    </row>
    <row r="204" spans="1:13" ht="18.75" customHeight="1" x14ac:dyDescent="0.2">
      <c r="A204" s="231" t="s">
        <v>10</v>
      </c>
      <c r="B204" s="230">
        <v>119665</v>
      </c>
      <c r="C204" s="230">
        <v>10751</v>
      </c>
      <c r="D204" s="231" t="s">
        <v>1470</v>
      </c>
      <c r="E204" s="230">
        <v>14491078</v>
      </c>
      <c r="F204" s="230">
        <v>49658</v>
      </c>
      <c r="G204" s="230">
        <v>25</v>
      </c>
      <c r="H204" s="240">
        <v>26.3</v>
      </c>
      <c r="I204" s="240">
        <f t="shared" si="3"/>
        <v>657.5</v>
      </c>
      <c r="J204" s="231" t="s">
        <v>1311</v>
      </c>
      <c r="K204" s="231" t="s">
        <v>1312</v>
      </c>
      <c r="L204" s="232">
        <v>45170</v>
      </c>
      <c r="M204" s="232">
        <v>45199</v>
      </c>
    </row>
    <row r="205" spans="1:13" ht="18.75" customHeight="1" x14ac:dyDescent="0.2">
      <c r="A205" s="231" t="s">
        <v>10</v>
      </c>
      <c r="B205" s="230">
        <v>119681</v>
      </c>
      <c r="C205" s="230">
        <v>10760</v>
      </c>
      <c r="D205" s="231" t="s">
        <v>1480</v>
      </c>
      <c r="E205" s="230">
        <v>14491078</v>
      </c>
      <c r="F205" s="230">
        <v>49692</v>
      </c>
      <c r="G205" s="230">
        <v>25</v>
      </c>
      <c r="H205" s="240">
        <v>26.3</v>
      </c>
      <c r="I205" s="240">
        <f t="shared" si="3"/>
        <v>657.5</v>
      </c>
      <c r="J205" s="231" t="s">
        <v>1311</v>
      </c>
      <c r="K205" s="231" t="s">
        <v>1315</v>
      </c>
      <c r="L205" s="232">
        <v>45170</v>
      </c>
      <c r="M205" s="232">
        <v>45199</v>
      </c>
    </row>
    <row r="206" spans="1:13" ht="18.75" customHeight="1" x14ac:dyDescent="0.2">
      <c r="A206" s="231" t="s">
        <v>10</v>
      </c>
      <c r="B206" s="230">
        <v>120357</v>
      </c>
      <c r="C206" s="230">
        <v>10757</v>
      </c>
      <c r="D206" s="231" t="s">
        <v>1513</v>
      </c>
      <c r="E206" s="230">
        <v>14491078</v>
      </c>
      <c r="F206" s="230">
        <v>51396</v>
      </c>
      <c r="G206" s="230">
        <v>25</v>
      </c>
      <c r="H206" s="240">
        <v>26.3</v>
      </c>
      <c r="I206" s="240">
        <f t="shared" si="3"/>
        <v>657.5</v>
      </c>
      <c r="J206" s="231" t="s">
        <v>1311</v>
      </c>
      <c r="K206" s="231" t="s">
        <v>1315</v>
      </c>
      <c r="L206" s="232">
        <v>45170</v>
      </c>
      <c r="M206" s="232">
        <v>45199</v>
      </c>
    </row>
    <row r="207" spans="1:13" ht="18.75" customHeight="1" x14ac:dyDescent="0.2">
      <c r="A207" s="231" t="s">
        <v>10</v>
      </c>
      <c r="B207" s="230">
        <v>121030</v>
      </c>
      <c r="C207" s="230">
        <v>10750</v>
      </c>
      <c r="D207" s="231" t="s">
        <v>1529</v>
      </c>
      <c r="E207" s="230">
        <v>14491078</v>
      </c>
      <c r="F207" s="230">
        <v>52806</v>
      </c>
      <c r="G207" s="230">
        <v>25</v>
      </c>
      <c r="H207" s="240">
        <v>26.3</v>
      </c>
      <c r="I207" s="240">
        <f t="shared" si="3"/>
        <v>657.5</v>
      </c>
      <c r="J207" s="231" t="s">
        <v>1311</v>
      </c>
      <c r="K207" s="231" t="s">
        <v>1315</v>
      </c>
      <c r="L207" s="232">
        <v>45170</v>
      </c>
      <c r="M207" s="232">
        <v>45199</v>
      </c>
    </row>
    <row r="208" spans="1:13" ht="18.75" customHeight="1" x14ac:dyDescent="0.2">
      <c r="A208" s="231" t="s">
        <v>10</v>
      </c>
      <c r="B208" s="230">
        <v>121314</v>
      </c>
      <c r="C208" s="230">
        <v>10757</v>
      </c>
      <c r="D208" s="231" t="s">
        <v>1531</v>
      </c>
      <c r="E208" s="230">
        <v>14491078</v>
      </c>
      <c r="F208" s="230">
        <v>53483</v>
      </c>
      <c r="G208" s="230">
        <v>25</v>
      </c>
      <c r="H208" s="240">
        <v>26.3</v>
      </c>
      <c r="I208" s="240">
        <f t="shared" si="3"/>
        <v>657.5</v>
      </c>
      <c r="J208" s="231" t="s">
        <v>1311</v>
      </c>
      <c r="K208" s="231" t="s">
        <v>1315</v>
      </c>
      <c r="L208" s="232">
        <v>45170</v>
      </c>
      <c r="M208" s="232">
        <v>45199</v>
      </c>
    </row>
    <row r="209" spans="1:13" ht="18.75" customHeight="1" x14ac:dyDescent="0.2">
      <c r="A209" s="231" t="s">
        <v>10</v>
      </c>
      <c r="B209" s="230">
        <v>121317</v>
      </c>
      <c r="C209" s="230">
        <v>10757</v>
      </c>
      <c r="D209" s="231" t="s">
        <v>1542</v>
      </c>
      <c r="E209" s="230">
        <v>14491078</v>
      </c>
      <c r="F209" s="230">
        <v>53489</v>
      </c>
      <c r="G209" s="230">
        <v>25</v>
      </c>
      <c r="H209" s="240">
        <v>26.3</v>
      </c>
      <c r="I209" s="240">
        <f t="shared" si="3"/>
        <v>657.5</v>
      </c>
      <c r="J209" s="231" t="s">
        <v>1311</v>
      </c>
      <c r="K209" s="231" t="s">
        <v>1312</v>
      </c>
      <c r="L209" s="232">
        <v>45170</v>
      </c>
      <c r="M209" s="232">
        <v>45199</v>
      </c>
    </row>
    <row r="210" spans="1:13" ht="18.75" customHeight="1" x14ac:dyDescent="0.2">
      <c r="A210" s="231" t="s">
        <v>10</v>
      </c>
      <c r="B210" s="230">
        <v>121318</v>
      </c>
      <c r="C210" s="230">
        <v>10750</v>
      </c>
      <c r="D210" s="231" t="s">
        <v>1547</v>
      </c>
      <c r="E210" s="230">
        <v>14491078</v>
      </c>
      <c r="F210" s="230">
        <v>53491</v>
      </c>
      <c r="G210" s="230">
        <v>25</v>
      </c>
      <c r="H210" s="240">
        <v>26.3</v>
      </c>
      <c r="I210" s="240">
        <f t="shared" si="3"/>
        <v>657.5</v>
      </c>
      <c r="J210" s="231" t="s">
        <v>1311</v>
      </c>
      <c r="K210" s="231" t="s">
        <v>1315</v>
      </c>
      <c r="L210" s="232">
        <v>45170</v>
      </c>
      <c r="M210" s="232">
        <v>45199</v>
      </c>
    </row>
    <row r="211" spans="1:13" ht="18.75" customHeight="1" x14ac:dyDescent="0.2">
      <c r="A211" s="231" t="s">
        <v>10</v>
      </c>
      <c r="B211" s="230">
        <v>121320</v>
      </c>
      <c r="C211" s="230">
        <v>10750</v>
      </c>
      <c r="D211" s="231" t="s">
        <v>1532</v>
      </c>
      <c r="E211" s="230">
        <v>14491078</v>
      </c>
      <c r="F211" s="230">
        <v>53495</v>
      </c>
      <c r="G211" s="230">
        <v>25</v>
      </c>
      <c r="H211" s="240">
        <v>26.3</v>
      </c>
      <c r="I211" s="240">
        <f t="shared" si="3"/>
        <v>657.5</v>
      </c>
      <c r="J211" s="231" t="s">
        <v>1311</v>
      </c>
      <c r="K211" s="231" t="s">
        <v>1315</v>
      </c>
      <c r="L211" s="232">
        <v>45170</v>
      </c>
      <c r="M211" s="232">
        <v>45199</v>
      </c>
    </row>
    <row r="212" spans="1:13" ht="18.75" customHeight="1" x14ac:dyDescent="0.2">
      <c r="A212" s="231" t="s">
        <v>10</v>
      </c>
      <c r="B212" s="230">
        <v>121675</v>
      </c>
      <c r="C212" s="230">
        <v>10757</v>
      </c>
      <c r="D212" s="231" t="s">
        <v>1596</v>
      </c>
      <c r="E212" s="230">
        <v>14491078</v>
      </c>
      <c r="F212" s="230">
        <v>54315</v>
      </c>
      <c r="G212" s="230">
        <v>25</v>
      </c>
      <c r="H212" s="240">
        <v>26.3</v>
      </c>
      <c r="I212" s="240">
        <f t="shared" si="3"/>
        <v>657.5</v>
      </c>
      <c r="J212" s="231" t="s">
        <v>1311</v>
      </c>
      <c r="K212" s="231" t="s">
        <v>1312</v>
      </c>
      <c r="L212" s="232">
        <v>45170</v>
      </c>
      <c r="M212" s="232">
        <v>45199</v>
      </c>
    </row>
    <row r="213" spans="1:13" ht="18.75" customHeight="1" x14ac:dyDescent="0.2">
      <c r="A213" s="231" t="s">
        <v>10</v>
      </c>
      <c r="B213" s="230">
        <v>121686</v>
      </c>
      <c r="C213" s="230">
        <v>10755</v>
      </c>
      <c r="D213" s="231" t="s">
        <v>1602</v>
      </c>
      <c r="E213" s="230">
        <v>14491078</v>
      </c>
      <c r="F213" s="230">
        <v>54336</v>
      </c>
      <c r="G213" s="230">
        <v>21</v>
      </c>
      <c r="H213" s="240">
        <v>26.3</v>
      </c>
      <c r="I213" s="240">
        <f t="shared" si="3"/>
        <v>552.30000000000007</v>
      </c>
      <c r="J213" s="231" t="s">
        <v>1311</v>
      </c>
      <c r="K213" s="231" t="s">
        <v>1312</v>
      </c>
      <c r="L213" s="232">
        <v>45170</v>
      </c>
      <c r="M213" s="232">
        <v>45199</v>
      </c>
    </row>
    <row r="214" spans="1:13" ht="18.75" customHeight="1" x14ac:dyDescent="0.2">
      <c r="A214" s="231" t="s">
        <v>10</v>
      </c>
      <c r="B214" s="230">
        <v>121687</v>
      </c>
      <c r="C214" s="230">
        <v>10758</v>
      </c>
      <c r="D214" s="231" t="s">
        <v>1600</v>
      </c>
      <c r="E214" s="230">
        <v>14491078</v>
      </c>
      <c r="F214" s="230">
        <v>54338</v>
      </c>
      <c r="G214" s="230">
        <v>25</v>
      </c>
      <c r="H214" s="240">
        <v>26.3</v>
      </c>
      <c r="I214" s="240">
        <f t="shared" si="3"/>
        <v>657.5</v>
      </c>
      <c r="J214" s="231" t="s">
        <v>1311</v>
      </c>
      <c r="K214" s="231" t="s">
        <v>1312</v>
      </c>
      <c r="L214" s="232">
        <v>45170</v>
      </c>
      <c r="M214" s="232">
        <v>45199</v>
      </c>
    </row>
    <row r="215" spans="1:13" ht="18.75" customHeight="1" x14ac:dyDescent="0.2">
      <c r="A215" s="231" t="s">
        <v>10</v>
      </c>
      <c r="B215" s="230">
        <v>121855</v>
      </c>
      <c r="C215" s="230">
        <v>10766</v>
      </c>
      <c r="D215" s="231" t="s">
        <v>1625</v>
      </c>
      <c r="E215" s="230">
        <v>14491078</v>
      </c>
      <c r="F215" s="230">
        <v>54728</v>
      </c>
      <c r="G215" s="230">
        <v>25</v>
      </c>
      <c r="H215" s="240">
        <v>26.3</v>
      </c>
      <c r="I215" s="240">
        <f t="shared" si="3"/>
        <v>657.5</v>
      </c>
      <c r="J215" s="231" t="s">
        <v>1311</v>
      </c>
      <c r="K215" s="231" t="s">
        <v>1315</v>
      </c>
      <c r="L215" s="232">
        <v>45170</v>
      </c>
      <c r="M215" s="232">
        <v>45199</v>
      </c>
    </row>
    <row r="216" spans="1:13" ht="18.75" customHeight="1" x14ac:dyDescent="0.2">
      <c r="A216" s="231" t="s">
        <v>10</v>
      </c>
      <c r="B216" s="230">
        <v>122081</v>
      </c>
      <c r="C216" s="230">
        <v>10758</v>
      </c>
      <c r="D216" s="231" t="s">
        <v>1651</v>
      </c>
      <c r="E216" s="230">
        <v>14491078</v>
      </c>
      <c r="F216" s="230">
        <v>55279</v>
      </c>
      <c r="G216" s="230">
        <v>25</v>
      </c>
      <c r="H216" s="240">
        <v>26.3</v>
      </c>
      <c r="I216" s="240">
        <f t="shared" si="3"/>
        <v>657.5</v>
      </c>
      <c r="J216" s="231" t="s">
        <v>1311</v>
      </c>
      <c r="K216" s="231" t="s">
        <v>1312</v>
      </c>
      <c r="L216" s="232">
        <v>45170</v>
      </c>
      <c r="M216" s="232">
        <v>45199</v>
      </c>
    </row>
    <row r="217" spans="1:13" ht="18.75" customHeight="1" x14ac:dyDescent="0.2">
      <c r="A217" s="231" t="s">
        <v>8</v>
      </c>
      <c r="B217" s="230">
        <v>112173</v>
      </c>
      <c r="C217" s="230">
        <v>10758</v>
      </c>
      <c r="D217" s="231" t="s">
        <v>9</v>
      </c>
      <c r="E217" s="230">
        <v>14491078</v>
      </c>
      <c r="F217" s="230">
        <v>28781</v>
      </c>
      <c r="G217" s="230">
        <v>25</v>
      </c>
      <c r="H217" s="240">
        <v>26.3</v>
      </c>
      <c r="I217" s="240">
        <f t="shared" si="3"/>
        <v>657.5</v>
      </c>
      <c r="J217" s="231" t="s">
        <v>1311</v>
      </c>
      <c r="K217" s="231" t="s">
        <v>1312</v>
      </c>
      <c r="L217" s="232">
        <v>45170</v>
      </c>
      <c r="M217" s="232">
        <v>45199</v>
      </c>
    </row>
    <row r="218" spans="1:13" ht="18.75" customHeight="1" x14ac:dyDescent="0.2">
      <c r="A218" s="231" t="s">
        <v>8</v>
      </c>
      <c r="B218" s="230">
        <v>112209</v>
      </c>
      <c r="C218" s="230">
        <v>10750</v>
      </c>
      <c r="D218" s="231" t="s">
        <v>36</v>
      </c>
      <c r="E218" s="230">
        <v>14491078</v>
      </c>
      <c r="F218" s="230">
        <v>28853</v>
      </c>
      <c r="G218" s="230">
        <v>25</v>
      </c>
      <c r="H218" s="240">
        <v>26.3</v>
      </c>
      <c r="I218" s="240">
        <f t="shared" si="3"/>
        <v>657.5</v>
      </c>
      <c r="J218" s="231" t="s">
        <v>1311</v>
      </c>
      <c r="K218" s="231" t="s">
        <v>1312</v>
      </c>
      <c r="L218" s="232">
        <v>45170</v>
      </c>
      <c r="M218" s="232">
        <v>45199</v>
      </c>
    </row>
    <row r="219" spans="1:13" ht="18.75" customHeight="1" x14ac:dyDescent="0.2">
      <c r="A219" s="231" t="s">
        <v>8</v>
      </c>
      <c r="B219" s="230">
        <v>112222</v>
      </c>
      <c r="C219" s="230">
        <v>10750</v>
      </c>
      <c r="D219" s="231" t="s">
        <v>43</v>
      </c>
      <c r="E219" s="230">
        <v>14491078</v>
      </c>
      <c r="F219" s="230">
        <v>28879</v>
      </c>
      <c r="G219" s="230">
        <v>25</v>
      </c>
      <c r="H219" s="240">
        <v>26.3</v>
      </c>
      <c r="I219" s="240">
        <f t="shared" si="3"/>
        <v>657.5</v>
      </c>
      <c r="J219" s="231" t="s">
        <v>1311</v>
      </c>
      <c r="K219" s="231" t="s">
        <v>1312</v>
      </c>
      <c r="L219" s="232">
        <v>45170</v>
      </c>
      <c r="M219" s="232">
        <v>45199</v>
      </c>
    </row>
    <row r="220" spans="1:13" ht="18.75" customHeight="1" x14ac:dyDescent="0.2">
      <c r="A220" s="231" t="s">
        <v>8</v>
      </c>
      <c r="B220" s="230">
        <v>112258</v>
      </c>
      <c r="C220" s="230">
        <v>10750</v>
      </c>
      <c r="D220" s="231" t="s">
        <v>69</v>
      </c>
      <c r="E220" s="230">
        <v>14491078</v>
      </c>
      <c r="F220" s="230">
        <v>28951</v>
      </c>
      <c r="G220" s="230">
        <v>25</v>
      </c>
      <c r="H220" s="240">
        <v>26.3</v>
      </c>
      <c r="I220" s="240">
        <f t="shared" si="3"/>
        <v>657.5</v>
      </c>
      <c r="J220" s="231" t="s">
        <v>1311</v>
      </c>
      <c r="K220" s="231" t="s">
        <v>1312</v>
      </c>
      <c r="L220" s="232">
        <v>45170</v>
      </c>
      <c r="M220" s="232">
        <v>45199</v>
      </c>
    </row>
    <row r="221" spans="1:13" ht="18.75" customHeight="1" x14ac:dyDescent="0.2">
      <c r="A221" s="231" t="s">
        <v>8</v>
      </c>
      <c r="B221" s="230">
        <v>112259</v>
      </c>
      <c r="C221" s="230">
        <v>10750</v>
      </c>
      <c r="D221" s="231" t="s">
        <v>70</v>
      </c>
      <c r="E221" s="230">
        <v>14491078</v>
      </c>
      <c r="F221" s="230">
        <v>28953</v>
      </c>
      <c r="G221" s="230">
        <v>25</v>
      </c>
      <c r="H221" s="240">
        <v>26.3</v>
      </c>
      <c r="I221" s="240">
        <f t="shared" si="3"/>
        <v>657.5</v>
      </c>
      <c r="J221" s="231" t="s">
        <v>1311</v>
      </c>
      <c r="K221" s="231" t="s">
        <v>1312</v>
      </c>
      <c r="L221" s="232">
        <v>45170</v>
      </c>
      <c r="M221" s="232">
        <v>45199</v>
      </c>
    </row>
    <row r="222" spans="1:13" ht="18.75" customHeight="1" x14ac:dyDescent="0.2">
      <c r="A222" s="231" t="s">
        <v>8</v>
      </c>
      <c r="B222" s="230">
        <v>112277</v>
      </c>
      <c r="C222" s="230">
        <v>10757</v>
      </c>
      <c r="D222" s="231" t="s">
        <v>82</v>
      </c>
      <c r="E222" s="230">
        <v>14491078</v>
      </c>
      <c r="F222" s="230">
        <v>28989</v>
      </c>
      <c r="G222" s="230">
        <v>25</v>
      </c>
      <c r="H222" s="240">
        <v>26.3</v>
      </c>
      <c r="I222" s="240">
        <f t="shared" si="3"/>
        <v>657.5</v>
      </c>
      <c r="J222" s="231" t="s">
        <v>1311</v>
      </c>
      <c r="K222" s="231" t="s">
        <v>1312</v>
      </c>
      <c r="L222" s="232">
        <v>45170</v>
      </c>
      <c r="M222" s="232">
        <v>45199</v>
      </c>
    </row>
    <row r="223" spans="1:13" ht="18.75" customHeight="1" x14ac:dyDescent="0.2">
      <c r="A223" s="231" t="s">
        <v>8</v>
      </c>
      <c r="B223" s="230">
        <v>112299</v>
      </c>
      <c r="C223" s="230">
        <v>10750</v>
      </c>
      <c r="D223" s="231" t="s">
        <v>97</v>
      </c>
      <c r="E223" s="230">
        <v>14491078</v>
      </c>
      <c r="F223" s="230">
        <v>29033</v>
      </c>
      <c r="G223" s="230">
        <v>25</v>
      </c>
      <c r="H223" s="240">
        <v>26.3</v>
      </c>
      <c r="I223" s="240">
        <f t="shared" si="3"/>
        <v>657.5</v>
      </c>
      <c r="J223" s="231" t="s">
        <v>1311</v>
      </c>
      <c r="K223" s="231" t="s">
        <v>1312</v>
      </c>
      <c r="L223" s="232">
        <v>45170</v>
      </c>
      <c r="M223" s="232">
        <v>45199</v>
      </c>
    </row>
    <row r="224" spans="1:13" ht="18.75" customHeight="1" x14ac:dyDescent="0.2">
      <c r="A224" s="231" t="s">
        <v>8</v>
      </c>
      <c r="B224" s="230">
        <v>112318</v>
      </c>
      <c r="C224" s="230">
        <v>10750</v>
      </c>
      <c r="D224" s="231" t="s">
        <v>104</v>
      </c>
      <c r="E224" s="230">
        <v>14491078</v>
      </c>
      <c r="F224" s="230">
        <v>29071</v>
      </c>
      <c r="G224" s="230">
        <v>25</v>
      </c>
      <c r="H224" s="240">
        <v>26.3</v>
      </c>
      <c r="I224" s="240">
        <f t="shared" si="3"/>
        <v>657.5</v>
      </c>
      <c r="J224" s="231" t="s">
        <v>1311</v>
      </c>
      <c r="K224" s="231" t="s">
        <v>1312</v>
      </c>
      <c r="L224" s="232">
        <v>45170</v>
      </c>
      <c r="M224" s="232">
        <v>45199</v>
      </c>
    </row>
    <row r="225" spans="1:13" ht="18.75" customHeight="1" x14ac:dyDescent="0.2">
      <c r="A225" s="231" t="s">
        <v>8</v>
      </c>
      <c r="B225" s="230">
        <v>112333</v>
      </c>
      <c r="C225" s="230">
        <v>10750</v>
      </c>
      <c r="D225" s="231" t="s">
        <v>115</v>
      </c>
      <c r="E225" s="230">
        <v>14491078</v>
      </c>
      <c r="F225" s="230">
        <v>29101</v>
      </c>
      <c r="G225" s="230">
        <v>25</v>
      </c>
      <c r="H225" s="240">
        <v>26.3</v>
      </c>
      <c r="I225" s="240">
        <f t="shared" si="3"/>
        <v>657.5</v>
      </c>
      <c r="J225" s="231" t="s">
        <v>1311</v>
      </c>
      <c r="K225" s="231" t="s">
        <v>1312</v>
      </c>
      <c r="L225" s="232">
        <v>45170</v>
      </c>
      <c r="M225" s="232">
        <v>45199</v>
      </c>
    </row>
    <row r="226" spans="1:13" ht="18.75" customHeight="1" x14ac:dyDescent="0.2">
      <c r="A226" s="231" t="s">
        <v>8</v>
      </c>
      <c r="B226" s="230">
        <v>112338</v>
      </c>
      <c r="C226" s="230">
        <v>10757</v>
      </c>
      <c r="D226" s="231" t="s">
        <v>118</v>
      </c>
      <c r="E226" s="230">
        <v>14491078</v>
      </c>
      <c r="F226" s="230">
        <v>29111</v>
      </c>
      <c r="G226" s="230">
        <v>25</v>
      </c>
      <c r="H226" s="240">
        <v>26.3</v>
      </c>
      <c r="I226" s="240">
        <f t="shared" si="3"/>
        <v>657.5</v>
      </c>
      <c r="J226" s="231" t="s">
        <v>1311</v>
      </c>
      <c r="K226" s="231" t="s">
        <v>1312</v>
      </c>
      <c r="L226" s="232">
        <v>45170</v>
      </c>
      <c r="M226" s="232">
        <v>45199</v>
      </c>
    </row>
    <row r="227" spans="1:13" ht="18.75" customHeight="1" x14ac:dyDescent="0.2">
      <c r="A227" s="231" t="s">
        <v>8</v>
      </c>
      <c r="B227" s="230">
        <v>112341</v>
      </c>
      <c r="C227" s="230">
        <v>10757</v>
      </c>
      <c r="D227" s="231" t="s">
        <v>121</v>
      </c>
      <c r="E227" s="230">
        <v>14491078</v>
      </c>
      <c r="F227" s="230">
        <v>29117</v>
      </c>
      <c r="G227" s="230">
        <v>25</v>
      </c>
      <c r="H227" s="240">
        <v>26.3</v>
      </c>
      <c r="I227" s="240">
        <f t="shared" si="3"/>
        <v>657.5</v>
      </c>
      <c r="J227" s="231" t="s">
        <v>1311</v>
      </c>
      <c r="K227" s="231" t="s">
        <v>1312</v>
      </c>
      <c r="L227" s="232">
        <v>45170</v>
      </c>
      <c r="M227" s="232">
        <v>45199</v>
      </c>
    </row>
    <row r="228" spans="1:13" ht="18.75" customHeight="1" x14ac:dyDescent="0.2">
      <c r="A228" s="231" t="s">
        <v>8</v>
      </c>
      <c r="B228" s="230">
        <v>112346</v>
      </c>
      <c r="C228" s="230">
        <v>10757</v>
      </c>
      <c r="D228" s="231" t="s">
        <v>123</v>
      </c>
      <c r="E228" s="230">
        <v>14491078</v>
      </c>
      <c r="F228" s="230">
        <v>29127</v>
      </c>
      <c r="G228" s="230">
        <v>25</v>
      </c>
      <c r="H228" s="240">
        <v>26.3</v>
      </c>
      <c r="I228" s="240">
        <f t="shared" si="3"/>
        <v>657.5</v>
      </c>
      <c r="J228" s="231" t="s">
        <v>1311</v>
      </c>
      <c r="K228" s="231" t="s">
        <v>1312</v>
      </c>
      <c r="L228" s="232">
        <v>45170</v>
      </c>
      <c r="M228" s="232">
        <v>45199</v>
      </c>
    </row>
    <row r="229" spans="1:13" ht="18.75" customHeight="1" x14ac:dyDescent="0.2">
      <c r="A229" s="231" t="s">
        <v>8</v>
      </c>
      <c r="B229" s="230">
        <v>112348</v>
      </c>
      <c r="C229" s="230">
        <v>10754</v>
      </c>
      <c r="D229" s="231" t="s">
        <v>124</v>
      </c>
      <c r="E229" s="230">
        <v>14491078</v>
      </c>
      <c r="F229" s="230">
        <v>29131</v>
      </c>
      <c r="G229" s="230">
        <v>25</v>
      </c>
      <c r="H229" s="240">
        <v>26.3</v>
      </c>
      <c r="I229" s="240">
        <f t="shared" si="3"/>
        <v>657.5</v>
      </c>
      <c r="J229" s="231" t="s">
        <v>1311</v>
      </c>
      <c r="K229" s="231" t="s">
        <v>1312</v>
      </c>
      <c r="L229" s="232">
        <v>45170</v>
      </c>
      <c r="M229" s="232">
        <v>45199</v>
      </c>
    </row>
    <row r="230" spans="1:13" ht="18.75" customHeight="1" x14ac:dyDescent="0.2">
      <c r="A230" s="231" t="s">
        <v>8</v>
      </c>
      <c r="B230" s="230">
        <v>112349</v>
      </c>
      <c r="C230" s="230">
        <v>10757</v>
      </c>
      <c r="D230" s="231" t="s">
        <v>125</v>
      </c>
      <c r="E230" s="230">
        <v>14491078</v>
      </c>
      <c r="F230" s="230">
        <v>29133</v>
      </c>
      <c r="G230" s="230">
        <v>25</v>
      </c>
      <c r="H230" s="240">
        <v>26.3</v>
      </c>
      <c r="I230" s="240">
        <f t="shared" si="3"/>
        <v>657.5</v>
      </c>
      <c r="J230" s="231" t="s">
        <v>1311</v>
      </c>
      <c r="K230" s="231" t="s">
        <v>1312</v>
      </c>
      <c r="L230" s="232">
        <v>45170</v>
      </c>
      <c r="M230" s="232">
        <v>45199</v>
      </c>
    </row>
    <row r="231" spans="1:13" ht="18.75" customHeight="1" x14ac:dyDescent="0.2">
      <c r="A231" s="231" t="s">
        <v>8</v>
      </c>
      <c r="B231" s="230">
        <v>112352</v>
      </c>
      <c r="C231" s="230">
        <v>10755</v>
      </c>
      <c r="D231" s="231" t="s">
        <v>126</v>
      </c>
      <c r="E231" s="230">
        <v>14491078</v>
      </c>
      <c r="F231" s="230">
        <v>29139</v>
      </c>
      <c r="G231" s="230">
        <v>25</v>
      </c>
      <c r="H231" s="240">
        <v>26.3</v>
      </c>
      <c r="I231" s="240">
        <f t="shared" si="3"/>
        <v>657.5</v>
      </c>
      <c r="J231" s="231" t="s">
        <v>1311</v>
      </c>
      <c r="K231" s="231" t="s">
        <v>1312</v>
      </c>
      <c r="L231" s="232">
        <v>45170</v>
      </c>
      <c r="M231" s="232">
        <v>45199</v>
      </c>
    </row>
    <row r="232" spans="1:13" ht="18.75" customHeight="1" x14ac:dyDescent="0.2">
      <c r="A232" s="231" t="s">
        <v>8</v>
      </c>
      <c r="B232" s="230">
        <v>112383</v>
      </c>
      <c r="C232" s="230">
        <v>10750</v>
      </c>
      <c r="D232" s="231" t="s">
        <v>147</v>
      </c>
      <c r="E232" s="230">
        <v>14491078</v>
      </c>
      <c r="F232" s="230">
        <v>29201</v>
      </c>
      <c r="G232" s="230">
        <v>25</v>
      </c>
      <c r="H232" s="240">
        <v>26.3</v>
      </c>
      <c r="I232" s="240">
        <f t="shared" si="3"/>
        <v>657.5</v>
      </c>
      <c r="J232" s="231" t="s">
        <v>1311</v>
      </c>
      <c r="K232" s="231" t="s">
        <v>1312</v>
      </c>
      <c r="L232" s="232">
        <v>45170</v>
      </c>
      <c r="M232" s="232">
        <v>45199</v>
      </c>
    </row>
    <row r="233" spans="1:13" ht="18.75" customHeight="1" x14ac:dyDescent="0.2">
      <c r="A233" s="231" t="s">
        <v>8</v>
      </c>
      <c r="B233" s="230">
        <v>112389</v>
      </c>
      <c r="C233" s="230">
        <v>10754</v>
      </c>
      <c r="D233" s="231" t="s">
        <v>149</v>
      </c>
      <c r="E233" s="230">
        <v>14491078</v>
      </c>
      <c r="F233" s="230">
        <v>29213</v>
      </c>
      <c r="G233" s="230">
        <v>25</v>
      </c>
      <c r="H233" s="240">
        <v>26.3</v>
      </c>
      <c r="I233" s="240">
        <f t="shared" si="3"/>
        <v>657.5</v>
      </c>
      <c r="J233" s="231" t="s">
        <v>1311</v>
      </c>
      <c r="K233" s="231" t="s">
        <v>1312</v>
      </c>
      <c r="L233" s="232">
        <v>45170</v>
      </c>
      <c r="M233" s="232">
        <v>45199</v>
      </c>
    </row>
    <row r="234" spans="1:13" ht="18.75" customHeight="1" x14ac:dyDescent="0.2">
      <c r="A234" s="231" t="s">
        <v>8</v>
      </c>
      <c r="B234" s="230">
        <v>112405</v>
      </c>
      <c r="C234" s="230">
        <v>10750</v>
      </c>
      <c r="D234" s="231" t="s">
        <v>160</v>
      </c>
      <c r="E234" s="230">
        <v>14491078</v>
      </c>
      <c r="F234" s="230">
        <v>29245</v>
      </c>
      <c r="G234" s="230">
        <v>25</v>
      </c>
      <c r="H234" s="240">
        <v>26.3</v>
      </c>
      <c r="I234" s="240">
        <f t="shared" si="3"/>
        <v>657.5</v>
      </c>
      <c r="J234" s="231" t="s">
        <v>1311</v>
      </c>
      <c r="K234" s="231" t="s">
        <v>1312</v>
      </c>
      <c r="L234" s="232">
        <v>45170</v>
      </c>
      <c r="M234" s="232">
        <v>45199</v>
      </c>
    </row>
    <row r="235" spans="1:13" ht="18.75" customHeight="1" x14ac:dyDescent="0.2">
      <c r="A235" s="231" t="s">
        <v>8</v>
      </c>
      <c r="B235" s="230">
        <v>112408</v>
      </c>
      <c r="C235" s="230">
        <v>10757</v>
      </c>
      <c r="D235" s="231" t="s">
        <v>161</v>
      </c>
      <c r="E235" s="230">
        <v>14491078</v>
      </c>
      <c r="F235" s="230">
        <v>29251</v>
      </c>
      <c r="G235" s="230">
        <v>25</v>
      </c>
      <c r="H235" s="240">
        <v>26.3</v>
      </c>
      <c r="I235" s="240">
        <f t="shared" si="3"/>
        <v>657.5</v>
      </c>
      <c r="J235" s="231" t="s">
        <v>1311</v>
      </c>
      <c r="K235" s="231" t="s">
        <v>1312</v>
      </c>
      <c r="L235" s="232">
        <v>45170</v>
      </c>
      <c r="M235" s="232">
        <v>45199</v>
      </c>
    </row>
    <row r="236" spans="1:13" ht="18.75" customHeight="1" x14ac:dyDescent="0.2">
      <c r="A236" s="231" t="s">
        <v>8</v>
      </c>
      <c r="B236" s="230">
        <v>112409</v>
      </c>
      <c r="C236" s="230">
        <v>10750</v>
      </c>
      <c r="D236" s="231" t="s">
        <v>162</v>
      </c>
      <c r="E236" s="230">
        <v>14491078</v>
      </c>
      <c r="F236" s="230">
        <v>29253</v>
      </c>
      <c r="G236" s="230">
        <v>25</v>
      </c>
      <c r="H236" s="240">
        <v>26.3</v>
      </c>
      <c r="I236" s="240">
        <f t="shared" si="3"/>
        <v>657.5</v>
      </c>
      <c r="J236" s="231" t="s">
        <v>1311</v>
      </c>
      <c r="K236" s="231" t="s">
        <v>1312</v>
      </c>
      <c r="L236" s="232">
        <v>45170</v>
      </c>
      <c r="M236" s="232">
        <v>45199</v>
      </c>
    </row>
    <row r="237" spans="1:13" ht="18.75" customHeight="1" x14ac:dyDescent="0.2">
      <c r="A237" s="231" t="s">
        <v>8</v>
      </c>
      <c r="B237" s="230">
        <v>112421</v>
      </c>
      <c r="C237" s="230">
        <v>10763</v>
      </c>
      <c r="D237" s="231" t="s">
        <v>170</v>
      </c>
      <c r="E237" s="230">
        <v>14491078</v>
      </c>
      <c r="F237" s="230">
        <v>29277</v>
      </c>
      <c r="G237" s="230">
        <v>25</v>
      </c>
      <c r="H237" s="240">
        <v>26.3</v>
      </c>
      <c r="I237" s="240">
        <f t="shared" si="3"/>
        <v>657.5</v>
      </c>
      <c r="J237" s="231" t="s">
        <v>1311</v>
      </c>
      <c r="K237" s="231" t="s">
        <v>1312</v>
      </c>
      <c r="L237" s="232">
        <v>45170</v>
      </c>
      <c r="M237" s="232">
        <v>45199</v>
      </c>
    </row>
    <row r="238" spans="1:13" ht="18.75" customHeight="1" x14ac:dyDescent="0.2">
      <c r="A238" s="231" t="s">
        <v>8</v>
      </c>
      <c r="B238" s="230">
        <v>112428</v>
      </c>
      <c r="C238" s="230">
        <v>10750</v>
      </c>
      <c r="D238" s="231" t="s">
        <v>172</v>
      </c>
      <c r="E238" s="230">
        <v>14491078</v>
      </c>
      <c r="F238" s="230">
        <v>29291</v>
      </c>
      <c r="G238" s="230">
        <v>25</v>
      </c>
      <c r="H238" s="240">
        <v>26.3</v>
      </c>
      <c r="I238" s="240">
        <f t="shared" si="3"/>
        <v>657.5</v>
      </c>
      <c r="J238" s="231" t="s">
        <v>1311</v>
      </c>
      <c r="K238" s="231" t="s">
        <v>1312</v>
      </c>
      <c r="L238" s="232">
        <v>45170</v>
      </c>
      <c r="M238" s="232">
        <v>45199</v>
      </c>
    </row>
    <row r="239" spans="1:13" ht="18.75" customHeight="1" x14ac:dyDescent="0.2">
      <c r="A239" s="231" t="s">
        <v>8</v>
      </c>
      <c r="B239" s="230">
        <v>112432</v>
      </c>
      <c r="C239" s="230">
        <v>10757</v>
      </c>
      <c r="D239" s="231" t="s">
        <v>1387</v>
      </c>
      <c r="E239" s="230">
        <v>14491078</v>
      </c>
      <c r="F239" s="230">
        <v>29299</v>
      </c>
      <c r="G239" s="230">
        <v>25</v>
      </c>
      <c r="H239" s="240">
        <v>26.3</v>
      </c>
      <c r="I239" s="240">
        <f t="shared" si="3"/>
        <v>657.5</v>
      </c>
      <c r="J239" s="231" t="s">
        <v>1311</v>
      </c>
      <c r="K239" s="231" t="s">
        <v>1312</v>
      </c>
      <c r="L239" s="232">
        <v>45170</v>
      </c>
      <c r="M239" s="232">
        <v>45199</v>
      </c>
    </row>
    <row r="240" spans="1:13" ht="18.75" customHeight="1" x14ac:dyDescent="0.2">
      <c r="A240" s="231" t="s">
        <v>8</v>
      </c>
      <c r="B240" s="230">
        <v>112434</v>
      </c>
      <c r="C240" s="230">
        <v>10751</v>
      </c>
      <c r="D240" s="231" t="s">
        <v>177</v>
      </c>
      <c r="E240" s="230">
        <v>14491078</v>
      </c>
      <c r="F240" s="230">
        <v>29303</v>
      </c>
      <c r="G240" s="230">
        <v>25</v>
      </c>
      <c r="H240" s="240">
        <v>26.3</v>
      </c>
      <c r="I240" s="240">
        <f t="shared" si="3"/>
        <v>657.5</v>
      </c>
      <c r="J240" s="231" t="s">
        <v>1311</v>
      </c>
      <c r="K240" s="231" t="s">
        <v>1312</v>
      </c>
      <c r="L240" s="232">
        <v>45170</v>
      </c>
      <c r="M240" s="232">
        <v>45199</v>
      </c>
    </row>
    <row r="241" spans="1:13" ht="18.75" customHeight="1" x14ac:dyDescent="0.2">
      <c r="A241" s="231" t="s">
        <v>8</v>
      </c>
      <c r="B241" s="230">
        <v>112442</v>
      </c>
      <c r="C241" s="230">
        <v>10757</v>
      </c>
      <c r="D241" s="231" t="s">
        <v>183</v>
      </c>
      <c r="E241" s="230">
        <v>14491078</v>
      </c>
      <c r="F241" s="230">
        <v>29319</v>
      </c>
      <c r="G241" s="230">
        <v>25</v>
      </c>
      <c r="H241" s="240">
        <v>26.3</v>
      </c>
      <c r="I241" s="240">
        <f t="shared" si="3"/>
        <v>657.5</v>
      </c>
      <c r="J241" s="231" t="s">
        <v>1311</v>
      </c>
      <c r="K241" s="231" t="s">
        <v>1312</v>
      </c>
      <c r="L241" s="232">
        <v>45170</v>
      </c>
      <c r="M241" s="232">
        <v>45199</v>
      </c>
    </row>
    <row r="242" spans="1:13" ht="18.75" customHeight="1" x14ac:dyDescent="0.2">
      <c r="A242" s="231" t="s">
        <v>8</v>
      </c>
      <c r="B242" s="230">
        <v>112444</v>
      </c>
      <c r="C242" s="230">
        <v>10757</v>
      </c>
      <c r="D242" s="231" t="s">
        <v>185</v>
      </c>
      <c r="E242" s="230">
        <v>14491078</v>
      </c>
      <c r="F242" s="230">
        <v>29323</v>
      </c>
      <c r="G242" s="230">
        <v>25</v>
      </c>
      <c r="H242" s="240">
        <v>26.3</v>
      </c>
      <c r="I242" s="240">
        <f t="shared" si="3"/>
        <v>657.5</v>
      </c>
      <c r="J242" s="231" t="s">
        <v>1311</v>
      </c>
      <c r="K242" s="231" t="s">
        <v>1312</v>
      </c>
      <c r="L242" s="232">
        <v>45170</v>
      </c>
      <c r="M242" s="232">
        <v>45199</v>
      </c>
    </row>
    <row r="243" spans="1:13" ht="18.75" customHeight="1" x14ac:dyDescent="0.2">
      <c r="A243" s="231" t="s">
        <v>8</v>
      </c>
      <c r="B243" s="230">
        <v>112451</v>
      </c>
      <c r="C243" s="230">
        <v>10766</v>
      </c>
      <c r="D243" s="231" t="s">
        <v>189</v>
      </c>
      <c r="E243" s="230">
        <v>14491078</v>
      </c>
      <c r="F243" s="230">
        <v>29337</v>
      </c>
      <c r="G243" s="230">
        <v>24</v>
      </c>
      <c r="H243" s="240">
        <v>26.3</v>
      </c>
      <c r="I243" s="240">
        <f t="shared" si="3"/>
        <v>631.20000000000005</v>
      </c>
      <c r="J243" s="231" t="s">
        <v>1311</v>
      </c>
      <c r="K243" s="231" t="s">
        <v>1312</v>
      </c>
      <c r="L243" s="232">
        <v>45170</v>
      </c>
      <c r="M243" s="232">
        <v>45199</v>
      </c>
    </row>
    <row r="244" spans="1:13" ht="18.75" customHeight="1" x14ac:dyDescent="0.2">
      <c r="A244" s="231" t="s">
        <v>8</v>
      </c>
      <c r="B244" s="230">
        <v>112457</v>
      </c>
      <c r="C244" s="230">
        <v>10750</v>
      </c>
      <c r="D244" s="231" t="s">
        <v>193</v>
      </c>
      <c r="E244" s="230">
        <v>14491078</v>
      </c>
      <c r="F244" s="230">
        <v>29349</v>
      </c>
      <c r="G244" s="230">
        <v>25</v>
      </c>
      <c r="H244" s="240">
        <v>26.3</v>
      </c>
      <c r="I244" s="240">
        <f t="shared" si="3"/>
        <v>657.5</v>
      </c>
      <c r="J244" s="231" t="s">
        <v>1311</v>
      </c>
      <c r="K244" s="231" t="s">
        <v>1312</v>
      </c>
      <c r="L244" s="232">
        <v>45170</v>
      </c>
      <c r="M244" s="232">
        <v>45199</v>
      </c>
    </row>
    <row r="245" spans="1:13" ht="18.75" customHeight="1" x14ac:dyDescent="0.2">
      <c r="A245" s="231" t="s">
        <v>8</v>
      </c>
      <c r="B245" s="230">
        <v>112465</v>
      </c>
      <c r="C245" s="230">
        <v>10750</v>
      </c>
      <c r="D245" s="231" t="s">
        <v>197</v>
      </c>
      <c r="E245" s="230">
        <v>14491078</v>
      </c>
      <c r="F245" s="230">
        <v>29365</v>
      </c>
      <c r="G245" s="230">
        <v>25</v>
      </c>
      <c r="H245" s="240">
        <v>26.3</v>
      </c>
      <c r="I245" s="240">
        <f t="shared" si="3"/>
        <v>657.5</v>
      </c>
      <c r="J245" s="231" t="s">
        <v>1311</v>
      </c>
      <c r="K245" s="231" t="s">
        <v>1312</v>
      </c>
      <c r="L245" s="232">
        <v>45170</v>
      </c>
      <c r="M245" s="232">
        <v>45199</v>
      </c>
    </row>
    <row r="246" spans="1:13" ht="18.75" customHeight="1" x14ac:dyDescent="0.2">
      <c r="A246" s="231" t="s">
        <v>8</v>
      </c>
      <c r="B246" s="230">
        <v>112471</v>
      </c>
      <c r="C246" s="230">
        <v>10757</v>
      </c>
      <c r="D246" s="231" t="s">
        <v>200</v>
      </c>
      <c r="E246" s="230">
        <v>14491078</v>
      </c>
      <c r="F246" s="230">
        <v>29377</v>
      </c>
      <c r="G246" s="230">
        <v>25</v>
      </c>
      <c r="H246" s="240">
        <v>26.3</v>
      </c>
      <c r="I246" s="240">
        <f t="shared" si="3"/>
        <v>657.5</v>
      </c>
      <c r="J246" s="231" t="s">
        <v>1311</v>
      </c>
      <c r="K246" s="231" t="s">
        <v>1312</v>
      </c>
      <c r="L246" s="232">
        <v>45170</v>
      </c>
      <c r="M246" s="232">
        <v>45199</v>
      </c>
    </row>
    <row r="247" spans="1:13" ht="18.75" customHeight="1" x14ac:dyDescent="0.2">
      <c r="A247" s="231" t="s">
        <v>8</v>
      </c>
      <c r="B247" s="230">
        <v>112472</v>
      </c>
      <c r="C247" s="230">
        <v>10760</v>
      </c>
      <c r="D247" s="231" t="s">
        <v>201</v>
      </c>
      <c r="E247" s="230">
        <v>14491078</v>
      </c>
      <c r="F247" s="230">
        <v>29379</v>
      </c>
      <c r="G247" s="230">
        <v>25</v>
      </c>
      <c r="H247" s="240">
        <v>26.3</v>
      </c>
      <c r="I247" s="240">
        <f t="shared" si="3"/>
        <v>657.5</v>
      </c>
      <c r="J247" s="231" t="s">
        <v>1311</v>
      </c>
      <c r="K247" s="231" t="s">
        <v>1312</v>
      </c>
      <c r="L247" s="232">
        <v>45170</v>
      </c>
      <c r="M247" s="232">
        <v>45199</v>
      </c>
    </row>
    <row r="248" spans="1:13" ht="18.75" customHeight="1" x14ac:dyDescent="0.2">
      <c r="A248" s="231" t="s">
        <v>8</v>
      </c>
      <c r="B248" s="230">
        <v>112475</v>
      </c>
      <c r="C248" s="230">
        <v>10750</v>
      </c>
      <c r="D248" s="231" t="s">
        <v>203</v>
      </c>
      <c r="E248" s="230">
        <v>14491078</v>
      </c>
      <c r="F248" s="230">
        <v>29385</v>
      </c>
      <c r="G248" s="230">
        <v>25</v>
      </c>
      <c r="H248" s="240">
        <v>26.3</v>
      </c>
      <c r="I248" s="240">
        <f t="shared" si="3"/>
        <v>657.5</v>
      </c>
      <c r="J248" s="231" t="s">
        <v>1311</v>
      </c>
      <c r="K248" s="231" t="s">
        <v>1312</v>
      </c>
      <c r="L248" s="232">
        <v>45170</v>
      </c>
      <c r="M248" s="232">
        <v>45199</v>
      </c>
    </row>
    <row r="249" spans="1:13" ht="18.75" customHeight="1" x14ac:dyDescent="0.2">
      <c r="A249" s="231" t="s">
        <v>8</v>
      </c>
      <c r="B249" s="230">
        <v>112483</v>
      </c>
      <c r="C249" s="230">
        <v>10756</v>
      </c>
      <c r="D249" s="231" t="s">
        <v>208</v>
      </c>
      <c r="E249" s="230">
        <v>14491078</v>
      </c>
      <c r="F249" s="230">
        <v>29401</v>
      </c>
      <c r="G249" s="230">
        <v>25</v>
      </c>
      <c r="H249" s="240">
        <v>26.3</v>
      </c>
      <c r="I249" s="240">
        <f t="shared" si="3"/>
        <v>657.5</v>
      </c>
      <c r="J249" s="231" t="s">
        <v>1311</v>
      </c>
      <c r="K249" s="231" t="s">
        <v>1312</v>
      </c>
      <c r="L249" s="232">
        <v>45170</v>
      </c>
      <c r="M249" s="232">
        <v>45199</v>
      </c>
    </row>
    <row r="250" spans="1:13" ht="18.75" customHeight="1" x14ac:dyDescent="0.2">
      <c r="A250" s="231" t="s">
        <v>8</v>
      </c>
      <c r="B250" s="230">
        <v>112485</v>
      </c>
      <c r="C250" s="230">
        <v>10750</v>
      </c>
      <c r="D250" s="231" t="s">
        <v>209</v>
      </c>
      <c r="E250" s="230">
        <v>14491078</v>
      </c>
      <c r="F250" s="230">
        <v>29405</v>
      </c>
      <c r="G250" s="230">
        <v>24</v>
      </c>
      <c r="H250" s="240">
        <v>26.3</v>
      </c>
      <c r="I250" s="240">
        <f t="shared" si="3"/>
        <v>631.20000000000005</v>
      </c>
      <c r="J250" s="231" t="s">
        <v>1311</v>
      </c>
      <c r="K250" s="231" t="s">
        <v>1312</v>
      </c>
      <c r="L250" s="232">
        <v>45170</v>
      </c>
      <c r="M250" s="232">
        <v>45199</v>
      </c>
    </row>
    <row r="251" spans="1:13" ht="18.75" customHeight="1" x14ac:dyDescent="0.2">
      <c r="A251" s="231" t="s">
        <v>8</v>
      </c>
      <c r="B251" s="230">
        <v>112492</v>
      </c>
      <c r="C251" s="230">
        <v>10750</v>
      </c>
      <c r="D251" s="231" t="s">
        <v>213</v>
      </c>
      <c r="E251" s="230">
        <v>14491078</v>
      </c>
      <c r="F251" s="230">
        <v>29419</v>
      </c>
      <c r="G251" s="230">
        <v>25</v>
      </c>
      <c r="H251" s="240">
        <v>26.3</v>
      </c>
      <c r="I251" s="240">
        <f t="shared" si="3"/>
        <v>657.5</v>
      </c>
      <c r="J251" s="231" t="s">
        <v>1311</v>
      </c>
      <c r="K251" s="231" t="s">
        <v>1312</v>
      </c>
      <c r="L251" s="232">
        <v>45170</v>
      </c>
      <c r="M251" s="232">
        <v>45199</v>
      </c>
    </row>
    <row r="252" spans="1:13" ht="18.75" customHeight="1" x14ac:dyDescent="0.2">
      <c r="A252" s="231" t="s">
        <v>8</v>
      </c>
      <c r="B252" s="230">
        <v>112498</v>
      </c>
      <c r="C252" s="230">
        <v>10754</v>
      </c>
      <c r="D252" s="231" t="s">
        <v>217</v>
      </c>
      <c r="E252" s="230">
        <v>14491078</v>
      </c>
      <c r="F252" s="230">
        <v>29431</v>
      </c>
      <c r="G252" s="230">
        <v>25</v>
      </c>
      <c r="H252" s="240">
        <v>26.3</v>
      </c>
      <c r="I252" s="240">
        <f t="shared" si="3"/>
        <v>657.5</v>
      </c>
      <c r="J252" s="231" t="s">
        <v>1311</v>
      </c>
      <c r="K252" s="231" t="s">
        <v>1312</v>
      </c>
      <c r="L252" s="232">
        <v>45170</v>
      </c>
      <c r="M252" s="232">
        <v>45199</v>
      </c>
    </row>
    <row r="253" spans="1:13" ht="18.75" customHeight="1" x14ac:dyDescent="0.2">
      <c r="A253" s="231" t="s">
        <v>8</v>
      </c>
      <c r="B253" s="230">
        <v>112503</v>
      </c>
      <c r="C253" s="230">
        <v>10766</v>
      </c>
      <c r="D253" s="231" t="s">
        <v>221</v>
      </c>
      <c r="E253" s="230">
        <v>14491078</v>
      </c>
      <c r="F253" s="230">
        <v>29441</v>
      </c>
      <c r="G253" s="230">
        <v>25</v>
      </c>
      <c r="H253" s="240">
        <v>26.3</v>
      </c>
      <c r="I253" s="240">
        <f t="shared" si="3"/>
        <v>657.5</v>
      </c>
      <c r="J253" s="231" t="s">
        <v>1311</v>
      </c>
      <c r="K253" s="231" t="s">
        <v>1312</v>
      </c>
      <c r="L253" s="232">
        <v>45170</v>
      </c>
      <c r="M253" s="232">
        <v>45199</v>
      </c>
    </row>
    <row r="254" spans="1:13" ht="18.75" customHeight="1" x14ac:dyDescent="0.2">
      <c r="A254" s="231" t="s">
        <v>8</v>
      </c>
      <c r="B254" s="230">
        <v>112504</v>
      </c>
      <c r="C254" s="230">
        <v>10750</v>
      </c>
      <c r="D254" s="231" t="s">
        <v>222</v>
      </c>
      <c r="E254" s="230">
        <v>14491078</v>
      </c>
      <c r="F254" s="230">
        <v>29443</v>
      </c>
      <c r="G254" s="230">
        <v>25</v>
      </c>
      <c r="H254" s="240">
        <v>26.3</v>
      </c>
      <c r="I254" s="240">
        <f t="shared" si="3"/>
        <v>657.5</v>
      </c>
      <c r="J254" s="231" t="s">
        <v>1311</v>
      </c>
      <c r="K254" s="231" t="s">
        <v>1312</v>
      </c>
      <c r="L254" s="232">
        <v>45170</v>
      </c>
      <c r="M254" s="232">
        <v>45199</v>
      </c>
    </row>
    <row r="255" spans="1:13" ht="18.75" customHeight="1" x14ac:dyDescent="0.2">
      <c r="A255" s="231" t="s">
        <v>8</v>
      </c>
      <c r="B255" s="230">
        <v>112507</v>
      </c>
      <c r="C255" s="230">
        <v>10750</v>
      </c>
      <c r="D255" s="231" t="s">
        <v>225</v>
      </c>
      <c r="E255" s="230">
        <v>14491078</v>
      </c>
      <c r="F255" s="230">
        <v>29449</v>
      </c>
      <c r="G255" s="230">
        <v>25</v>
      </c>
      <c r="H255" s="240">
        <v>26.3</v>
      </c>
      <c r="I255" s="240">
        <f t="shared" si="3"/>
        <v>657.5</v>
      </c>
      <c r="J255" s="231" t="s">
        <v>1311</v>
      </c>
      <c r="K255" s="231" t="s">
        <v>1312</v>
      </c>
      <c r="L255" s="232">
        <v>45170</v>
      </c>
      <c r="M255" s="232">
        <v>45199</v>
      </c>
    </row>
    <row r="256" spans="1:13" ht="18.75" customHeight="1" x14ac:dyDescent="0.2">
      <c r="A256" s="231" t="s">
        <v>8</v>
      </c>
      <c r="B256" s="230">
        <v>112508</v>
      </c>
      <c r="C256" s="230">
        <v>10756</v>
      </c>
      <c r="D256" s="231" t="s">
        <v>226</v>
      </c>
      <c r="E256" s="230">
        <v>14491078</v>
      </c>
      <c r="F256" s="230">
        <v>29451</v>
      </c>
      <c r="G256" s="230">
        <v>25</v>
      </c>
      <c r="H256" s="240">
        <v>26.3</v>
      </c>
      <c r="I256" s="240">
        <f t="shared" si="3"/>
        <v>657.5</v>
      </c>
      <c r="J256" s="231" t="s">
        <v>1311</v>
      </c>
      <c r="K256" s="231" t="s">
        <v>1312</v>
      </c>
      <c r="L256" s="232">
        <v>45170</v>
      </c>
      <c r="M256" s="232">
        <v>45199</v>
      </c>
    </row>
    <row r="257" spans="1:13" ht="18.75" customHeight="1" x14ac:dyDescent="0.2">
      <c r="A257" s="231" t="s">
        <v>8</v>
      </c>
      <c r="B257" s="230">
        <v>112512</v>
      </c>
      <c r="C257" s="230">
        <v>10755</v>
      </c>
      <c r="D257" s="231" t="s">
        <v>229</v>
      </c>
      <c r="E257" s="230">
        <v>14491078</v>
      </c>
      <c r="F257" s="230">
        <v>29459</v>
      </c>
      <c r="G257" s="230">
        <v>25</v>
      </c>
      <c r="H257" s="240">
        <v>26.3</v>
      </c>
      <c r="I257" s="240">
        <f t="shared" si="3"/>
        <v>657.5</v>
      </c>
      <c r="J257" s="231" t="s">
        <v>1311</v>
      </c>
      <c r="K257" s="231" t="s">
        <v>1312</v>
      </c>
      <c r="L257" s="232">
        <v>45170</v>
      </c>
      <c r="M257" s="232">
        <v>45199</v>
      </c>
    </row>
    <row r="258" spans="1:13" ht="18.75" customHeight="1" x14ac:dyDescent="0.2">
      <c r="A258" s="231" t="s">
        <v>8</v>
      </c>
      <c r="B258" s="230">
        <v>112513</v>
      </c>
      <c r="C258" s="230">
        <v>10771</v>
      </c>
      <c r="D258" s="231" t="s">
        <v>230</v>
      </c>
      <c r="E258" s="230">
        <v>14491078</v>
      </c>
      <c r="F258" s="230">
        <v>29461</v>
      </c>
      <c r="G258" s="230">
        <v>25</v>
      </c>
      <c r="H258" s="240">
        <v>26.3</v>
      </c>
      <c r="I258" s="240">
        <f t="shared" si="3"/>
        <v>657.5</v>
      </c>
      <c r="J258" s="231" t="s">
        <v>1311</v>
      </c>
      <c r="K258" s="231" t="s">
        <v>1312</v>
      </c>
      <c r="L258" s="232">
        <v>45170</v>
      </c>
      <c r="M258" s="232">
        <v>45199</v>
      </c>
    </row>
    <row r="259" spans="1:13" ht="18.75" customHeight="1" x14ac:dyDescent="0.2">
      <c r="A259" s="231" t="s">
        <v>8</v>
      </c>
      <c r="B259" s="230">
        <v>112514</v>
      </c>
      <c r="C259" s="230">
        <v>10756</v>
      </c>
      <c r="D259" s="231" t="s">
        <v>231</v>
      </c>
      <c r="E259" s="230">
        <v>14491078</v>
      </c>
      <c r="F259" s="230">
        <v>29463</v>
      </c>
      <c r="G259" s="230">
        <v>25</v>
      </c>
      <c r="H259" s="240">
        <v>26.3</v>
      </c>
      <c r="I259" s="240">
        <f t="shared" ref="I259:I322" si="4">G259*H259</f>
        <v>657.5</v>
      </c>
      <c r="J259" s="231" t="s">
        <v>1311</v>
      </c>
      <c r="K259" s="231" t="s">
        <v>1312</v>
      </c>
      <c r="L259" s="232">
        <v>45170</v>
      </c>
      <c r="M259" s="232">
        <v>45199</v>
      </c>
    </row>
    <row r="260" spans="1:13" ht="18.75" customHeight="1" x14ac:dyDescent="0.2">
      <c r="A260" s="231" t="s">
        <v>8</v>
      </c>
      <c r="B260" s="230">
        <v>112515</v>
      </c>
      <c r="C260" s="230">
        <v>10771</v>
      </c>
      <c r="D260" s="231" t="s">
        <v>232</v>
      </c>
      <c r="E260" s="230">
        <v>14491078</v>
      </c>
      <c r="F260" s="230">
        <v>29465</v>
      </c>
      <c r="G260" s="230">
        <v>25</v>
      </c>
      <c r="H260" s="240">
        <v>26.3</v>
      </c>
      <c r="I260" s="240">
        <f t="shared" si="4"/>
        <v>657.5</v>
      </c>
      <c r="J260" s="231" t="s">
        <v>1311</v>
      </c>
      <c r="K260" s="231" t="s">
        <v>1312</v>
      </c>
      <c r="L260" s="232">
        <v>45170</v>
      </c>
      <c r="M260" s="232">
        <v>45199</v>
      </c>
    </row>
    <row r="261" spans="1:13" ht="18.75" customHeight="1" x14ac:dyDescent="0.2">
      <c r="A261" s="231" t="s">
        <v>8</v>
      </c>
      <c r="B261" s="230">
        <v>112517</v>
      </c>
      <c r="C261" s="230">
        <v>10751</v>
      </c>
      <c r="D261" s="231" t="s">
        <v>233</v>
      </c>
      <c r="E261" s="230">
        <v>14491078</v>
      </c>
      <c r="F261" s="230">
        <v>29469</v>
      </c>
      <c r="G261" s="230">
        <v>25</v>
      </c>
      <c r="H261" s="240">
        <v>26.3</v>
      </c>
      <c r="I261" s="240">
        <f t="shared" si="4"/>
        <v>657.5</v>
      </c>
      <c r="J261" s="231" t="s">
        <v>1311</v>
      </c>
      <c r="K261" s="231" t="s">
        <v>1312</v>
      </c>
      <c r="L261" s="232">
        <v>45170</v>
      </c>
      <c r="M261" s="232">
        <v>45199</v>
      </c>
    </row>
    <row r="262" spans="1:13" ht="18.75" customHeight="1" x14ac:dyDescent="0.2">
      <c r="A262" s="231" t="s">
        <v>8</v>
      </c>
      <c r="B262" s="230">
        <v>112521</v>
      </c>
      <c r="C262" s="230">
        <v>10751</v>
      </c>
      <c r="D262" s="231" t="s">
        <v>236</v>
      </c>
      <c r="E262" s="230">
        <v>14491078</v>
      </c>
      <c r="F262" s="230">
        <v>29477</v>
      </c>
      <c r="G262" s="230">
        <v>25</v>
      </c>
      <c r="H262" s="240">
        <v>26.3</v>
      </c>
      <c r="I262" s="240">
        <f t="shared" si="4"/>
        <v>657.5</v>
      </c>
      <c r="J262" s="231" t="s">
        <v>1311</v>
      </c>
      <c r="K262" s="231" t="s">
        <v>1312</v>
      </c>
      <c r="L262" s="232">
        <v>45170</v>
      </c>
      <c r="M262" s="232">
        <v>45199</v>
      </c>
    </row>
    <row r="263" spans="1:13" ht="18.75" customHeight="1" x14ac:dyDescent="0.2">
      <c r="A263" s="231" t="s">
        <v>8</v>
      </c>
      <c r="B263" s="230">
        <v>112526</v>
      </c>
      <c r="C263" s="230">
        <v>10750</v>
      </c>
      <c r="D263" s="231" t="s">
        <v>239</v>
      </c>
      <c r="E263" s="230">
        <v>14491078</v>
      </c>
      <c r="F263" s="230">
        <v>29487</v>
      </c>
      <c r="G263" s="230">
        <v>25</v>
      </c>
      <c r="H263" s="240">
        <v>26.3</v>
      </c>
      <c r="I263" s="240">
        <f t="shared" si="4"/>
        <v>657.5</v>
      </c>
      <c r="J263" s="231" t="s">
        <v>1311</v>
      </c>
      <c r="K263" s="231" t="s">
        <v>1312</v>
      </c>
      <c r="L263" s="232">
        <v>45170</v>
      </c>
      <c r="M263" s="232">
        <v>45199</v>
      </c>
    </row>
    <row r="264" spans="1:13" ht="18.75" customHeight="1" x14ac:dyDescent="0.2">
      <c r="A264" s="231" t="s">
        <v>8</v>
      </c>
      <c r="B264" s="230">
        <v>112529</v>
      </c>
      <c r="C264" s="230">
        <v>10750</v>
      </c>
      <c r="D264" s="231" t="s">
        <v>241</v>
      </c>
      <c r="E264" s="230">
        <v>14491078</v>
      </c>
      <c r="F264" s="230">
        <v>29493</v>
      </c>
      <c r="G264" s="230">
        <v>25</v>
      </c>
      <c r="H264" s="240">
        <v>26.3</v>
      </c>
      <c r="I264" s="240">
        <f t="shared" si="4"/>
        <v>657.5</v>
      </c>
      <c r="J264" s="231" t="s">
        <v>1311</v>
      </c>
      <c r="K264" s="231" t="s">
        <v>1312</v>
      </c>
      <c r="L264" s="232">
        <v>45170</v>
      </c>
      <c r="M264" s="232">
        <v>45199</v>
      </c>
    </row>
    <row r="265" spans="1:13" ht="18.75" customHeight="1" x14ac:dyDescent="0.2">
      <c r="A265" s="231" t="s">
        <v>8</v>
      </c>
      <c r="B265" s="230">
        <v>112535</v>
      </c>
      <c r="C265" s="230">
        <v>10754</v>
      </c>
      <c r="D265" s="231" t="s">
        <v>247</v>
      </c>
      <c r="E265" s="230">
        <v>14491078</v>
      </c>
      <c r="F265" s="230">
        <v>29505</v>
      </c>
      <c r="G265" s="230">
        <v>25</v>
      </c>
      <c r="H265" s="240">
        <v>26.3</v>
      </c>
      <c r="I265" s="240">
        <f t="shared" si="4"/>
        <v>657.5</v>
      </c>
      <c r="J265" s="231" t="s">
        <v>1311</v>
      </c>
      <c r="K265" s="231" t="s">
        <v>1312</v>
      </c>
      <c r="L265" s="232">
        <v>45170</v>
      </c>
      <c r="M265" s="232">
        <v>45199</v>
      </c>
    </row>
    <row r="266" spans="1:13" ht="18.75" customHeight="1" x14ac:dyDescent="0.2">
      <c r="A266" s="231" t="s">
        <v>8</v>
      </c>
      <c r="B266" s="230">
        <v>112553</v>
      </c>
      <c r="C266" s="230">
        <v>10754</v>
      </c>
      <c r="D266" s="231" t="s">
        <v>261</v>
      </c>
      <c r="E266" s="230">
        <v>14491078</v>
      </c>
      <c r="F266" s="230">
        <v>29541</v>
      </c>
      <c r="G266" s="230">
        <v>25</v>
      </c>
      <c r="H266" s="240">
        <v>26.3</v>
      </c>
      <c r="I266" s="240">
        <f t="shared" si="4"/>
        <v>657.5</v>
      </c>
      <c r="J266" s="231" t="s">
        <v>1311</v>
      </c>
      <c r="K266" s="231" t="s">
        <v>1312</v>
      </c>
      <c r="L266" s="232">
        <v>45170</v>
      </c>
      <c r="M266" s="232">
        <v>45199</v>
      </c>
    </row>
    <row r="267" spans="1:13" ht="18.75" customHeight="1" x14ac:dyDescent="0.2">
      <c r="A267" s="231" t="s">
        <v>8</v>
      </c>
      <c r="B267" s="230">
        <v>112555</v>
      </c>
      <c r="C267" s="230">
        <v>10754</v>
      </c>
      <c r="D267" s="231" t="s">
        <v>262</v>
      </c>
      <c r="E267" s="230">
        <v>14491078</v>
      </c>
      <c r="F267" s="230">
        <v>29545</v>
      </c>
      <c r="G267" s="230">
        <v>25</v>
      </c>
      <c r="H267" s="240">
        <v>26.3</v>
      </c>
      <c r="I267" s="240">
        <f t="shared" si="4"/>
        <v>657.5</v>
      </c>
      <c r="J267" s="231" t="s">
        <v>1311</v>
      </c>
      <c r="K267" s="231" t="s">
        <v>1312</v>
      </c>
      <c r="L267" s="232">
        <v>45170</v>
      </c>
      <c r="M267" s="232">
        <v>45199</v>
      </c>
    </row>
    <row r="268" spans="1:13" ht="18.75" customHeight="1" x14ac:dyDescent="0.2">
      <c r="A268" s="231" t="s">
        <v>8</v>
      </c>
      <c r="B268" s="230">
        <v>112566</v>
      </c>
      <c r="C268" s="230">
        <v>10750</v>
      </c>
      <c r="D268" s="231" t="s">
        <v>268</v>
      </c>
      <c r="E268" s="230">
        <v>14491078</v>
      </c>
      <c r="F268" s="230">
        <v>29567</v>
      </c>
      <c r="G268" s="230">
        <v>25</v>
      </c>
      <c r="H268" s="240">
        <v>26.3</v>
      </c>
      <c r="I268" s="240">
        <f t="shared" si="4"/>
        <v>657.5</v>
      </c>
      <c r="J268" s="231" t="s">
        <v>1311</v>
      </c>
      <c r="K268" s="231" t="s">
        <v>1312</v>
      </c>
      <c r="L268" s="232">
        <v>45170</v>
      </c>
      <c r="M268" s="232">
        <v>45199</v>
      </c>
    </row>
    <row r="269" spans="1:13" ht="18.75" customHeight="1" x14ac:dyDescent="0.2">
      <c r="A269" s="231" t="s">
        <v>8</v>
      </c>
      <c r="B269" s="230">
        <v>112567</v>
      </c>
      <c r="C269" s="230">
        <v>10757</v>
      </c>
      <c r="D269" s="231" t="s">
        <v>269</v>
      </c>
      <c r="E269" s="230">
        <v>14491078</v>
      </c>
      <c r="F269" s="230">
        <v>29569</v>
      </c>
      <c r="G269" s="230">
        <v>25</v>
      </c>
      <c r="H269" s="240">
        <v>26.3</v>
      </c>
      <c r="I269" s="240">
        <f t="shared" si="4"/>
        <v>657.5</v>
      </c>
      <c r="J269" s="231" t="s">
        <v>1311</v>
      </c>
      <c r="K269" s="231" t="s">
        <v>1312</v>
      </c>
      <c r="L269" s="232">
        <v>45170</v>
      </c>
      <c r="M269" s="232">
        <v>45199</v>
      </c>
    </row>
    <row r="270" spans="1:13" ht="18.75" customHeight="1" x14ac:dyDescent="0.2">
      <c r="A270" s="231" t="s">
        <v>8</v>
      </c>
      <c r="B270" s="230">
        <v>112569</v>
      </c>
      <c r="C270" s="230">
        <v>10750</v>
      </c>
      <c r="D270" s="231" t="s">
        <v>271</v>
      </c>
      <c r="E270" s="230">
        <v>14491078</v>
      </c>
      <c r="F270" s="230">
        <v>29573</v>
      </c>
      <c r="G270" s="230">
        <v>25</v>
      </c>
      <c r="H270" s="240">
        <v>26.3</v>
      </c>
      <c r="I270" s="240">
        <f t="shared" si="4"/>
        <v>657.5</v>
      </c>
      <c r="J270" s="231" t="s">
        <v>1311</v>
      </c>
      <c r="K270" s="231" t="s">
        <v>1312</v>
      </c>
      <c r="L270" s="232">
        <v>45170</v>
      </c>
      <c r="M270" s="232">
        <v>45199</v>
      </c>
    </row>
    <row r="271" spans="1:13" ht="18.75" customHeight="1" x14ac:dyDescent="0.2">
      <c r="A271" s="231" t="s">
        <v>8</v>
      </c>
      <c r="B271" s="230">
        <v>112576</v>
      </c>
      <c r="C271" s="230">
        <v>10754</v>
      </c>
      <c r="D271" s="231" t="s">
        <v>273</v>
      </c>
      <c r="E271" s="230">
        <v>14491078</v>
      </c>
      <c r="F271" s="230">
        <v>29587</v>
      </c>
      <c r="G271" s="230">
        <v>25</v>
      </c>
      <c r="H271" s="240">
        <v>26.3</v>
      </c>
      <c r="I271" s="240">
        <f t="shared" si="4"/>
        <v>657.5</v>
      </c>
      <c r="J271" s="231" t="s">
        <v>1311</v>
      </c>
      <c r="K271" s="231" t="s">
        <v>1312</v>
      </c>
      <c r="L271" s="232">
        <v>45170</v>
      </c>
      <c r="M271" s="232">
        <v>45199</v>
      </c>
    </row>
    <row r="272" spans="1:13" ht="18.75" customHeight="1" x14ac:dyDescent="0.2">
      <c r="A272" s="231" t="s">
        <v>8</v>
      </c>
      <c r="B272" s="230">
        <v>112597</v>
      </c>
      <c r="C272" s="230">
        <v>10750</v>
      </c>
      <c r="D272" s="231" t="s">
        <v>286</v>
      </c>
      <c r="E272" s="230">
        <v>14491078</v>
      </c>
      <c r="F272" s="230">
        <v>29629</v>
      </c>
      <c r="G272" s="230">
        <v>25</v>
      </c>
      <c r="H272" s="240">
        <v>26.3</v>
      </c>
      <c r="I272" s="240">
        <f t="shared" si="4"/>
        <v>657.5</v>
      </c>
      <c r="J272" s="231" t="s">
        <v>1311</v>
      </c>
      <c r="K272" s="231" t="s">
        <v>1312</v>
      </c>
      <c r="L272" s="232">
        <v>45170</v>
      </c>
      <c r="M272" s="232">
        <v>45199</v>
      </c>
    </row>
    <row r="273" spans="1:13" ht="18.75" customHeight="1" x14ac:dyDescent="0.2">
      <c r="A273" s="231" t="s">
        <v>8</v>
      </c>
      <c r="B273" s="230">
        <v>112602</v>
      </c>
      <c r="C273" s="230">
        <v>10771</v>
      </c>
      <c r="D273" s="231" t="s">
        <v>289</v>
      </c>
      <c r="E273" s="230">
        <v>14491078</v>
      </c>
      <c r="F273" s="230">
        <v>29639</v>
      </c>
      <c r="G273" s="230">
        <v>25</v>
      </c>
      <c r="H273" s="240">
        <v>26.3</v>
      </c>
      <c r="I273" s="240">
        <f t="shared" si="4"/>
        <v>657.5</v>
      </c>
      <c r="J273" s="231" t="s">
        <v>1311</v>
      </c>
      <c r="K273" s="231" t="s">
        <v>1312</v>
      </c>
      <c r="L273" s="232">
        <v>45170</v>
      </c>
      <c r="M273" s="232">
        <v>45199</v>
      </c>
    </row>
    <row r="274" spans="1:13" ht="18.75" customHeight="1" x14ac:dyDescent="0.2">
      <c r="A274" s="231" t="s">
        <v>8</v>
      </c>
      <c r="B274" s="230">
        <v>112607</v>
      </c>
      <c r="C274" s="230">
        <v>10760</v>
      </c>
      <c r="D274" s="231" t="s">
        <v>1391</v>
      </c>
      <c r="E274" s="230">
        <v>14491078</v>
      </c>
      <c r="F274" s="230">
        <v>29649</v>
      </c>
      <c r="G274" s="230">
        <v>25</v>
      </c>
      <c r="H274" s="240">
        <v>26.3</v>
      </c>
      <c r="I274" s="240">
        <f t="shared" si="4"/>
        <v>657.5</v>
      </c>
      <c r="J274" s="231" t="s">
        <v>1311</v>
      </c>
      <c r="K274" s="231" t="s">
        <v>1312</v>
      </c>
      <c r="L274" s="232">
        <v>45170</v>
      </c>
      <c r="M274" s="232">
        <v>45199</v>
      </c>
    </row>
    <row r="275" spans="1:13" ht="18.75" customHeight="1" x14ac:dyDescent="0.2">
      <c r="A275" s="231" t="s">
        <v>8</v>
      </c>
      <c r="B275" s="230">
        <v>112609</v>
      </c>
      <c r="C275" s="230">
        <v>10751</v>
      </c>
      <c r="D275" s="231" t="s">
        <v>294</v>
      </c>
      <c r="E275" s="230">
        <v>14491078</v>
      </c>
      <c r="F275" s="230">
        <v>29653</v>
      </c>
      <c r="G275" s="230">
        <v>25</v>
      </c>
      <c r="H275" s="240">
        <v>26.3</v>
      </c>
      <c r="I275" s="240">
        <f t="shared" si="4"/>
        <v>657.5</v>
      </c>
      <c r="J275" s="231" t="s">
        <v>1311</v>
      </c>
      <c r="K275" s="231" t="s">
        <v>1312</v>
      </c>
      <c r="L275" s="232">
        <v>45170</v>
      </c>
      <c r="M275" s="232">
        <v>45199</v>
      </c>
    </row>
    <row r="276" spans="1:13" ht="18.75" customHeight="1" x14ac:dyDescent="0.2">
      <c r="A276" s="231" t="s">
        <v>8</v>
      </c>
      <c r="B276" s="230">
        <v>112613</v>
      </c>
      <c r="C276" s="230">
        <v>10757</v>
      </c>
      <c r="D276" s="231" t="s">
        <v>298</v>
      </c>
      <c r="E276" s="230">
        <v>14491078</v>
      </c>
      <c r="F276" s="230">
        <v>29661</v>
      </c>
      <c r="G276" s="230">
        <v>25</v>
      </c>
      <c r="H276" s="240">
        <v>26.3</v>
      </c>
      <c r="I276" s="240">
        <f t="shared" si="4"/>
        <v>657.5</v>
      </c>
      <c r="J276" s="231" t="s">
        <v>1311</v>
      </c>
      <c r="K276" s="231" t="s">
        <v>1312</v>
      </c>
      <c r="L276" s="232">
        <v>45170</v>
      </c>
      <c r="M276" s="232">
        <v>45199</v>
      </c>
    </row>
    <row r="277" spans="1:13" ht="18.75" customHeight="1" x14ac:dyDescent="0.2">
      <c r="A277" s="231" t="s">
        <v>8</v>
      </c>
      <c r="B277" s="230">
        <v>112614</v>
      </c>
      <c r="C277" s="230">
        <v>10763</v>
      </c>
      <c r="D277" s="231" t="s">
        <v>299</v>
      </c>
      <c r="E277" s="230">
        <v>14491078</v>
      </c>
      <c r="F277" s="230">
        <v>29663</v>
      </c>
      <c r="G277" s="230">
        <v>24</v>
      </c>
      <c r="H277" s="240">
        <v>26.3</v>
      </c>
      <c r="I277" s="240">
        <f t="shared" si="4"/>
        <v>631.20000000000005</v>
      </c>
      <c r="J277" s="231" t="s">
        <v>1311</v>
      </c>
      <c r="K277" s="231" t="s">
        <v>1312</v>
      </c>
      <c r="L277" s="232">
        <v>45170</v>
      </c>
      <c r="M277" s="232">
        <v>45199</v>
      </c>
    </row>
    <row r="278" spans="1:13" ht="18.75" customHeight="1" x14ac:dyDescent="0.2">
      <c r="A278" s="231" t="s">
        <v>8</v>
      </c>
      <c r="B278" s="230">
        <v>112615</v>
      </c>
      <c r="C278" s="230">
        <v>10754</v>
      </c>
      <c r="D278" s="231" t="s">
        <v>300</v>
      </c>
      <c r="E278" s="230">
        <v>14491078</v>
      </c>
      <c r="F278" s="230">
        <v>29665</v>
      </c>
      <c r="G278" s="230">
        <v>25</v>
      </c>
      <c r="H278" s="240">
        <v>26.3</v>
      </c>
      <c r="I278" s="240">
        <f t="shared" si="4"/>
        <v>657.5</v>
      </c>
      <c r="J278" s="231" t="s">
        <v>1311</v>
      </c>
      <c r="K278" s="231" t="s">
        <v>1312</v>
      </c>
      <c r="L278" s="232">
        <v>45170</v>
      </c>
      <c r="M278" s="232">
        <v>45199</v>
      </c>
    </row>
    <row r="279" spans="1:13" ht="18.75" customHeight="1" x14ac:dyDescent="0.2">
      <c r="A279" s="231" t="s">
        <v>8</v>
      </c>
      <c r="B279" s="230">
        <v>112618</v>
      </c>
      <c r="C279" s="230">
        <v>10771</v>
      </c>
      <c r="D279" s="231" t="s">
        <v>302</v>
      </c>
      <c r="E279" s="230">
        <v>14491078</v>
      </c>
      <c r="F279" s="230">
        <v>29671</v>
      </c>
      <c r="G279" s="230">
        <v>25</v>
      </c>
      <c r="H279" s="240">
        <v>26.3</v>
      </c>
      <c r="I279" s="240">
        <f t="shared" si="4"/>
        <v>657.5</v>
      </c>
      <c r="J279" s="231" t="s">
        <v>1311</v>
      </c>
      <c r="K279" s="231" t="s">
        <v>1312</v>
      </c>
      <c r="L279" s="232">
        <v>45170</v>
      </c>
      <c r="M279" s="232">
        <v>45199</v>
      </c>
    </row>
    <row r="280" spans="1:13" ht="18.75" customHeight="1" x14ac:dyDescent="0.2">
      <c r="A280" s="231" t="s">
        <v>8</v>
      </c>
      <c r="B280" s="230">
        <v>112619</v>
      </c>
      <c r="C280" s="230">
        <v>10760</v>
      </c>
      <c r="D280" s="231" t="s">
        <v>303</v>
      </c>
      <c r="E280" s="230">
        <v>14491078</v>
      </c>
      <c r="F280" s="230">
        <v>29673</v>
      </c>
      <c r="G280" s="230">
        <v>25</v>
      </c>
      <c r="H280" s="240">
        <v>26.3</v>
      </c>
      <c r="I280" s="240">
        <f t="shared" si="4"/>
        <v>657.5</v>
      </c>
      <c r="J280" s="231" t="s">
        <v>1311</v>
      </c>
      <c r="K280" s="231" t="s">
        <v>1312</v>
      </c>
      <c r="L280" s="232">
        <v>45170</v>
      </c>
      <c r="M280" s="232">
        <v>45199</v>
      </c>
    </row>
    <row r="281" spans="1:13" ht="18.75" customHeight="1" x14ac:dyDescent="0.2">
      <c r="A281" s="231" t="s">
        <v>8</v>
      </c>
      <c r="B281" s="230">
        <v>112626</v>
      </c>
      <c r="C281" s="230">
        <v>10755</v>
      </c>
      <c r="D281" s="231" t="s">
        <v>307</v>
      </c>
      <c r="E281" s="230">
        <v>14491078</v>
      </c>
      <c r="F281" s="230">
        <v>29687</v>
      </c>
      <c r="G281" s="230">
        <v>25</v>
      </c>
      <c r="H281" s="240">
        <v>26.3</v>
      </c>
      <c r="I281" s="240">
        <f t="shared" si="4"/>
        <v>657.5</v>
      </c>
      <c r="J281" s="231" t="s">
        <v>1311</v>
      </c>
      <c r="K281" s="231" t="s">
        <v>1312</v>
      </c>
      <c r="L281" s="232">
        <v>45170</v>
      </c>
      <c r="M281" s="232">
        <v>45199</v>
      </c>
    </row>
    <row r="282" spans="1:13" ht="18.75" customHeight="1" x14ac:dyDescent="0.2">
      <c r="A282" s="231" t="s">
        <v>8</v>
      </c>
      <c r="B282" s="230">
        <v>112628</v>
      </c>
      <c r="C282" s="230">
        <v>10760</v>
      </c>
      <c r="D282" s="231" t="s">
        <v>308</v>
      </c>
      <c r="E282" s="230">
        <v>14491078</v>
      </c>
      <c r="F282" s="230">
        <v>29691</v>
      </c>
      <c r="G282" s="230">
        <v>25</v>
      </c>
      <c r="H282" s="240">
        <v>26.3</v>
      </c>
      <c r="I282" s="240">
        <f t="shared" si="4"/>
        <v>657.5</v>
      </c>
      <c r="J282" s="231" t="s">
        <v>1311</v>
      </c>
      <c r="K282" s="231" t="s">
        <v>1312</v>
      </c>
      <c r="L282" s="232">
        <v>45170</v>
      </c>
      <c r="M282" s="232">
        <v>45199</v>
      </c>
    </row>
    <row r="283" spans="1:13" ht="18.75" customHeight="1" x14ac:dyDescent="0.2">
      <c r="A283" s="231" t="s">
        <v>8</v>
      </c>
      <c r="B283" s="230">
        <v>112635</v>
      </c>
      <c r="C283" s="230">
        <v>10750</v>
      </c>
      <c r="D283" s="231" t="s">
        <v>313</v>
      </c>
      <c r="E283" s="230">
        <v>14491078</v>
      </c>
      <c r="F283" s="230">
        <v>29705</v>
      </c>
      <c r="G283" s="230">
        <v>25</v>
      </c>
      <c r="H283" s="240">
        <v>26.3</v>
      </c>
      <c r="I283" s="240">
        <f t="shared" si="4"/>
        <v>657.5</v>
      </c>
      <c r="J283" s="231" t="s">
        <v>1311</v>
      </c>
      <c r="K283" s="231" t="s">
        <v>1312</v>
      </c>
      <c r="L283" s="232">
        <v>45170</v>
      </c>
      <c r="M283" s="232">
        <v>45199</v>
      </c>
    </row>
    <row r="284" spans="1:13" ht="18.75" customHeight="1" x14ac:dyDescent="0.2">
      <c r="A284" s="231" t="s">
        <v>8</v>
      </c>
      <c r="B284" s="230">
        <v>112638</v>
      </c>
      <c r="C284" s="230">
        <v>10757</v>
      </c>
      <c r="D284" s="231" t="s">
        <v>314</v>
      </c>
      <c r="E284" s="230">
        <v>14491078</v>
      </c>
      <c r="F284" s="230">
        <v>29711</v>
      </c>
      <c r="G284" s="230">
        <v>25</v>
      </c>
      <c r="H284" s="240">
        <v>26.3</v>
      </c>
      <c r="I284" s="240">
        <f t="shared" si="4"/>
        <v>657.5</v>
      </c>
      <c r="J284" s="231" t="s">
        <v>1311</v>
      </c>
      <c r="K284" s="231" t="s">
        <v>1312</v>
      </c>
      <c r="L284" s="232">
        <v>45170</v>
      </c>
      <c r="M284" s="232">
        <v>45199</v>
      </c>
    </row>
    <row r="285" spans="1:13" ht="18.75" customHeight="1" x14ac:dyDescent="0.2">
      <c r="A285" s="231" t="s">
        <v>8</v>
      </c>
      <c r="B285" s="230">
        <v>112649</v>
      </c>
      <c r="C285" s="230">
        <v>10750</v>
      </c>
      <c r="D285" s="231" t="s">
        <v>319</v>
      </c>
      <c r="E285" s="230">
        <v>14491078</v>
      </c>
      <c r="F285" s="230">
        <v>29733</v>
      </c>
      <c r="G285" s="230">
        <v>25</v>
      </c>
      <c r="H285" s="240">
        <v>26.3</v>
      </c>
      <c r="I285" s="240">
        <f t="shared" si="4"/>
        <v>657.5</v>
      </c>
      <c r="J285" s="231" t="s">
        <v>1311</v>
      </c>
      <c r="K285" s="231" t="s">
        <v>1312</v>
      </c>
      <c r="L285" s="232">
        <v>45170</v>
      </c>
      <c r="M285" s="232">
        <v>45199</v>
      </c>
    </row>
    <row r="286" spans="1:13" ht="18.75" customHeight="1" x14ac:dyDescent="0.2">
      <c r="A286" s="231" t="s">
        <v>8</v>
      </c>
      <c r="B286" s="230">
        <v>112650</v>
      </c>
      <c r="C286" s="230">
        <v>10750</v>
      </c>
      <c r="D286" s="231" t="s">
        <v>1340</v>
      </c>
      <c r="E286" s="230">
        <v>14491078</v>
      </c>
      <c r="F286" s="230">
        <v>29735</v>
      </c>
      <c r="G286" s="230">
        <v>25</v>
      </c>
      <c r="H286" s="240">
        <v>26.3</v>
      </c>
      <c r="I286" s="240">
        <f t="shared" si="4"/>
        <v>657.5</v>
      </c>
      <c r="J286" s="231" t="s">
        <v>1311</v>
      </c>
      <c r="K286" s="231" t="s">
        <v>1312</v>
      </c>
      <c r="L286" s="232">
        <v>45170</v>
      </c>
      <c r="M286" s="232">
        <v>45199</v>
      </c>
    </row>
    <row r="287" spans="1:13" ht="18.75" customHeight="1" x14ac:dyDescent="0.2">
      <c r="A287" s="231" t="s">
        <v>8</v>
      </c>
      <c r="B287" s="230">
        <v>112682</v>
      </c>
      <c r="C287" s="230">
        <v>10766</v>
      </c>
      <c r="D287" s="231" t="s">
        <v>338</v>
      </c>
      <c r="E287" s="230">
        <v>14491078</v>
      </c>
      <c r="F287" s="230">
        <v>29799</v>
      </c>
      <c r="G287" s="230">
        <v>25</v>
      </c>
      <c r="H287" s="240">
        <v>26.3</v>
      </c>
      <c r="I287" s="240">
        <f t="shared" si="4"/>
        <v>657.5</v>
      </c>
      <c r="J287" s="231" t="s">
        <v>1311</v>
      </c>
      <c r="K287" s="231" t="s">
        <v>1312</v>
      </c>
      <c r="L287" s="232">
        <v>45170</v>
      </c>
      <c r="M287" s="232">
        <v>45199</v>
      </c>
    </row>
    <row r="288" spans="1:13" ht="18.75" customHeight="1" x14ac:dyDescent="0.2">
      <c r="A288" s="231" t="s">
        <v>8</v>
      </c>
      <c r="B288" s="230">
        <v>112697</v>
      </c>
      <c r="C288" s="230">
        <v>10750</v>
      </c>
      <c r="D288" s="231" t="s">
        <v>348</v>
      </c>
      <c r="E288" s="230">
        <v>14491078</v>
      </c>
      <c r="F288" s="230">
        <v>29829</v>
      </c>
      <c r="G288" s="230">
        <v>25</v>
      </c>
      <c r="H288" s="240">
        <v>26.3</v>
      </c>
      <c r="I288" s="240">
        <f t="shared" si="4"/>
        <v>657.5</v>
      </c>
      <c r="J288" s="231" t="s">
        <v>1311</v>
      </c>
      <c r="K288" s="231" t="s">
        <v>1312</v>
      </c>
      <c r="L288" s="232">
        <v>45170</v>
      </c>
      <c r="M288" s="232">
        <v>45199</v>
      </c>
    </row>
    <row r="289" spans="1:13" ht="18.75" customHeight="1" x14ac:dyDescent="0.2">
      <c r="A289" s="231" t="s">
        <v>8</v>
      </c>
      <c r="B289" s="230">
        <v>112700</v>
      </c>
      <c r="C289" s="230">
        <v>10754</v>
      </c>
      <c r="D289" s="231" t="s">
        <v>352</v>
      </c>
      <c r="E289" s="230">
        <v>14491078</v>
      </c>
      <c r="F289" s="230">
        <v>29835</v>
      </c>
      <c r="G289" s="230">
        <v>25</v>
      </c>
      <c r="H289" s="240">
        <v>26.3</v>
      </c>
      <c r="I289" s="240">
        <f t="shared" si="4"/>
        <v>657.5</v>
      </c>
      <c r="J289" s="231" t="s">
        <v>1311</v>
      </c>
      <c r="K289" s="231" t="s">
        <v>1312</v>
      </c>
      <c r="L289" s="232">
        <v>45170</v>
      </c>
      <c r="M289" s="232">
        <v>45199</v>
      </c>
    </row>
    <row r="290" spans="1:13" ht="18.75" customHeight="1" x14ac:dyDescent="0.2">
      <c r="A290" s="231" t="s">
        <v>8</v>
      </c>
      <c r="B290" s="230">
        <v>112718</v>
      </c>
      <c r="C290" s="230">
        <v>10750</v>
      </c>
      <c r="D290" s="231" t="s">
        <v>362</v>
      </c>
      <c r="E290" s="230">
        <v>14491078</v>
      </c>
      <c r="F290" s="230">
        <v>29871</v>
      </c>
      <c r="G290" s="230">
        <v>25</v>
      </c>
      <c r="H290" s="240">
        <v>26.3</v>
      </c>
      <c r="I290" s="240">
        <f t="shared" si="4"/>
        <v>657.5</v>
      </c>
      <c r="J290" s="231" t="s">
        <v>1311</v>
      </c>
      <c r="K290" s="231" t="s">
        <v>1312</v>
      </c>
      <c r="L290" s="232">
        <v>45170</v>
      </c>
      <c r="M290" s="232">
        <v>45199</v>
      </c>
    </row>
    <row r="291" spans="1:13" ht="18.75" customHeight="1" x14ac:dyDescent="0.2">
      <c r="A291" s="231" t="s">
        <v>8</v>
      </c>
      <c r="B291" s="230">
        <v>112731</v>
      </c>
      <c r="C291" s="230">
        <v>10750</v>
      </c>
      <c r="D291" s="231" t="s">
        <v>371</v>
      </c>
      <c r="E291" s="230">
        <v>14491078</v>
      </c>
      <c r="F291" s="230">
        <v>29897</v>
      </c>
      <c r="G291" s="230">
        <v>25</v>
      </c>
      <c r="H291" s="240">
        <v>26.3</v>
      </c>
      <c r="I291" s="240">
        <f t="shared" si="4"/>
        <v>657.5</v>
      </c>
      <c r="J291" s="231" t="s">
        <v>1311</v>
      </c>
      <c r="K291" s="231" t="s">
        <v>1312</v>
      </c>
      <c r="L291" s="232">
        <v>45170</v>
      </c>
      <c r="M291" s="232">
        <v>45199</v>
      </c>
    </row>
    <row r="292" spans="1:13" ht="18.75" customHeight="1" x14ac:dyDescent="0.2">
      <c r="A292" s="231" t="s">
        <v>8</v>
      </c>
      <c r="B292" s="230">
        <v>112741</v>
      </c>
      <c r="C292" s="230">
        <v>10754</v>
      </c>
      <c r="D292" s="231" t="s">
        <v>376</v>
      </c>
      <c r="E292" s="230">
        <v>14491078</v>
      </c>
      <c r="F292" s="230">
        <v>29917</v>
      </c>
      <c r="G292" s="230">
        <v>25</v>
      </c>
      <c r="H292" s="240">
        <v>26.3</v>
      </c>
      <c r="I292" s="240">
        <f t="shared" si="4"/>
        <v>657.5</v>
      </c>
      <c r="J292" s="231" t="s">
        <v>1311</v>
      </c>
      <c r="K292" s="231" t="s">
        <v>1312</v>
      </c>
      <c r="L292" s="232">
        <v>45170</v>
      </c>
      <c r="M292" s="232">
        <v>45199</v>
      </c>
    </row>
    <row r="293" spans="1:13" ht="18.75" customHeight="1" x14ac:dyDescent="0.2">
      <c r="A293" s="231" t="s">
        <v>8</v>
      </c>
      <c r="B293" s="230">
        <v>112754</v>
      </c>
      <c r="C293" s="230">
        <v>10751</v>
      </c>
      <c r="D293" s="231" t="s">
        <v>386</v>
      </c>
      <c r="E293" s="230">
        <v>14491078</v>
      </c>
      <c r="F293" s="230">
        <v>29943</v>
      </c>
      <c r="G293" s="230">
        <v>25</v>
      </c>
      <c r="H293" s="240">
        <v>26.3</v>
      </c>
      <c r="I293" s="240">
        <f t="shared" si="4"/>
        <v>657.5</v>
      </c>
      <c r="J293" s="231" t="s">
        <v>1311</v>
      </c>
      <c r="K293" s="231" t="s">
        <v>1312</v>
      </c>
      <c r="L293" s="232">
        <v>45170</v>
      </c>
      <c r="M293" s="232">
        <v>45199</v>
      </c>
    </row>
    <row r="294" spans="1:13" ht="18.75" customHeight="1" x14ac:dyDescent="0.2">
      <c r="A294" s="231" t="s">
        <v>8</v>
      </c>
      <c r="B294" s="230">
        <v>112766</v>
      </c>
      <c r="C294" s="230">
        <v>10757</v>
      </c>
      <c r="D294" s="231" t="s">
        <v>393</v>
      </c>
      <c r="E294" s="230">
        <v>14491078</v>
      </c>
      <c r="F294" s="230">
        <v>29967</v>
      </c>
      <c r="G294" s="230">
        <v>24</v>
      </c>
      <c r="H294" s="240">
        <v>26.3</v>
      </c>
      <c r="I294" s="240">
        <f t="shared" si="4"/>
        <v>631.20000000000005</v>
      </c>
      <c r="J294" s="231" t="s">
        <v>1311</v>
      </c>
      <c r="K294" s="231" t="s">
        <v>1312</v>
      </c>
      <c r="L294" s="232">
        <v>45170</v>
      </c>
      <c r="M294" s="232">
        <v>45199</v>
      </c>
    </row>
    <row r="295" spans="1:13" ht="18.75" customHeight="1" x14ac:dyDescent="0.2">
      <c r="A295" s="231" t="s">
        <v>8</v>
      </c>
      <c r="B295" s="230">
        <v>112774</v>
      </c>
      <c r="C295" s="230">
        <v>10754</v>
      </c>
      <c r="D295" s="231" t="s">
        <v>399</v>
      </c>
      <c r="E295" s="230">
        <v>14491078</v>
      </c>
      <c r="F295" s="230">
        <v>29983</v>
      </c>
      <c r="G295" s="230">
        <v>25</v>
      </c>
      <c r="H295" s="240">
        <v>26.3</v>
      </c>
      <c r="I295" s="240">
        <f t="shared" si="4"/>
        <v>657.5</v>
      </c>
      <c r="J295" s="231" t="s">
        <v>1311</v>
      </c>
      <c r="K295" s="231" t="s">
        <v>1312</v>
      </c>
      <c r="L295" s="232">
        <v>45170</v>
      </c>
      <c r="M295" s="232">
        <v>45199</v>
      </c>
    </row>
    <row r="296" spans="1:13" ht="18.75" customHeight="1" x14ac:dyDescent="0.2">
      <c r="A296" s="231" t="s">
        <v>8</v>
      </c>
      <c r="B296" s="230">
        <v>112778</v>
      </c>
      <c r="C296" s="230">
        <v>10750</v>
      </c>
      <c r="D296" s="231" t="s">
        <v>402</v>
      </c>
      <c r="E296" s="230">
        <v>14491078</v>
      </c>
      <c r="F296" s="230">
        <v>29991</v>
      </c>
      <c r="G296" s="230">
        <v>25</v>
      </c>
      <c r="H296" s="240">
        <v>26.3</v>
      </c>
      <c r="I296" s="240">
        <f t="shared" si="4"/>
        <v>657.5</v>
      </c>
      <c r="J296" s="231" t="s">
        <v>1311</v>
      </c>
      <c r="K296" s="231" t="s">
        <v>1312</v>
      </c>
      <c r="L296" s="232">
        <v>45170</v>
      </c>
      <c r="M296" s="232">
        <v>45199</v>
      </c>
    </row>
    <row r="297" spans="1:13" ht="18.75" customHeight="1" x14ac:dyDescent="0.2">
      <c r="A297" s="231" t="s">
        <v>8</v>
      </c>
      <c r="B297" s="230">
        <v>112780</v>
      </c>
      <c r="C297" s="230">
        <v>10750</v>
      </c>
      <c r="D297" s="231" t="s">
        <v>404</v>
      </c>
      <c r="E297" s="230">
        <v>14491078</v>
      </c>
      <c r="F297" s="230">
        <v>29995</v>
      </c>
      <c r="G297" s="230">
        <v>25</v>
      </c>
      <c r="H297" s="240">
        <v>26.3</v>
      </c>
      <c r="I297" s="240">
        <f t="shared" si="4"/>
        <v>657.5</v>
      </c>
      <c r="J297" s="231" t="s">
        <v>1311</v>
      </c>
      <c r="K297" s="231" t="s">
        <v>1312</v>
      </c>
      <c r="L297" s="232">
        <v>45170</v>
      </c>
      <c r="M297" s="232">
        <v>45199</v>
      </c>
    </row>
    <row r="298" spans="1:13" ht="18.75" customHeight="1" x14ac:dyDescent="0.2">
      <c r="A298" s="231" t="s">
        <v>8</v>
      </c>
      <c r="B298" s="230">
        <v>112789</v>
      </c>
      <c r="C298" s="230">
        <v>10750</v>
      </c>
      <c r="D298" s="231" t="s">
        <v>412</v>
      </c>
      <c r="E298" s="230">
        <v>14491078</v>
      </c>
      <c r="F298" s="230">
        <v>30013</v>
      </c>
      <c r="G298" s="230">
        <v>25</v>
      </c>
      <c r="H298" s="240">
        <v>26.3</v>
      </c>
      <c r="I298" s="240">
        <f t="shared" si="4"/>
        <v>657.5</v>
      </c>
      <c r="J298" s="231" t="s">
        <v>1311</v>
      </c>
      <c r="K298" s="231" t="s">
        <v>1312</v>
      </c>
      <c r="L298" s="232">
        <v>45170</v>
      </c>
      <c r="M298" s="232">
        <v>45199</v>
      </c>
    </row>
    <row r="299" spans="1:13" ht="18.75" customHeight="1" x14ac:dyDescent="0.2">
      <c r="A299" s="231" t="s">
        <v>8</v>
      </c>
      <c r="B299" s="230">
        <v>112798</v>
      </c>
      <c r="C299" s="230">
        <v>10751</v>
      </c>
      <c r="D299" s="231" t="s">
        <v>418</v>
      </c>
      <c r="E299" s="230">
        <v>14491078</v>
      </c>
      <c r="F299" s="230">
        <v>30031</v>
      </c>
      <c r="G299" s="230">
        <v>25</v>
      </c>
      <c r="H299" s="240">
        <v>26.3</v>
      </c>
      <c r="I299" s="240">
        <f t="shared" si="4"/>
        <v>657.5</v>
      </c>
      <c r="J299" s="231" t="s">
        <v>1311</v>
      </c>
      <c r="K299" s="231" t="s">
        <v>1312</v>
      </c>
      <c r="L299" s="232">
        <v>45170</v>
      </c>
      <c r="M299" s="232">
        <v>45199</v>
      </c>
    </row>
    <row r="300" spans="1:13" ht="18.75" customHeight="1" x14ac:dyDescent="0.2">
      <c r="A300" s="231" t="s">
        <v>8</v>
      </c>
      <c r="B300" s="230">
        <v>112809</v>
      </c>
      <c r="C300" s="230">
        <v>10757</v>
      </c>
      <c r="D300" s="231" t="s">
        <v>426</v>
      </c>
      <c r="E300" s="230">
        <v>14491078</v>
      </c>
      <c r="F300" s="230">
        <v>30053</v>
      </c>
      <c r="G300" s="230">
        <v>25</v>
      </c>
      <c r="H300" s="240">
        <v>26.3</v>
      </c>
      <c r="I300" s="240">
        <f t="shared" si="4"/>
        <v>657.5</v>
      </c>
      <c r="J300" s="231" t="s">
        <v>1311</v>
      </c>
      <c r="K300" s="231" t="s">
        <v>1312</v>
      </c>
      <c r="L300" s="232">
        <v>45170</v>
      </c>
      <c r="M300" s="232">
        <v>45199</v>
      </c>
    </row>
    <row r="301" spans="1:13" ht="18.75" customHeight="1" x14ac:dyDescent="0.2">
      <c r="A301" s="231" t="s">
        <v>8</v>
      </c>
      <c r="B301" s="230">
        <v>112833</v>
      </c>
      <c r="C301" s="230">
        <v>10750</v>
      </c>
      <c r="D301" s="231" t="s">
        <v>444</v>
      </c>
      <c r="E301" s="230">
        <v>14491078</v>
      </c>
      <c r="F301" s="230">
        <v>30101</v>
      </c>
      <c r="G301" s="230">
        <v>25</v>
      </c>
      <c r="H301" s="240">
        <v>26.3</v>
      </c>
      <c r="I301" s="240">
        <f t="shared" si="4"/>
        <v>657.5</v>
      </c>
      <c r="J301" s="231" t="s">
        <v>1311</v>
      </c>
      <c r="K301" s="231" t="s">
        <v>1312</v>
      </c>
      <c r="L301" s="232">
        <v>45170</v>
      </c>
      <c r="M301" s="232">
        <v>45199</v>
      </c>
    </row>
    <row r="302" spans="1:13" ht="18.75" customHeight="1" x14ac:dyDescent="0.2">
      <c r="A302" s="231" t="s">
        <v>8</v>
      </c>
      <c r="B302" s="230">
        <v>112834</v>
      </c>
      <c r="C302" s="230">
        <v>10751</v>
      </c>
      <c r="D302" s="231" t="s">
        <v>445</v>
      </c>
      <c r="E302" s="230">
        <v>14491078</v>
      </c>
      <c r="F302" s="230">
        <v>30103</v>
      </c>
      <c r="G302" s="230">
        <v>25</v>
      </c>
      <c r="H302" s="240">
        <v>26.3</v>
      </c>
      <c r="I302" s="240">
        <f t="shared" si="4"/>
        <v>657.5</v>
      </c>
      <c r="J302" s="231" t="s">
        <v>1311</v>
      </c>
      <c r="K302" s="231" t="s">
        <v>1312</v>
      </c>
      <c r="L302" s="232">
        <v>45170</v>
      </c>
      <c r="M302" s="232">
        <v>45199</v>
      </c>
    </row>
    <row r="303" spans="1:13" ht="18.75" customHeight="1" x14ac:dyDescent="0.2">
      <c r="A303" s="231" t="s">
        <v>8</v>
      </c>
      <c r="B303" s="230">
        <v>112840</v>
      </c>
      <c r="C303" s="230">
        <v>10750</v>
      </c>
      <c r="D303" s="231" t="s">
        <v>448</v>
      </c>
      <c r="E303" s="230">
        <v>14491078</v>
      </c>
      <c r="F303" s="230">
        <v>30115</v>
      </c>
      <c r="G303" s="230">
        <v>25</v>
      </c>
      <c r="H303" s="240">
        <v>26.3</v>
      </c>
      <c r="I303" s="240">
        <f t="shared" si="4"/>
        <v>657.5</v>
      </c>
      <c r="J303" s="231" t="s">
        <v>1311</v>
      </c>
      <c r="K303" s="231" t="s">
        <v>1312</v>
      </c>
      <c r="L303" s="232">
        <v>45170</v>
      </c>
      <c r="M303" s="232">
        <v>45199</v>
      </c>
    </row>
    <row r="304" spans="1:13" ht="18.75" customHeight="1" x14ac:dyDescent="0.2">
      <c r="A304" s="231" t="s">
        <v>8</v>
      </c>
      <c r="B304" s="230">
        <v>112849</v>
      </c>
      <c r="C304" s="230">
        <v>10750</v>
      </c>
      <c r="D304" s="231" t="s">
        <v>452</v>
      </c>
      <c r="E304" s="230">
        <v>14491078</v>
      </c>
      <c r="F304" s="230">
        <v>30133</v>
      </c>
      <c r="G304" s="230">
        <v>25</v>
      </c>
      <c r="H304" s="240">
        <v>26.3</v>
      </c>
      <c r="I304" s="240">
        <f t="shared" si="4"/>
        <v>657.5</v>
      </c>
      <c r="J304" s="231" t="s">
        <v>1311</v>
      </c>
      <c r="K304" s="231" t="s">
        <v>1312</v>
      </c>
      <c r="L304" s="232">
        <v>45170</v>
      </c>
      <c r="M304" s="232">
        <v>45199</v>
      </c>
    </row>
    <row r="305" spans="1:13" ht="18.75" customHeight="1" x14ac:dyDescent="0.2">
      <c r="A305" s="231" t="s">
        <v>8</v>
      </c>
      <c r="B305" s="230">
        <v>112851</v>
      </c>
      <c r="C305" s="230">
        <v>10757</v>
      </c>
      <c r="D305" s="231" t="s">
        <v>454</v>
      </c>
      <c r="E305" s="230">
        <v>14491078</v>
      </c>
      <c r="F305" s="230">
        <v>30137</v>
      </c>
      <c r="G305" s="230">
        <v>25</v>
      </c>
      <c r="H305" s="240">
        <v>26.3</v>
      </c>
      <c r="I305" s="240">
        <f t="shared" si="4"/>
        <v>657.5</v>
      </c>
      <c r="J305" s="231" t="s">
        <v>1311</v>
      </c>
      <c r="K305" s="231" t="s">
        <v>1312</v>
      </c>
      <c r="L305" s="232">
        <v>45170</v>
      </c>
      <c r="M305" s="232">
        <v>45199</v>
      </c>
    </row>
    <row r="306" spans="1:13" ht="18.75" customHeight="1" x14ac:dyDescent="0.2">
      <c r="A306" s="231" t="s">
        <v>8</v>
      </c>
      <c r="B306" s="230">
        <v>112866</v>
      </c>
      <c r="C306" s="230">
        <v>10751</v>
      </c>
      <c r="D306" s="231" t="s">
        <v>462</v>
      </c>
      <c r="E306" s="230">
        <v>14491078</v>
      </c>
      <c r="F306" s="230">
        <v>30167</v>
      </c>
      <c r="G306" s="230">
        <v>25</v>
      </c>
      <c r="H306" s="240">
        <v>26.3</v>
      </c>
      <c r="I306" s="240">
        <f t="shared" si="4"/>
        <v>657.5</v>
      </c>
      <c r="J306" s="231" t="s">
        <v>1311</v>
      </c>
      <c r="K306" s="231" t="s">
        <v>1312</v>
      </c>
      <c r="L306" s="232">
        <v>45170</v>
      </c>
      <c r="M306" s="232">
        <v>45199</v>
      </c>
    </row>
    <row r="307" spans="1:13" ht="18.75" customHeight="1" x14ac:dyDescent="0.2">
      <c r="A307" s="231" t="s">
        <v>8</v>
      </c>
      <c r="B307" s="230">
        <v>112867</v>
      </c>
      <c r="C307" s="230">
        <v>10750</v>
      </c>
      <c r="D307" s="231" t="s">
        <v>463</v>
      </c>
      <c r="E307" s="230">
        <v>14491078</v>
      </c>
      <c r="F307" s="230">
        <v>30169</v>
      </c>
      <c r="G307" s="230">
        <v>25</v>
      </c>
      <c r="H307" s="240">
        <v>26.3</v>
      </c>
      <c r="I307" s="240">
        <f t="shared" si="4"/>
        <v>657.5</v>
      </c>
      <c r="J307" s="231" t="s">
        <v>1311</v>
      </c>
      <c r="K307" s="231" t="s">
        <v>1312</v>
      </c>
      <c r="L307" s="232">
        <v>45170</v>
      </c>
      <c r="M307" s="232">
        <v>45199</v>
      </c>
    </row>
    <row r="308" spans="1:13" ht="18.75" customHeight="1" x14ac:dyDescent="0.2">
      <c r="A308" s="231" t="s">
        <v>8</v>
      </c>
      <c r="B308" s="230">
        <v>112871</v>
      </c>
      <c r="C308" s="230">
        <v>10750</v>
      </c>
      <c r="D308" s="231" t="s">
        <v>465</v>
      </c>
      <c r="E308" s="230">
        <v>14491078</v>
      </c>
      <c r="F308" s="230">
        <v>30177</v>
      </c>
      <c r="G308" s="230">
        <v>25</v>
      </c>
      <c r="H308" s="240">
        <v>26.3</v>
      </c>
      <c r="I308" s="240">
        <f t="shared" si="4"/>
        <v>657.5</v>
      </c>
      <c r="J308" s="231" t="s">
        <v>1311</v>
      </c>
      <c r="K308" s="231" t="s">
        <v>1312</v>
      </c>
      <c r="L308" s="232">
        <v>45170</v>
      </c>
      <c r="M308" s="232">
        <v>45199</v>
      </c>
    </row>
    <row r="309" spans="1:13" ht="18.75" customHeight="1" x14ac:dyDescent="0.2">
      <c r="A309" s="231" t="s">
        <v>8</v>
      </c>
      <c r="B309" s="230">
        <v>112886</v>
      </c>
      <c r="C309" s="230">
        <v>10751</v>
      </c>
      <c r="D309" s="231" t="s">
        <v>1345</v>
      </c>
      <c r="E309" s="230">
        <v>14491078</v>
      </c>
      <c r="F309" s="230">
        <v>30207</v>
      </c>
      <c r="G309" s="230">
        <v>25</v>
      </c>
      <c r="H309" s="240">
        <v>26.3</v>
      </c>
      <c r="I309" s="240">
        <f t="shared" si="4"/>
        <v>657.5</v>
      </c>
      <c r="J309" s="231" t="s">
        <v>1311</v>
      </c>
      <c r="K309" s="231" t="s">
        <v>1312</v>
      </c>
      <c r="L309" s="232">
        <v>45170</v>
      </c>
      <c r="M309" s="232">
        <v>45199</v>
      </c>
    </row>
    <row r="310" spans="1:13" ht="18.75" customHeight="1" x14ac:dyDescent="0.2">
      <c r="A310" s="231" t="s">
        <v>8</v>
      </c>
      <c r="B310" s="230">
        <v>112887</v>
      </c>
      <c r="C310" s="230">
        <v>10750</v>
      </c>
      <c r="D310" s="231" t="s">
        <v>477</v>
      </c>
      <c r="E310" s="230">
        <v>14491078</v>
      </c>
      <c r="F310" s="230">
        <v>30209</v>
      </c>
      <c r="G310" s="230">
        <v>25</v>
      </c>
      <c r="H310" s="240">
        <v>26.3</v>
      </c>
      <c r="I310" s="240">
        <f t="shared" si="4"/>
        <v>657.5</v>
      </c>
      <c r="J310" s="231" t="s">
        <v>1311</v>
      </c>
      <c r="K310" s="231" t="s">
        <v>1312</v>
      </c>
      <c r="L310" s="232">
        <v>45170</v>
      </c>
      <c r="M310" s="232">
        <v>45199</v>
      </c>
    </row>
    <row r="311" spans="1:13" ht="18.75" customHeight="1" x14ac:dyDescent="0.2">
      <c r="A311" s="231" t="s">
        <v>8</v>
      </c>
      <c r="B311" s="230">
        <v>112897</v>
      </c>
      <c r="C311" s="230">
        <v>10750</v>
      </c>
      <c r="D311" s="231" t="s">
        <v>485</v>
      </c>
      <c r="E311" s="230">
        <v>14491078</v>
      </c>
      <c r="F311" s="230">
        <v>30229</v>
      </c>
      <c r="G311" s="230">
        <v>25</v>
      </c>
      <c r="H311" s="240">
        <v>26.3</v>
      </c>
      <c r="I311" s="240">
        <f t="shared" si="4"/>
        <v>657.5</v>
      </c>
      <c r="J311" s="231" t="s">
        <v>1311</v>
      </c>
      <c r="K311" s="231" t="s">
        <v>1312</v>
      </c>
      <c r="L311" s="232">
        <v>45170</v>
      </c>
      <c r="M311" s="232">
        <v>45199</v>
      </c>
    </row>
    <row r="312" spans="1:13" ht="18.75" customHeight="1" x14ac:dyDescent="0.2">
      <c r="A312" s="231" t="s">
        <v>8</v>
      </c>
      <c r="B312" s="230">
        <v>112902</v>
      </c>
      <c r="C312" s="230">
        <v>10757</v>
      </c>
      <c r="D312" s="231" t="s">
        <v>488</v>
      </c>
      <c r="E312" s="230">
        <v>14491078</v>
      </c>
      <c r="F312" s="230">
        <v>30239</v>
      </c>
      <c r="G312" s="230">
        <v>25</v>
      </c>
      <c r="H312" s="240">
        <v>26.3</v>
      </c>
      <c r="I312" s="240">
        <f t="shared" si="4"/>
        <v>657.5</v>
      </c>
      <c r="J312" s="231" t="s">
        <v>1311</v>
      </c>
      <c r="K312" s="231" t="s">
        <v>1312</v>
      </c>
      <c r="L312" s="232">
        <v>45170</v>
      </c>
      <c r="M312" s="232">
        <v>45199</v>
      </c>
    </row>
    <row r="313" spans="1:13" ht="18.75" customHeight="1" x14ac:dyDescent="0.2">
      <c r="A313" s="231" t="s">
        <v>8</v>
      </c>
      <c r="B313" s="230">
        <v>112909</v>
      </c>
      <c r="C313" s="230">
        <v>10750</v>
      </c>
      <c r="D313" s="231" t="s">
        <v>493</v>
      </c>
      <c r="E313" s="230">
        <v>14491078</v>
      </c>
      <c r="F313" s="230">
        <v>30253</v>
      </c>
      <c r="G313" s="230">
        <v>25</v>
      </c>
      <c r="H313" s="240">
        <v>26.3</v>
      </c>
      <c r="I313" s="240">
        <f t="shared" si="4"/>
        <v>657.5</v>
      </c>
      <c r="J313" s="231" t="s">
        <v>1311</v>
      </c>
      <c r="K313" s="231" t="s">
        <v>1312</v>
      </c>
      <c r="L313" s="232">
        <v>45170</v>
      </c>
      <c r="M313" s="232">
        <v>45199</v>
      </c>
    </row>
    <row r="314" spans="1:13" ht="18.75" customHeight="1" x14ac:dyDescent="0.2">
      <c r="A314" s="231" t="s">
        <v>8</v>
      </c>
      <c r="B314" s="230">
        <v>112917</v>
      </c>
      <c r="C314" s="230">
        <v>10751</v>
      </c>
      <c r="D314" s="231" t="s">
        <v>350</v>
      </c>
      <c r="E314" s="230">
        <v>14491078</v>
      </c>
      <c r="F314" s="230">
        <v>30269</v>
      </c>
      <c r="G314" s="230">
        <v>25</v>
      </c>
      <c r="H314" s="240">
        <v>26.3</v>
      </c>
      <c r="I314" s="240">
        <f t="shared" si="4"/>
        <v>657.5</v>
      </c>
      <c r="J314" s="231" t="s">
        <v>1311</v>
      </c>
      <c r="K314" s="231" t="s">
        <v>1312</v>
      </c>
      <c r="L314" s="232">
        <v>45170</v>
      </c>
      <c r="M314" s="232">
        <v>45199</v>
      </c>
    </row>
    <row r="315" spans="1:13" ht="18.75" customHeight="1" x14ac:dyDescent="0.2">
      <c r="A315" s="231" t="s">
        <v>8</v>
      </c>
      <c r="B315" s="230">
        <v>112924</v>
      </c>
      <c r="C315" s="230">
        <v>10750</v>
      </c>
      <c r="D315" s="231" t="s">
        <v>501</v>
      </c>
      <c r="E315" s="230">
        <v>14491078</v>
      </c>
      <c r="F315" s="230">
        <v>30283</v>
      </c>
      <c r="G315" s="230">
        <v>25</v>
      </c>
      <c r="H315" s="240">
        <v>26.3</v>
      </c>
      <c r="I315" s="240">
        <f t="shared" si="4"/>
        <v>657.5</v>
      </c>
      <c r="J315" s="231" t="s">
        <v>1311</v>
      </c>
      <c r="K315" s="231" t="s">
        <v>1312</v>
      </c>
      <c r="L315" s="232">
        <v>45170</v>
      </c>
      <c r="M315" s="232">
        <v>45199</v>
      </c>
    </row>
    <row r="316" spans="1:13" ht="18.75" customHeight="1" x14ac:dyDescent="0.2">
      <c r="A316" s="231" t="s">
        <v>8</v>
      </c>
      <c r="B316" s="230">
        <v>112926</v>
      </c>
      <c r="C316" s="230">
        <v>10754</v>
      </c>
      <c r="D316" s="231" t="s">
        <v>502</v>
      </c>
      <c r="E316" s="230">
        <v>14491078</v>
      </c>
      <c r="F316" s="230">
        <v>30287</v>
      </c>
      <c r="G316" s="230">
        <v>25</v>
      </c>
      <c r="H316" s="240">
        <v>26.3</v>
      </c>
      <c r="I316" s="240">
        <f t="shared" si="4"/>
        <v>657.5</v>
      </c>
      <c r="J316" s="231" t="s">
        <v>1311</v>
      </c>
      <c r="K316" s="231" t="s">
        <v>1312</v>
      </c>
      <c r="L316" s="232">
        <v>45170</v>
      </c>
      <c r="M316" s="232">
        <v>45199</v>
      </c>
    </row>
    <row r="317" spans="1:13" ht="18.75" customHeight="1" x14ac:dyDescent="0.2">
      <c r="A317" s="231" t="s">
        <v>8</v>
      </c>
      <c r="B317" s="230">
        <v>112927</v>
      </c>
      <c r="C317" s="230">
        <v>10750</v>
      </c>
      <c r="D317" s="231" t="s">
        <v>503</v>
      </c>
      <c r="E317" s="230">
        <v>14491078</v>
      </c>
      <c r="F317" s="230">
        <v>30289</v>
      </c>
      <c r="G317" s="230">
        <v>25</v>
      </c>
      <c r="H317" s="240">
        <v>26.3</v>
      </c>
      <c r="I317" s="240">
        <f t="shared" si="4"/>
        <v>657.5</v>
      </c>
      <c r="J317" s="231" t="s">
        <v>1311</v>
      </c>
      <c r="K317" s="231" t="s">
        <v>1312</v>
      </c>
      <c r="L317" s="232">
        <v>45170</v>
      </c>
      <c r="M317" s="232">
        <v>45199</v>
      </c>
    </row>
    <row r="318" spans="1:13" ht="18.75" customHeight="1" x14ac:dyDescent="0.2">
      <c r="A318" s="231" t="s">
        <v>8</v>
      </c>
      <c r="B318" s="230">
        <v>112928</v>
      </c>
      <c r="C318" s="230">
        <v>10750</v>
      </c>
      <c r="D318" s="231" t="s">
        <v>504</v>
      </c>
      <c r="E318" s="230">
        <v>14491078</v>
      </c>
      <c r="F318" s="230">
        <v>30291</v>
      </c>
      <c r="G318" s="230">
        <v>25</v>
      </c>
      <c r="H318" s="240">
        <v>26.3</v>
      </c>
      <c r="I318" s="240">
        <f t="shared" si="4"/>
        <v>657.5</v>
      </c>
      <c r="J318" s="231" t="s">
        <v>1311</v>
      </c>
      <c r="K318" s="231" t="s">
        <v>1312</v>
      </c>
      <c r="L318" s="232">
        <v>45170</v>
      </c>
      <c r="M318" s="232">
        <v>45199</v>
      </c>
    </row>
    <row r="319" spans="1:13" ht="18.75" customHeight="1" x14ac:dyDescent="0.2">
      <c r="A319" s="231" t="s">
        <v>8</v>
      </c>
      <c r="B319" s="230">
        <v>112935</v>
      </c>
      <c r="C319" s="230">
        <v>10751</v>
      </c>
      <c r="D319" s="231" t="s">
        <v>506</v>
      </c>
      <c r="E319" s="230">
        <v>14491078</v>
      </c>
      <c r="F319" s="230">
        <v>30305</v>
      </c>
      <c r="G319" s="230">
        <v>25</v>
      </c>
      <c r="H319" s="240">
        <v>26.3</v>
      </c>
      <c r="I319" s="240">
        <f t="shared" si="4"/>
        <v>657.5</v>
      </c>
      <c r="J319" s="231" t="s">
        <v>1311</v>
      </c>
      <c r="K319" s="231" t="s">
        <v>1312</v>
      </c>
      <c r="L319" s="232">
        <v>45170</v>
      </c>
      <c r="M319" s="232">
        <v>45199</v>
      </c>
    </row>
    <row r="320" spans="1:13" ht="18.75" customHeight="1" x14ac:dyDescent="0.2">
      <c r="A320" s="231" t="s">
        <v>8</v>
      </c>
      <c r="B320" s="230">
        <v>112937</v>
      </c>
      <c r="C320" s="230">
        <v>10754</v>
      </c>
      <c r="D320" s="231" t="s">
        <v>508</v>
      </c>
      <c r="E320" s="230">
        <v>14491078</v>
      </c>
      <c r="F320" s="230">
        <v>30309</v>
      </c>
      <c r="G320" s="230">
        <v>25</v>
      </c>
      <c r="H320" s="240">
        <v>26.3</v>
      </c>
      <c r="I320" s="240">
        <f t="shared" si="4"/>
        <v>657.5</v>
      </c>
      <c r="J320" s="231" t="s">
        <v>1311</v>
      </c>
      <c r="K320" s="231" t="s">
        <v>1312</v>
      </c>
      <c r="L320" s="232">
        <v>45170</v>
      </c>
      <c r="M320" s="232">
        <v>45199</v>
      </c>
    </row>
    <row r="321" spans="1:13" ht="18.75" customHeight="1" x14ac:dyDescent="0.2">
      <c r="A321" s="231" t="s">
        <v>8</v>
      </c>
      <c r="B321" s="230">
        <v>112940</v>
      </c>
      <c r="C321" s="230">
        <v>10750</v>
      </c>
      <c r="D321" s="231" t="s">
        <v>509</v>
      </c>
      <c r="E321" s="230">
        <v>14491078</v>
      </c>
      <c r="F321" s="230">
        <v>30315</v>
      </c>
      <c r="G321" s="230">
        <v>25</v>
      </c>
      <c r="H321" s="240">
        <v>26.3</v>
      </c>
      <c r="I321" s="240">
        <f t="shared" si="4"/>
        <v>657.5</v>
      </c>
      <c r="J321" s="231" t="s">
        <v>1311</v>
      </c>
      <c r="K321" s="231" t="s">
        <v>1312</v>
      </c>
      <c r="L321" s="232">
        <v>45170</v>
      </c>
      <c r="M321" s="232">
        <v>45199</v>
      </c>
    </row>
    <row r="322" spans="1:13" ht="18.75" customHeight="1" x14ac:dyDescent="0.2">
      <c r="A322" s="231" t="s">
        <v>8</v>
      </c>
      <c r="B322" s="230">
        <v>112941</v>
      </c>
      <c r="C322" s="230">
        <v>10750</v>
      </c>
      <c r="D322" s="231" t="s">
        <v>510</v>
      </c>
      <c r="E322" s="230">
        <v>14491078</v>
      </c>
      <c r="F322" s="230">
        <v>30317</v>
      </c>
      <c r="G322" s="230">
        <v>25</v>
      </c>
      <c r="H322" s="240">
        <v>26.3</v>
      </c>
      <c r="I322" s="240">
        <f t="shared" si="4"/>
        <v>657.5</v>
      </c>
      <c r="J322" s="231" t="s">
        <v>1311</v>
      </c>
      <c r="K322" s="231" t="s">
        <v>1312</v>
      </c>
      <c r="L322" s="232">
        <v>45170</v>
      </c>
      <c r="M322" s="232">
        <v>45199</v>
      </c>
    </row>
    <row r="323" spans="1:13" ht="18.75" customHeight="1" x14ac:dyDescent="0.2">
      <c r="A323" s="231" t="s">
        <v>8</v>
      </c>
      <c r="B323" s="230">
        <v>112943</v>
      </c>
      <c r="C323" s="230">
        <v>10750</v>
      </c>
      <c r="D323" s="231" t="s">
        <v>512</v>
      </c>
      <c r="E323" s="230">
        <v>14491078</v>
      </c>
      <c r="F323" s="230">
        <v>30321</v>
      </c>
      <c r="G323" s="230">
        <v>25</v>
      </c>
      <c r="H323" s="240">
        <v>26.3</v>
      </c>
      <c r="I323" s="240">
        <f t="shared" ref="I323:I386" si="5">G323*H323</f>
        <v>657.5</v>
      </c>
      <c r="J323" s="231" t="s">
        <v>1311</v>
      </c>
      <c r="K323" s="231" t="s">
        <v>1312</v>
      </c>
      <c r="L323" s="232">
        <v>45170</v>
      </c>
      <c r="M323" s="232">
        <v>45199</v>
      </c>
    </row>
    <row r="324" spans="1:13" ht="18.75" customHeight="1" x14ac:dyDescent="0.2">
      <c r="A324" s="231" t="s">
        <v>8</v>
      </c>
      <c r="B324" s="230">
        <v>112944</v>
      </c>
      <c r="C324" s="230">
        <v>10751</v>
      </c>
      <c r="D324" s="231" t="s">
        <v>513</v>
      </c>
      <c r="E324" s="230">
        <v>14491078</v>
      </c>
      <c r="F324" s="230">
        <v>30323</v>
      </c>
      <c r="G324" s="230">
        <v>25</v>
      </c>
      <c r="H324" s="240">
        <v>26.3</v>
      </c>
      <c r="I324" s="240">
        <f t="shared" si="5"/>
        <v>657.5</v>
      </c>
      <c r="J324" s="231" t="s">
        <v>1311</v>
      </c>
      <c r="K324" s="231" t="s">
        <v>1312</v>
      </c>
      <c r="L324" s="232">
        <v>45170</v>
      </c>
      <c r="M324" s="232">
        <v>45199</v>
      </c>
    </row>
    <row r="325" spans="1:13" ht="18.75" customHeight="1" x14ac:dyDescent="0.2">
      <c r="A325" s="231" t="s">
        <v>8</v>
      </c>
      <c r="B325" s="230">
        <v>112946</v>
      </c>
      <c r="C325" s="230">
        <v>10750</v>
      </c>
      <c r="D325" s="231" t="s">
        <v>256</v>
      </c>
      <c r="E325" s="230">
        <v>14491078</v>
      </c>
      <c r="F325" s="230">
        <v>30327</v>
      </c>
      <c r="G325" s="230">
        <v>25</v>
      </c>
      <c r="H325" s="240">
        <v>26.3</v>
      </c>
      <c r="I325" s="240">
        <f t="shared" si="5"/>
        <v>657.5</v>
      </c>
      <c r="J325" s="231" t="s">
        <v>1311</v>
      </c>
      <c r="K325" s="231" t="s">
        <v>1312</v>
      </c>
      <c r="L325" s="232">
        <v>45170</v>
      </c>
      <c r="M325" s="232">
        <v>45199</v>
      </c>
    </row>
    <row r="326" spans="1:13" ht="18.75" customHeight="1" x14ac:dyDescent="0.2">
      <c r="A326" s="231" t="s">
        <v>8</v>
      </c>
      <c r="B326" s="230">
        <v>112949</v>
      </c>
      <c r="C326" s="230">
        <v>10750</v>
      </c>
      <c r="D326" s="231" t="s">
        <v>515</v>
      </c>
      <c r="E326" s="230">
        <v>14491078</v>
      </c>
      <c r="F326" s="230">
        <v>30333</v>
      </c>
      <c r="G326" s="230">
        <v>25</v>
      </c>
      <c r="H326" s="240">
        <v>26.3</v>
      </c>
      <c r="I326" s="240">
        <f t="shared" si="5"/>
        <v>657.5</v>
      </c>
      <c r="J326" s="231" t="s">
        <v>1311</v>
      </c>
      <c r="K326" s="231" t="s">
        <v>1312</v>
      </c>
      <c r="L326" s="232">
        <v>45170</v>
      </c>
      <c r="M326" s="232">
        <v>45199</v>
      </c>
    </row>
    <row r="327" spans="1:13" ht="18.75" customHeight="1" x14ac:dyDescent="0.2">
      <c r="A327" s="231" t="s">
        <v>8</v>
      </c>
      <c r="B327" s="230">
        <v>112951</v>
      </c>
      <c r="C327" s="230">
        <v>10751</v>
      </c>
      <c r="D327" s="231" t="s">
        <v>517</v>
      </c>
      <c r="E327" s="230">
        <v>14491078</v>
      </c>
      <c r="F327" s="230">
        <v>30337</v>
      </c>
      <c r="G327" s="230">
        <v>25</v>
      </c>
      <c r="H327" s="240">
        <v>26.3</v>
      </c>
      <c r="I327" s="240">
        <f t="shared" si="5"/>
        <v>657.5</v>
      </c>
      <c r="J327" s="231" t="s">
        <v>1311</v>
      </c>
      <c r="K327" s="231" t="s">
        <v>1312</v>
      </c>
      <c r="L327" s="232">
        <v>45170</v>
      </c>
      <c r="M327" s="232">
        <v>45199</v>
      </c>
    </row>
    <row r="328" spans="1:13" ht="18.75" customHeight="1" x14ac:dyDescent="0.2">
      <c r="A328" s="231" t="s">
        <v>8</v>
      </c>
      <c r="B328" s="230">
        <v>112952</v>
      </c>
      <c r="C328" s="230">
        <v>10750</v>
      </c>
      <c r="D328" s="231" t="s">
        <v>518</v>
      </c>
      <c r="E328" s="230">
        <v>14491078</v>
      </c>
      <c r="F328" s="230">
        <v>30339</v>
      </c>
      <c r="G328" s="230">
        <v>25</v>
      </c>
      <c r="H328" s="240">
        <v>26.3</v>
      </c>
      <c r="I328" s="240">
        <f t="shared" si="5"/>
        <v>657.5</v>
      </c>
      <c r="J328" s="231" t="s">
        <v>1311</v>
      </c>
      <c r="K328" s="231" t="s">
        <v>1312</v>
      </c>
      <c r="L328" s="232">
        <v>45170</v>
      </c>
      <c r="M328" s="232">
        <v>45199</v>
      </c>
    </row>
    <row r="329" spans="1:13" ht="18.75" customHeight="1" x14ac:dyDescent="0.2">
      <c r="A329" s="231" t="s">
        <v>8</v>
      </c>
      <c r="B329" s="230">
        <v>112954</v>
      </c>
      <c r="C329" s="230">
        <v>10751</v>
      </c>
      <c r="D329" s="231" t="s">
        <v>519</v>
      </c>
      <c r="E329" s="230">
        <v>14491078</v>
      </c>
      <c r="F329" s="230">
        <v>30343</v>
      </c>
      <c r="G329" s="230">
        <v>25</v>
      </c>
      <c r="H329" s="240">
        <v>26.3</v>
      </c>
      <c r="I329" s="240">
        <f t="shared" si="5"/>
        <v>657.5</v>
      </c>
      <c r="J329" s="231" t="s">
        <v>1311</v>
      </c>
      <c r="K329" s="231" t="s">
        <v>1312</v>
      </c>
      <c r="L329" s="232">
        <v>45170</v>
      </c>
      <c r="M329" s="232">
        <v>45199</v>
      </c>
    </row>
    <row r="330" spans="1:13" ht="18.75" customHeight="1" x14ac:dyDescent="0.2">
      <c r="A330" s="231" t="s">
        <v>8</v>
      </c>
      <c r="B330" s="230">
        <v>112996</v>
      </c>
      <c r="C330" s="230">
        <v>10750</v>
      </c>
      <c r="D330" s="231" t="s">
        <v>539</v>
      </c>
      <c r="E330" s="230">
        <v>14491078</v>
      </c>
      <c r="F330" s="230">
        <v>30427</v>
      </c>
      <c r="G330" s="230">
        <v>25</v>
      </c>
      <c r="H330" s="240">
        <v>26.3</v>
      </c>
      <c r="I330" s="240">
        <f t="shared" si="5"/>
        <v>657.5</v>
      </c>
      <c r="J330" s="231" t="s">
        <v>1311</v>
      </c>
      <c r="K330" s="231" t="s">
        <v>1312</v>
      </c>
      <c r="L330" s="232">
        <v>45170</v>
      </c>
      <c r="M330" s="232">
        <v>45199</v>
      </c>
    </row>
    <row r="331" spans="1:13" ht="18.75" customHeight="1" x14ac:dyDescent="0.2">
      <c r="A331" s="231" t="s">
        <v>8</v>
      </c>
      <c r="B331" s="230">
        <v>113058</v>
      </c>
      <c r="C331" s="230">
        <v>10750</v>
      </c>
      <c r="D331" s="231" t="s">
        <v>565</v>
      </c>
      <c r="E331" s="230">
        <v>14491078</v>
      </c>
      <c r="F331" s="230">
        <v>30551</v>
      </c>
      <c r="G331" s="230">
        <v>25</v>
      </c>
      <c r="H331" s="240">
        <v>26.3</v>
      </c>
      <c r="I331" s="240">
        <f t="shared" si="5"/>
        <v>657.5</v>
      </c>
      <c r="J331" s="231" t="s">
        <v>1311</v>
      </c>
      <c r="K331" s="231" t="s">
        <v>1312</v>
      </c>
      <c r="L331" s="232">
        <v>45170</v>
      </c>
      <c r="M331" s="232">
        <v>45199</v>
      </c>
    </row>
    <row r="332" spans="1:13" ht="18.75" customHeight="1" x14ac:dyDescent="0.2">
      <c r="A332" s="231" t="s">
        <v>8</v>
      </c>
      <c r="B332" s="230">
        <v>113079</v>
      </c>
      <c r="C332" s="230">
        <v>10757</v>
      </c>
      <c r="D332" s="231" t="s">
        <v>576</v>
      </c>
      <c r="E332" s="230">
        <v>14491078</v>
      </c>
      <c r="F332" s="230">
        <v>30593</v>
      </c>
      <c r="G332" s="230">
        <v>25</v>
      </c>
      <c r="H332" s="240">
        <v>26.3</v>
      </c>
      <c r="I332" s="240">
        <f t="shared" si="5"/>
        <v>657.5</v>
      </c>
      <c r="J332" s="231" t="s">
        <v>1311</v>
      </c>
      <c r="K332" s="231" t="s">
        <v>1312</v>
      </c>
      <c r="L332" s="232">
        <v>45170</v>
      </c>
      <c r="M332" s="232">
        <v>45199</v>
      </c>
    </row>
    <row r="333" spans="1:13" ht="18.75" customHeight="1" x14ac:dyDescent="0.2">
      <c r="A333" s="231" t="s">
        <v>8</v>
      </c>
      <c r="B333" s="230">
        <v>113101</v>
      </c>
      <c r="C333" s="230">
        <v>10757</v>
      </c>
      <c r="D333" s="231" t="s">
        <v>587</v>
      </c>
      <c r="E333" s="230">
        <v>14491078</v>
      </c>
      <c r="F333" s="230">
        <v>30637</v>
      </c>
      <c r="G333" s="230">
        <v>25</v>
      </c>
      <c r="H333" s="240">
        <v>26.3</v>
      </c>
      <c r="I333" s="240">
        <f t="shared" si="5"/>
        <v>657.5</v>
      </c>
      <c r="J333" s="231" t="s">
        <v>1311</v>
      </c>
      <c r="K333" s="231" t="s">
        <v>1312</v>
      </c>
      <c r="L333" s="232">
        <v>45170</v>
      </c>
      <c r="M333" s="232">
        <v>45199</v>
      </c>
    </row>
    <row r="334" spans="1:13" ht="18.75" customHeight="1" x14ac:dyDescent="0.2">
      <c r="A334" s="231" t="s">
        <v>8</v>
      </c>
      <c r="B334" s="230">
        <v>113103</v>
      </c>
      <c r="C334" s="230">
        <v>10757</v>
      </c>
      <c r="D334" s="231" t="s">
        <v>588</v>
      </c>
      <c r="E334" s="230">
        <v>14491078</v>
      </c>
      <c r="F334" s="230">
        <v>30641</v>
      </c>
      <c r="G334" s="230">
        <v>25</v>
      </c>
      <c r="H334" s="240">
        <v>26.3</v>
      </c>
      <c r="I334" s="240">
        <f t="shared" si="5"/>
        <v>657.5</v>
      </c>
      <c r="J334" s="231" t="s">
        <v>1311</v>
      </c>
      <c r="K334" s="231" t="s">
        <v>1312</v>
      </c>
      <c r="L334" s="232">
        <v>45170</v>
      </c>
      <c r="M334" s="232">
        <v>45199</v>
      </c>
    </row>
    <row r="335" spans="1:13" ht="18.75" customHeight="1" x14ac:dyDescent="0.2">
      <c r="A335" s="231" t="s">
        <v>8</v>
      </c>
      <c r="B335" s="230">
        <v>113107</v>
      </c>
      <c r="C335" s="230">
        <v>10750</v>
      </c>
      <c r="D335" s="231" t="s">
        <v>589</v>
      </c>
      <c r="E335" s="230">
        <v>14491078</v>
      </c>
      <c r="F335" s="230">
        <v>30649</v>
      </c>
      <c r="G335" s="230">
        <v>25</v>
      </c>
      <c r="H335" s="240">
        <v>26.3</v>
      </c>
      <c r="I335" s="240">
        <f t="shared" si="5"/>
        <v>657.5</v>
      </c>
      <c r="J335" s="231" t="s">
        <v>1311</v>
      </c>
      <c r="K335" s="231" t="s">
        <v>1312</v>
      </c>
      <c r="L335" s="232">
        <v>45170</v>
      </c>
      <c r="M335" s="232">
        <v>45199</v>
      </c>
    </row>
    <row r="336" spans="1:13" ht="18.75" customHeight="1" x14ac:dyDescent="0.2">
      <c r="A336" s="231" t="s">
        <v>8</v>
      </c>
      <c r="B336" s="230">
        <v>113109</v>
      </c>
      <c r="C336" s="230">
        <v>10756</v>
      </c>
      <c r="D336" s="231" t="s">
        <v>590</v>
      </c>
      <c r="E336" s="230">
        <v>14491078</v>
      </c>
      <c r="F336" s="230">
        <v>30653</v>
      </c>
      <c r="G336" s="230">
        <v>25</v>
      </c>
      <c r="H336" s="240">
        <v>26.3</v>
      </c>
      <c r="I336" s="240">
        <f t="shared" si="5"/>
        <v>657.5</v>
      </c>
      <c r="J336" s="231" t="s">
        <v>1311</v>
      </c>
      <c r="K336" s="231" t="s">
        <v>1312</v>
      </c>
      <c r="L336" s="232">
        <v>45170</v>
      </c>
      <c r="M336" s="232">
        <v>45199</v>
      </c>
    </row>
    <row r="337" spans="1:13" ht="18.75" customHeight="1" x14ac:dyDescent="0.2">
      <c r="A337" s="231" t="s">
        <v>8</v>
      </c>
      <c r="B337" s="230">
        <v>113110</v>
      </c>
      <c r="C337" s="230">
        <v>10751</v>
      </c>
      <c r="D337" s="231" t="s">
        <v>1365</v>
      </c>
      <c r="E337" s="230">
        <v>14491078</v>
      </c>
      <c r="F337" s="230">
        <v>30655</v>
      </c>
      <c r="G337" s="230">
        <v>25</v>
      </c>
      <c r="H337" s="240">
        <v>26.3</v>
      </c>
      <c r="I337" s="240">
        <f t="shared" si="5"/>
        <v>657.5</v>
      </c>
      <c r="J337" s="231" t="s">
        <v>1311</v>
      </c>
      <c r="K337" s="231" t="s">
        <v>1312</v>
      </c>
      <c r="L337" s="232">
        <v>45170</v>
      </c>
      <c r="M337" s="232">
        <v>45199</v>
      </c>
    </row>
    <row r="338" spans="1:13" ht="18.75" customHeight="1" x14ac:dyDescent="0.2">
      <c r="A338" s="231" t="s">
        <v>8</v>
      </c>
      <c r="B338" s="230">
        <v>113186</v>
      </c>
      <c r="C338" s="230">
        <v>10750</v>
      </c>
      <c r="D338" s="231" t="s">
        <v>636</v>
      </c>
      <c r="E338" s="230">
        <v>14491078</v>
      </c>
      <c r="F338" s="230">
        <v>30807</v>
      </c>
      <c r="G338" s="230">
        <v>25</v>
      </c>
      <c r="H338" s="240">
        <v>26.3</v>
      </c>
      <c r="I338" s="240">
        <f t="shared" si="5"/>
        <v>657.5</v>
      </c>
      <c r="J338" s="231" t="s">
        <v>1311</v>
      </c>
      <c r="K338" s="231" t="s">
        <v>1312</v>
      </c>
      <c r="L338" s="232">
        <v>45170</v>
      </c>
      <c r="M338" s="232">
        <v>45199</v>
      </c>
    </row>
    <row r="339" spans="1:13" ht="18.75" customHeight="1" x14ac:dyDescent="0.2">
      <c r="A339" s="231" t="s">
        <v>8</v>
      </c>
      <c r="B339" s="230">
        <v>113188</v>
      </c>
      <c r="C339" s="230">
        <v>10757</v>
      </c>
      <c r="D339" s="231" t="s">
        <v>637</v>
      </c>
      <c r="E339" s="230">
        <v>14491078</v>
      </c>
      <c r="F339" s="230">
        <v>30811</v>
      </c>
      <c r="G339" s="230">
        <v>25</v>
      </c>
      <c r="H339" s="240">
        <v>26.3</v>
      </c>
      <c r="I339" s="240">
        <f t="shared" si="5"/>
        <v>657.5</v>
      </c>
      <c r="J339" s="231" t="s">
        <v>1311</v>
      </c>
      <c r="K339" s="231" t="s">
        <v>1312</v>
      </c>
      <c r="L339" s="232">
        <v>45170</v>
      </c>
      <c r="M339" s="232">
        <v>45199</v>
      </c>
    </row>
    <row r="340" spans="1:13" ht="18.75" customHeight="1" x14ac:dyDescent="0.2">
      <c r="A340" s="231" t="s">
        <v>8</v>
      </c>
      <c r="B340" s="230">
        <v>113194</v>
      </c>
      <c r="C340" s="230">
        <v>10750</v>
      </c>
      <c r="D340" s="231" t="s">
        <v>1351</v>
      </c>
      <c r="E340" s="230">
        <v>14491078</v>
      </c>
      <c r="F340" s="230">
        <v>30823</v>
      </c>
      <c r="G340" s="230">
        <v>25</v>
      </c>
      <c r="H340" s="240">
        <v>26.3</v>
      </c>
      <c r="I340" s="240">
        <f t="shared" si="5"/>
        <v>657.5</v>
      </c>
      <c r="J340" s="231" t="s">
        <v>1311</v>
      </c>
      <c r="K340" s="231" t="s">
        <v>1312</v>
      </c>
      <c r="L340" s="232">
        <v>45170</v>
      </c>
      <c r="M340" s="232">
        <v>45199</v>
      </c>
    </row>
    <row r="341" spans="1:13" ht="18.75" customHeight="1" x14ac:dyDescent="0.2">
      <c r="A341" s="231" t="s">
        <v>8</v>
      </c>
      <c r="B341" s="230">
        <v>113199</v>
      </c>
      <c r="C341" s="230">
        <v>10750</v>
      </c>
      <c r="D341" s="231" t="s">
        <v>642</v>
      </c>
      <c r="E341" s="230">
        <v>14491078</v>
      </c>
      <c r="F341" s="230">
        <v>30833</v>
      </c>
      <c r="G341" s="230">
        <v>25</v>
      </c>
      <c r="H341" s="240">
        <v>26.3</v>
      </c>
      <c r="I341" s="240">
        <f t="shared" si="5"/>
        <v>657.5</v>
      </c>
      <c r="J341" s="231" t="s">
        <v>1311</v>
      </c>
      <c r="K341" s="231" t="s">
        <v>1312</v>
      </c>
      <c r="L341" s="232">
        <v>45170</v>
      </c>
      <c r="M341" s="232">
        <v>45199</v>
      </c>
    </row>
    <row r="342" spans="1:13" ht="18.75" customHeight="1" x14ac:dyDescent="0.2">
      <c r="A342" s="231" t="s">
        <v>8</v>
      </c>
      <c r="B342" s="230">
        <v>113201</v>
      </c>
      <c r="C342" s="230">
        <v>10754</v>
      </c>
      <c r="D342" s="231" t="s">
        <v>643</v>
      </c>
      <c r="E342" s="230">
        <v>14491078</v>
      </c>
      <c r="F342" s="230">
        <v>30837</v>
      </c>
      <c r="G342" s="230">
        <v>25</v>
      </c>
      <c r="H342" s="240">
        <v>26.3</v>
      </c>
      <c r="I342" s="240">
        <f t="shared" si="5"/>
        <v>657.5</v>
      </c>
      <c r="J342" s="231" t="s">
        <v>1311</v>
      </c>
      <c r="K342" s="231" t="s">
        <v>1312</v>
      </c>
      <c r="L342" s="232">
        <v>45170</v>
      </c>
      <c r="M342" s="232">
        <v>45199</v>
      </c>
    </row>
    <row r="343" spans="1:13" ht="18.75" customHeight="1" x14ac:dyDescent="0.2">
      <c r="A343" s="231" t="s">
        <v>8</v>
      </c>
      <c r="B343" s="230">
        <v>113223</v>
      </c>
      <c r="C343" s="230">
        <v>10755</v>
      </c>
      <c r="D343" s="231" t="s">
        <v>656</v>
      </c>
      <c r="E343" s="230">
        <v>14491078</v>
      </c>
      <c r="F343" s="230">
        <v>30881</v>
      </c>
      <c r="G343" s="230">
        <v>25</v>
      </c>
      <c r="H343" s="240">
        <v>26.3</v>
      </c>
      <c r="I343" s="240">
        <f t="shared" si="5"/>
        <v>657.5</v>
      </c>
      <c r="J343" s="231" t="s">
        <v>1311</v>
      </c>
      <c r="K343" s="231" t="s">
        <v>1312</v>
      </c>
      <c r="L343" s="232">
        <v>45170</v>
      </c>
      <c r="M343" s="232">
        <v>45199</v>
      </c>
    </row>
    <row r="344" spans="1:13" ht="18.75" customHeight="1" x14ac:dyDescent="0.2">
      <c r="A344" s="231" t="s">
        <v>8</v>
      </c>
      <c r="B344" s="230">
        <v>113253</v>
      </c>
      <c r="C344" s="230">
        <v>10771</v>
      </c>
      <c r="D344" s="231" t="s">
        <v>672</v>
      </c>
      <c r="E344" s="230">
        <v>14491078</v>
      </c>
      <c r="F344" s="230">
        <v>30941</v>
      </c>
      <c r="G344" s="230">
        <v>25</v>
      </c>
      <c r="H344" s="240">
        <v>26.3</v>
      </c>
      <c r="I344" s="240">
        <f t="shared" si="5"/>
        <v>657.5</v>
      </c>
      <c r="J344" s="231" t="s">
        <v>1311</v>
      </c>
      <c r="K344" s="231" t="s">
        <v>1312</v>
      </c>
      <c r="L344" s="232">
        <v>45170</v>
      </c>
      <c r="M344" s="232">
        <v>45199</v>
      </c>
    </row>
    <row r="345" spans="1:13" ht="18.75" customHeight="1" x14ac:dyDescent="0.2">
      <c r="A345" s="231" t="s">
        <v>8</v>
      </c>
      <c r="B345" s="230">
        <v>113258</v>
      </c>
      <c r="C345" s="230">
        <v>10757</v>
      </c>
      <c r="D345" s="231" t="s">
        <v>674</v>
      </c>
      <c r="E345" s="230">
        <v>14491078</v>
      </c>
      <c r="F345" s="230">
        <v>30951</v>
      </c>
      <c r="G345" s="230">
        <v>25</v>
      </c>
      <c r="H345" s="240">
        <v>26.3</v>
      </c>
      <c r="I345" s="240">
        <f t="shared" si="5"/>
        <v>657.5</v>
      </c>
      <c r="J345" s="231" t="s">
        <v>1311</v>
      </c>
      <c r="K345" s="231" t="s">
        <v>1312</v>
      </c>
      <c r="L345" s="232">
        <v>45170</v>
      </c>
      <c r="M345" s="232">
        <v>45199</v>
      </c>
    </row>
    <row r="346" spans="1:13" ht="18.75" customHeight="1" x14ac:dyDescent="0.2">
      <c r="A346" s="231" t="s">
        <v>8</v>
      </c>
      <c r="B346" s="230">
        <v>113268</v>
      </c>
      <c r="C346" s="230">
        <v>10766</v>
      </c>
      <c r="D346" s="231" t="s">
        <v>679</v>
      </c>
      <c r="E346" s="230">
        <v>14491078</v>
      </c>
      <c r="F346" s="230">
        <v>30971</v>
      </c>
      <c r="G346" s="230">
        <v>25</v>
      </c>
      <c r="H346" s="240">
        <v>26.3</v>
      </c>
      <c r="I346" s="240">
        <f t="shared" si="5"/>
        <v>657.5</v>
      </c>
      <c r="J346" s="231" t="s">
        <v>1311</v>
      </c>
      <c r="K346" s="231" t="s">
        <v>1312</v>
      </c>
      <c r="L346" s="232">
        <v>45170</v>
      </c>
      <c r="M346" s="232">
        <v>45199</v>
      </c>
    </row>
    <row r="347" spans="1:13" ht="18.75" customHeight="1" x14ac:dyDescent="0.2">
      <c r="A347" s="231" t="s">
        <v>8</v>
      </c>
      <c r="B347" s="230">
        <v>113274</v>
      </c>
      <c r="C347" s="230">
        <v>10750</v>
      </c>
      <c r="D347" s="231" t="s">
        <v>683</v>
      </c>
      <c r="E347" s="230">
        <v>14491078</v>
      </c>
      <c r="F347" s="230">
        <v>30983</v>
      </c>
      <c r="G347" s="230">
        <v>25</v>
      </c>
      <c r="H347" s="240">
        <v>26.3</v>
      </c>
      <c r="I347" s="240">
        <f t="shared" si="5"/>
        <v>657.5</v>
      </c>
      <c r="J347" s="231" t="s">
        <v>1311</v>
      </c>
      <c r="K347" s="231" t="s">
        <v>1312</v>
      </c>
      <c r="L347" s="232">
        <v>45170</v>
      </c>
      <c r="M347" s="232">
        <v>45199</v>
      </c>
    </row>
    <row r="348" spans="1:13" ht="18.75" customHeight="1" x14ac:dyDescent="0.2">
      <c r="A348" s="231" t="s">
        <v>8</v>
      </c>
      <c r="B348" s="230">
        <v>113287</v>
      </c>
      <c r="C348" s="230">
        <v>10750</v>
      </c>
      <c r="D348" s="231" t="s">
        <v>690</v>
      </c>
      <c r="E348" s="230">
        <v>14491078</v>
      </c>
      <c r="F348" s="230">
        <v>31009</v>
      </c>
      <c r="G348" s="230">
        <v>25</v>
      </c>
      <c r="H348" s="240">
        <v>26.3</v>
      </c>
      <c r="I348" s="240">
        <f t="shared" si="5"/>
        <v>657.5</v>
      </c>
      <c r="J348" s="231" t="s">
        <v>1311</v>
      </c>
      <c r="K348" s="231" t="s">
        <v>1312</v>
      </c>
      <c r="L348" s="232">
        <v>45170</v>
      </c>
      <c r="M348" s="232">
        <v>45199</v>
      </c>
    </row>
    <row r="349" spans="1:13" ht="18.75" customHeight="1" x14ac:dyDescent="0.2">
      <c r="A349" s="231" t="s">
        <v>8</v>
      </c>
      <c r="B349" s="230">
        <v>113292</v>
      </c>
      <c r="C349" s="230">
        <v>10750</v>
      </c>
      <c r="D349" s="231" t="s">
        <v>693</v>
      </c>
      <c r="E349" s="230">
        <v>14491078</v>
      </c>
      <c r="F349" s="230">
        <v>31019</v>
      </c>
      <c r="G349" s="230">
        <v>25</v>
      </c>
      <c r="H349" s="240">
        <v>26.3</v>
      </c>
      <c r="I349" s="240">
        <f t="shared" si="5"/>
        <v>657.5</v>
      </c>
      <c r="J349" s="231" t="s">
        <v>1311</v>
      </c>
      <c r="K349" s="231" t="s">
        <v>1312</v>
      </c>
      <c r="L349" s="232">
        <v>45170</v>
      </c>
      <c r="M349" s="232">
        <v>45199</v>
      </c>
    </row>
    <row r="350" spans="1:13" ht="18.75" customHeight="1" x14ac:dyDescent="0.2">
      <c r="A350" s="231" t="s">
        <v>8</v>
      </c>
      <c r="B350" s="230">
        <v>113302</v>
      </c>
      <c r="C350" s="230">
        <v>10751</v>
      </c>
      <c r="D350" s="231" t="s">
        <v>696</v>
      </c>
      <c r="E350" s="230">
        <v>14491078</v>
      </c>
      <c r="F350" s="230">
        <v>31039</v>
      </c>
      <c r="G350" s="230">
        <v>25</v>
      </c>
      <c r="H350" s="240">
        <v>26.3</v>
      </c>
      <c r="I350" s="240">
        <f t="shared" si="5"/>
        <v>657.5</v>
      </c>
      <c r="J350" s="231" t="s">
        <v>1311</v>
      </c>
      <c r="K350" s="231" t="s">
        <v>1312</v>
      </c>
      <c r="L350" s="232">
        <v>45170</v>
      </c>
      <c r="M350" s="232">
        <v>45199</v>
      </c>
    </row>
    <row r="351" spans="1:13" ht="18.75" customHeight="1" x14ac:dyDescent="0.2">
      <c r="A351" s="231" t="s">
        <v>8</v>
      </c>
      <c r="B351" s="230">
        <v>113328</v>
      </c>
      <c r="C351" s="230">
        <v>10750</v>
      </c>
      <c r="D351" s="231" t="s">
        <v>711</v>
      </c>
      <c r="E351" s="230">
        <v>14491078</v>
      </c>
      <c r="F351" s="230">
        <v>31091</v>
      </c>
      <c r="G351" s="230">
        <v>25</v>
      </c>
      <c r="H351" s="240">
        <v>26.3</v>
      </c>
      <c r="I351" s="240">
        <f t="shared" si="5"/>
        <v>657.5</v>
      </c>
      <c r="J351" s="231" t="s">
        <v>1311</v>
      </c>
      <c r="K351" s="231" t="s">
        <v>1312</v>
      </c>
      <c r="L351" s="232">
        <v>45170</v>
      </c>
      <c r="M351" s="232">
        <v>45199</v>
      </c>
    </row>
    <row r="352" spans="1:13" ht="18.75" customHeight="1" x14ac:dyDescent="0.2">
      <c r="A352" s="231" t="s">
        <v>8</v>
      </c>
      <c r="B352" s="230">
        <v>113341</v>
      </c>
      <c r="C352" s="230">
        <v>10751</v>
      </c>
      <c r="D352" s="231" t="s">
        <v>718</v>
      </c>
      <c r="E352" s="230">
        <v>14491078</v>
      </c>
      <c r="F352" s="230">
        <v>31117</v>
      </c>
      <c r="G352" s="230">
        <v>25</v>
      </c>
      <c r="H352" s="240">
        <v>26.3</v>
      </c>
      <c r="I352" s="240">
        <f t="shared" si="5"/>
        <v>657.5</v>
      </c>
      <c r="J352" s="231" t="s">
        <v>1311</v>
      </c>
      <c r="K352" s="231" t="s">
        <v>1312</v>
      </c>
      <c r="L352" s="232">
        <v>45170</v>
      </c>
      <c r="M352" s="232">
        <v>45199</v>
      </c>
    </row>
    <row r="353" spans="1:13" ht="18.75" customHeight="1" x14ac:dyDescent="0.2">
      <c r="A353" s="231" t="s">
        <v>8</v>
      </c>
      <c r="B353" s="230">
        <v>113356</v>
      </c>
      <c r="C353" s="230">
        <v>10757</v>
      </c>
      <c r="D353" s="231" t="s">
        <v>648</v>
      </c>
      <c r="E353" s="230">
        <v>14491078</v>
      </c>
      <c r="F353" s="230">
        <v>31147</v>
      </c>
      <c r="G353" s="230">
        <v>25</v>
      </c>
      <c r="H353" s="240">
        <v>26.3</v>
      </c>
      <c r="I353" s="240">
        <f t="shared" si="5"/>
        <v>657.5</v>
      </c>
      <c r="J353" s="231" t="s">
        <v>1311</v>
      </c>
      <c r="K353" s="231" t="s">
        <v>1312</v>
      </c>
      <c r="L353" s="232">
        <v>45170</v>
      </c>
      <c r="M353" s="232">
        <v>45199</v>
      </c>
    </row>
    <row r="354" spans="1:13" ht="18.75" customHeight="1" x14ac:dyDescent="0.2">
      <c r="A354" s="231" t="s">
        <v>8</v>
      </c>
      <c r="B354" s="230">
        <v>113374</v>
      </c>
      <c r="C354" s="230">
        <v>10751</v>
      </c>
      <c r="D354" s="231" t="s">
        <v>738</v>
      </c>
      <c r="E354" s="230">
        <v>14491078</v>
      </c>
      <c r="F354" s="230">
        <v>31183</v>
      </c>
      <c r="G354" s="230">
        <v>25</v>
      </c>
      <c r="H354" s="240">
        <v>26.3</v>
      </c>
      <c r="I354" s="240">
        <f t="shared" si="5"/>
        <v>657.5</v>
      </c>
      <c r="J354" s="231" t="s">
        <v>1311</v>
      </c>
      <c r="K354" s="231" t="s">
        <v>1312</v>
      </c>
      <c r="L354" s="232">
        <v>45170</v>
      </c>
      <c r="M354" s="232">
        <v>45199</v>
      </c>
    </row>
    <row r="355" spans="1:13" ht="18.75" customHeight="1" x14ac:dyDescent="0.2">
      <c r="A355" s="231" t="s">
        <v>8</v>
      </c>
      <c r="B355" s="230">
        <v>113379</v>
      </c>
      <c r="C355" s="230">
        <v>10756</v>
      </c>
      <c r="D355" s="231" t="s">
        <v>742</v>
      </c>
      <c r="E355" s="230">
        <v>14491078</v>
      </c>
      <c r="F355" s="230">
        <v>31193</v>
      </c>
      <c r="G355" s="230">
        <v>25</v>
      </c>
      <c r="H355" s="240">
        <v>26.3</v>
      </c>
      <c r="I355" s="240">
        <f t="shared" si="5"/>
        <v>657.5</v>
      </c>
      <c r="J355" s="231" t="s">
        <v>1311</v>
      </c>
      <c r="K355" s="231" t="s">
        <v>1312</v>
      </c>
      <c r="L355" s="232">
        <v>45170</v>
      </c>
      <c r="M355" s="232">
        <v>45199</v>
      </c>
    </row>
    <row r="356" spans="1:13" ht="18.75" customHeight="1" x14ac:dyDescent="0.2">
      <c r="A356" s="231" t="s">
        <v>8</v>
      </c>
      <c r="B356" s="230">
        <v>113394</v>
      </c>
      <c r="C356" s="230">
        <v>10756</v>
      </c>
      <c r="D356" s="231" t="s">
        <v>753</v>
      </c>
      <c r="E356" s="230">
        <v>14491078</v>
      </c>
      <c r="F356" s="230">
        <v>31223</v>
      </c>
      <c r="G356" s="230">
        <v>25</v>
      </c>
      <c r="H356" s="240">
        <v>26.3</v>
      </c>
      <c r="I356" s="240">
        <f t="shared" si="5"/>
        <v>657.5</v>
      </c>
      <c r="J356" s="231" t="s">
        <v>1311</v>
      </c>
      <c r="K356" s="231" t="s">
        <v>1312</v>
      </c>
      <c r="L356" s="232">
        <v>45170</v>
      </c>
      <c r="M356" s="232">
        <v>45199</v>
      </c>
    </row>
    <row r="357" spans="1:13" ht="18.75" customHeight="1" x14ac:dyDescent="0.2">
      <c r="A357" s="231" t="s">
        <v>8</v>
      </c>
      <c r="B357" s="230">
        <v>113399</v>
      </c>
      <c r="C357" s="230">
        <v>10757</v>
      </c>
      <c r="D357" s="231" t="s">
        <v>756</v>
      </c>
      <c r="E357" s="230">
        <v>14491078</v>
      </c>
      <c r="F357" s="230">
        <v>31233</v>
      </c>
      <c r="G357" s="230">
        <v>25</v>
      </c>
      <c r="H357" s="240">
        <v>26.3</v>
      </c>
      <c r="I357" s="240">
        <f t="shared" si="5"/>
        <v>657.5</v>
      </c>
      <c r="J357" s="231" t="s">
        <v>1311</v>
      </c>
      <c r="K357" s="231" t="s">
        <v>1312</v>
      </c>
      <c r="L357" s="232">
        <v>45170</v>
      </c>
      <c r="M357" s="232">
        <v>45199</v>
      </c>
    </row>
    <row r="358" spans="1:13" ht="18.75" customHeight="1" x14ac:dyDescent="0.2">
      <c r="A358" s="231" t="s">
        <v>8</v>
      </c>
      <c r="B358" s="230">
        <v>113404</v>
      </c>
      <c r="C358" s="230">
        <v>10771</v>
      </c>
      <c r="D358" s="231" t="s">
        <v>750</v>
      </c>
      <c r="E358" s="230">
        <v>14491078</v>
      </c>
      <c r="F358" s="230">
        <v>31243</v>
      </c>
      <c r="G358" s="230">
        <v>25</v>
      </c>
      <c r="H358" s="240">
        <v>26.3</v>
      </c>
      <c r="I358" s="240">
        <f t="shared" si="5"/>
        <v>657.5</v>
      </c>
      <c r="J358" s="231" t="s">
        <v>1311</v>
      </c>
      <c r="K358" s="231" t="s">
        <v>1312</v>
      </c>
      <c r="L358" s="232">
        <v>45170</v>
      </c>
      <c r="M358" s="232">
        <v>45199</v>
      </c>
    </row>
    <row r="359" spans="1:13" ht="18.75" customHeight="1" x14ac:dyDescent="0.2">
      <c r="A359" s="231" t="s">
        <v>8</v>
      </c>
      <c r="B359" s="230">
        <v>113405</v>
      </c>
      <c r="C359" s="230">
        <v>10750</v>
      </c>
      <c r="D359" s="231" t="s">
        <v>759</v>
      </c>
      <c r="E359" s="230">
        <v>14491078</v>
      </c>
      <c r="F359" s="230">
        <v>31245</v>
      </c>
      <c r="G359" s="230">
        <v>25</v>
      </c>
      <c r="H359" s="240">
        <v>26.3</v>
      </c>
      <c r="I359" s="240">
        <f t="shared" si="5"/>
        <v>657.5</v>
      </c>
      <c r="J359" s="231" t="s">
        <v>1311</v>
      </c>
      <c r="K359" s="231" t="s">
        <v>1312</v>
      </c>
      <c r="L359" s="232">
        <v>45170</v>
      </c>
      <c r="M359" s="232">
        <v>45199</v>
      </c>
    </row>
    <row r="360" spans="1:13" ht="18.75" customHeight="1" x14ac:dyDescent="0.2">
      <c r="A360" s="231" t="s">
        <v>8</v>
      </c>
      <c r="B360" s="230">
        <v>113418</v>
      </c>
      <c r="C360" s="230">
        <v>10751</v>
      </c>
      <c r="D360" s="231" t="s">
        <v>769</v>
      </c>
      <c r="E360" s="230">
        <v>14491078</v>
      </c>
      <c r="F360" s="230">
        <v>31271</v>
      </c>
      <c r="G360" s="230">
        <v>25</v>
      </c>
      <c r="H360" s="240">
        <v>26.3</v>
      </c>
      <c r="I360" s="240">
        <f t="shared" si="5"/>
        <v>657.5</v>
      </c>
      <c r="J360" s="231" t="s">
        <v>1311</v>
      </c>
      <c r="K360" s="231" t="s">
        <v>1312</v>
      </c>
      <c r="L360" s="232">
        <v>45170</v>
      </c>
      <c r="M360" s="232">
        <v>45199</v>
      </c>
    </row>
    <row r="361" spans="1:13" ht="18.75" customHeight="1" x14ac:dyDescent="0.2">
      <c r="A361" s="231" t="s">
        <v>8</v>
      </c>
      <c r="B361" s="230">
        <v>113445</v>
      </c>
      <c r="C361" s="230">
        <v>10757</v>
      </c>
      <c r="D361" s="231" t="s">
        <v>785</v>
      </c>
      <c r="E361" s="230">
        <v>14491078</v>
      </c>
      <c r="F361" s="230">
        <v>31325</v>
      </c>
      <c r="G361" s="230">
        <v>25</v>
      </c>
      <c r="H361" s="240">
        <v>26.3</v>
      </c>
      <c r="I361" s="240">
        <f t="shared" si="5"/>
        <v>657.5</v>
      </c>
      <c r="J361" s="231" t="s">
        <v>1311</v>
      </c>
      <c r="K361" s="231" t="s">
        <v>1312</v>
      </c>
      <c r="L361" s="232">
        <v>45170</v>
      </c>
      <c r="M361" s="232">
        <v>45199</v>
      </c>
    </row>
    <row r="362" spans="1:13" ht="18.75" customHeight="1" x14ac:dyDescent="0.2">
      <c r="A362" s="231" t="s">
        <v>8</v>
      </c>
      <c r="B362" s="230">
        <v>113455</v>
      </c>
      <c r="C362" s="230">
        <v>10757</v>
      </c>
      <c r="D362" s="231" t="s">
        <v>789</v>
      </c>
      <c r="E362" s="230">
        <v>14491078</v>
      </c>
      <c r="F362" s="230">
        <v>31345</v>
      </c>
      <c r="G362" s="230">
        <v>25</v>
      </c>
      <c r="H362" s="240">
        <v>26.3</v>
      </c>
      <c r="I362" s="240">
        <f t="shared" si="5"/>
        <v>657.5</v>
      </c>
      <c r="J362" s="231" t="s">
        <v>1311</v>
      </c>
      <c r="K362" s="231" t="s">
        <v>1312</v>
      </c>
      <c r="L362" s="232">
        <v>45170</v>
      </c>
      <c r="M362" s="232">
        <v>45199</v>
      </c>
    </row>
    <row r="363" spans="1:13" ht="18.75" customHeight="1" x14ac:dyDescent="0.2">
      <c r="A363" s="231" t="s">
        <v>8</v>
      </c>
      <c r="B363" s="230">
        <v>113474</v>
      </c>
      <c r="C363" s="230">
        <v>10757</v>
      </c>
      <c r="D363" s="231" t="s">
        <v>801</v>
      </c>
      <c r="E363" s="230">
        <v>14491078</v>
      </c>
      <c r="F363" s="230">
        <v>31383</v>
      </c>
      <c r="G363" s="230">
        <v>25</v>
      </c>
      <c r="H363" s="240">
        <v>26.3</v>
      </c>
      <c r="I363" s="240">
        <f t="shared" si="5"/>
        <v>657.5</v>
      </c>
      <c r="J363" s="231" t="s">
        <v>1311</v>
      </c>
      <c r="K363" s="231" t="s">
        <v>1312</v>
      </c>
      <c r="L363" s="232">
        <v>45170</v>
      </c>
      <c r="M363" s="232">
        <v>45199</v>
      </c>
    </row>
    <row r="364" spans="1:13" ht="18.75" customHeight="1" x14ac:dyDescent="0.2">
      <c r="A364" s="231" t="s">
        <v>8</v>
      </c>
      <c r="B364" s="230">
        <v>113512</v>
      </c>
      <c r="C364" s="230">
        <v>10757</v>
      </c>
      <c r="D364" s="231" t="s">
        <v>820</v>
      </c>
      <c r="E364" s="230">
        <v>14491078</v>
      </c>
      <c r="F364" s="230">
        <v>31459</v>
      </c>
      <c r="G364" s="230">
        <v>25</v>
      </c>
      <c r="H364" s="240">
        <v>26.3</v>
      </c>
      <c r="I364" s="240">
        <f t="shared" si="5"/>
        <v>657.5</v>
      </c>
      <c r="J364" s="231" t="s">
        <v>1311</v>
      </c>
      <c r="K364" s="231" t="s">
        <v>1312</v>
      </c>
      <c r="L364" s="232">
        <v>45170</v>
      </c>
      <c r="M364" s="232">
        <v>45199</v>
      </c>
    </row>
    <row r="365" spans="1:13" ht="18.75" customHeight="1" x14ac:dyDescent="0.2">
      <c r="A365" s="231" t="s">
        <v>8</v>
      </c>
      <c r="B365" s="230">
        <v>113545</v>
      </c>
      <c r="C365" s="230">
        <v>10750</v>
      </c>
      <c r="D365" s="231" t="s">
        <v>839</v>
      </c>
      <c r="E365" s="230">
        <v>14491078</v>
      </c>
      <c r="F365" s="230">
        <v>31525</v>
      </c>
      <c r="G365" s="230">
        <v>25</v>
      </c>
      <c r="H365" s="240">
        <v>26.3</v>
      </c>
      <c r="I365" s="240">
        <f t="shared" si="5"/>
        <v>657.5</v>
      </c>
      <c r="J365" s="231" t="s">
        <v>1311</v>
      </c>
      <c r="K365" s="231" t="s">
        <v>1312</v>
      </c>
      <c r="L365" s="232">
        <v>45170</v>
      </c>
      <c r="M365" s="232">
        <v>45199</v>
      </c>
    </row>
    <row r="366" spans="1:13" ht="18.75" customHeight="1" x14ac:dyDescent="0.2">
      <c r="A366" s="231" t="s">
        <v>8</v>
      </c>
      <c r="B366" s="230">
        <v>113547</v>
      </c>
      <c r="C366" s="230">
        <v>10771</v>
      </c>
      <c r="D366" s="231" t="s">
        <v>841</v>
      </c>
      <c r="E366" s="230">
        <v>14491078</v>
      </c>
      <c r="F366" s="230">
        <v>31529</v>
      </c>
      <c r="G366" s="230">
        <v>25</v>
      </c>
      <c r="H366" s="240">
        <v>26.3</v>
      </c>
      <c r="I366" s="240">
        <f t="shared" si="5"/>
        <v>657.5</v>
      </c>
      <c r="J366" s="231" t="s">
        <v>1311</v>
      </c>
      <c r="K366" s="231" t="s">
        <v>1312</v>
      </c>
      <c r="L366" s="232">
        <v>45170</v>
      </c>
      <c r="M366" s="232">
        <v>45199</v>
      </c>
    </row>
    <row r="367" spans="1:13" ht="18.75" customHeight="1" x14ac:dyDescent="0.2">
      <c r="A367" s="231" t="s">
        <v>8</v>
      </c>
      <c r="B367" s="230">
        <v>113553</v>
      </c>
      <c r="C367" s="230">
        <v>10750</v>
      </c>
      <c r="D367" s="231" t="s">
        <v>847</v>
      </c>
      <c r="E367" s="230">
        <v>14491078</v>
      </c>
      <c r="F367" s="230">
        <v>31541</v>
      </c>
      <c r="G367" s="230">
        <v>25</v>
      </c>
      <c r="H367" s="240">
        <v>26.3</v>
      </c>
      <c r="I367" s="240">
        <f t="shared" si="5"/>
        <v>657.5</v>
      </c>
      <c r="J367" s="231" t="s">
        <v>1311</v>
      </c>
      <c r="K367" s="231" t="s">
        <v>1312</v>
      </c>
      <c r="L367" s="232">
        <v>45170</v>
      </c>
      <c r="M367" s="232">
        <v>45199</v>
      </c>
    </row>
    <row r="368" spans="1:13" ht="18.75" customHeight="1" x14ac:dyDescent="0.2">
      <c r="A368" s="231" t="s">
        <v>8</v>
      </c>
      <c r="B368" s="230">
        <v>113573</v>
      </c>
      <c r="C368" s="230">
        <v>10750</v>
      </c>
      <c r="D368" s="231" t="s">
        <v>856</v>
      </c>
      <c r="E368" s="230">
        <v>14491078</v>
      </c>
      <c r="F368" s="230">
        <v>31581</v>
      </c>
      <c r="G368" s="230">
        <v>25</v>
      </c>
      <c r="H368" s="240">
        <v>26.3</v>
      </c>
      <c r="I368" s="240">
        <f t="shared" si="5"/>
        <v>657.5</v>
      </c>
      <c r="J368" s="231" t="s">
        <v>1311</v>
      </c>
      <c r="K368" s="231" t="s">
        <v>1312</v>
      </c>
      <c r="L368" s="232">
        <v>45170</v>
      </c>
      <c r="M368" s="232">
        <v>45199</v>
      </c>
    </row>
    <row r="369" spans="1:13" ht="18.75" customHeight="1" x14ac:dyDescent="0.2">
      <c r="A369" s="231" t="s">
        <v>8</v>
      </c>
      <c r="B369" s="230">
        <v>113579</v>
      </c>
      <c r="C369" s="230">
        <v>10750</v>
      </c>
      <c r="D369" s="231" t="s">
        <v>858</v>
      </c>
      <c r="E369" s="230">
        <v>14491078</v>
      </c>
      <c r="F369" s="230">
        <v>31593</v>
      </c>
      <c r="G369" s="230">
        <v>25</v>
      </c>
      <c r="H369" s="240">
        <v>26.3</v>
      </c>
      <c r="I369" s="240">
        <f t="shared" si="5"/>
        <v>657.5</v>
      </c>
      <c r="J369" s="231" t="s">
        <v>1311</v>
      </c>
      <c r="K369" s="231" t="s">
        <v>1312</v>
      </c>
      <c r="L369" s="232">
        <v>45170</v>
      </c>
      <c r="M369" s="232">
        <v>45199</v>
      </c>
    </row>
    <row r="370" spans="1:13" ht="18.75" customHeight="1" x14ac:dyDescent="0.2">
      <c r="A370" s="231" t="s">
        <v>8</v>
      </c>
      <c r="B370" s="230">
        <v>113588</v>
      </c>
      <c r="C370" s="230">
        <v>10750</v>
      </c>
      <c r="D370" s="231" t="s">
        <v>864</v>
      </c>
      <c r="E370" s="230">
        <v>14491078</v>
      </c>
      <c r="F370" s="230">
        <v>31611</v>
      </c>
      <c r="G370" s="230">
        <v>25</v>
      </c>
      <c r="H370" s="240">
        <v>26.3</v>
      </c>
      <c r="I370" s="240">
        <f t="shared" si="5"/>
        <v>657.5</v>
      </c>
      <c r="J370" s="231" t="s">
        <v>1311</v>
      </c>
      <c r="K370" s="231" t="s">
        <v>1312</v>
      </c>
      <c r="L370" s="232">
        <v>45170</v>
      </c>
      <c r="M370" s="232">
        <v>45199</v>
      </c>
    </row>
    <row r="371" spans="1:13" ht="18.75" customHeight="1" x14ac:dyDescent="0.2">
      <c r="A371" s="231" t="s">
        <v>8</v>
      </c>
      <c r="B371" s="230">
        <v>113597</v>
      </c>
      <c r="C371" s="230">
        <v>10754</v>
      </c>
      <c r="D371" s="231" t="s">
        <v>868</v>
      </c>
      <c r="E371" s="230">
        <v>14491078</v>
      </c>
      <c r="F371" s="230">
        <v>31629</v>
      </c>
      <c r="G371" s="230">
        <v>25</v>
      </c>
      <c r="H371" s="240">
        <v>26.3</v>
      </c>
      <c r="I371" s="240">
        <f t="shared" si="5"/>
        <v>657.5</v>
      </c>
      <c r="J371" s="231" t="s">
        <v>1311</v>
      </c>
      <c r="K371" s="231" t="s">
        <v>1312</v>
      </c>
      <c r="L371" s="232">
        <v>45170</v>
      </c>
      <c r="M371" s="232">
        <v>45199</v>
      </c>
    </row>
    <row r="372" spans="1:13" ht="18.75" customHeight="1" x14ac:dyDescent="0.2">
      <c r="A372" s="231" t="s">
        <v>8</v>
      </c>
      <c r="B372" s="230">
        <v>113603</v>
      </c>
      <c r="C372" s="230">
        <v>10756</v>
      </c>
      <c r="D372" s="231" t="s">
        <v>871</v>
      </c>
      <c r="E372" s="230">
        <v>14491078</v>
      </c>
      <c r="F372" s="230">
        <v>31641</v>
      </c>
      <c r="G372" s="230">
        <v>24</v>
      </c>
      <c r="H372" s="240">
        <v>26.3</v>
      </c>
      <c r="I372" s="240">
        <f t="shared" si="5"/>
        <v>631.20000000000005</v>
      </c>
      <c r="J372" s="231" t="s">
        <v>1311</v>
      </c>
      <c r="K372" s="231" t="s">
        <v>1312</v>
      </c>
      <c r="L372" s="232">
        <v>45170</v>
      </c>
      <c r="M372" s="232">
        <v>45199</v>
      </c>
    </row>
    <row r="373" spans="1:13" ht="18.75" customHeight="1" x14ac:dyDescent="0.2">
      <c r="A373" s="231" t="s">
        <v>8</v>
      </c>
      <c r="B373" s="230">
        <v>113612</v>
      </c>
      <c r="C373" s="230">
        <v>10751</v>
      </c>
      <c r="D373" s="231" t="s">
        <v>876</v>
      </c>
      <c r="E373" s="230">
        <v>14491078</v>
      </c>
      <c r="F373" s="230">
        <v>31659</v>
      </c>
      <c r="G373" s="230">
        <v>25</v>
      </c>
      <c r="H373" s="240">
        <v>26.3</v>
      </c>
      <c r="I373" s="240">
        <f t="shared" si="5"/>
        <v>657.5</v>
      </c>
      <c r="J373" s="231" t="s">
        <v>1311</v>
      </c>
      <c r="K373" s="231" t="s">
        <v>1312</v>
      </c>
      <c r="L373" s="232">
        <v>45170</v>
      </c>
      <c r="M373" s="232">
        <v>45199</v>
      </c>
    </row>
    <row r="374" spans="1:13" ht="18.75" customHeight="1" x14ac:dyDescent="0.2">
      <c r="A374" s="231" t="s">
        <v>8</v>
      </c>
      <c r="B374" s="230">
        <v>113619</v>
      </c>
      <c r="C374" s="230">
        <v>10757</v>
      </c>
      <c r="D374" s="231" t="s">
        <v>879</v>
      </c>
      <c r="E374" s="230">
        <v>14491078</v>
      </c>
      <c r="F374" s="230">
        <v>31673</v>
      </c>
      <c r="G374" s="230">
        <v>25</v>
      </c>
      <c r="H374" s="240">
        <v>26.3</v>
      </c>
      <c r="I374" s="240">
        <f t="shared" si="5"/>
        <v>657.5</v>
      </c>
      <c r="J374" s="231" t="s">
        <v>1311</v>
      </c>
      <c r="K374" s="231" t="s">
        <v>1312</v>
      </c>
      <c r="L374" s="232">
        <v>45170</v>
      </c>
      <c r="M374" s="232">
        <v>45199</v>
      </c>
    </row>
    <row r="375" spans="1:13" ht="18.75" customHeight="1" x14ac:dyDescent="0.2">
      <c r="A375" s="231" t="s">
        <v>8</v>
      </c>
      <c r="B375" s="230">
        <v>113638</v>
      </c>
      <c r="C375" s="230">
        <v>10771</v>
      </c>
      <c r="D375" s="231" t="s">
        <v>892</v>
      </c>
      <c r="E375" s="230">
        <v>14491078</v>
      </c>
      <c r="F375" s="230">
        <v>31711</v>
      </c>
      <c r="G375" s="230">
        <v>25</v>
      </c>
      <c r="H375" s="240">
        <v>26.3</v>
      </c>
      <c r="I375" s="240">
        <f t="shared" si="5"/>
        <v>657.5</v>
      </c>
      <c r="J375" s="231" t="s">
        <v>1311</v>
      </c>
      <c r="K375" s="231" t="s">
        <v>1312</v>
      </c>
      <c r="L375" s="232">
        <v>45170</v>
      </c>
      <c r="M375" s="232">
        <v>45199</v>
      </c>
    </row>
    <row r="376" spans="1:13" ht="18.75" customHeight="1" x14ac:dyDescent="0.2">
      <c r="A376" s="231" t="s">
        <v>8</v>
      </c>
      <c r="B376" s="230">
        <v>113661</v>
      </c>
      <c r="C376" s="230">
        <v>10750</v>
      </c>
      <c r="D376" s="231" t="s">
        <v>903</v>
      </c>
      <c r="E376" s="230">
        <v>14491078</v>
      </c>
      <c r="F376" s="230">
        <v>31757</v>
      </c>
      <c r="G376" s="230">
        <v>25</v>
      </c>
      <c r="H376" s="240">
        <v>26.3</v>
      </c>
      <c r="I376" s="240">
        <f t="shared" si="5"/>
        <v>657.5</v>
      </c>
      <c r="J376" s="231" t="s">
        <v>1311</v>
      </c>
      <c r="K376" s="231" t="s">
        <v>1312</v>
      </c>
      <c r="L376" s="232">
        <v>45170</v>
      </c>
      <c r="M376" s="232">
        <v>45199</v>
      </c>
    </row>
    <row r="377" spans="1:13" ht="18.75" customHeight="1" x14ac:dyDescent="0.2">
      <c r="A377" s="231" t="s">
        <v>8</v>
      </c>
      <c r="B377" s="230">
        <v>113671</v>
      </c>
      <c r="C377" s="230">
        <v>10766</v>
      </c>
      <c r="D377" s="231" t="s">
        <v>910</v>
      </c>
      <c r="E377" s="230">
        <v>14491078</v>
      </c>
      <c r="F377" s="230">
        <v>31777</v>
      </c>
      <c r="G377" s="230">
        <v>25</v>
      </c>
      <c r="H377" s="240">
        <v>26.3</v>
      </c>
      <c r="I377" s="240">
        <f t="shared" si="5"/>
        <v>657.5</v>
      </c>
      <c r="J377" s="231" t="s">
        <v>1311</v>
      </c>
      <c r="K377" s="231" t="s">
        <v>1312</v>
      </c>
      <c r="L377" s="232">
        <v>45170</v>
      </c>
      <c r="M377" s="232">
        <v>45199</v>
      </c>
    </row>
    <row r="378" spans="1:13" ht="18.75" customHeight="1" x14ac:dyDescent="0.2">
      <c r="A378" s="231" t="s">
        <v>8</v>
      </c>
      <c r="B378" s="230">
        <v>113674</v>
      </c>
      <c r="C378" s="230">
        <v>10754</v>
      </c>
      <c r="D378" s="231" t="s">
        <v>1337</v>
      </c>
      <c r="E378" s="230">
        <v>14491078</v>
      </c>
      <c r="F378" s="230">
        <v>31783</v>
      </c>
      <c r="G378" s="230">
        <v>25</v>
      </c>
      <c r="H378" s="240">
        <v>26.3</v>
      </c>
      <c r="I378" s="240">
        <f t="shared" si="5"/>
        <v>657.5</v>
      </c>
      <c r="J378" s="231" t="s">
        <v>1311</v>
      </c>
      <c r="K378" s="231" t="s">
        <v>1312</v>
      </c>
      <c r="L378" s="232">
        <v>45170</v>
      </c>
      <c r="M378" s="232">
        <v>45199</v>
      </c>
    </row>
    <row r="379" spans="1:13" ht="18.75" customHeight="1" x14ac:dyDescent="0.2">
      <c r="A379" s="231" t="s">
        <v>8</v>
      </c>
      <c r="B379" s="230">
        <v>113689</v>
      </c>
      <c r="C379" s="230">
        <v>10751</v>
      </c>
      <c r="D379" s="231" t="s">
        <v>1384</v>
      </c>
      <c r="E379" s="230">
        <v>14491078</v>
      </c>
      <c r="F379" s="230">
        <v>31813</v>
      </c>
      <c r="G379" s="230">
        <v>25</v>
      </c>
      <c r="H379" s="240">
        <v>26.3</v>
      </c>
      <c r="I379" s="240">
        <f t="shared" si="5"/>
        <v>657.5</v>
      </c>
      <c r="J379" s="231" t="s">
        <v>1311</v>
      </c>
      <c r="K379" s="231" t="s">
        <v>1312</v>
      </c>
      <c r="L379" s="232">
        <v>45170</v>
      </c>
      <c r="M379" s="232">
        <v>45199</v>
      </c>
    </row>
    <row r="380" spans="1:13" ht="18.75" customHeight="1" x14ac:dyDescent="0.2">
      <c r="A380" s="231" t="s">
        <v>8</v>
      </c>
      <c r="B380" s="230">
        <v>113690</v>
      </c>
      <c r="C380" s="230">
        <v>10750</v>
      </c>
      <c r="D380" s="231" t="s">
        <v>920</v>
      </c>
      <c r="E380" s="230">
        <v>14491078</v>
      </c>
      <c r="F380" s="230">
        <v>31815</v>
      </c>
      <c r="G380" s="230">
        <v>25</v>
      </c>
      <c r="H380" s="240">
        <v>26.3</v>
      </c>
      <c r="I380" s="240">
        <f t="shared" si="5"/>
        <v>657.5</v>
      </c>
      <c r="J380" s="231" t="s">
        <v>1311</v>
      </c>
      <c r="K380" s="231" t="s">
        <v>1312</v>
      </c>
      <c r="L380" s="232">
        <v>45170</v>
      </c>
      <c r="M380" s="232">
        <v>45199</v>
      </c>
    </row>
    <row r="381" spans="1:13" ht="18.75" customHeight="1" x14ac:dyDescent="0.2">
      <c r="A381" s="231" t="s">
        <v>8</v>
      </c>
      <c r="B381" s="230">
        <v>113699</v>
      </c>
      <c r="C381" s="230">
        <v>10750</v>
      </c>
      <c r="D381" s="231" t="s">
        <v>1319</v>
      </c>
      <c r="E381" s="230">
        <v>14491078</v>
      </c>
      <c r="F381" s="230">
        <v>31833</v>
      </c>
      <c r="G381" s="230">
        <v>25</v>
      </c>
      <c r="H381" s="240">
        <v>26.3</v>
      </c>
      <c r="I381" s="240">
        <f t="shared" si="5"/>
        <v>657.5</v>
      </c>
      <c r="J381" s="231" t="s">
        <v>1311</v>
      </c>
      <c r="K381" s="231" t="s">
        <v>1312</v>
      </c>
      <c r="L381" s="232">
        <v>45170</v>
      </c>
      <c r="M381" s="232">
        <v>45199</v>
      </c>
    </row>
    <row r="382" spans="1:13" ht="18.75" customHeight="1" x14ac:dyDescent="0.2">
      <c r="A382" s="231" t="s">
        <v>8</v>
      </c>
      <c r="B382" s="230">
        <v>113704</v>
      </c>
      <c r="C382" s="230">
        <v>10750</v>
      </c>
      <c r="D382" s="231" t="s">
        <v>927</v>
      </c>
      <c r="E382" s="230">
        <v>14491078</v>
      </c>
      <c r="F382" s="230">
        <v>31843</v>
      </c>
      <c r="G382" s="230">
        <v>25</v>
      </c>
      <c r="H382" s="240">
        <v>26.3</v>
      </c>
      <c r="I382" s="240">
        <f t="shared" si="5"/>
        <v>657.5</v>
      </c>
      <c r="J382" s="231" t="s">
        <v>1311</v>
      </c>
      <c r="K382" s="231" t="s">
        <v>1312</v>
      </c>
      <c r="L382" s="232">
        <v>45170</v>
      </c>
      <c r="M382" s="232">
        <v>45199</v>
      </c>
    </row>
    <row r="383" spans="1:13" ht="18.75" customHeight="1" x14ac:dyDescent="0.2">
      <c r="A383" s="231" t="s">
        <v>8</v>
      </c>
      <c r="B383" s="230">
        <v>113721</v>
      </c>
      <c r="C383" s="230">
        <v>10773</v>
      </c>
      <c r="D383" s="231" t="s">
        <v>938</v>
      </c>
      <c r="E383" s="230">
        <v>14491078</v>
      </c>
      <c r="F383" s="230">
        <v>31877</v>
      </c>
      <c r="G383" s="230">
        <v>25</v>
      </c>
      <c r="H383" s="240">
        <v>26.3</v>
      </c>
      <c r="I383" s="240">
        <f t="shared" si="5"/>
        <v>657.5</v>
      </c>
      <c r="J383" s="231" t="s">
        <v>1311</v>
      </c>
      <c r="K383" s="231" t="s">
        <v>1312</v>
      </c>
      <c r="L383" s="232">
        <v>45170</v>
      </c>
      <c r="M383" s="232">
        <v>45199</v>
      </c>
    </row>
    <row r="384" spans="1:13" ht="18.75" customHeight="1" x14ac:dyDescent="0.2">
      <c r="A384" s="231" t="s">
        <v>8</v>
      </c>
      <c r="B384" s="230">
        <v>114030</v>
      </c>
      <c r="C384" s="230">
        <v>10757</v>
      </c>
      <c r="D384" s="231" t="s">
        <v>999</v>
      </c>
      <c r="E384" s="230">
        <v>14491078</v>
      </c>
      <c r="F384" s="230">
        <v>34125</v>
      </c>
      <c r="G384" s="230">
        <v>25</v>
      </c>
      <c r="H384" s="240">
        <v>26.3</v>
      </c>
      <c r="I384" s="240">
        <f t="shared" si="5"/>
        <v>657.5</v>
      </c>
      <c r="J384" s="231" t="s">
        <v>1311</v>
      </c>
      <c r="K384" s="231" t="s">
        <v>1312</v>
      </c>
      <c r="L384" s="232">
        <v>45170</v>
      </c>
      <c r="M384" s="232">
        <v>45199</v>
      </c>
    </row>
    <row r="385" spans="1:13" ht="18.75" customHeight="1" x14ac:dyDescent="0.2">
      <c r="A385" s="231" t="s">
        <v>8</v>
      </c>
      <c r="B385" s="230">
        <v>114039</v>
      </c>
      <c r="C385" s="230">
        <v>10757</v>
      </c>
      <c r="D385" s="231" t="s">
        <v>1002</v>
      </c>
      <c r="E385" s="230">
        <v>14491078</v>
      </c>
      <c r="F385" s="230">
        <v>34221</v>
      </c>
      <c r="G385" s="230">
        <v>25</v>
      </c>
      <c r="H385" s="240">
        <v>26.3</v>
      </c>
      <c r="I385" s="240">
        <f t="shared" si="5"/>
        <v>657.5</v>
      </c>
      <c r="J385" s="231" t="s">
        <v>1311</v>
      </c>
      <c r="K385" s="231" t="s">
        <v>1312</v>
      </c>
      <c r="L385" s="232">
        <v>45170</v>
      </c>
      <c r="M385" s="232">
        <v>45199</v>
      </c>
    </row>
    <row r="386" spans="1:13" ht="18.75" customHeight="1" x14ac:dyDescent="0.2">
      <c r="A386" s="231" t="s">
        <v>8</v>
      </c>
      <c r="B386" s="230">
        <v>114093</v>
      </c>
      <c r="C386" s="230">
        <v>10757</v>
      </c>
      <c r="D386" s="231" t="s">
        <v>1005</v>
      </c>
      <c r="E386" s="230">
        <v>14491078</v>
      </c>
      <c r="F386" s="230">
        <v>34339</v>
      </c>
      <c r="G386" s="230">
        <v>25</v>
      </c>
      <c r="H386" s="240">
        <v>26.3</v>
      </c>
      <c r="I386" s="240">
        <f t="shared" si="5"/>
        <v>657.5</v>
      </c>
      <c r="J386" s="231" t="s">
        <v>1311</v>
      </c>
      <c r="K386" s="231" t="s">
        <v>1312</v>
      </c>
      <c r="L386" s="232">
        <v>45170</v>
      </c>
      <c r="M386" s="232">
        <v>45199</v>
      </c>
    </row>
    <row r="387" spans="1:13" ht="18.75" customHeight="1" x14ac:dyDescent="0.2">
      <c r="A387" s="231" t="s">
        <v>8</v>
      </c>
      <c r="B387" s="230">
        <v>114094</v>
      </c>
      <c r="C387" s="230">
        <v>10757</v>
      </c>
      <c r="D387" s="231" t="s">
        <v>1006</v>
      </c>
      <c r="E387" s="230">
        <v>14491078</v>
      </c>
      <c r="F387" s="230">
        <v>34341</v>
      </c>
      <c r="G387" s="230">
        <v>25</v>
      </c>
      <c r="H387" s="240">
        <v>26.3</v>
      </c>
      <c r="I387" s="240">
        <f t="shared" ref="I387:I450" si="6">G387*H387</f>
        <v>657.5</v>
      </c>
      <c r="J387" s="231" t="s">
        <v>1311</v>
      </c>
      <c r="K387" s="231" t="s">
        <v>1312</v>
      </c>
      <c r="L387" s="232">
        <v>45170</v>
      </c>
      <c r="M387" s="232">
        <v>45199</v>
      </c>
    </row>
    <row r="388" spans="1:13" ht="18.75" customHeight="1" x14ac:dyDescent="0.2">
      <c r="A388" s="231" t="s">
        <v>8</v>
      </c>
      <c r="B388" s="230">
        <v>114108</v>
      </c>
      <c r="C388" s="230">
        <v>10758</v>
      </c>
      <c r="D388" s="231" t="s">
        <v>1012</v>
      </c>
      <c r="E388" s="230">
        <v>14491078</v>
      </c>
      <c r="F388" s="230">
        <v>34366</v>
      </c>
      <c r="G388" s="230">
        <v>25</v>
      </c>
      <c r="H388" s="240">
        <v>26.3</v>
      </c>
      <c r="I388" s="240">
        <f t="shared" si="6"/>
        <v>657.5</v>
      </c>
      <c r="J388" s="231" t="s">
        <v>1311</v>
      </c>
      <c r="K388" s="231" t="s">
        <v>1312</v>
      </c>
      <c r="L388" s="232">
        <v>45170</v>
      </c>
      <c r="M388" s="232">
        <v>45199</v>
      </c>
    </row>
    <row r="389" spans="1:13" ht="18.75" customHeight="1" x14ac:dyDescent="0.2">
      <c r="A389" s="231" t="s">
        <v>8</v>
      </c>
      <c r="B389" s="230">
        <v>114110</v>
      </c>
      <c r="C389" s="230">
        <v>10757</v>
      </c>
      <c r="D389" s="231" t="s">
        <v>1013</v>
      </c>
      <c r="E389" s="230">
        <v>14491078</v>
      </c>
      <c r="F389" s="230">
        <v>34370</v>
      </c>
      <c r="G389" s="230">
        <v>25</v>
      </c>
      <c r="H389" s="240">
        <v>26.3</v>
      </c>
      <c r="I389" s="240">
        <f t="shared" si="6"/>
        <v>657.5</v>
      </c>
      <c r="J389" s="231" t="s">
        <v>1311</v>
      </c>
      <c r="K389" s="231" t="s">
        <v>1312</v>
      </c>
      <c r="L389" s="232">
        <v>45170</v>
      </c>
      <c r="M389" s="232">
        <v>45199</v>
      </c>
    </row>
    <row r="390" spans="1:13" ht="18.75" customHeight="1" x14ac:dyDescent="0.2">
      <c r="A390" s="231" t="s">
        <v>8</v>
      </c>
      <c r="B390" s="230">
        <v>114537</v>
      </c>
      <c r="C390" s="230">
        <v>10757</v>
      </c>
      <c r="D390" s="231" t="s">
        <v>1054</v>
      </c>
      <c r="E390" s="230">
        <v>14491078</v>
      </c>
      <c r="F390" s="230">
        <v>36350</v>
      </c>
      <c r="G390" s="230">
        <v>25</v>
      </c>
      <c r="H390" s="240">
        <v>26.3</v>
      </c>
      <c r="I390" s="240">
        <f t="shared" si="6"/>
        <v>657.5</v>
      </c>
      <c r="J390" s="231" t="s">
        <v>1311</v>
      </c>
      <c r="K390" s="231" t="s">
        <v>1312</v>
      </c>
      <c r="L390" s="232">
        <v>45170</v>
      </c>
      <c r="M390" s="232">
        <v>45199</v>
      </c>
    </row>
    <row r="391" spans="1:13" ht="18.75" customHeight="1" x14ac:dyDescent="0.2">
      <c r="A391" s="231" t="s">
        <v>8</v>
      </c>
      <c r="B391" s="230">
        <v>114546</v>
      </c>
      <c r="C391" s="230">
        <v>10750</v>
      </c>
      <c r="D391" s="231" t="s">
        <v>1057</v>
      </c>
      <c r="E391" s="230">
        <v>14491078</v>
      </c>
      <c r="F391" s="230">
        <v>36370</v>
      </c>
      <c r="G391" s="230">
        <v>25</v>
      </c>
      <c r="H391" s="240">
        <v>26.3</v>
      </c>
      <c r="I391" s="240">
        <f t="shared" si="6"/>
        <v>657.5</v>
      </c>
      <c r="J391" s="231" t="s">
        <v>1311</v>
      </c>
      <c r="K391" s="231" t="s">
        <v>1312</v>
      </c>
      <c r="L391" s="232">
        <v>45170</v>
      </c>
      <c r="M391" s="232">
        <v>45199</v>
      </c>
    </row>
    <row r="392" spans="1:13" ht="18.75" customHeight="1" x14ac:dyDescent="0.2">
      <c r="A392" s="231" t="s">
        <v>8</v>
      </c>
      <c r="B392" s="230">
        <v>114547</v>
      </c>
      <c r="C392" s="230">
        <v>10750</v>
      </c>
      <c r="D392" s="231" t="s">
        <v>1058</v>
      </c>
      <c r="E392" s="230">
        <v>14491078</v>
      </c>
      <c r="F392" s="230">
        <v>36372</v>
      </c>
      <c r="G392" s="230">
        <v>19</v>
      </c>
      <c r="H392" s="240">
        <v>26.3</v>
      </c>
      <c r="I392" s="240">
        <f t="shared" si="6"/>
        <v>499.7</v>
      </c>
      <c r="J392" s="231" t="s">
        <v>1311</v>
      </c>
      <c r="K392" s="231" t="s">
        <v>1312</v>
      </c>
      <c r="L392" s="232">
        <v>45170</v>
      </c>
      <c r="M392" s="232">
        <v>45199</v>
      </c>
    </row>
    <row r="393" spans="1:13" ht="18.75" customHeight="1" x14ac:dyDescent="0.2">
      <c r="A393" s="231" t="s">
        <v>8</v>
      </c>
      <c r="B393" s="230">
        <v>114554</v>
      </c>
      <c r="C393" s="230">
        <v>10757</v>
      </c>
      <c r="D393" s="231" t="s">
        <v>1061</v>
      </c>
      <c r="E393" s="230">
        <v>14491078</v>
      </c>
      <c r="F393" s="230">
        <v>36386</v>
      </c>
      <c r="G393" s="230">
        <v>24</v>
      </c>
      <c r="H393" s="240">
        <v>26.3</v>
      </c>
      <c r="I393" s="240">
        <f t="shared" si="6"/>
        <v>631.20000000000005</v>
      </c>
      <c r="J393" s="231" t="s">
        <v>1311</v>
      </c>
      <c r="K393" s="231" t="s">
        <v>1312</v>
      </c>
      <c r="L393" s="232">
        <v>45170</v>
      </c>
      <c r="M393" s="232">
        <v>45199</v>
      </c>
    </row>
    <row r="394" spans="1:13" ht="18.75" customHeight="1" x14ac:dyDescent="0.2">
      <c r="A394" s="231" t="s">
        <v>8</v>
      </c>
      <c r="B394" s="230">
        <v>114729</v>
      </c>
      <c r="C394" s="230">
        <v>10750</v>
      </c>
      <c r="D394" s="231" t="s">
        <v>1084</v>
      </c>
      <c r="E394" s="230">
        <v>14491078</v>
      </c>
      <c r="F394" s="230">
        <v>36907</v>
      </c>
      <c r="G394" s="230">
        <v>25</v>
      </c>
      <c r="H394" s="240">
        <v>26.3</v>
      </c>
      <c r="I394" s="240">
        <f t="shared" si="6"/>
        <v>657.5</v>
      </c>
      <c r="J394" s="231" t="s">
        <v>1311</v>
      </c>
      <c r="K394" s="231" t="s">
        <v>1312</v>
      </c>
      <c r="L394" s="232">
        <v>45170</v>
      </c>
      <c r="M394" s="232">
        <v>45199</v>
      </c>
    </row>
    <row r="395" spans="1:13" ht="18.75" customHeight="1" x14ac:dyDescent="0.2">
      <c r="A395" s="231" t="s">
        <v>8</v>
      </c>
      <c r="B395" s="230">
        <v>114746</v>
      </c>
      <c r="C395" s="230">
        <v>10750</v>
      </c>
      <c r="D395" s="231" t="s">
        <v>1092</v>
      </c>
      <c r="E395" s="230">
        <v>14491078</v>
      </c>
      <c r="F395" s="230">
        <v>36941</v>
      </c>
      <c r="G395" s="230">
        <v>25</v>
      </c>
      <c r="H395" s="240">
        <v>26.3</v>
      </c>
      <c r="I395" s="240">
        <f t="shared" si="6"/>
        <v>657.5</v>
      </c>
      <c r="J395" s="231" t="s">
        <v>1311</v>
      </c>
      <c r="K395" s="231" t="s">
        <v>1312</v>
      </c>
      <c r="L395" s="232">
        <v>45170</v>
      </c>
      <c r="M395" s="232">
        <v>45199</v>
      </c>
    </row>
    <row r="396" spans="1:13" ht="18.75" customHeight="1" x14ac:dyDescent="0.2">
      <c r="A396" s="231" t="s">
        <v>8</v>
      </c>
      <c r="B396" s="230">
        <v>114938</v>
      </c>
      <c r="C396" s="230">
        <v>10766</v>
      </c>
      <c r="D396" s="231" t="s">
        <v>1123</v>
      </c>
      <c r="E396" s="230">
        <v>14491078</v>
      </c>
      <c r="F396" s="230">
        <v>37655</v>
      </c>
      <c r="G396" s="230">
        <v>25</v>
      </c>
      <c r="H396" s="240">
        <v>26.3</v>
      </c>
      <c r="I396" s="240">
        <f t="shared" si="6"/>
        <v>657.5</v>
      </c>
      <c r="J396" s="231" t="s">
        <v>1311</v>
      </c>
      <c r="K396" s="231" t="s">
        <v>1312</v>
      </c>
      <c r="L396" s="232">
        <v>45170</v>
      </c>
      <c r="M396" s="232">
        <v>45199</v>
      </c>
    </row>
    <row r="397" spans="1:13" ht="18.75" customHeight="1" x14ac:dyDescent="0.2">
      <c r="A397" s="231" t="s">
        <v>8</v>
      </c>
      <c r="B397" s="230">
        <v>115214</v>
      </c>
      <c r="C397" s="230">
        <v>10758</v>
      </c>
      <c r="D397" s="231" t="s">
        <v>1145</v>
      </c>
      <c r="E397" s="230">
        <v>14491078</v>
      </c>
      <c r="F397" s="230">
        <v>38474</v>
      </c>
      <c r="G397" s="230">
        <v>25</v>
      </c>
      <c r="H397" s="240">
        <v>26.3</v>
      </c>
      <c r="I397" s="240">
        <f t="shared" si="6"/>
        <v>657.5</v>
      </c>
      <c r="J397" s="231" t="s">
        <v>1311</v>
      </c>
      <c r="K397" s="231" t="s">
        <v>1315</v>
      </c>
      <c r="L397" s="232">
        <v>45170</v>
      </c>
      <c r="M397" s="232">
        <v>45199</v>
      </c>
    </row>
    <row r="398" spans="1:13" ht="18.75" customHeight="1" x14ac:dyDescent="0.2">
      <c r="A398" s="231" t="s">
        <v>8</v>
      </c>
      <c r="B398" s="230">
        <v>115216</v>
      </c>
      <c r="C398" s="230">
        <v>10766</v>
      </c>
      <c r="D398" s="231" t="s">
        <v>1146</v>
      </c>
      <c r="E398" s="230">
        <v>14491078</v>
      </c>
      <c r="F398" s="230">
        <v>38479</v>
      </c>
      <c r="G398" s="230">
        <v>25</v>
      </c>
      <c r="H398" s="240">
        <v>26.3</v>
      </c>
      <c r="I398" s="240">
        <f t="shared" si="6"/>
        <v>657.5</v>
      </c>
      <c r="J398" s="231" t="s">
        <v>1311</v>
      </c>
      <c r="K398" s="231" t="s">
        <v>1312</v>
      </c>
      <c r="L398" s="232">
        <v>45170</v>
      </c>
      <c r="M398" s="232">
        <v>45199</v>
      </c>
    </row>
    <row r="399" spans="1:13" ht="18.75" customHeight="1" x14ac:dyDescent="0.2">
      <c r="A399" s="231" t="s">
        <v>8</v>
      </c>
      <c r="B399" s="230">
        <v>115220</v>
      </c>
      <c r="C399" s="230">
        <v>10758</v>
      </c>
      <c r="D399" s="231" t="s">
        <v>1148</v>
      </c>
      <c r="E399" s="230">
        <v>14491078</v>
      </c>
      <c r="F399" s="230">
        <v>38489</v>
      </c>
      <c r="G399" s="230">
        <v>25</v>
      </c>
      <c r="H399" s="240">
        <v>26.3</v>
      </c>
      <c r="I399" s="240">
        <f t="shared" si="6"/>
        <v>657.5</v>
      </c>
      <c r="J399" s="231" t="s">
        <v>1311</v>
      </c>
      <c r="K399" s="231" t="s">
        <v>1312</v>
      </c>
      <c r="L399" s="232">
        <v>45170</v>
      </c>
      <c r="M399" s="232">
        <v>45199</v>
      </c>
    </row>
    <row r="400" spans="1:13" ht="18.75" customHeight="1" x14ac:dyDescent="0.2">
      <c r="A400" s="231" t="s">
        <v>8</v>
      </c>
      <c r="B400" s="230">
        <v>115408</v>
      </c>
      <c r="C400" s="230">
        <v>10757</v>
      </c>
      <c r="D400" s="231" t="s">
        <v>1161</v>
      </c>
      <c r="E400" s="230">
        <v>14491078</v>
      </c>
      <c r="F400" s="230">
        <v>39023</v>
      </c>
      <c r="G400" s="230">
        <v>25</v>
      </c>
      <c r="H400" s="240">
        <v>26.3</v>
      </c>
      <c r="I400" s="240">
        <f t="shared" si="6"/>
        <v>657.5</v>
      </c>
      <c r="J400" s="231" t="s">
        <v>1311</v>
      </c>
      <c r="K400" s="231" t="s">
        <v>1312</v>
      </c>
      <c r="L400" s="232">
        <v>45170</v>
      </c>
      <c r="M400" s="232">
        <v>45199</v>
      </c>
    </row>
    <row r="401" spans="1:13" ht="18.75" customHeight="1" x14ac:dyDescent="0.2">
      <c r="A401" s="231" t="s">
        <v>8</v>
      </c>
      <c r="B401" s="230">
        <v>116009</v>
      </c>
      <c r="C401" s="230">
        <v>10750</v>
      </c>
      <c r="D401" s="231" t="s">
        <v>81</v>
      </c>
      <c r="E401" s="230">
        <v>14491078</v>
      </c>
      <c r="F401" s="230">
        <v>40874</v>
      </c>
      <c r="G401" s="230">
        <v>25</v>
      </c>
      <c r="H401" s="240">
        <v>26.3</v>
      </c>
      <c r="I401" s="240">
        <f t="shared" si="6"/>
        <v>657.5</v>
      </c>
      <c r="J401" s="231" t="s">
        <v>1311</v>
      </c>
      <c r="K401" s="231" t="s">
        <v>1312</v>
      </c>
      <c r="L401" s="232">
        <v>45170</v>
      </c>
      <c r="M401" s="232">
        <v>45199</v>
      </c>
    </row>
    <row r="402" spans="1:13" ht="18.75" customHeight="1" x14ac:dyDescent="0.2">
      <c r="A402" s="231" t="s">
        <v>8</v>
      </c>
      <c r="B402" s="230">
        <v>116229</v>
      </c>
      <c r="C402" s="230">
        <v>10761</v>
      </c>
      <c r="D402" s="231" t="s">
        <v>1197</v>
      </c>
      <c r="E402" s="230">
        <v>14491078</v>
      </c>
      <c r="F402" s="230">
        <v>41566</v>
      </c>
      <c r="G402" s="230">
        <v>25</v>
      </c>
      <c r="H402" s="240">
        <v>26.3</v>
      </c>
      <c r="I402" s="240">
        <f t="shared" si="6"/>
        <v>657.5</v>
      </c>
      <c r="J402" s="231" t="s">
        <v>1311</v>
      </c>
      <c r="K402" s="231" t="s">
        <v>1312</v>
      </c>
      <c r="L402" s="232">
        <v>45170</v>
      </c>
      <c r="M402" s="232">
        <v>45199</v>
      </c>
    </row>
    <row r="403" spans="1:13" ht="18.75" customHeight="1" x14ac:dyDescent="0.2">
      <c r="A403" s="231" t="s">
        <v>8</v>
      </c>
      <c r="B403" s="230">
        <v>116234</v>
      </c>
      <c r="C403" s="230">
        <v>10751</v>
      </c>
      <c r="D403" s="231" t="s">
        <v>1199</v>
      </c>
      <c r="E403" s="230">
        <v>14491078</v>
      </c>
      <c r="F403" s="230">
        <v>41576</v>
      </c>
      <c r="G403" s="230">
        <v>25</v>
      </c>
      <c r="H403" s="240">
        <v>26.3</v>
      </c>
      <c r="I403" s="240">
        <f t="shared" si="6"/>
        <v>657.5</v>
      </c>
      <c r="J403" s="231" t="s">
        <v>1311</v>
      </c>
      <c r="K403" s="231" t="s">
        <v>1312</v>
      </c>
      <c r="L403" s="232">
        <v>45170</v>
      </c>
      <c r="M403" s="232">
        <v>45199</v>
      </c>
    </row>
    <row r="404" spans="1:13" ht="18.75" customHeight="1" x14ac:dyDescent="0.2">
      <c r="A404" s="231" t="s">
        <v>8</v>
      </c>
      <c r="B404" s="230">
        <v>116235</v>
      </c>
      <c r="C404" s="230">
        <v>10750</v>
      </c>
      <c r="D404" s="231" t="s">
        <v>1200</v>
      </c>
      <c r="E404" s="230">
        <v>14491078</v>
      </c>
      <c r="F404" s="230">
        <v>41578</v>
      </c>
      <c r="G404" s="230">
        <v>25</v>
      </c>
      <c r="H404" s="240">
        <v>26.3</v>
      </c>
      <c r="I404" s="240">
        <f t="shared" si="6"/>
        <v>657.5</v>
      </c>
      <c r="J404" s="231" t="s">
        <v>1311</v>
      </c>
      <c r="K404" s="231" t="s">
        <v>1312</v>
      </c>
      <c r="L404" s="232">
        <v>45170</v>
      </c>
      <c r="M404" s="232">
        <v>45199</v>
      </c>
    </row>
    <row r="405" spans="1:13" ht="18.75" customHeight="1" x14ac:dyDescent="0.2">
      <c r="A405" s="231" t="s">
        <v>8</v>
      </c>
      <c r="B405" s="230">
        <v>116236</v>
      </c>
      <c r="C405" s="230">
        <v>10750</v>
      </c>
      <c r="D405" s="231" t="s">
        <v>1201</v>
      </c>
      <c r="E405" s="230">
        <v>14491078</v>
      </c>
      <c r="F405" s="230">
        <v>41580</v>
      </c>
      <c r="G405" s="230">
        <v>25</v>
      </c>
      <c r="H405" s="240">
        <v>26.3</v>
      </c>
      <c r="I405" s="240">
        <f t="shared" si="6"/>
        <v>657.5</v>
      </c>
      <c r="J405" s="231" t="s">
        <v>1311</v>
      </c>
      <c r="K405" s="231" t="s">
        <v>1312</v>
      </c>
      <c r="L405" s="232">
        <v>45170</v>
      </c>
      <c r="M405" s="232">
        <v>45199</v>
      </c>
    </row>
    <row r="406" spans="1:13" ht="18.75" customHeight="1" x14ac:dyDescent="0.2">
      <c r="A406" s="231" t="s">
        <v>8</v>
      </c>
      <c r="B406" s="230">
        <v>116237</v>
      </c>
      <c r="C406" s="230">
        <v>10750</v>
      </c>
      <c r="D406" s="231" t="s">
        <v>1202</v>
      </c>
      <c r="E406" s="230">
        <v>14491078</v>
      </c>
      <c r="F406" s="230">
        <v>41582</v>
      </c>
      <c r="G406" s="230">
        <v>25</v>
      </c>
      <c r="H406" s="240">
        <v>26.3</v>
      </c>
      <c r="I406" s="240">
        <f t="shared" si="6"/>
        <v>657.5</v>
      </c>
      <c r="J406" s="231" t="s">
        <v>1311</v>
      </c>
      <c r="K406" s="231" t="s">
        <v>1312</v>
      </c>
      <c r="L406" s="232">
        <v>45170</v>
      </c>
      <c r="M406" s="232">
        <v>45199</v>
      </c>
    </row>
    <row r="407" spans="1:13" ht="18.75" customHeight="1" x14ac:dyDescent="0.2">
      <c r="A407" s="231" t="s">
        <v>8</v>
      </c>
      <c r="B407" s="230">
        <v>116238</v>
      </c>
      <c r="C407" s="230">
        <v>10754</v>
      </c>
      <c r="D407" s="231" t="s">
        <v>1203</v>
      </c>
      <c r="E407" s="230">
        <v>14491078</v>
      </c>
      <c r="F407" s="230">
        <v>41584</v>
      </c>
      <c r="G407" s="230">
        <v>25</v>
      </c>
      <c r="H407" s="240">
        <v>26.3</v>
      </c>
      <c r="I407" s="240">
        <f t="shared" si="6"/>
        <v>657.5</v>
      </c>
      <c r="J407" s="231" t="s">
        <v>1311</v>
      </c>
      <c r="K407" s="231" t="s">
        <v>1312</v>
      </c>
      <c r="L407" s="232">
        <v>45170</v>
      </c>
      <c r="M407" s="232">
        <v>45199</v>
      </c>
    </row>
    <row r="408" spans="1:13" ht="18.75" customHeight="1" x14ac:dyDescent="0.2">
      <c r="A408" s="231" t="s">
        <v>8</v>
      </c>
      <c r="B408" s="230">
        <v>116322</v>
      </c>
      <c r="C408" s="230">
        <v>10757</v>
      </c>
      <c r="D408" s="231" t="s">
        <v>1208</v>
      </c>
      <c r="E408" s="230">
        <v>14491078</v>
      </c>
      <c r="F408" s="230">
        <v>41857</v>
      </c>
      <c r="G408" s="230">
        <v>25</v>
      </c>
      <c r="H408" s="240">
        <v>26.3</v>
      </c>
      <c r="I408" s="240">
        <f t="shared" si="6"/>
        <v>657.5</v>
      </c>
      <c r="J408" s="231" t="s">
        <v>1311</v>
      </c>
      <c r="K408" s="231" t="s">
        <v>1312</v>
      </c>
      <c r="L408" s="232">
        <v>45170</v>
      </c>
      <c r="M408" s="232">
        <v>45199</v>
      </c>
    </row>
    <row r="409" spans="1:13" ht="18.75" customHeight="1" x14ac:dyDescent="0.2">
      <c r="A409" s="231" t="s">
        <v>8</v>
      </c>
      <c r="B409" s="230">
        <v>116716</v>
      </c>
      <c r="C409" s="230">
        <v>10750</v>
      </c>
      <c r="D409" s="231" t="s">
        <v>1220</v>
      </c>
      <c r="E409" s="230">
        <v>14491078</v>
      </c>
      <c r="F409" s="230">
        <v>42818</v>
      </c>
      <c r="G409" s="230">
        <v>25</v>
      </c>
      <c r="H409" s="240">
        <v>26.3</v>
      </c>
      <c r="I409" s="240">
        <f t="shared" si="6"/>
        <v>657.5</v>
      </c>
      <c r="J409" s="231" t="s">
        <v>1311</v>
      </c>
      <c r="K409" s="231" t="s">
        <v>1312</v>
      </c>
      <c r="L409" s="232">
        <v>45170</v>
      </c>
      <c r="M409" s="232">
        <v>45199</v>
      </c>
    </row>
    <row r="410" spans="1:13" ht="18.75" customHeight="1" x14ac:dyDescent="0.2">
      <c r="A410" s="231" t="s">
        <v>8</v>
      </c>
      <c r="B410" s="230">
        <v>116719</v>
      </c>
      <c r="C410" s="230">
        <v>10750</v>
      </c>
      <c r="D410" s="231" t="s">
        <v>1222</v>
      </c>
      <c r="E410" s="230">
        <v>14491078</v>
      </c>
      <c r="F410" s="230">
        <v>42824</v>
      </c>
      <c r="G410" s="230">
        <v>22</v>
      </c>
      <c r="H410" s="240">
        <v>26.3</v>
      </c>
      <c r="I410" s="240">
        <f t="shared" si="6"/>
        <v>578.6</v>
      </c>
      <c r="J410" s="231" t="s">
        <v>1311</v>
      </c>
      <c r="K410" s="231" t="s">
        <v>1312</v>
      </c>
      <c r="L410" s="232">
        <v>45170</v>
      </c>
      <c r="M410" s="232">
        <v>45199</v>
      </c>
    </row>
    <row r="411" spans="1:13" ht="18.75" customHeight="1" x14ac:dyDescent="0.2">
      <c r="A411" s="231" t="s">
        <v>8</v>
      </c>
      <c r="B411" s="230">
        <v>116968</v>
      </c>
      <c r="C411" s="230">
        <v>10763</v>
      </c>
      <c r="D411" s="231" t="s">
        <v>1238</v>
      </c>
      <c r="E411" s="230">
        <v>14491078</v>
      </c>
      <c r="F411" s="230">
        <v>43447</v>
      </c>
      <c r="G411" s="230">
        <v>25</v>
      </c>
      <c r="H411" s="240">
        <v>26.3</v>
      </c>
      <c r="I411" s="240">
        <f t="shared" si="6"/>
        <v>657.5</v>
      </c>
      <c r="J411" s="231" t="s">
        <v>1311</v>
      </c>
      <c r="K411" s="231" t="s">
        <v>1312</v>
      </c>
      <c r="L411" s="232">
        <v>45170</v>
      </c>
      <c r="M411" s="232">
        <v>45199</v>
      </c>
    </row>
    <row r="412" spans="1:13" ht="18.75" customHeight="1" x14ac:dyDescent="0.2">
      <c r="A412" s="231" t="s">
        <v>8</v>
      </c>
      <c r="B412" s="230">
        <v>116969</v>
      </c>
      <c r="C412" s="230">
        <v>10763</v>
      </c>
      <c r="D412" s="231" t="s">
        <v>1239</v>
      </c>
      <c r="E412" s="230">
        <v>14491078</v>
      </c>
      <c r="F412" s="230">
        <v>43449</v>
      </c>
      <c r="G412" s="230">
        <v>25</v>
      </c>
      <c r="H412" s="240">
        <v>26.3</v>
      </c>
      <c r="I412" s="240">
        <f t="shared" si="6"/>
        <v>657.5</v>
      </c>
      <c r="J412" s="231" t="s">
        <v>1311</v>
      </c>
      <c r="K412" s="231" t="s">
        <v>1312</v>
      </c>
      <c r="L412" s="232">
        <v>45170</v>
      </c>
      <c r="M412" s="232">
        <v>45199</v>
      </c>
    </row>
    <row r="413" spans="1:13" ht="18.75" customHeight="1" x14ac:dyDescent="0.2">
      <c r="A413" s="231" t="s">
        <v>8</v>
      </c>
      <c r="B413" s="230">
        <v>116988</v>
      </c>
      <c r="C413" s="230">
        <v>10766</v>
      </c>
      <c r="D413" s="231" t="s">
        <v>1251</v>
      </c>
      <c r="E413" s="230">
        <v>14491078</v>
      </c>
      <c r="F413" s="230">
        <v>43488</v>
      </c>
      <c r="G413" s="230">
        <v>22</v>
      </c>
      <c r="H413" s="240">
        <v>26.3</v>
      </c>
      <c r="I413" s="240">
        <f t="shared" si="6"/>
        <v>578.6</v>
      </c>
      <c r="J413" s="231" t="s">
        <v>1311</v>
      </c>
      <c r="K413" s="231" t="s">
        <v>1312</v>
      </c>
      <c r="L413" s="232">
        <v>45170</v>
      </c>
      <c r="M413" s="232">
        <v>45199</v>
      </c>
    </row>
    <row r="414" spans="1:13" ht="18.75" customHeight="1" x14ac:dyDescent="0.2">
      <c r="A414" s="231" t="s">
        <v>8</v>
      </c>
      <c r="B414" s="230">
        <v>117234</v>
      </c>
      <c r="C414" s="230">
        <v>10755</v>
      </c>
      <c r="D414" s="231" t="s">
        <v>1257</v>
      </c>
      <c r="E414" s="230">
        <v>14491078</v>
      </c>
      <c r="F414" s="230">
        <v>44085</v>
      </c>
      <c r="G414" s="230">
        <v>25</v>
      </c>
      <c r="H414" s="240">
        <v>26.3</v>
      </c>
      <c r="I414" s="240">
        <f t="shared" si="6"/>
        <v>657.5</v>
      </c>
      <c r="J414" s="231" t="s">
        <v>1311</v>
      </c>
      <c r="K414" s="231" t="s">
        <v>1312</v>
      </c>
      <c r="L414" s="232">
        <v>45170</v>
      </c>
      <c r="M414" s="232">
        <v>45199</v>
      </c>
    </row>
    <row r="415" spans="1:13" ht="18.75" customHeight="1" x14ac:dyDescent="0.2">
      <c r="A415" s="231" t="s">
        <v>8</v>
      </c>
      <c r="B415" s="230">
        <v>117239</v>
      </c>
      <c r="C415" s="230">
        <v>10755</v>
      </c>
      <c r="D415" s="231" t="s">
        <v>1261</v>
      </c>
      <c r="E415" s="230">
        <v>14491078</v>
      </c>
      <c r="F415" s="230">
        <v>44095</v>
      </c>
      <c r="G415" s="230">
        <v>25</v>
      </c>
      <c r="H415" s="240">
        <v>26.3</v>
      </c>
      <c r="I415" s="240">
        <f t="shared" si="6"/>
        <v>657.5</v>
      </c>
      <c r="J415" s="231" t="s">
        <v>1311</v>
      </c>
      <c r="K415" s="231" t="s">
        <v>1312</v>
      </c>
      <c r="L415" s="232">
        <v>45170</v>
      </c>
      <c r="M415" s="232">
        <v>45199</v>
      </c>
    </row>
    <row r="416" spans="1:13" ht="18.75" customHeight="1" x14ac:dyDescent="0.2">
      <c r="A416" s="231" t="s">
        <v>8</v>
      </c>
      <c r="B416" s="230">
        <v>117244</v>
      </c>
      <c r="C416" s="230">
        <v>10755</v>
      </c>
      <c r="D416" s="231" t="s">
        <v>1264</v>
      </c>
      <c r="E416" s="230">
        <v>14491078</v>
      </c>
      <c r="F416" s="230">
        <v>44105</v>
      </c>
      <c r="G416" s="230">
        <v>25</v>
      </c>
      <c r="H416" s="240">
        <v>26.3</v>
      </c>
      <c r="I416" s="240">
        <f t="shared" si="6"/>
        <v>657.5</v>
      </c>
      <c r="J416" s="231" t="s">
        <v>1311</v>
      </c>
      <c r="K416" s="231" t="s">
        <v>1312</v>
      </c>
      <c r="L416" s="232">
        <v>45170</v>
      </c>
      <c r="M416" s="232">
        <v>45199</v>
      </c>
    </row>
    <row r="417" spans="1:13" ht="18.75" customHeight="1" x14ac:dyDescent="0.2">
      <c r="A417" s="231" t="s">
        <v>8</v>
      </c>
      <c r="B417" s="230">
        <v>117407</v>
      </c>
      <c r="C417" s="230">
        <v>10750</v>
      </c>
      <c r="D417" s="231" t="s">
        <v>1275</v>
      </c>
      <c r="E417" s="230">
        <v>14491078</v>
      </c>
      <c r="F417" s="230">
        <v>44517</v>
      </c>
      <c r="G417" s="230">
        <v>25</v>
      </c>
      <c r="H417" s="240">
        <v>26.3</v>
      </c>
      <c r="I417" s="240">
        <f t="shared" si="6"/>
        <v>657.5</v>
      </c>
      <c r="J417" s="231" t="s">
        <v>1311</v>
      </c>
      <c r="K417" s="231" t="s">
        <v>1312</v>
      </c>
      <c r="L417" s="232">
        <v>45170</v>
      </c>
      <c r="M417" s="232">
        <v>45199</v>
      </c>
    </row>
    <row r="418" spans="1:13" ht="18.75" customHeight="1" x14ac:dyDescent="0.2">
      <c r="A418" s="231" t="s">
        <v>8</v>
      </c>
      <c r="B418" s="230">
        <v>117408</v>
      </c>
      <c r="C418" s="230">
        <v>10750</v>
      </c>
      <c r="D418" s="231" t="s">
        <v>1276</v>
      </c>
      <c r="E418" s="230">
        <v>14491078</v>
      </c>
      <c r="F418" s="230">
        <v>44519</v>
      </c>
      <c r="G418" s="230">
        <v>25</v>
      </c>
      <c r="H418" s="240">
        <v>26.3</v>
      </c>
      <c r="I418" s="240">
        <f t="shared" si="6"/>
        <v>657.5</v>
      </c>
      <c r="J418" s="231" t="s">
        <v>1311</v>
      </c>
      <c r="K418" s="231" t="s">
        <v>1312</v>
      </c>
      <c r="L418" s="232">
        <v>45170</v>
      </c>
      <c r="M418" s="232">
        <v>45199</v>
      </c>
    </row>
    <row r="419" spans="1:13" ht="18.75" customHeight="1" x14ac:dyDescent="0.2">
      <c r="A419" s="231" t="s">
        <v>8</v>
      </c>
      <c r="B419" s="230">
        <v>118055</v>
      </c>
      <c r="C419" s="230">
        <v>10757</v>
      </c>
      <c r="D419" s="231" t="s">
        <v>1414</v>
      </c>
      <c r="E419" s="230">
        <v>14491078</v>
      </c>
      <c r="F419" s="230">
        <v>45899</v>
      </c>
      <c r="G419" s="230">
        <v>24</v>
      </c>
      <c r="H419" s="240">
        <v>26.3</v>
      </c>
      <c r="I419" s="240">
        <f t="shared" si="6"/>
        <v>631.20000000000005</v>
      </c>
      <c r="J419" s="231" t="s">
        <v>1311</v>
      </c>
      <c r="K419" s="231" t="s">
        <v>1312</v>
      </c>
      <c r="L419" s="232">
        <v>45170</v>
      </c>
      <c r="M419" s="232">
        <v>45199</v>
      </c>
    </row>
    <row r="420" spans="1:13" ht="18.75" customHeight="1" x14ac:dyDescent="0.2">
      <c r="A420" s="231" t="s">
        <v>8</v>
      </c>
      <c r="B420" s="230">
        <v>119110</v>
      </c>
      <c r="C420" s="230">
        <v>10757</v>
      </c>
      <c r="D420" s="231" t="s">
        <v>1453</v>
      </c>
      <c r="E420" s="230">
        <v>14491078</v>
      </c>
      <c r="F420" s="230">
        <v>48243</v>
      </c>
      <c r="G420" s="230">
        <v>25</v>
      </c>
      <c r="H420" s="240">
        <v>26.3</v>
      </c>
      <c r="I420" s="240">
        <f t="shared" si="6"/>
        <v>657.5</v>
      </c>
      <c r="J420" s="231" t="s">
        <v>1311</v>
      </c>
      <c r="K420" s="231" t="s">
        <v>1312</v>
      </c>
      <c r="L420" s="232">
        <v>45170</v>
      </c>
      <c r="M420" s="232">
        <v>45199</v>
      </c>
    </row>
    <row r="421" spans="1:13" ht="18.75" customHeight="1" x14ac:dyDescent="0.2">
      <c r="A421" s="231" t="s">
        <v>8</v>
      </c>
      <c r="B421" s="230">
        <v>119112</v>
      </c>
      <c r="C421" s="230">
        <v>10758</v>
      </c>
      <c r="D421" s="231" t="s">
        <v>1443</v>
      </c>
      <c r="E421" s="230">
        <v>14491078</v>
      </c>
      <c r="F421" s="230">
        <v>48247</v>
      </c>
      <c r="G421" s="230">
        <v>25</v>
      </c>
      <c r="H421" s="240">
        <v>26.3</v>
      </c>
      <c r="I421" s="240">
        <f t="shared" si="6"/>
        <v>657.5</v>
      </c>
      <c r="J421" s="231" t="s">
        <v>1311</v>
      </c>
      <c r="K421" s="231" t="s">
        <v>1315</v>
      </c>
      <c r="L421" s="232">
        <v>45170</v>
      </c>
      <c r="M421" s="232">
        <v>45199</v>
      </c>
    </row>
    <row r="422" spans="1:13" ht="18.75" customHeight="1" x14ac:dyDescent="0.2">
      <c r="A422" s="231" t="s">
        <v>8</v>
      </c>
      <c r="B422" s="230">
        <v>119641</v>
      </c>
      <c r="C422" s="230">
        <v>10763</v>
      </c>
      <c r="D422" s="231" t="s">
        <v>1473</v>
      </c>
      <c r="E422" s="230">
        <v>14491078</v>
      </c>
      <c r="F422" s="230">
        <v>49598</v>
      </c>
      <c r="G422" s="230">
        <v>25</v>
      </c>
      <c r="H422" s="240">
        <v>26.3</v>
      </c>
      <c r="I422" s="240">
        <f t="shared" si="6"/>
        <v>657.5</v>
      </c>
      <c r="J422" s="231" t="s">
        <v>1311</v>
      </c>
      <c r="K422" s="231" t="s">
        <v>1312</v>
      </c>
      <c r="L422" s="232">
        <v>45170</v>
      </c>
      <c r="M422" s="232">
        <v>45199</v>
      </c>
    </row>
    <row r="423" spans="1:13" ht="18.75" customHeight="1" x14ac:dyDescent="0.2">
      <c r="A423" s="231" t="s">
        <v>8</v>
      </c>
      <c r="B423" s="230">
        <v>119646</v>
      </c>
      <c r="C423" s="230">
        <v>10760</v>
      </c>
      <c r="D423" s="231" t="s">
        <v>1478</v>
      </c>
      <c r="E423" s="230">
        <v>14491078</v>
      </c>
      <c r="F423" s="230">
        <v>49608</v>
      </c>
      <c r="G423" s="230">
        <v>25</v>
      </c>
      <c r="H423" s="240">
        <v>26.3</v>
      </c>
      <c r="I423" s="240">
        <f t="shared" si="6"/>
        <v>657.5</v>
      </c>
      <c r="J423" s="231" t="s">
        <v>1311</v>
      </c>
      <c r="K423" s="231" t="s">
        <v>1312</v>
      </c>
      <c r="L423" s="232">
        <v>45170</v>
      </c>
      <c r="M423" s="232">
        <v>45199</v>
      </c>
    </row>
    <row r="424" spans="1:13" ht="18.75" customHeight="1" x14ac:dyDescent="0.2">
      <c r="A424" s="231" t="s">
        <v>8</v>
      </c>
      <c r="B424" s="230">
        <v>120163</v>
      </c>
      <c r="C424" s="230">
        <v>10756</v>
      </c>
      <c r="D424" s="231" t="s">
        <v>1499</v>
      </c>
      <c r="E424" s="230">
        <v>14491078</v>
      </c>
      <c r="F424" s="230">
        <v>50873</v>
      </c>
      <c r="G424" s="230">
        <v>25</v>
      </c>
      <c r="H424" s="240">
        <v>26.3</v>
      </c>
      <c r="I424" s="240">
        <f t="shared" si="6"/>
        <v>657.5</v>
      </c>
      <c r="J424" s="231" t="s">
        <v>1311</v>
      </c>
      <c r="K424" s="231" t="s">
        <v>1315</v>
      </c>
      <c r="L424" s="232">
        <v>45170</v>
      </c>
      <c r="M424" s="232">
        <v>45199</v>
      </c>
    </row>
    <row r="425" spans="1:13" ht="18.75" customHeight="1" x14ac:dyDescent="0.2">
      <c r="A425" s="231" t="s">
        <v>8</v>
      </c>
      <c r="B425" s="230">
        <v>120192</v>
      </c>
      <c r="C425" s="230">
        <v>10757</v>
      </c>
      <c r="D425" s="231" t="s">
        <v>1506</v>
      </c>
      <c r="E425" s="230">
        <v>14491078</v>
      </c>
      <c r="F425" s="230">
        <v>50936</v>
      </c>
      <c r="G425" s="230">
        <v>25</v>
      </c>
      <c r="H425" s="240">
        <v>26.3</v>
      </c>
      <c r="I425" s="240">
        <f t="shared" si="6"/>
        <v>657.5</v>
      </c>
      <c r="J425" s="231" t="s">
        <v>1311</v>
      </c>
      <c r="K425" s="231" t="s">
        <v>1315</v>
      </c>
      <c r="L425" s="232">
        <v>45170</v>
      </c>
      <c r="M425" s="232">
        <v>45199</v>
      </c>
    </row>
    <row r="426" spans="1:13" ht="18.75" customHeight="1" x14ac:dyDescent="0.2">
      <c r="A426" s="231" t="s">
        <v>8</v>
      </c>
      <c r="B426" s="230">
        <v>121025</v>
      </c>
      <c r="C426" s="230">
        <v>10750</v>
      </c>
      <c r="D426" s="231" t="s">
        <v>1525</v>
      </c>
      <c r="E426" s="230">
        <v>14491078</v>
      </c>
      <c r="F426" s="230">
        <v>52800</v>
      </c>
      <c r="G426" s="230">
        <v>25</v>
      </c>
      <c r="H426" s="240">
        <v>26.3</v>
      </c>
      <c r="I426" s="240">
        <f t="shared" si="6"/>
        <v>657.5</v>
      </c>
      <c r="J426" s="231" t="s">
        <v>1311</v>
      </c>
      <c r="K426" s="231" t="s">
        <v>1312</v>
      </c>
      <c r="L426" s="232">
        <v>45170</v>
      </c>
      <c r="M426" s="232">
        <v>45199</v>
      </c>
    </row>
    <row r="427" spans="1:13" ht="18.75" customHeight="1" x14ac:dyDescent="0.2">
      <c r="A427" s="231" t="s">
        <v>8</v>
      </c>
      <c r="B427" s="230">
        <v>121316</v>
      </c>
      <c r="C427" s="230">
        <v>10763</v>
      </c>
      <c r="D427" s="231" t="s">
        <v>1541</v>
      </c>
      <c r="E427" s="230">
        <v>14491078</v>
      </c>
      <c r="F427" s="230">
        <v>53487</v>
      </c>
      <c r="G427" s="230">
        <v>25</v>
      </c>
      <c r="H427" s="240">
        <v>26.3</v>
      </c>
      <c r="I427" s="240">
        <f t="shared" si="6"/>
        <v>657.5</v>
      </c>
      <c r="J427" s="231" t="s">
        <v>1311</v>
      </c>
      <c r="K427" s="231" t="s">
        <v>1312</v>
      </c>
      <c r="L427" s="232">
        <v>45170</v>
      </c>
      <c r="M427" s="232">
        <v>45199</v>
      </c>
    </row>
    <row r="428" spans="1:13" ht="18.75" customHeight="1" x14ac:dyDescent="0.2">
      <c r="A428" s="231" t="s">
        <v>8</v>
      </c>
      <c r="B428" s="230">
        <v>121324</v>
      </c>
      <c r="C428" s="230">
        <v>10750</v>
      </c>
      <c r="D428" s="231" t="s">
        <v>1548</v>
      </c>
      <c r="E428" s="230">
        <v>14491078</v>
      </c>
      <c r="F428" s="230">
        <v>53503</v>
      </c>
      <c r="G428" s="230">
        <v>25</v>
      </c>
      <c r="H428" s="240">
        <v>26.3</v>
      </c>
      <c r="I428" s="240">
        <f t="shared" si="6"/>
        <v>657.5</v>
      </c>
      <c r="J428" s="231" t="s">
        <v>1311</v>
      </c>
      <c r="K428" s="231" t="s">
        <v>1315</v>
      </c>
      <c r="L428" s="232">
        <v>45170</v>
      </c>
      <c r="M428" s="232">
        <v>45199</v>
      </c>
    </row>
    <row r="429" spans="1:13" ht="18.75" customHeight="1" x14ac:dyDescent="0.2">
      <c r="A429" s="231" t="s">
        <v>8</v>
      </c>
      <c r="B429" s="230">
        <v>121328</v>
      </c>
      <c r="C429" s="230">
        <v>10758</v>
      </c>
      <c r="D429" s="231" t="s">
        <v>1533</v>
      </c>
      <c r="E429" s="230">
        <v>14491078</v>
      </c>
      <c r="F429" s="230">
        <v>53507</v>
      </c>
      <c r="G429" s="230">
        <v>25</v>
      </c>
      <c r="H429" s="240">
        <v>26.3</v>
      </c>
      <c r="I429" s="240">
        <f t="shared" si="6"/>
        <v>657.5</v>
      </c>
      <c r="J429" s="231" t="s">
        <v>1311</v>
      </c>
      <c r="K429" s="231" t="s">
        <v>1315</v>
      </c>
      <c r="L429" s="232">
        <v>45170</v>
      </c>
      <c r="M429" s="232">
        <v>45199</v>
      </c>
    </row>
    <row r="430" spans="1:13" ht="18.75" customHeight="1" x14ac:dyDescent="0.2">
      <c r="A430" s="231" t="s">
        <v>8</v>
      </c>
      <c r="B430" s="230">
        <v>121330</v>
      </c>
      <c r="C430" s="230">
        <v>10750</v>
      </c>
      <c r="D430" s="231" t="s">
        <v>1537</v>
      </c>
      <c r="E430" s="230">
        <v>14491078</v>
      </c>
      <c r="F430" s="230">
        <v>53511</v>
      </c>
      <c r="G430" s="230">
        <v>25</v>
      </c>
      <c r="H430" s="240">
        <v>26.3</v>
      </c>
      <c r="I430" s="240">
        <f t="shared" si="6"/>
        <v>657.5</v>
      </c>
      <c r="J430" s="231" t="s">
        <v>1311</v>
      </c>
      <c r="K430" s="231" t="s">
        <v>1312</v>
      </c>
      <c r="L430" s="232">
        <v>45170</v>
      </c>
      <c r="M430" s="232">
        <v>45199</v>
      </c>
    </row>
    <row r="431" spans="1:13" ht="18.75" customHeight="1" x14ac:dyDescent="0.2">
      <c r="A431" s="231" t="s">
        <v>8</v>
      </c>
      <c r="B431" s="230">
        <v>121848</v>
      </c>
      <c r="C431" s="230">
        <v>10755</v>
      </c>
      <c r="D431" s="231" t="s">
        <v>1616</v>
      </c>
      <c r="E431" s="230">
        <v>14491078</v>
      </c>
      <c r="F431" s="230">
        <v>54715</v>
      </c>
      <c r="G431" s="230">
        <v>25</v>
      </c>
      <c r="H431" s="240">
        <v>26.3</v>
      </c>
      <c r="I431" s="240">
        <f t="shared" si="6"/>
        <v>657.5</v>
      </c>
      <c r="J431" s="231" t="s">
        <v>1311</v>
      </c>
      <c r="K431" s="231" t="s">
        <v>1312</v>
      </c>
      <c r="L431" s="232">
        <v>45170</v>
      </c>
      <c r="M431" s="232">
        <v>45199</v>
      </c>
    </row>
    <row r="432" spans="1:13" ht="18.75" customHeight="1" x14ac:dyDescent="0.2">
      <c r="A432" s="231" t="s">
        <v>8</v>
      </c>
      <c r="B432" s="230">
        <v>121850</v>
      </c>
      <c r="C432" s="230">
        <v>10757</v>
      </c>
      <c r="D432" s="231" t="s">
        <v>1634</v>
      </c>
      <c r="E432" s="230">
        <v>14491078</v>
      </c>
      <c r="F432" s="230">
        <v>54719</v>
      </c>
      <c r="G432" s="230">
        <v>25</v>
      </c>
      <c r="H432" s="240">
        <v>26.3</v>
      </c>
      <c r="I432" s="240">
        <f t="shared" si="6"/>
        <v>657.5</v>
      </c>
      <c r="J432" s="231" t="s">
        <v>1311</v>
      </c>
      <c r="K432" s="231" t="s">
        <v>1312</v>
      </c>
      <c r="L432" s="232">
        <v>45170</v>
      </c>
      <c r="M432" s="232">
        <v>45199</v>
      </c>
    </row>
    <row r="433" spans="1:13" ht="18.75" customHeight="1" x14ac:dyDescent="0.2">
      <c r="A433" s="231" t="s">
        <v>8</v>
      </c>
      <c r="B433" s="230">
        <v>121955</v>
      </c>
      <c r="C433" s="230">
        <v>10758</v>
      </c>
      <c r="D433" s="231" t="s">
        <v>1624</v>
      </c>
      <c r="E433" s="230">
        <v>14491078</v>
      </c>
      <c r="F433" s="230">
        <v>54966</v>
      </c>
      <c r="G433" s="230">
        <v>25</v>
      </c>
      <c r="H433" s="240">
        <v>26.3</v>
      </c>
      <c r="I433" s="240">
        <f t="shared" si="6"/>
        <v>657.5</v>
      </c>
      <c r="J433" s="231" t="s">
        <v>1311</v>
      </c>
      <c r="K433" s="231" t="s">
        <v>1312</v>
      </c>
      <c r="L433" s="232">
        <v>45170</v>
      </c>
      <c r="M433" s="232">
        <v>45199</v>
      </c>
    </row>
    <row r="434" spans="1:13" ht="18.75" customHeight="1" x14ac:dyDescent="0.2">
      <c r="A434" s="231" t="s">
        <v>8</v>
      </c>
      <c r="B434" s="230">
        <v>121956</v>
      </c>
      <c r="C434" s="230">
        <v>10758</v>
      </c>
      <c r="D434" s="231" t="s">
        <v>1618</v>
      </c>
      <c r="E434" s="230">
        <v>14491078</v>
      </c>
      <c r="F434" s="230">
        <v>54968</v>
      </c>
      <c r="G434" s="230">
        <v>25</v>
      </c>
      <c r="H434" s="240">
        <v>26.3</v>
      </c>
      <c r="I434" s="240">
        <f t="shared" si="6"/>
        <v>657.5</v>
      </c>
      <c r="J434" s="231" t="s">
        <v>1311</v>
      </c>
      <c r="K434" s="231" t="s">
        <v>1312</v>
      </c>
      <c r="L434" s="232">
        <v>45170</v>
      </c>
      <c r="M434" s="232">
        <v>45199</v>
      </c>
    </row>
    <row r="435" spans="1:13" ht="18.75" customHeight="1" x14ac:dyDescent="0.2">
      <c r="A435" s="231" t="s">
        <v>8</v>
      </c>
      <c r="B435" s="230">
        <v>122079</v>
      </c>
      <c r="C435" s="230">
        <v>10766</v>
      </c>
      <c r="D435" s="231" t="s">
        <v>1640</v>
      </c>
      <c r="E435" s="230">
        <v>14491078</v>
      </c>
      <c r="F435" s="230">
        <v>55275</v>
      </c>
      <c r="G435" s="230">
        <v>25</v>
      </c>
      <c r="H435" s="240">
        <v>26.3</v>
      </c>
      <c r="I435" s="240">
        <f t="shared" si="6"/>
        <v>657.5</v>
      </c>
      <c r="J435" s="231" t="s">
        <v>1311</v>
      </c>
      <c r="K435" s="231" t="s">
        <v>1312</v>
      </c>
      <c r="L435" s="232">
        <v>45170</v>
      </c>
      <c r="M435" s="232">
        <v>45199</v>
      </c>
    </row>
    <row r="436" spans="1:13" ht="18.75" customHeight="1" x14ac:dyDescent="0.2">
      <c r="A436" s="231" t="s">
        <v>8</v>
      </c>
      <c r="B436" s="230">
        <v>122080</v>
      </c>
      <c r="C436" s="230">
        <v>10757</v>
      </c>
      <c r="D436" s="231" t="s">
        <v>1641</v>
      </c>
      <c r="E436" s="230">
        <v>14491078</v>
      </c>
      <c r="F436" s="230">
        <v>55277</v>
      </c>
      <c r="G436" s="230">
        <v>25</v>
      </c>
      <c r="H436" s="240">
        <v>26.3</v>
      </c>
      <c r="I436" s="240">
        <f t="shared" si="6"/>
        <v>657.5</v>
      </c>
      <c r="J436" s="231" t="s">
        <v>1311</v>
      </c>
      <c r="K436" s="231" t="s">
        <v>1312</v>
      </c>
      <c r="L436" s="232">
        <v>45170</v>
      </c>
      <c r="M436" s="232">
        <v>45199</v>
      </c>
    </row>
    <row r="437" spans="1:13" ht="18.75" customHeight="1" x14ac:dyDescent="0.2">
      <c r="A437" s="231" t="s">
        <v>8</v>
      </c>
      <c r="B437" s="230">
        <v>122251</v>
      </c>
      <c r="C437" s="230">
        <v>10758</v>
      </c>
      <c r="D437" s="231" t="s">
        <v>1666</v>
      </c>
      <c r="E437" s="230">
        <v>14491078</v>
      </c>
      <c r="F437" s="230">
        <v>55745</v>
      </c>
      <c r="G437" s="230">
        <v>25</v>
      </c>
      <c r="H437" s="240">
        <v>26.3</v>
      </c>
      <c r="I437" s="240">
        <f t="shared" si="6"/>
        <v>657.5</v>
      </c>
      <c r="J437" s="231" t="s">
        <v>1311</v>
      </c>
      <c r="K437" s="231" t="s">
        <v>1312</v>
      </c>
      <c r="L437" s="232">
        <v>45170</v>
      </c>
      <c r="M437" s="232">
        <v>45199</v>
      </c>
    </row>
    <row r="438" spans="1:13" ht="18.75" customHeight="1" x14ac:dyDescent="0.2">
      <c r="A438" s="231" t="s">
        <v>8</v>
      </c>
      <c r="B438" s="230">
        <v>122333</v>
      </c>
      <c r="C438" s="230">
        <v>10750</v>
      </c>
      <c r="D438" s="231" t="s">
        <v>1677</v>
      </c>
      <c r="E438" s="230">
        <v>14491078</v>
      </c>
      <c r="F438" s="230">
        <v>55961</v>
      </c>
      <c r="G438" s="230">
        <v>25</v>
      </c>
      <c r="H438" s="240">
        <v>26.3</v>
      </c>
      <c r="I438" s="240">
        <f t="shared" si="6"/>
        <v>657.5</v>
      </c>
      <c r="J438" s="231" t="s">
        <v>1311</v>
      </c>
      <c r="K438" s="231" t="s">
        <v>1312</v>
      </c>
      <c r="L438" s="232">
        <v>45170</v>
      </c>
      <c r="M438" s="232">
        <v>45199</v>
      </c>
    </row>
    <row r="439" spans="1:13" ht="18.75" customHeight="1" x14ac:dyDescent="0.2">
      <c r="A439" s="231" t="s">
        <v>8</v>
      </c>
      <c r="B439" s="230">
        <v>122343</v>
      </c>
      <c r="C439" s="230">
        <v>10750</v>
      </c>
      <c r="D439" s="231" t="s">
        <v>1664</v>
      </c>
      <c r="E439" s="230">
        <v>14491078</v>
      </c>
      <c r="F439" s="230">
        <v>55986</v>
      </c>
      <c r="G439" s="230">
        <v>25</v>
      </c>
      <c r="H439" s="240">
        <v>26.3</v>
      </c>
      <c r="I439" s="240">
        <f t="shared" si="6"/>
        <v>657.5</v>
      </c>
      <c r="J439" s="231" t="s">
        <v>1311</v>
      </c>
      <c r="K439" s="231" t="s">
        <v>1312</v>
      </c>
      <c r="L439" s="232">
        <v>45170</v>
      </c>
      <c r="M439" s="232">
        <v>45199</v>
      </c>
    </row>
    <row r="440" spans="1:13" ht="18.75" customHeight="1" x14ac:dyDescent="0.2">
      <c r="A440" s="231" t="s">
        <v>8</v>
      </c>
      <c r="B440" s="230">
        <v>122346</v>
      </c>
      <c r="C440" s="230">
        <v>10754</v>
      </c>
      <c r="D440" s="231" t="s">
        <v>1675</v>
      </c>
      <c r="E440" s="230">
        <v>14491078</v>
      </c>
      <c r="F440" s="230">
        <v>55992</v>
      </c>
      <c r="G440" s="230">
        <v>25</v>
      </c>
      <c r="H440" s="240">
        <v>26.3</v>
      </c>
      <c r="I440" s="240">
        <f t="shared" si="6"/>
        <v>657.5</v>
      </c>
      <c r="J440" s="231" t="s">
        <v>1311</v>
      </c>
      <c r="K440" s="231" t="s">
        <v>1312</v>
      </c>
      <c r="L440" s="232">
        <v>45170</v>
      </c>
      <c r="M440" s="232">
        <v>45199</v>
      </c>
    </row>
    <row r="441" spans="1:13" ht="18.75" customHeight="1" x14ac:dyDescent="0.2">
      <c r="A441" s="231" t="s">
        <v>8</v>
      </c>
      <c r="B441" s="230">
        <v>122348</v>
      </c>
      <c r="C441" s="230">
        <v>10750</v>
      </c>
      <c r="D441" s="231" t="s">
        <v>1673</v>
      </c>
      <c r="E441" s="230">
        <v>14491078</v>
      </c>
      <c r="F441" s="230">
        <v>56030</v>
      </c>
      <c r="G441" s="230">
        <v>25</v>
      </c>
      <c r="H441" s="240">
        <v>26.3</v>
      </c>
      <c r="I441" s="240">
        <f t="shared" si="6"/>
        <v>657.5</v>
      </c>
      <c r="J441" s="231" t="s">
        <v>1311</v>
      </c>
      <c r="K441" s="231" t="s">
        <v>1312</v>
      </c>
      <c r="L441" s="232">
        <v>45170</v>
      </c>
      <c r="M441" s="232">
        <v>45199</v>
      </c>
    </row>
    <row r="442" spans="1:13" ht="18.75" customHeight="1" x14ac:dyDescent="0.2">
      <c r="A442" s="231" t="s">
        <v>8</v>
      </c>
      <c r="B442" s="230">
        <v>122555</v>
      </c>
      <c r="C442" s="230">
        <v>10758</v>
      </c>
      <c r="D442" s="231" t="s">
        <v>1711</v>
      </c>
      <c r="E442" s="230">
        <v>14491078</v>
      </c>
      <c r="F442" s="230">
        <v>56503</v>
      </c>
      <c r="G442" s="230">
        <v>25</v>
      </c>
      <c r="H442" s="240">
        <v>26.3</v>
      </c>
      <c r="I442" s="240">
        <f t="shared" si="6"/>
        <v>657.5</v>
      </c>
      <c r="J442" s="231" t="s">
        <v>1311</v>
      </c>
      <c r="K442" s="231" t="s">
        <v>1312</v>
      </c>
      <c r="L442" s="232">
        <v>45170</v>
      </c>
      <c r="M442" s="232">
        <v>45199</v>
      </c>
    </row>
    <row r="443" spans="1:13" ht="18.75" customHeight="1" x14ac:dyDescent="0.2">
      <c r="A443" s="231" t="s">
        <v>8</v>
      </c>
      <c r="B443" s="230">
        <v>122575</v>
      </c>
      <c r="C443" s="230">
        <v>10758</v>
      </c>
      <c r="D443" s="231" t="s">
        <v>1703</v>
      </c>
      <c r="E443" s="230">
        <v>14491078</v>
      </c>
      <c r="F443" s="230">
        <v>56542</v>
      </c>
      <c r="G443" s="230">
        <v>25</v>
      </c>
      <c r="H443" s="240">
        <v>26.3</v>
      </c>
      <c r="I443" s="240">
        <f t="shared" si="6"/>
        <v>657.5</v>
      </c>
      <c r="J443" s="231" t="s">
        <v>1311</v>
      </c>
      <c r="K443" s="231" t="s">
        <v>1312</v>
      </c>
      <c r="L443" s="232">
        <v>45170</v>
      </c>
      <c r="M443" s="232">
        <v>45199</v>
      </c>
    </row>
    <row r="444" spans="1:13" ht="18.75" customHeight="1" x14ac:dyDescent="0.2">
      <c r="A444" s="231" t="s">
        <v>19</v>
      </c>
      <c r="B444" s="230">
        <v>112184</v>
      </c>
      <c r="C444" s="230">
        <v>10750</v>
      </c>
      <c r="D444" s="231" t="s">
        <v>20</v>
      </c>
      <c r="E444" s="230">
        <v>14491078</v>
      </c>
      <c r="F444" s="230">
        <v>28803</v>
      </c>
      <c r="G444" s="230">
        <v>25</v>
      </c>
      <c r="H444" s="240">
        <v>26.3</v>
      </c>
      <c r="I444" s="240">
        <f t="shared" si="6"/>
        <v>657.5</v>
      </c>
      <c r="J444" s="231" t="s">
        <v>1311</v>
      </c>
      <c r="K444" s="231" t="s">
        <v>1312</v>
      </c>
      <c r="L444" s="232">
        <v>45170</v>
      </c>
      <c r="M444" s="232">
        <v>45199</v>
      </c>
    </row>
    <row r="445" spans="1:13" ht="18.75" customHeight="1" x14ac:dyDescent="0.2">
      <c r="A445" s="231" t="s">
        <v>19</v>
      </c>
      <c r="B445" s="230">
        <v>112188</v>
      </c>
      <c r="C445" s="230">
        <v>10756</v>
      </c>
      <c r="D445" s="231" t="s">
        <v>23</v>
      </c>
      <c r="E445" s="230">
        <v>14491078</v>
      </c>
      <c r="F445" s="230">
        <v>28811</v>
      </c>
      <c r="G445" s="230">
        <v>25</v>
      </c>
      <c r="H445" s="240">
        <v>26.3</v>
      </c>
      <c r="I445" s="240">
        <f t="shared" si="6"/>
        <v>657.5</v>
      </c>
      <c r="J445" s="231" t="s">
        <v>1311</v>
      </c>
      <c r="K445" s="231" t="s">
        <v>1312</v>
      </c>
      <c r="L445" s="232">
        <v>45170</v>
      </c>
      <c r="M445" s="232">
        <v>45199</v>
      </c>
    </row>
    <row r="446" spans="1:13" ht="18.75" customHeight="1" x14ac:dyDescent="0.2">
      <c r="A446" s="231" t="s">
        <v>19</v>
      </c>
      <c r="B446" s="230">
        <v>112194</v>
      </c>
      <c r="C446" s="230">
        <v>10754</v>
      </c>
      <c r="D446" s="231" t="s">
        <v>26</v>
      </c>
      <c r="E446" s="230">
        <v>14491078</v>
      </c>
      <c r="F446" s="230">
        <v>28823</v>
      </c>
      <c r="G446" s="230">
        <v>25</v>
      </c>
      <c r="H446" s="240">
        <v>26.3</v>
      </c>
      <c r="I446" s="240">
        <f t="shared" si="6"/>
        <v>657.5</v>
      </c>
      <c r="J446" s="231" t="s">
        <v>1311</v>
      </c>
      <c r="K446" s="231" t="s">
        <v>1312</v>
      </c>
      <c r="L446" s="232">
        <v>45170</v>
      </c>
      <c r="M446" s="232">
        <v>45199</v>
      </c>
    </row>
    <row r="447" spans="1:13" ht="18.75" customHeight="1" x14ac:dyDescent="0.2">
      <c r="A447" s="231" t="s">
        <v>19</v>
      </c>
      <c r="B447" s="230">
        <v>112196</v>
      </c>
      <c r="C447" s="230">
        <v>10758</v>
      </c>
      <c r="D447" s="231" t="s">
        <v>27</v>
      </c>
      <c r="E447" s="230">
        <v>14491078</v>
      </c>
      <c r="F447" s="230">
        <v>28827</v>
      </c>
      <c r="G447" s="230">
        <v>25</v>
      </c>
      <c r="H447" s="240">
        <v>26.3</v>
      </c>
      <c r="I447" s="240">
        <f t="shared" si="6"/>
        <v>657.5</v>
      </c>
      <c r="J447" s="231" t="s">
        <v>1311</v>
      </c>
      <c r="K447" s="231" t="s">
        <v>1312</v>
      </c>
      <c r="L447" s="232">
        <v>45170</v>
      </c>
      <c r="M447" s="232">
        <v>45199</v>
      </c>
    </row>
    <row r="448" spans="1:13" ht="18.75" customHeight="1" x14ac:dyDescent="0.2">
      <c r="A448" s="231" t="s">
        <v>19</v>
      </c>
      <c r="B448" s="230">
        <v>112199</v>
      </c>
      <c r="C448" s="230">
        <v>10760</v>
      </c>
      <c r="D448" s="231" t="s">
        <v>29</v>
      </c>
      <c r="E448" s="230">
        <v>14491078</v>
      </c>
      <c r="F448" s="230">
        <v>28833</v>
      </c>
      <c r="G448" s="230">
        <v>25</v>
      </c>
      <c r="H448" s="240">
        <v>26.3</v>
      </c>
      <c r="I448" s="240">
        <f t="shared" si="6"/>
        <v>657.5</v>
      </c>
      <c r="J448" s="231" t="s">
        <v>1311</v>
      </c>
      <c r="K448" s="231" t="s">
        <v>1312</v>
      </c>
      <c r="L448" s="232">
        <v>45170</v>
      </c>
      <c r="M448" s="232">
        <v>45199</v>
      </c>
    </row>
    <row r="449" spans="1:13" ht="18.75" customHeight="1" x14ac:dyDescent="0.2">
      <c r="A449" s="231" t="s">
        <v>19</v>
      </c>
      <c r="B449" s="230">
        <v>112202</v>
      </c>
      <c r="C449" s="230">
        <v>10758</v>
      </c>
      <c r="D449" s="231" t="s">
        <v>31</v>
      </c>
      <c r="E449" s="230">
        <v>14491078</v>
      </c>
      <c r="F449" s="230">
        <v>28839</v>
      </c>
      <c r="G449" s="230">
        <v>25</v>
      </c>
      <c r="H449" s="240">
        <v>26.3</v>
      </c>
      <c r="I449" s="240">
        <f t="shared" si="6"/>
        <v>657.5</v>
      </c>
      <c r="J449" s="231" t="s">
        <v>1311</v>
      </c>
      <c r="K449" s="231" t="s">
        <v>1312</v>
      </c>
      <c r="L449" s="232">
        <v>45170</v>
      </c>
      <c r="M449" s="232">
        <v>45199</v>
      </c>
    </row>
    <row r="450" spans="1:13" ht="18.75" customHeight="1" x14ac:dyDescent="0.2">
      <c r="A450" s="231" t="s">
        <v>19</v>
      </c>
      <c r="B450" s="230">
        <v>112213</v>
      </c>
      <c r="C450" s="230">
        <v>10754</v>
      </c>
      <c r="D450" s="231" t="s">
        <v>38</v>
      </c>
      <c r="E450" s="230">
        <v>14491078</v>
      </c>
      <c r="F450" s="230">
        <v>28861</v>
      </c>
      <c r="G450" s="230">
        <v>25</v>
      </c>
      <c r="H450" s="240">
        <v>26.3</v>
      </c>
      <c r="I450" s="240">
        <f t="shared" si="6"/>
        <v>657.5</v>
      </c>
      <c r="J450" s="231" t="s">
        <v>1311</v>
      </c>
      <c r="K450" s="231" t="s">
        <v>1312</v>
      </c>
      <c r="L450" s="232">
        <v>45170</v>
      </c>
      <c r="M450" s="232">
        <v>45199</v>
      </c>
    </row>
    <row r="451" spans="1:13" ht="18.75" customHeight="1" x14ac:dyDescent="0.2">
      <c r="A451" s="231" t="s">
        <v>19</v>
      </c>
      <c r="B451" s="230">
        <v>112217</v>
      </c>
      <c r="C451" s="230">
        <v>10750</v>
      </c>
      <c r="D451" s="231" t="s">
        <v>40</v>
      </c>
      <c r="E451" s="230">
        <v>14491078</v>
      </c>
      <c r="F451" s="230">
        <v>28869</v>
      </c>
      <c r="G451" s="230">
        <v>25</v>
      </c>
      <c r="H451" s="240">
        <v>26.3</v>
      </c>
      <c r="I451" s="240">
        <f t="shared" ref="I451:I514" si="7">G451*H451</f>
        <v>657.5</v>
      </c>
      <c r="J451" s="231" t="s">
        <v>1311</v>
      </c>
      <c r="K451" s="231" t="s">
        <v>1312</v>
      </c>
      <c r="L451" s="232">
        <v>45170</v>
      </c>
      <c r="M451" s="232">
        <v>45199</v>
      </c>
    </row>
    <row r="452" spans="1:13" ht="18.75" customHeight="1" x14ac:dyDescent="0.2">
      <c r="A452" s="231" t="s">
        <v>19</v>
      </c>
      <c r="B452" s="230">
        <v>112220</v>
      </c>
      <c r="C452" s="230">
        <v>10750</v>
      </c>
      <c r="D452" s="231" t="s">
        <v>41</v>
      </c>
      <c r="E452" s="230">
        <v>14491078</v>
      </c>
      <c r="F452" s="230">
        <v>28875</v>
      </c>
      <c r="G452" s="230">
        <v>25</v>
      </c>
      <c r="H452" s="240">
        <v>26.3</v>
      </c>
      <c r="I452" s="240">
        <f t="shared" si="7"/>
        <v>657.5</v>
      </c>
      <c r="J452" s="231" t="s">
        <v>1311</v>
      </c>
      <c r="K452" s="231" t="s">
        <v>1312</v>
      </c>
      <c r="L452" s="232">
        <v>45170</v>
      </c>
      <c r="M452" s="232">
        <v>45199</v>
      </c>
    </row>
    <row r="453" spans="1:13" ht="18.75" customHeight="1" x14ac:dyDescent="0.2">
      <c r="A453" s="231" t="s">
        <v>19</v>
      </c>
      <c r="B453" s="230">
        <v>112224</v>
      </c>
      <c r="C453" s="230">
        <v>10750</v>
      </c>
      <c r="D453" s="231" t="s">
        <v>46</v>
      </c>
      <c r="E453" s="230">
        <v>14491078</v>
      </c>
      <c r="F453" s="230">
        <v>28883</v>
      </c>
      <c r="G453" s="230">
        <v>25</v>
      </c>
      <c r="H453" s="240">
        <v>26.3</v>
      </c>
      <c r="I453" s="240">
        <f t="shared" si="7"/>
        <v>657.5</v>
      </c>
      <c r="J453" s="231" t="s">
        <v>1311</v>
      </c>
      <c r="K453" s="231" t="s">
        <v>1312</v>
      </c>
      <c r="L453" s="232">
        <v>45170</v>
      </c>
      <c r="M453" s="232">
        <v>45199</v>
      </c>
    </row>
    <row r="454" spans="1:13" ht="18.75" customHeight="1" x14ac:dyDescent="0.2">
      <c r="A454" s="231" t="s">
        <v>19</v>
      </c>
      <c r="B454" s="230">
        <v>112228</v>
      </c>
      <c r="C454" s="230">
        <v>10750</v>
      </c>
      <c r="D454" s="231" t="s">
        <v>50</v>
      </c>
      <c r="E454" s="230">
        <v>14491078</v>
      </c>
      <c r="F454" s="230">
        <v>28891</v>
      </c>
      <c r="G454" s="230">
        <v>25</v>
      </c>
      <c r="H454" s="240">
        <v>26.3</v>
      </c>
      <c r="I454" s="240">
        <f t="shared" si="7"/>
        <v>657.5</v>
      </c>
      <c r="J454" s="231" t="s">
        <v>1311</v>
      </c>
      <c r="K454" s="231" t="s">
        <v>1312</v>
      </c>
      <c r="L454" s="232">
        <v>45170</v>
      </c>
      <c r="M454" s="232">
        <v>45199</v>
      </c>
    </row>
    <row r="455" spans="1:13" ht="18.75" customHeight="1" x14ac:dyDescent="0.2">
      <c r="A455" s="231" t="s">
        <v>19</v>
      </c>
      <c r="B455" s="230">
        <v>112229</v>
      </c>
      <c r="C455" s="230">
        <v>10750</v>
      </c>
      <c r="D455" s="231" t="s">
        <v>51</v>
      </c>
      <c r="E455" s="230">
        <v>14491078</v>
      </c>
      <c r="F455" s="230">
        <v>28893</v>
      </c>
      <c r="G455" s="230">
        <v>25</v>
      </c>
      <c r="H455" s="240">
        <v>26.3</v>
      </c>
      <c r="I455" s="240">
        <f t="shared" si="7"/>
        <v>657.5</v>
      </c>
      <c r="J455" s="231" t="s">
        <v>1311</v>
      </c>
      <c r="K455" s="231" t="s">
        <v>1312</v>
      </c>
      <c r="L455" s="232">
        <v>45170</v>
      </c>
      <c r="M455" s="232">
        <v>45199</v>
      </c>
    </row>
    <row r="456" spans="1:13" ht="18.75" customHeight="1" x14ac:dyDescent="0.2">
      <c r="A456" s="231" t="s">
        <v>19</v>
      </c>
      <c r="B456" s="230">
        <v>112235</v>
      </c>
      <c r="C456" s="230">
        <v>10757</v>
      </c>
      <c r="D456" s="231" t="s">
        <v>54</v>
      </c>
      <c r="E456" s="230">
        <v>14491078</v>
      </c>
      <c r="F456" s="230">
        <v>28905</v>
      </c>
      <c r="G456" s="230">
        <v>25</v>
      </c>
      <c r="H456" s="240">
        <v>26.3</v>
      </c>
      <c r="I456" s="240">
        <f t="shared" si="7"/>
        <v>657.5</v>
      </c>
      <c r="J456" s="231" t="s">
        <v>1311</v>
      </c>
      <c r="K456" s="231" t="s">
        <v>1312</v>
      </c>
      <c r="L456" s="232">
        <v>45170</v>
      </c>
      <c r="M456" s="232">
        <v>45199</v>
      </c>
    </row>
    <row r="457" spans="1:13" ht="18.75" customHeight="1" x14ac:dyDescent="0.2">
      <c r="A457" s="231" t="s">
        <v>19</v>
      </c>
      <c r="B457" s="230">
        <v>112236</v>
      </c>
      <c r="C457" s="230">
        <v>10750</v>
      </c>
      <c r="D457" s="231" t="s">
        <v>55</v>
      </c>
      <c r="E457" s="230">
        <v>14491078</v>
      </c>
      <c r="F457" s="230">
        <v>28907</v>
      </c>
      <c r="G457" s="230">
        <v>25</v>
      </c>
      <c r="H457" s="240">
        <v>26.3</v>
      </c>
      <c r="I457" s="240">
        <f t="shared" si="7"/>
        <v>657.5</v>
      </c>
      <c r="J457" s="231" t="s">
        <v>1311</v>
      </c>
      <c r="K457" s="231" t="s">
        <v>1312</v>
      </c>
      <c r="L457" s="232">
        <v>45170</v>
      </c>
      <c r="M457" s="232">
        <v>45199</v>
      </c>
    </row>
    <row r="458" spans="1:13" ht="18.75" customHeight="1" x14ac:dyDescent="0.2">
      <c r="A458" s="231" t="s">
        <v>19</v>
      </c>
      <c r="B458" s="230">
        <v>112237</v>
      </c>
      <c r="C458" s="230">
        <v>10758</v>
      </c>
      <c r="D458" s="231" t="s">
        <v>56</v>
      </c>
      <c r="E458" s="230">
        <v>14491078</v>
      </c>
      <c r="F458" s="230">
        <v>28909</v>
      </c>
      <c r="G458" s="230">
        <v>25</v>
      </c>
      <c r="H458" s="240">
        <v>26.3</v>
      </c>
      <c r="I458" s="240">
        <f t="shared" si="7"/>
        <v>657.5</v>
      </c>
      <c r="J458" s="231" t="s">
        <v>1311</v>
      </c>
      <c r="K458" s="231" t="s">
        <v>1312</v>
      </c>
      <c r="L458" s="232">
        <v>45170</v>
      </c>
      <c r="M458" s="232">
        <v>45199</v>
      </c>
    </row>
    <row r="459" spans="1:13" ht="18.75" customHeight="1" x14ac:dyDescent="0.2">
      <c r="A459" s="231" t="s">
        <v>19</v>
      </c>
      <c r="B459" s="230">
        <v>112250</v>
      </c>
      <c r="C459" s="230">
        <v>10757</v>
      </c>
      <c r="D459" s="231" t="s">
        <v>62</v>
      </c>
      <c r="E459" s="230">
        <v>14491078</v>
      </c>
      <c r="F459" s="230">
        <v>28935</v>
      </c>
      <c r="G459" s="230">
        <v>25</v>
      </c>
      <c r="H459" s="240">
        <v>26.3</v>
      </c>
      <c r="I459" s="240">
        <f t="shared" si="7"/>
        <v>657.5</v>
      </c>
      <c r="J459" s="231" t="s">
        <v>1311</v>
      </c>
      <c r="K459" s="231" t="s">
        <v>1312</v>
      </c>
      <c r="L459" s="232">
        <v>45170</v>
      </c>
      <c r="M459" s="232">
        <v>45199</v>
      </c>
    </row>
    <row r="460" spans="1:13" ht="18.75" customHeight="1" x14ac:dyDescent="0.2">
      <c r="A460" s="231" t="s">
        <v>19</v>
      </c>
      <c r="B460" s="230">
        <v>112257</v>
      </c>
      <c r="C460" s="230">
        <v>10750</v>
      </c>
      <c r="D460" s="231" t="s">
        <v>68</v>
      </c>
      <c r="E460" s="230">
        <v>14491078</v>
      </c>
      <c r="F460" s="230">
        <v>28949</v>
      </c>
      <c r="G460" s="230">
        <v>25</v>
      </c>
      <c r="H460" s="240">
        <v>26.3</v>
      </c>
      <c r="I460" s="240">
        <f t="shared" si="7"/>
        <v>657.5</v>
      </c>
      <c r="J460" s="231" t="s">
        <v>1311</v>
      </c>
      <c r="K460" s="231" t="s">
        <v>1312</v>
      </c>
      <c r="L460" s="232">
        <v>45170</v>
      </c>
      <c r="M460" s="232">
        <v>45199</v>
      </c>
    </row>
    <row r="461" spans="1:13" ht="18.75" customHeight="1" x14ac:dyDescent="0.2">
      <c r="A461" s="231" t="s">
        <v>19</v>
      </c>
      <c r="B461" s="230">
        <v>112265</v>
      </c>
      <c r="C461" s="230">
        <v>10763</v>
      </c>
      <c r="D461" s="231" t="s">
        <v>75</v>
      </c>
      <c r="E461" s="230">
        <v>14491078</v>
      </c>
      <c r="F461" s="230">
        <v>28965</v>
      </c>
      <c r="G461" s="230">
        <v>25</v>
      </c>
      <c r="H461" s="240">
        <v>26.3</v>
      </c>
      <c r="I461" s="240">
        <f t="shared" si="7"/>
        <v>657.5</v>
      </c>
      <c r="J461" s="231" t="s">
        <v>1311</v>
      </c>
      <c r="K461" s="231" t="s">
        <v>1312</v>
      </c>
      <c r="L461" s="232">
        <v>45170</v>
      </c>
      <c r="M461" s="232">
        <v>45199</v>
      </c>
    </row>
    <row r="462" spans="1:13" ht="18.75" customHeight="1" x14ac:dyDescent="0.2">
      <c r="A462" s="231" t="s">
        <v>19</v>
      </c>
      <c r="B462" s="230">
        <v>112288</v>
      </c>
      <c r="C462" s="230">
        <v>10751</v>
      </c>
      <c r="D462" s="231" t="s">
        <v>90</v>
      </c>
      <c r="E462" s="230">
        <v>14491078</v>
      </c>
      <c r="F462" s="230">
        <v>29011</v>
      </c>
      <c r="G462" s="230">
        <v>25</v>
      </c>
      <c r="H462" s="240">
        <v>26.3</v>
      </c>
      <c r="I462" s="240">
        <f t="shared" si="7"/>
        <v>657.5</v>
      </c>
      <c r="J462" s="231" t="s">
        <v>1311</v>
      </c>
      <c r="K462" s="231" t="s">
        <v>1312</v>
      </c>
      <c r="L462" s="232">
        <v>45170</v>
      </c>
      <c r="M462" s="232">
        <v>45199</v>
      </c>
    </row>
    <row r="463" spans="1:13" ht="18.75" customHeight="1" x14ac:dyDescent="0.2">
      <c r="A463" s="231" t="s">
        <v>19</v>
      </c>
      <c r="B463" s="230">
        <v>112301</v>
      </c>
      <c r="C463" s="230">
        <v>10758</v>
      </c>
      <c r="D463" s="231" t="s">
        <v>1386</v>
      </c>
      <c r="E463" s="230">
        <v>14491078</v>
      </c>
      <c r="F463" s="230">
        <v>29037</v>
      </c>
      <c r="G463" s="230">
        <v>25</v>
      </c>
      <c r="H463" s="240">
        <v>26.3</v>
      </c>
      <c r="I463" s="240">
        <f t="shared" si="7"/>
        <v>657.5</v>
      </c>
      <c r="J463" s="231" t="s">
        <v>1311</v>
      </c>
      <c r="K463" s="231" t="s">
        <v>1312</v>
      </c>
      <c r="L463" s="232">
        <v>45170</v>
      </c>
      <c r="M463" s="232">
        <v>45199</v>
      </c>
    </row>
    <row r="464" spans="1:13" ht="18.75" customHeight="1" x14ac:dyDescent="0.2">
      <c r="A464" s="231" t="s">
        <v>19</v>
      </c>
      <c r="B464" s="230">
        <v>112307</v>
      </c>
      <c r="C464" s="230">
        <v>10750</v>
      </c>
      <c r="D464" s="231" t="s">
        <v>101</v>
      </c>
      <c r="E464" s="230">
        <v>14491078</v>
      </c>
      <c r="F464" s="230">
        <v>29049</v>
      </c>
      <c r="G464" s="230">
        <v>25</v>
      </c>
      <c r="H464" s="240">
        <v>26.3</v>
      </c>
      <c r="I464" s="240">
        <f t="shared" si="7"/>
        <v>657.5</v>
      </c>
      <c r="J464" s="231" t="s">
        <v>1311</v>
      </c>
      <c r="K464" s="231" t="s">
        <v>1312</v>
      </c>
      <c r="L464" s="232">
        <v>45170</v>
      </c>
      <c r="M464" s="232">
        <v>45199</v>
      </c>
    </row>
    <row r="465" spans="1:13" ht="18.75" customHeight="1" x14ac:dyDescent="0.2">
      <c r="A465" s="231" t="s">
        <v>19</v>
      </c>
      <c r="B465" s="230">
        <v>112309</v>
      </c>
      <c r="C465" s="230">
        <v>10758</v>
      </c>
      <c r="D465" s="231" t="s">
        <v>102</v>
      </c>
      <c r="E465" s="230">
        <v>14491078</v>
      </c>
      <c r="F465" s="230">
        <v>29053</v>
      </c>
      <c r="G465" s="230">
        <v>25</v>
      </c>
      <c r="H465" s="240">
        <v>26.3</v>
      </c>
      <c r="I465" s="240">
        <f t="shared" si="7"/>
        <v>657.5</v>
      </c>
      <c r="J465" s="231" t="s">
        <v>1311</v>
      </c>
      <c r="K465" s="231" t="s">
        <v>1312</v>
      </c>
      <c r="L465" s="232">
        <v>45170</v>
      </c>
      <c r="M465" s="232">
        <v>45199</v>
      </c>
    </row>
    <row r="466" spans="1:13" ht="18.75" customHeight="1" x14ac:dyDescent="0.2">
      <c r="A466" s="231" t="s">
        <v>19</v>
      </c>
      <c r="B466" s="230">
        <v>112315</v>
      </c>
      <c r="C466" s="230">
        <v>10750</v>
      </c>
      <c r="D466" s="231" t="s">
        <v>103</v>
      </c>
      <c r="E466" s="230">
        <v>14491078</v>
      </c>
      <c r="F466" s="230">
        <v>29065</v>
      </c>
      <c r="G466" s="230">
        <v>25</v>
      </c>
      <c r="H466" s="240">
        <v>26.3</v>
      </c>
      <c r="I466" s="240">
        <f t="shared" si="7"/>
        <v>657.5</v>
      </c>
      <c r="J466" s="231" t="s">
        <v>1311</v>
      </c>
      <c r="K466" s="231" t="s">
        <v>1312</v>
      </c>
      <c r="L466" s="232">
        <v>45170</v>
      </c>
      <c r="M466" s="232">
        <v>45199</v>
      </c>
    </row>
    <row r="467" spans="1:13" ht="18.75" customHeight="1" x14ac:dyDescent="0.2">
      <c r="A467" s="231" t="s">
        <v>19</v>
      </c>
      <c r="B467" s="230">
        <v>112319</v>
      </c>
      <c r="C467" s="230">
        <v>10757</v>
      </c>
      <c r="D467" s="231" t="s">
        <v>1439</v>
      </c>
      <c r="E467" s="230">
        <v>14491078</v>
      </c>
      <c r="F467" s="230">
        <v>29073</v>
      </c>
      <c r="G467" s="230">
        <v>25</v>
      </c>
      <c r="H467" s="240">
        <v>26.3</v>
      </c>
      <c r="I467" s="240">
        <f t="shared" si="7"/>
        <v>657.5</v>
      </c>
      <c r="J467" s="231" t="s">
        <v>1311</v>
      </c>
      <c r="K467" s="231" t="s">
        <v>1312</v>
      </c>
      <c r="L467" s="232">
        <v>45170</v>
      </c>
      <c r="M467" s="232">
        <v>45199</v>
      </c>
    </row>
    <row r="468" spans="1:13" ht="18.75" customHeight="1" x14ac:dyDescent="0.2">
      <c r="A468" s="231" t="s">
        <v>19</v>
      </c>
      <c r="B468" s="230">
        <v>112327</v>
      </c>
      <c r="C468" s="230">
        <v>10766</v>
      </c>
      <c r="D468" s="231" t="s">
        <v>109</v>
      </c>
      <c r="E468" s="230">
        <v>14491078</v>
      </c>
      <c r="F468" s="230">
        <v>29089</v>
      </c>
      <c r="G468" s="230">
        <v>25</v>
      </c>
      <c r="H468" s="240">
        <v>26.3</v>
      </c>
      <c r="I468" s="240">
        <f t="shared" si="7"/>
        <v>657.5</v>
      </c>
      <c r="J468" s="231" t="s">
        <v>1311</v>
      </c>
      <c r="K468" s="231" t="s">
        <v>1312</v>
      </c>
      <c r="L468" s="232">
        <v>45170</v>
      </c>
      <c r="M468" s="232">
        <v>45199</v>
      </c>
    </row>
    <row r="469" spans="1:13" ht="18.75" customHeight="1" x14ac:dyDescent="0.2">
      <c r="A469" s="231" t="s">
        <v>19</v>
      </c>
      <c r="B469" s="230">
        <v>112334</v>
      </c>
      <c r="C469" s="230">
        <v>10754</v>
      </c>
      <c r="D469" s="231" t="s">
        <v>116</v>
      </c>
      <c r="E469" s="230">
        <v>14491078</v>
      </c>
      <c r="F469" s="230">
        <v>29103</v>
      </c>
      <c r="G469" s="230">
        <v>25</v>
      </c>
      <c r="H469" s="240">
        <v>26.3</v>
      </c>
      <c r="I469" s="240">
        <f t="shared" si="7"/>
        <v>657.5</v>
      </c>
      <c r="J469" s="231" t="s">
        <v>1311</v>
      </c>
      <c r="K469" s="231" t="s">
        <v>1312</v>
      </c>
      <c r="L469" s="232">
        <v>45170</v>
      </c>
      <c r="M469" s="232">
        <v>45199</v>
      </c>
    </row>
    <row r="470" spans="1:13" ht="18.75" customHeight="1" x14ac:dyDescent="0.2">
      <c r="A470" s="231" t="s">
        <v>19</v>
      </c>
      <c r="B470" s="230">
        <v>112358</v>
      </c>
      <c r="C470" s="230">
        <v>10766</v>
      </c>
      <c r="D470" s="231" t="s">
        <v>129</v>
      </c>
      <c r="E470" s="230">
        <v>14491078</v>
      </c>
      <c r="F470" s="230">
        <v>29151</v>
      </c>
      <c r="G470" s="230">
        <v>25</v>
      </c>
      <c r="H470" s="240">
        <v>26.3</v>
      </c>
      <c r="I470" s="240">
        <f t="shared" si="7"/>
        <v>657.5</v>
      </c>
      <c r="J470" s="231" t="s">
        <v>1311</v>
      </c>
      <c r="K470" s="231" t="s">
        <v>1312</v>
      </c>
      <c r="L470" s="232">
        <v>45170</v>
      </c>
      <c r="M470" s="232">
        <v>45199</v>
      </c>
    </row>
    <row r="471" spans="1:13" ht="18.75" customHeight="1" x14ac:dyDescent="0.2">
      <c r="A471" s="231" t="s">
        <v>19</v>
      </c>
      <c r="B471" s="230">
        <v>112382</v>
      </c>
      <c r="C471" s="230">
        <v>10771</v>
      </c>
      <c r="D471" s="231" t="s">
        <v>145</v>
      </c>
      <c r="E471" s="230">
        <v>14491078</v>
      </c>
      <c r="F471" s="230">
        <v>29199</v>
      </c>
      <c r="G471" s="230">
        <v>25</v>
      </c>
      <c r="H471" s="240">
        <v>26.3</v>
      </c>
      <c r="I471" s="240">
        <f t="shared" si="7"/>
        <v>657.5</v>
      </c>
      <c r="J471" s="231" t="s">
        <v>1311</v>
      </c>
      <c r="K471" s="231" t="s">
        <v>1312</v>
      </c>
      <c r="L471" s="232">
        <v>45170</v>
      </c>
      <c r="M471" s="232">
        <v>45199</v>
      </c>
    </row>
    <row r="472" spans="1:13" ht="18.75" customHeight="1" x14ac:dyDescent="0.2">
      <c r="A472" s="231" t="s">
        <v>19</v>
      </c>
      <c r="B472" s="230">
        <v>112393</v>
      </c>
      <c r="C472" s="230">
        <v>10757</v>
      </c>
      <c r="D472" s="231" t="s">
        <v>151</v>
      </c>
      <c r="E472" s="230">
        <v>14491078</v>
      </c>
      <c r="F472" s="230">
        <v>29221</v>
      </c>
      <c r="G472" s="230">
        <v>25</v>
      </c>
      <c r="H472" s="240">
        <v>26.3</v>
      </c>
      <c r="I472" s="240">
        <f t="shared" si="7"/>
        <v>657.5</v>
      </c>
      <c r="J472" s="231" t="s">
        <v>1311</v>
      </c>
      <c r="K472" s="231" t="s">
        <v>1312</v>
      </c>
      <c r="L472" s="232">
        <v>45170</v>
      </c>
      <c r="M472" s="232">
        <v>45199</v>
      </c>
    </row>
    <row r="473" spans="1:13" ht="18.75" customHeight="1" x14ac:dyDescent="0.2">
      <c r="A473" s="231" t="s">
        <v>19</v>
      </c>
      <c r="B473" s="230">
        <v>112419</v>
      </c>
      <c r="C473" s="230">
        <v>10750</v>
      </c>
      <c r="D473" s="231" t="s">
        <v>169</v>
      </c>
      <c r="E473" s="230">
        <v>14491078</v>
      </c>
      <c r="F473" s="230">
        <v>29273</v>
      </c>
      <c r="G473" s="230">
        <v>25</v>
      </c>
      <c r="H473" s="240">
        <v>26.3</v>
      </c>
      <c r="I473" s="240">
        <f t="shared" si="7"/>
        <v>657.5</v>
      </c>
      <c r="J473" s="231" t="s">
        <v>1311</v>
      </c>
      <c r="K473" s="231" t="s">
        <v>1312</v>
      </c>
      <c r="L473" s="232">
        <v>45170</v>
      </c>
      <c r="M473" s="232">
        <v>45199</v>
      </c>
    </row>
    <row r="474" spans="1:13" ht="18.75" customHeight="1" x14ac:dyDescent="0.2">
      <c r="A474" s="231" t="s">
        <v>19</v>
      </c>
      <c r="B474" s="230">
        <v>112443</v>
      </c>
      <c r="C474" s="230">
        <v>10757</v>
      </c>
      <c r="D474" s="231" t="s">
        <v>184</v>
      </c>
      <c r="E474" s="230">
        <v>14491078</v>
      </c>
      <c r="F474" s="230">
        <v>29321</v>
      </c>
      <c r="G474" s="230">
        <v>25</v>
      </c>
      <c r="H474" s="240">
        <v>26.3</v>
      </c>
      <c r="I474" s="240">
        <f t="shared" si="7"/>
        <v>657.5</v>
      </c>
      <c r="J474" s="231" t="s">
        <v>1311</v>
      </c>
      <c r="K474" s="231" t="s">
        <v>1312</v>
      </c>
      <c r="L474" s="232">
        <v>45170</v>
      </c>
      <c r="M474" s="232">
        <v>45199</v>
      </c>
    </row>
    <row r="475" spans="1:13" ht="18.75" customHeight="1" x14ac:dyDescent="0.2">
      <c r="A475" s="231" t="s">
        <v>19</v>
      </c>
      <c r="B475" s="230">
        <v>112448</v>
      </c>
      <c r="C475" s="230">
        <v>10750</v>
      </c>
      <c r="D475" s="231" t="s">
        <v>187</v>
      </c>
      <c r="E475" s="230">
        <v>14491078</v>
      </c>
      <c r="F475" s="230">
        <v>29331</v>
      </c>
      <c r="G475" s="230">
        <v>25</v>
      </c>
      <c r="H475" s="240">
        <v>26.3</v>
      </c>
      <c r="I475" s="240">
        <f t="shared" si="7"/>
        <v>657.5</v>
      </c>
      <c r="J475" s="231" t="s">
        <v>1311</v>
      </c>
      <c r="K475" s="231" t="s">
        <v>1312</v>
      </c>
      <c r="L475" s="232">
        <v>45170</v>
      </c>
      <c r="M475" s="232">
        <v>45199</v>
      </c>
    </row>
    <row r="476" spans="1:13" ht="18.75" customHeight="1" x14ac:dyDescent="0.2">
      <c r="A476" s="231" t="s">
        <v>19</v>
      </c>
      <c r="B476" s="230">
        <v>112453</v>
      </c>
      <c r="C476" s="230">
        <v>10750</v>
      </c>
      <c r="D476" s="231" t="s">
        <v>191</v>
      </c>
      <c r="E476" s="230">
        <v>14491078</v>
      </c>
      <c r="F476" s="230">
        <v>29341</v>
      </c>
      <c r="G476" s="230">
        <v>25</v>
      </c>
      <c r="H476" s="240">
        <v>26.3</v>
      </c>
      <c r="I476" s="240">
        <f t="shared" si="7"/>
        <v>657.5</v>
      </c>
      <c r="J476" s="231" t="s">
        <v>1311</v>
      </c>
      <c r="K476" s="231" t="s">
        <v>1312</v>
      </c>
      <c r="L476" s="232">
        <v>45170</v>
      </c>
      <c r="M476" s="232">
        <v>45199</v>
      </c>
    </row>
    <row r="477" spans="1:13" ht="18.75" customHeight="1" x14ac:dyDescent="0.2">
      <c r="A477" s="231" t="s">
        <v>19</v>
      </c>
      <c r="B477" s="230">
        <v>112500</v>
      </c>
      <c r="C477" s="230">
        <v>10757</v>
      </c>
      <c r="D477" s="231" t="s">
        <v>219</v>
      </c>
      <c r="E477" s="230">
        <v>14491078</v>
      </c>
      <c r="F477" s="230">
        <v>29435</v>
      </c>
      <c r="G477" s="230">
        <v>25</v>
      </c>
      <c r="H477" s="240">
        <v>26.3</v>
      </c>
      <c r="I477" s="240">
        <f t="shared" si="7"/>
        <v>657.5</v>
      </c>
      <c r="J477" s="231" t="s">
        <v>1311</v>
      </c>
      <c r="K477" s="231" t="s">
        <v>1312</v>
      </c>
      <c r="L477" s="232">
        <v>45170</v>
      </c>
      <c r="M477" s="232">
        <v>45199</v>
      </c>
    </row>
    <row r="478" spans="1:13" ht="18.75" customHeight="1" x14ac:dyDescent="0.2">
      <c r="A478" s="231" t="s">
        <v>19</v>
      </c>
      <c r="B478" s="230">
        <v>112551</v>
      </c>
      <c r="C478" s="230">
        <v>10756</v>
      </c>
      <c r="D478" s="231" t="s">
        <v>260</v>
      </c>
      <c r="E478" s="230">
        <v>14491078</v>
      </c>
      <c r="F478" s="230">
        <v>29537</v>
      </c>
      <c r="G478" s="230">
        <v>25</v>
      </c>
      <c r="H478" s="240">
        <v>26.3</v>
      </c>
      <c r="I478" s="240">
        <f t="shared" si="7"/>
        <v>657.5</v>
      </c>
      <c r="J478" s="231" t="s">
        <v>1311</v>
      </c>
      <c r="K478" s="231" t="s">
        <v>1312</v>
      </c>
      <c r="L478" s="232">
        <v>45170</v>
      </c>
      <c r="M478" s="232">
        <v>45199</v>
      </c>
    </row>
    <row r="479" spans="1:13" ht="18.75" customHeight="1" x14ac:dyDescent="0.2">
      <c r="A479" s="231" t="s">
        <v>19</v>
      </c>
      <c r="B479" s="230">
        <v>112578</v>
      </c>
      <c r="C479" s="230">
        <v>10758</v>
      </c>
      <c r="D479" s="231" t="s">
        <v>1379</v>
      </c>
      <c r="E479" s="230">
        <v>14491078</v>
      </c>
      <c r="F479" s="230">
        <v>29591</v>
      </c>
      <c r="G479" s="230">
        <v>25</v>
      </c>
      <c r="H479" s="240">
        <v>26.3</v>
      </c>
      <c r="I479" s="240">
        <f t="shared" si="7"/>
        <v>657.5</v>
      </c>
      <c r="J479" s="231" t="s">
        <v>1311</v>
      </c>
      <c r="K479" s="231" t="s">
        <v>1312</v>
      </c>
      <c r="L479" s="232">
        <v>45170</v>
      </c>
      <c r="M479" s="232">
        <v>45199</v>
      </c>
    </row>
    <row r="480" spans="1:13" ht="18.75" customHeight="1" x14ac:dyDescent="0.2">
      <c r="A480" s="231" t="s">
        <v>19</v>
      </c>
      <c r="B480" s="230">
        <v>112579</v>
      </c>
      <c r="C480" s="230">
        <v>10750</v>
      </c>
      <c r="D480" s="231" t="s">
        <v>276</v>
      </c>
      <c r="E480" s="230">
        <v>14491078</v>
      </c>
      <c r="F480" s="230">
        <v>29593</v>
      </c>
      <c r="G480" s="230">
        <v>25</v>
      </c>
      <c r="H480" s="240">
        <v>26.3</v>
      </c>
      <c r="I480" s="240">
        <f t="shared" si="7"/>
        <v>657.5</v>
      </c>
      <c r="J480" s="231" t="s">
        <v>1311</v>
      </c>
      <c r="K480" s="231" t="s">
        <v>1312</v>
      </c>
      <c r="L480" s="232">
        <v>45170</v>
      </c>
      <c r="M480" s="232">
        <v>45199</v>
      </c>
    </row>
    <row r="481" spans="1:13" ht="18.75" customHeight="1" x14ac:dyDescent="0.2">
      <c r="A481" s="231" t="s">
        <v>19</v>
      </c>
      <c r="B481" s="230">
        <v>112599</v>
      </c>
      <c r="C481" s="230">
        <v>10757</v>
      </c>
      <c r="D481" s="231" t="s">
        <v>288</v>
      </c>
      <c r="E481" s="230">
        <v>14491078</v>
      </c>
      <c r="F481" s="230">
        <v>29633</v>
      </c>
      <c r="G481" s="230">
        <v>25</v>
      </c>
      <c r="H481" s="240">
        <v>26.3</v>
      </c>
      <c r="I481" s="240">
        <f t="shared" si="7"/>
        <v>657.5</v>
      </c>
      <c r="J481" s="231" t="s">
        <v>1311</v>
      </c>
      <c r="K481" s="231" t="s">
        <v>1312</v>
      </c>
      <c r="L481" s="232">
        <v>45170</v>
      </c>
      <c r="M481" s="232">
        <v>45199</v>
      </c>
    </row>
    <row r="482" spans="1:13" ht="18.75" customHeight="1" x14ac:dyDescent="0.2">
      <c r="A482" s="231" t="s">
        <v>19</v>
      </c>
      <c r="B482" s="230">
        <v>112610</v>
      </c>
      <c r="C482" s="230">
        <v>10757</v>
      </c>
      <c r="D482" s="231" t="s">
        <v>1329</v>
      </c>
      <c r="E482" s="230">
        <v>14491078</v>
      </c>
      <c r="F482" s="230">
        <v>29655</v>
      </c>
      <c r="G482" s="230">
        <v>25</v>
      </c>
      <c r="H482" s="240">
        <v>26.3</v>
      </c>
      <c r="I482" s="240">
        <f t="shared" si="7"/>
        <v>657.5</v>
      </c>
      <c r="J482" s="231" t="s">
        <v>1311</v>
      </c>
      <c r="K482" s="231" t="s">
        <v>1312</v>
      </c>
      <c r="L482" s="232">
        <v>45170</v>
      </c>
      <c r="M482" s="232">
        <v>45199</v>
      </c>
    </row>
    <row r="483" spans="1:13" ht="18.75" customHeight="1" x14ac:dyDescent="0.2">
      <c r="A483" s="231" t="s">
        <v>19</v>
      </c>
      <c r="B483" s="230">
        <v>112617</v>
      </c>
      <c r="C483" s="230">
        <v>10750</v>
      </c>
      <c r="D483" s="231" t="s">
        <v>301</v>
      </c>
      <c r="E483" s="230">
        <v>14491078</v>
      </c>
      <c r="F483" s="230">
        <v>29669</v>
      </c>
      <c r="G483" s="230">
        <v>25</v>
      </c>
      <c r="H483" s="240">
        <v>26.3</v>
      </c>
      <c r="I483" s="240">
        <f t="shared" si="7"/>
        <v>657.5</v>
      </c>
      <c r="J483" s="231" t="s">
        <v>1311</v>
      </c>
      <c r="K483" s="231" t="s">
        <v>1312</v>
      </c>
      <c r="L483" s="232">
        <v>45170</v>
      </c>
      <c r="M483" s="232">
        <v>45199</v>
      </c>
    </row>
    <row r="484" spans="1:13" ht="18.75" customHeight="1" x14ac:dyDescent="0.2">
      <c r="A484" s="231" t="s">
        <v>19</v>
      </c>
      <c r="B484" s="230">
        <v>112646</v>
      </c>
      <c r="C484" s="230">
        <v>10763</v>
      </c>
      <c r="D484" s="231" t="s">
        <v>318</v>
      </c>
      <c r="E484" s="230">
        <v>14491078</v>
      </c>
      <c r="F484" s="230">
        <v>29727</v>
      </c>
      <c r="G484" s="230">
        <v>25</v>
      </c>
      <c r="H484" s="240">
        <v>26.3</v>
      </c>
      <c r="I484" s="240">
        <f t="shared" si="7"/>
        <v>657.5</v>
      </c>
      <c r="J484" s="231" t="s">
        <v>1311</v>
      </c>
      <c r="K484" s="231" t="s">
        <v>1312</v>
      </c>
      <c r="L484" s="232">
        <v>45170</v>
      </c>
      <c r="M484" s="232">
        <v>45199</v>
      </c>
    </row>
    <row r="485" spans="1:13" ht="18.75" customHeight="1" x14ac:dyDescent="0.2">
      <c r="A485" s="231" t="s">
        <v>19</v>
      </c>
      <c r="B485" s="230">
        <v>112668</v>
      </c>
      <c r="C485" s="230">
        <v>10750</v>
      </c>
      <c r="D485" s="231" t="s">
        <v>330</v>
      </c>
      <c r="E485" s="230">
        <v>14491078</v>
      </c>
      <c r="F485" s="230">
        <v>29771</v>
      </c>
      <c r="G485" s="230">
        <v>25</v>
      </c>
      <c r="H485" s="240">
        <v>26.3</v>
      </c>
      <c r="I485" s="240">
        <f t="shared" si="7"/>
        <v>657.5</v>
      </c>
      <c r="J485" s="231" t="s">
        <v>1311</v>
      </c>
      <c r="K485" s="231" t="s">
        <v>1312</v>
      </c>
      <c r="L485" s="232">
        <v>45170</v>
      </c>
      <c r="M485" s="232">
        <v>45199</v>
      </c>
    </row>
    <row r="486" spans="1:13" ht="18.75" customHeight="1" x14ac:dyDescent="0.2">
      <c r="A486" s="231" t="s">
        <v>19</v>
      </c>
      <c r="B486" s="230">
        <v>112693</v>
      </c>
      <c r="C486" s="230">
        <v>10754</v>
      </c>
      <c r="D486" s="231" t="s">
        <v>346</v>
      </c>
      <c r="E486" s="230">
        <v>14491078</v>
      </c>
      <c r="F486" s="230">
        <v>29821</v>
      </c>
      <c r="G486" s="230">
        <v>25</v>
      </c>
      <c r="H486" s="240">
        <v>26.3</v>
      </c>
      <c r="I486" s="240">
        <f t="shared" si="7"/>
        <v>657.5</v>
      </c>
      <c r="J486" s="231" t="s">
        <v>1311</v>
      </c>
      <c r="K486" s="231" t="s">
        <v>1312</v>
      </c>
      <c r="L486" s="232">
        <v>45170</v>
      </c>
      <c r="M486" s="232">
        <v>45199</v>
      </c>
    </row>
    <row r="487" spans="1:13" ht="18.75" customHeight="1" x14ac:dyDescent="0.2">
      <c r="A487" s="231" t="s">
        <v>19</v>
      </c>
      <c r="B487" s="230">
        <v>112694</v>
      </c>
      <c r="C487" s="230">
        <v>10756</v>
      </c>
      <c r="D487" s="231" t="s">
        <v>347</v>
      </c>
      <c r="E487" s="230">
        <v>14491078</v>
      </c>
      <c r="F487" s="230">
        <v>29823</v>
      </c>
      <c r="G487" s="230">
        <v>25</v>
      </c>
      <c r="H487" s="240">
        <v>26.3</v>
      </c>
      <c r="I487" s="240">
        <f t="shared" si="7"/>
        <v>657.5</v>
      </c>
      <c r="J487" s="231" t="s">
        <v>1311</v>
      </c>
      <c r="K487" s="231" t="s">
        <v>1312</v>
      </c>
      <c r="L487" s="232">
        <v>45170</v>
      </c>
      <c r="M487" s="232">
        <v>45199</v>
      </c>
    </row>
    <row r="488" spans="1:13" ht="18.75" customHeight="1" x14ac:dyDescent="0.2">
      <c r="A488" s="231" t="s">
        <v>19</v>
      </c>
      <c r="B488" s="230">
        <v>112764</v>
      </c>
      <c r="C488" s="230">
        <v>10771</v>
      </c>
      <c r="D488" s="231" t="s">
        <v>391</v>
      </c>
      <c r="E488" s="230">
        <v>14491078</v>
      </c>
      <c r="F488" s="230">
        <v>29963</v>
      </c>
      <c r="G488" s="230">
        <v>25</v>
      </c>
      <c r="H488" s="240">
        <v>26.3</v>
      </c>
      <c r="I488" s="240">
        <f t="shared" si="7"/>
        <v>657.5</v>
      </c>
      <c r="J488" s="231" t="s">
        <v>1311</v>
      </c>
      <c r="K488" s="231" t="s">
        <v>1312</v>
      </c>
      <c r="L488" s="232">
        <v>45170</v>
      </c>
      <c r="M488" s="232">
        <v>45199</v>
      </c>
    </row>
    <row r="489" spans="1:13" ht="18.75" customHeight="1" x14ac:dyDescent="0.2">
      <c r="A489" s="231" t="s">
        <v>19</v>
      </c>
      <c r="B489" s="230">
        <v>112812</v>
      </c>
      <c r="C489" s="230">
        <v>10771</v>
      </c>
      <c r="D489" s="231" t="s">
        <v>429</v>
      </c>
      <c r="E489" s="230">
        <v>14491078</v>
      </c>
      <c r="F489" s="230">
        <v>30059</v>
      </c>
      <c r="G489" s="230">
        <v>25</v>
      </c>
      <c r="H489" s="240">
        <v>26.3</v>
      </c>
      <c r="I489" s="240">
        <f t="shared" si="7"/>
        <v>657.5</v>
      </c>
      <c r="J489" s="231" t="s">
        <v>1311</v>
      </c>
      <c r="K489" s="231" t="s">
        <v>1312</v>
      </c>
      <c r="L489" s="232">
        <v>45170</v>
      </c>
      <c r="M489" s="232">
        <v>45199</v>
      </c>
    </row>
    <row r="490" spans="1:13" ht="18.75" customHeight="1" x14ac:dyDescent="0.2">
      <c r="A490" s="231" t="s">
        <v>19</v>
      </c>
      <c r="B490" s="230">
        <v>112862</v>
      </c>
      <c r="C490" s="230">
        <v>10750</v>
      </c>
      <c r="D490" s="231" t="s">
        <v>459</v>
      </c>
      <c r="E490" s="230">
        <v>14491078</v>
      </c>
      <c r="F490" s="230">
        <v>30159</v>
      </c>
      <c r="G490" s="230">
        <v>25</v>
      </c>
      <c r="H490" s="240">
        <v>26.3</v>
      </c>
      <c r="I490" s="240">
        <f t="shared" si="7"/>
        <v>657.5</v>
      </c>
      <c r="J490" s="231" t="s">
        <v>1311</v>
      </c>
      <c r="K490" s="231" t="s">
        <v>1312</v>
      </c>
      <c r="L490" s="232">
        <v>45170</v>
      </c>
      <c r="M490" s="232">
        <v>45199</v>
      </c>
    </row>
    <row r="491" spans="1:13" ht="18.75" customHeight="1" x14ac:dyDescent="0.2">
      <c r="A491" s="231" t="s">
        <v>19</v>
      </c>
      <c r="B491" s="230">
        <v>112865</v>
      </c>
      <c r="C491" s="230">
        <v>10750</v>
      </c>
      <c r="D491" s="231" t="s">
        <v>461</v>
      </c>
      <c r="E491" s="230">
        <v>14491078</v>
      </c>
      <c r="F491" s="230">
        <v>30165</v>
      </c>
      <c r="G491" s="230">
        <v>25</v>
      </c>
      <c r="H491" s="240">
        <v>26.3</v>
      </c>
      <c r="I491" s="240">
        <f t="shared" si="7"/>
        <v>657.5</v>
      </c>
      <c r="J491" s="231" t="s">
        <v>1311</v>
      </c>
      <c r="K491" s="231" t="s">
        <v>1312</v>
      </c>
      <c r="L491" s="232">
        <v>45170</v>
      </c>
      <c r="M491" s="232">
        <v>45199</v>
      </c>
    </row>
    <row r="492" spans="1:13" ht="18.75" customHeight="1" x14ac:dyDescent="0.2">
      <c r="A492" s="231" t="s">
        <v>19</v>
      </c>
      <c r="B492" s="230">
        <v>112877</v>
      </c>
      <c r="C492" s="230">
        <v>10758</v>
      </c>
      <c r="D492" s="231" t="s">
        <v>471</v>
      </c>
      <c r="E492" s="230">
        <v>14491078</v>
      </c>
      <c r="F492" s="230">
        <v>30189</v>
      </c>
      <c r="G492" s="230">
        <v>25</v>
      </c>
      <c r="H492" s="240">
        <v>26.3</v>
      </c>
      <c r="I492" s="240">
        <f t="shared" si="7"/>
        <v>657.5</v>
      </c>
      <c r="J492" s="231" t="s">
        <v>1311</v>
      </c>
      <c r="K492" s="231" t="s">
        <v>1312</v>
      </c>
      <c r="L492" s="232">
        <v>45170</v>
      </c>
      <c r="M492" s="232">
        <v>45199</v>
      </c>
    </row>
    <row r="493" spans="1:13" ht="18.75" customHeight="1" x14ac:dyDescent="0.2">
      <c r="A493" s="231" t="s">
        <v>19</v>
      </c>
      <c r="B493" s="230">
        <v>112891</v>
      </c>
      <c r="C493" s="230">
        <v>10751</v>
      </c>
      <c r="D493" s="231" t="s">
        <v>479</v>
      </c>
      <c r="E493" s="230">
        <v>14491078</v>
      </c>
      <c r="F493" s="230">
        <v>30217</v>
      </c>
      <c r="G493" s="230">
        <v>25</v>
      </c>
      <c r="H493" s="240">
        <v>26.3</v>
      </c>
      <c r="I493" s="240">
        <f t="shared" si="7"/>
        <v>657.5</v>
      </c>
      <c r="J493" s="231" t="s">
        <v>1311</v>
      </c>
      <c r="K493" s="231" t="s">
        <v>1312</v>
      </c>
      <c r="L493" s="232">
        <v>45170</v>
      </c>
      <c r="M493" s="232">
        <v>45199</v>
      </c>
    </row>
    <row r="494" spans="1:13" ht="18.75" customHeight="1" x14ac:dyDescent="0.2">
      <c r="A494" s="231" t="s">
        <v>19</v>
      </c>
      <c r="B494" s="230">
        <v>112894</v>
      </c>
      <c r="C494" s="230">
        <v>10750</v>
      </c>
      <c r="D494" s="231" t="s">
        <v>483</v>
      </c>
      <c r="E494" s="230">
        <v>14491078</v>
      </c>
      <c r="F494" s="230">
        <v>30223</v>
      </c>
      <c r="G494" s="230">
        <v>25</v>
      </c>
      <c r="H494" s="240">
        <v>26.3</v>
      </c>
      <c r="I494" s="240">
        <f t="shared" si="7"/>
        <v>657.5</v>
      </c>
      <c r="J494" s="231" t="s">
        <v>1311</v>
      </c>
      <c r="K494" s="231" t="s">
        <v>1312</v>
      </c>
      <c r="L494" s="232">
        <v>45170</v>
      </c>
      <c r="M494" s="232">
        <v>45199</v>
      </c>
    </row>
    <row r="495" spans="1:13" ht="18.75" customHeight="1" x14ac:dyDescent="0.2">
      <c r="A495" s="231" t="s">
        <v>19</v>
      </c>
      <c r="B495" s="230">
        <v>112916</v>
      </c>
      <c r="C495" s="230">
        <v>10750</v>
      </c>
      <c r="D495" s="231" t="s">
        <v>496</v>
      </c>
      <c r="E495" s="230">
        <v>14491078</v>
      </c>
      <c r="F495" s="230">
        <v>30267</v>
      </c>
      <c r="G495" s="230">
        <v>25</v>
      </c>
      <c r="H495" s="240">
        <v>26.3</v>
      </c>
      <c r="I495" s="240">
        <f t="shared" si="7"/>
        <v>657.5</v>
      </c>
      <c r="J495" s="231" t="s">
        <v>1311</v>
      </c>
      <c r="K495" s="231" t="s">
        <v>1312</v>
      </c>
      <c r="L495" s="232">
        <v>45170</v>
      </c>
      <c r="M495" s="232">
        <v>45199</v>
      </c>
    </row>
    <row r="496" spans="1:13" ht="18.75" customHeight="1" x14ac:dyDescent="0.2">
      <c r="A496" s="231" t="s">
        <v>19</v>
      </c>
      <c r="B496" s="230">
        <v>112936</v>
      </c>
      <c r="C496" s="230">
        <v>10750</v>
      </c>
      <c r="D496" s="231" t="s">
        <v>507</v>
      </c>
      <c r="E496" s="230">
        <v>14491078</v>
      </c>
      <c r="F496" s="230">
        <v>30307</v>
      </c>
      <c r="G496" s="230">
        <v>25</v>
      </c>
      <c r="H496" s="240">
        <v>26.3</v>
      </c>
      <c r="I496" s="240">
        <f t="shared" si="7"/>
        <v>657.5</v>
      </c>
      <c r="J496" s="231" t="s">
        <v>1311</v>
      </c>
      <c r="K496" s="231" t="s">
        <v>1312</v>
      </c>
      <c r="L496" s="232">
        <v>45170</v>
      </c>
      <c r="M496" s="232">
        <v>45199</v>
      </c>
    </row>
    <row r="497" spans="1:13" ht="18.75" customHeight="1" x14ac:dyDescent="0.2">
      <c r="A497" s="231" t="s">
        <v>19</v>
      </c>
      <c r="B497" s="230">
        <v>112956</v>
      </c>
      <c r="C497" s="230">
        <v>10766</v>
      </c>
      <c r="D497" s="231" t="s">
        <v>520</v>
      </c>
      <c r="E497" s="230">
        <v>14491078</v>
      </c>
      <c r="F497" s="230">
        <v>30347</v>
      </c>
      <c r="G497" s="230">
        <v>25</v>
      </c>
      <c r="H497" s="240">
        <v>26.3</v>
      </c>
      <c r="I497" s="240">
        <f t="shared" si="7"/>
        <v>657.5</v>
      </c>
      <c r="J497" s="231" t="s">
        <v>1311</v>
      </c>
      <c r="K497" s="231" t="s">
        <v>1312</v>
      </c>
      <c r="L497" s="232">
        <v>45170</v>
      </c>
      <c r="M497" s="232">
        <v>45199</v>
      </c>
    </row>
    <row r="498" spans="1:13" ht="18.75" customHeight="1" x14ac:dyDescent="0.2">
      <c r="A498" s="231" t="s">
        <v>19</v>
      </c>
      <c r="B498" s="230">
        <v>112959</v>
      </c>
      <c r="C498" s="230">
        <v>10766</v>
      </c>
      <c r="D498" s="231" t="s">
        <v>522</v>
      </c>
      <c r="E498" s="230">
        <v>14491078</v>
      </c>
      <c r="F498" s="230">
        <v>30353</v>
      </c>
      <c r="G498" s="230">
        <v>25</v>
      </c>
      <c r="H498" s="240">
        <v>26.3</v>
      </c>
      <c r="I498" s="240">
        <f t="shared" si="7"/>
        <v>657.5</v>
      </c>
      <c r="J498" s="231" t="s">
        <v>1311</v>
      </c>
      <c r="K498" s="231" t="s">
        <v>1312</v>
      </c>
      <c r="L498" s="232">
        <v>45170</v>
      </c>
      <c r="M498" s="232">
        <v>45199</v>
      </c>
    </row>
    <row r="499" spans="1:13" ht="18.75" customHeight="1" x14ac:dyDescent="0.2">
      <c r="A499" s="231" t="s">
        <v>19</v>
      </c>
      <c r="B499" s="230">
        <v>112962</v>
      </c>
      <c r="C499" s="230">
        <v>10761</v>
      </c>
      <c r="D499" s="231" t="s">
        <v>524</v>
      </c>
      <c r="E499" s="230">
        <v>14491078</v>
      </c>
      <c r="F499" s="230">
        <v>30359</v>
      </c>
      <c r="G499" s="230">
        <v>25</v>
      </c>
      <c r="H499" s="240">
        <v>26.3</v>
      </c>
      <c r="I499" s="240">
        <f t="shared" si="7"/>
        <v>657.5</v>
      </c>
      <c r="J499" s="231" t="s">
        <v>1311</v>
      </c>
      <c r="K499" s="231" t="s">
        <v>1312</v>
      </c>
      <c r="L499" s="232">
        <v>45170</v>
      </c>
      <c r="M499" s="232">
        <v>45199</v>
      </c>
    </row>
    <row r="500" spans="1:13" ht="18.75" customHeight="1" x14ac:dyDescent="0.2">
      <c r="A500" s="231" t="s">
        <v>19</v>
      </c>
      <c r="B500" s="230">
        <v>112964</v>
      </c>
      <c r="C500" s="230">
        <v>10761</v>
      </c>
      <c r="D500" s="231" t="s">
        <v>525</v>
      </c>
      <c r="E500" s="230">
        <v>14491078</v>
      </c>
      <c r="F500" s="230">
        <v>30363</v>
      </c>
      <c r="G500" s="230">
        <v>25</v>
      </c>
      <c r="H500" s="240">
        <v>26.3</v>
      </c>
      <c r="I500" s="240">
        <f t="shared" si="7"/>
        <v>657.5</v>
      </c>
      <c r="J500" s="231" t="s">
        <v>1311</v>
      </c>
      <c r="K500" s="231" t="s">
        <v>1312</v>
      </c>
      <c r="L500" s="232">
        <v>45170</v>
      </c>
      <c r="M500" s="232">
        <v>45199</v>
      </c>
    </row>
    <row r="501" spans="1:13" ht="18.75" customHeight="1" x14ac:dyDescent="0.2">
      <c r="A501" s="231" t="s">
        <v>19</v>
      </c>
      <c r="B501" s="230">
        <v>112973</v>
      </c>
      <c r="C501" s="230">
        <v>10766</v>
      </c>
      <c r="D501" s="231" t="s">
        <v>527</v>
      </c>
      <c r="E501" s="230">
        <v>14491078</v>
      </c>
      <c r="F501" s="230">
        <v>30381</v>
      </c>
      <c r="G501" s="230">
        <v>25</v>
      </c>
      <c r="H501" s="240">
        <v>26.3</v>
      </c>
      <c r="I501" s="240">
        <f t="shared" si="7"/>
        <v>657.5</v>
      </c>
      <c r="J501" s="231" t="s">
        <v>1311</v>
      </c>
      <c r="K501" s="231" t="s">
        <v>1312</v>
      </c>
      <c r="L501" s="232">
        <v>45170</v>
      </c>
      <c r="M501" s="232">
        <v>45199</v>
      </c>
    </row>
    <row r="502" spans="1:13" ht="18.75" customHeight="1" x14ac:dyDescent="0.2">
      <c r="A502" s="231" t="s">
        <v>19</v>
      </c>
      <c r="B502" s="230">
        <v>112979</v>
      </c>
      <c r="C502" s="230">
        <v>10755</v>
      </c>
      <c r="D502" s="231" t="s">
        <v>531</v>
      </c>
      <c r="E502" s="230">
        <v>14491078</v>
      </c>
      <c r="F502" s="230">
        <v>30393</v>
      </c>
      <c r="G502" s="230">
        <v>25</v>
      </c>
      <c r="H502" s="240">
        <v>26.3</v>
      </c>
      <c r="I502" s="240">
        <f t="shared" si="7"/>
        <v>657.5</v>
      </c>
      <c r="J502" s="231" t="s">
        <v>1311</v>
      </c>
      <c r="K502" s="231" t="s">
        <v>1312</v>
      </c>
      <c r="L502" s="232">
        <v>45170</v>
      </c>
      <c r="M502" s="232">
        <v>45199</v>
      </c>
    </row>
    <row r="503" spans="1:13" ht="18.75" customHeight="1" x14ac:dyDescent="0.2">
      <c r="A503" s="231" t="s">
        <v>19</v>
      </c>
      <c r="B503" s="230">
        <v>112983</v>
      </c>
      <c r="C503" s="230">
        <v>10758</v>
      </c>
      <c r="D503" s="231" t="s">
        <v>532</v>
      </c>
      <c r="E503" s="230">
        <v>14491078</v>
      </c>
      <c r="F503" s="230">
        <v>30401</v>
      </c>
      <c r="G503" s="230">
        <v>25</v>
      </c>
      <c r="H503" s="240">
        <v>26.3</v>
      </c>
      <c r="I503" s="240">
        <f t="shared" si="7"/>
        <v>657.5</v>
      </c>
      <c r="J503" s="231" t="s">
        <v>1311</v>
      </c>
      <c r="K503" s="231" t="s">
        <v>1312</v>
      </c>
      <c r="L503" s="232">
        <v>45170</v>
      </c>
      <c r="M503" s="232">
        <v>45199</v>
      </c>
    </row>
    <row r="504" spans="1:13" ht="18.75" customHeight="1" x14ac:dyDescent="0.2">
      <c r="A504" s="231" t="s">
        <v>19</v>
      </c>
      <c r="B504" s="230">
        <v>112986</v>
      </c>
      <c r="C504" s="230">
        <v>10755</v>
      </c>
      <c r="D504" s="231" t="s">
        <v>533</v>
      </c>
      <c r="E504" s="230">
        <v>14491078</v>
      </c>
      <c r="F504" s="230">
        <v>30407</v>
      </c>
      <c r="G504" s="230">
        <v>25</v>
      </c>
      <c r="H504" s="240">
        <v>26.3</v>
      </c>
      <c r="I504" s="240">
        <f t="shared" si="7"/>
        <v>657.5</v>
      </c>
      <c r="J504" s="231" t="s">
        <v>1311</v>
      </c>
      <c r="K504" s="231" t="s">
        <v>1312</v>
      </c>
      <c r="L504" s="232">
        <v>45170</v>
      </c>
      <c r="M504" s="232">
        <v>45199</v>
      </c>
    </row>
    <row r="505" spans="1:13" ht="18.75" customHeight="1" x14ac:dyDescent="0.2">
      <c r="A505" s="231" t="s">
        <v>19</v>
      </c>
      <c r="B505" s="230">
        <v>112989</v>
      </c>
      <c r="C505" s="230">
        <v>10756</v>
      </c>
      <c r="D505" s="231" t="s">
        <v>534</v>
      </c>
      <c r="E505" s="230">
        <v>14491078</v>
      </c>
      <c r="F505" s="230">
        <v>30413</v>
      </c>
      <c r="G505" s="230">
        <v>25</v>
      </c>
      <c r="H505" s="240">
        <v>26.3</v>
      </c>
      <c r="I505" s="240">
        <f t="shared" si="7"/>
        <v>657.5</v>
      </c>
      <c r="J505" s="231" t="s">
        <v>1311</v>
      </c>
      <c r="K505" s="231" t="s">
        <v>1312</v>
      </c>
      <c r="L505" s="232">
        <v>45170</v>
      </c>
      <c r="M505" s="232">
        <v>45199</v>
      </c>
    </row>
    <row r="506" spans="1:13" ht="18.75" customHeight="1" x14ac:dyDescent="0.2">
      <c r="A506" s="231" t="s">
        <v>19</v>
      </c>
      <c r="B506" s="230">
        <v>112991</v>
      </c>
      <c r="C506" s="230">
        <v>10771</v>
      </c>
      <c r="D506" s="231" t="s">
        <v>536</v>
      </c>
      <c r="E506" s="230">
        <v>14491078</v>
      </c>
      <c r="F506" s="230">
        <v>30417</v>
      </c>
      <c r="G506" s="230">
        <v>25</v>
      </c>
      <c r="H506" s="240">
        <v>26.3</v>
      </c>
      <c r="I506" s="240">
        <f t="shared" si="7"/>
        <v>657.5</v>
      </c>
      <c r="J506" s="231" t="s">
        <v>1311</v>
      </c>
      <c r="K506" s="231" t="s">
        <v>1312</v>
      </c>
      <c r="L506" s="232">
        <v>45170</v>
      </c>
      <c r="M506" s="232">
        <v>45199</v>
      </c>
    </row>
    <row r="507" spans="1:13" ht="18.75" customHeight="1" x14ac:dyDescent="0.2">
      <c r="A507" s="231" t="s">
        <v>19</v>
      </c>
      <c r="B507" s="230">
        <v>112995</v>
      </c>
      <c r="C507" s="230">
        <v>10750</v>
      </c>
      <c r="D507" s="231" t="s">
        <v>538</v>
      </c>
      <c r="E507" s="230">
        <v>14491078</v>
      </c>
      <c r="F507" s="230">
        <v>30425</v>
      </c>
      <c r="G507" s="230">
        <v>25</v>
      </c>
      <c r="H507" s="240">
        <v>26.3</v>
      </c>
      <c r="I507" s="240">
        <f t="shared" si="7"/>
        <v>657.5</v>
      </c>
      <c r="J507" s="231" t="s">
        <v>1311</v>
      </c>
      <c r="K507" s="231" t="s">
        <v>1312</v>
      </c>
      <c r="L507" s="232">
        <v>45170</v>
      </c>
      <c r="M507" s="232">
        <v>45199</v>
      </c>
    </row>
    <row r="508" spans="1:13" ht="18.75" customHeight="1" x14ac:dyDescent="0.2">
      <c r="A508" s="231" t="s">
        <v>19</v>
      </c>
      <c r="B508" s="230">
        <v>113021</v>
      </c>
      <c r="C508" s="230">
        <v>10754</v>
      </c>
      <c r="D508" s="231" t="s">
        <v>53</v>
      </c>
      <c r="E508" s="230">
        <v>14491078</v>
      </c>
      <c r="F508" s="230">
        <v>30477</v>
      </c>
      <c r="G508" s="230">
        <v>25</v>
      </c>
      <c r="H508" s="240">
        <v>26.3</v>
      </c>
      <c r="I508" s="240">
        <f t="shared" si="7"/>
        <v>657.5</v>
      </c>
      <c r="J508" s="231" t="s">
        <v>1311</v>
      </c>
      <c r="K508" s="231" t="s">
        <v>1312</v>
      </c>
      <c r="L508" s="232">
        <v>45170</v>
      </c>
      <c r="M508" s="232">
        <v>45199</v>
      </c>
    </row>
    <row r="509" spans="1:13" ht="18.75" customHeight="1" x14ac:dyDescent="0.2">
      <c r="A509" s="231" t="s">
        <v>19</v>
      </c>
      <c r="B509" s="230">
        <v>113025</v>
      </c>
      <c r="C509" s="230">
        <v>10750</v>
      </c>
      <c r="D509" s="231" t="s">
        <v>549</v>
      </c>
      <c r="E509" s="230">
        <v>14491078</v>
      </c>
      <c r="F509" s="230">
        <v>30485</v>
      </c>
      <c r="G509" s="230">
        <v>25</v>
      </c>
      <c r="H509" s="240">
        <v>26.3</v>
      </c>
      <c r="I509" s="240">
        <f t="shared" si="7"/>
        <v>657.5</v>
      </c>
      <c r="J509" s="231" t="s">
        <v>1311</v>
      </c>
      <c r="K509" s="231" t="s">
        <v>1312</v>
      </c>
      <c r="L509" s="232">
        <v>45170</v>
      </c>
      <c r="M509" s="232">
        <v>45199</v>
      </c>
    </row>
    <row r="510" spans="1:13" ht="18.75" customHeight="1" x14ac:dyDescent="0.2">
      <c r="A510" s="231" t="s">
        <v>19</v>
      </c>
      <c r="B510" s="230">
        <v>113028</v>
      </c>
      <c r="C510" s="230">
        <v>10771</v>
      </c>
      <c r="D510" s="231" t="s">
        <v>550</v>
      </c>
      <c r="E510" s="230">
        <v>14491078</v>
      </c>
      <c r="F510" s="230">
        <v>30491</v>
      </c>
      <c r="G510" s="230">
        <v>25</v>
      </c>
      <c r="H510" s="240">
        <v>26.3</v>
      </c>
      <c r="I510" s="240">
        <f t="shared" si="7"/>
        <v>657.5</v>
      </c>
      <c r="J510" s="231" t="s">
        <v>1311</v>
      </c>
      <c r="K510" s="231" t="s">
        <v>1315</v>
      </c>
      <c r="L510" s="232">
        <v>45170</v>
      </c>
      <c r="M510" s="232">
        <v>45199</v>
      </c>
    </row>
    <row r="511" spans="1:13" ht="18.75" customHeight="1" x14ac:dyDescent="0.2">
      <c r="A511" s="231" t="s">
        <v>19</v>
      </c>
      <c r="B511" s="230">
        <v>113036</v>
      </c>
      <c r="C511" s="230">
        <v>10751</v>
      </c>
      <c r="D511" s="231" t="s">
        <v>556</v>
      </c>
      <c r="E511" s="230">
        <v>14491078</v>
      </c>
      <c r="F511" s="230">
        <v>30507</v>
      </c>
      <c r="G511" s="230">
        <v>25</v>
      </c>
      <c r="H511" s="240">
        <v>26.3</v>
      </c>
      <c r="I511" s="240">
        <f t="shared" si="7"/>
        <v>657.5</v>
      </c>
      <c r="J511" s="231" t="s">
        <v>1311</v>
      </c>
      <c r="K511" s="231" t="s">
        <v>1312</v>
      </c>
      <c r="L511" s="232">
        <v>45170</v>
      </c>
      <c r="M511" s="232">
        <v>45199</v>
      </c>
    </row>
    <row r="512" spans="1:13" ht="18.75" customHeight="1" x14ac:dyDescent="0.2">
      <c r="A512" s="231" t="s">
        <v>19</v>
      </c>
      <c r="B512" s="230">
        <v>113039</v>
      </c>
      <c r="C512" s="230">
        <v>10751</v>
      </c>
      <c r="D512" s="231" t="s">
        <v>108</v>
      </c>
      <c r="E512" s="230">
        <v>14491078</v>
      </c>
      <c r="F512" s="230">
        <v>30513</v>
      </c>
      <c r="G512" s="230">
        <v>25</v>
      </c>
      <c r="H512" s="240">
        <v>26.3</v>
      </c>
      <c r="I512" s="240">
        <f t="shared" si="7"/>
        <v>657.5</v>
      </c>
      <c r="J512" s="231" t="s">
        <v>1311</v>
      </c>
      <c r="K512" s="231" t="s">
        <v>1312</v>
      </c>
      <c r="L512" s="232">
        <v>45170</v>
      </c>
      <c r="M512" s="232">
        <v>45199</v>
      </c>
    </row>
    <row r="513" spans="1:13" ht="18.75" customHeight="1" x14ac:dyDescent="0.2">
      <c r="A513" s="231" t="s">
        <v>19</v>
      </c>
      <c r="B513" s="230">
        <v>113050</v>
      </c>
      <c r="C513" s="230">
        <v>10751</v>
      </c>
      <c r="D513" s="231" t="s">
        <v>562</v>
      </c>
      <c r="E513" s="230">
        <v>14491078</v>
      </c>
      <c r="F513" s="230">
        <v>30535</v>
      </c>
      <c r="G513" s="230">
        <v>25</v>
      </c>
      <c r="H513" s="240">
        <v>26.3</v>
      </c>
      <c r="I513" s="240">
        <f t="shared" si="7"/>
        <v>657.5</v>
      </c>
      <c r="J513" s="231" t="s">
        <v>1311</v>
      </c>
      <c r="K513" s="231" t="s">
        <v>1312</v>
      </c>
      <c r="L513" s="232">
        <v>45170</v>
      </c>
      <c r="M513" s="232">
        <v>45199</v>
      </c>
    </row>
    <row r="514" spans="1:13" ht="18.75" customHeight="1" x14ac:dyDescent="0.2">
      <c r="A514" s="231" t="s">
        <v>19</v>
      </c>
      <c r="B514" s="230">
        <v>113055</v>
      </c>
      <c r="C514" s="230">
        <v>10750</v>
      </c>
      <c r="D514" s="231" t="s">
        <v>563</v>
      </c>
      <c r="E514" s="230">
        <v>14491078</v>
      </c>
      <c r="F514" s="230">
        <v>30545</v>
      </c>
      <c r="G514" s="230">
        <v>25</v>
      </c>
      <c r="H514" s="240">
        <v>26.3</v>
      </c>
      <c r="I514" s="240">
        <f t="shared" si="7"/>
        <v>657.5</v>
      </c>
      <c r="J514" s="231" t="s">
        <v>1311</v>
      </c>
      <c r="K514" s="231" t="s">
        <v>1312</v>
      </c>
      <c r="L514" s="232">
        <v>45170</v>
      </c>
      <c r="M514" s="232">
        <v>45199</v>
      </c>
    </row>
    <row r="515" spans="1:13" ht="18.75" customHeight="1" x14ac:dyDescent="0.2">
      <c r="A515" s="231" t="s">
        <v>19</v>
      </c>
      <c r="B515" s="230">
        <v>113056</v>
      </c>
      <c r="C515" s="230">
        <v>10751</v>
      </c>
      <c r="D515" s="231" t="s">
        <v>564</v>
      </c>
      <c r="E515" s="230">
        <v>14491078</v>
      </c>
      <c r="F515" s="230">
        <v>30547</v>
      </c>
      <c r="G515" s="230">
        <v>25</v>
      </c>
      <c r="H515" s="240">
        <v>26.3</v>
      </c>
      <c r="I515" s="240">
        <f t="shared" ref="I515:I578" si="8">G515*H515</f>
        <v>657.5</v>
      </c>
      <c r="J515" s="231" t="s">
        <v>1311</v>
      </c>
      <c r="K515" s="231" t="s">
        <v>1312</v>
      </c>
      <c r="L515" s="232">
        <v>45170</v>
      </c>
      <c r="M515" s="232">
        <v>45199</v>
      </c>
    </row>
    <row r="516" spans="1:13" ht="18.75" customHeight="1" x14ac:dyDescent="0.2">
      <c r="A516" s="231" t="s">
        <v>19</v>
      </c>
      <c r="B516" s="230">
        <v>113131</v>
      </c>
      <c r="C516" s="230">
        <v>10750</v>
      </c>
      <c r="D516" s="231" t="s">
        <v>602</v>
      </c>
      <c r="E516" s="230">
        <v>14491078</v>
      </c>
      <c r="F516" s="230">
        <v>30697</v>
      </c>
      <c r="G516" s="230">
        <v>25</v>
      </c>
      <c r="H516" s="240">
        <v>26.3</v>
      </c>
      <c r="I516" s="240">
        <f t="shared" si="8"/>
        <v>657.5</v>
      </c>
      <c r="J516" s="231" t="s">
        <v>1311</v>
      </c>
      <c r="K516" s="231" t="s">
        <v>1312</v>
      </c>
      <c r="L516" s="232">
        <v>45170</v>
      </c>
      <c r="M516" s="232">
        <v>45199</v>
      </c>
    </row>
    <row r="517" spans="1:13" ht="18.75" customHeight="1" x14ac:dyDescent="0.2">
      <c r="A517" s="231" t="s">
        <v>19</v>
      </c>
      <c r="B517" s="230">
        <v>113135</v>
      </c>
      <c r="C517" s="230">
        <v>10750</v>
      </c>
      <c r="D517" s="231" t="s">
        <v>605</v>
      </c>
      <c r="E517" s="230">
        <v>14491078</v>
      </c>
      <c r="F517" s="230">
        <v>30705</v>
      </c>
      <c r="G517" s="230">
        <v>25</v>
      </c>
      <c r="H517" s="240">
        <v>26.3</v>
      </c>
      <c r="I517" s="240">
        <f t="shared" si="8"/>
        <v>657.5</v>
      </c>
      <c r="J517" s="231" t="s">
        <v>1311</v>
      </c>
      <c r="K517" s="231" t="s">
        <v>1312</v>
      </c>
      <c r="L517" s="232">
        <v>45170</v>
      </c>
      <c r="M517" s="232">
        <v>45199</v>
      </c>
    </row>
    <row r="518" spans="1:13" ht="18.75" customHeight="1" x14ac:dyDescent="0.2">
      <c r="A518" s="231" t="s">
        <v>19</v>
      </c>
      <c r="B518" s="230">
        <v>113149</v>
      </c>
      <c r="C518" s="230">
        <v>10754</v>
      </c>
      <c r="D518" s="231" t="s">
        <v>613</v>
      </c>
      <c r="E518" s="230">
        <v>14491078</v>
      </c>
      <c r="F518" s="230">
        <v>30733</v>
      </c>
      <c r="G518" s="230">
        <v>25</v>
      </c>
      <c r="H518" s="240">
        <v>26.3</v>
      </c>
      <c r="I518" s="240">
        <f t="shared" si="8"/>
        <v>657.5</v>
      </c>
      <c r="J518" s="231" t="s">
        <v>1311</v>
      </c>
      <c r="K518" s="231" t="s">
        <v>1312</v>
      </c>
      <c r="L518" s="232">
        <v>45170</v>
      </c>
      <c r="M518" s="232">
        <v>45199</v>
      </c>
    </row>
    <row r="519" spans="1:13" ht="18.75" customHeight="1" x14ac:dyDescent="0.2">
      <c r="A519" s="231" t="s">
        <v>19</v>
      </c>
      <c r="B519" s="230">
        <v>113169</v>
      </c>
      <c r="C519" s="230">
        <v>10751</v>
      </c>
      <c r="D519" s="231" t="s">
        <v>627</v>
      </c>
      <c r="E519" s="230">
        <v>14491078</v>
      </c>
      <c r="F519" s="230">
        <v>30773</v>
      </c>
      <c r="G519" s="230">
        <v>25</v>
      </c>
      <c r="H519" s="240">
        <v>26.3</v>
      </c>
      <c r="I519" s="240">
        <f t="shared" si="8"/>
        <v>657.5</v>
      </c>
      <c r="J519" s="231" t="s">
        <v>1311</v>
      </c>
      <c r="K519" s="231" t="s">
        <v>1312</v>
      </c>
      <c r="L519" s="232">
        <v>45170</v>
      </c>
      <c r="M519" s="232">
        <v>45199</v>
      </c>
    </row>
    <row r="520" spans="1:13" ht="18.75" customHeight="1" x14ac:dyDescent="0.2">
      <c r="A520" s="231" t="s">
        <v>19</v>
      </c>
      <c r="B520" s="230">
        <v>113173</v>
      </c>
      <c r="C520" s="230">
        <v>10755</v>
      </c>
      <c r="D520" s="231" t="s">
        <v>630</v>
      </c>
      <c r="E520" s="230">
        <v>14491078</v>
      </c>
      <c r="F520" s="230">
        <v>30781</v>
      </c>
      <c r="G520" s="230">
        <v>25</v>
      </c>
      <c r="H520" s="240">
        <v>26.3</v>
      </c>
      <c r="I520" s="240">
        <f t="shared" si="8"/>
        <v>657.5</v>
      </c>
      <c r="J520" s="231" t="s">
        <v>1311</v>
      </c>
      <c r="K520" s="231" t="s">
        <v>1312</v>
      </c>
      <c r="L520" s="232">
        <v>45170</v>
      </c>
      <c r="M520" s="232">
        <v>45199</v>
      </c>
    </row>
    <row r="521" spans="1:13" ht="18.75" customHeight="1" x14ac:dyDescent="0.2">
      <c r="A521" s="231" t="s">
        <v>19</v>
      </c>
      <c r="B521" s="230">
        <v>113192</v>
      </c>
      <c r="C521" s="230">
        <v>10754</v>
      </c>
      <c r="D521" s="231" t="s">
        <v>639</v>
      </c>
      <c r="E521" s="230">
        <v>14491078</v>
      </c>
      <c r="F521" s="230">
        <v>30819</v>
      </c>
      <c r="G521" s="230">
        <v>25</v>
      </c>
      <c r="H521" s="240">
        <v>26.3</v>
      </c>
      <c r="I521" s="240">
        <f t="shared" si="8"/>
        <v>657.5</v>
      </c>
      <c r="J521" s="231" t="s">
        <v>1311</v>
      </c>
      <c r="K521" s="231" t="s">
        <v>1312</v>
      </c>
      <c r="L521" s="232">
        <v>45170</v>
      </c>
      <c r="M521" s="232">
        <v>45199</v>
      </c>
    </row>
    <row r="522" spans="1:13" ht="18.75" customHeight="1" x14ac:dyDescent="0.2">
      <c r="A522" s="231" t="s">
        <v>19</v>
      </c>
      <c r="B522" s="230">
        <v>113198</v>
      </c>
      <c r="C522" s="230">
        <v>10771</v>
      </c>
      <c r="D522" s="231" t="s">
        <v>641</v>
      </c>
      <c r="E522" s="230">
        <v>14491078</v>
      </c>
      <c r="F522" s="230">
        <v>30831</v>
      </c>
      <c r="G522" s="230">
        <v>25</v>
      </c>
      <c r="H522" s="240">
        <v>26.3</v>
      </c>
      <c r="I522" s="240">
        <f t="shared" si="8"/>
        <v>657.5</v>
      </c>
      <c r="J522" s="231" t="s">
        <v>1311</v>
      </c>
      <c r="K522" s="231" t="s">
        <v>1312</v>
      </c>
      <c r="L522" s="232">
        <v>45170</v>
      </c>
      <c r="M522" s="232">
        <v>45199</v>
      </c>
    </row>
    <row r="523" spans="1:13" ht="18.75" customHeight="1" x14ac:dyDescent="0.2">
      <c r="A523" s="231" t="s">
        <v>19</v>
      </c>
      <c r="B523" s="230">
        <v>113208</v>
      </c>
      <c r="C523" s="230">
        <v>10750</v>
      </c>
      <c r="D523" s="231" t="s">
        <v>650</v>
      </c>
      <c r="E523" s="230">
        <v>14491078</v>
      </c>
      <c r="F523" s="230">
        <v>30851</v>
      </c>
      <c r="G523" s="230">
        <v>25</v>
      </c>
      <c r="H523" s="240">
        <v>26.3</v>
      </c>
      <c r="I523" s="240">
        <f t="shared" si="8"/>
        <v>657.5</v>
      </c>
      <c r="J523" s="231" t="s">
        <v>1311</v>
      </c>
      <c r="K523" s="231" t="s">
        <v>1312</v>
      </c>
      <c r="L523" s="232">
        <v>45170</v>
      </c>
      <c r="M523" s="232">
        <v>45199</v>
      </c>
    </row>
    <row r="524" spans="1:13" ht="18.75" customHeight="1" x14ac:dyDescent="0.2">
      <c r="A524" s="231" t="s">
        <v>19</v>
      </c>
      <c r="B524" s="230">
        <v>113242</v>
      </c>
      <c r="C524" s="230">
        <v>10766</v>
      </c>
      <c r="D524" s="231" t="s">
        <v>666</v>
      </c>
      <c r="E524" s="230">
        <v>14491078</v>
      </c>
      <c r="F524" s="230">
        <v>30919</v>
      </c>
      <c r="G524" s="230">
        <v>25</v>
      </c>
      <c r="H524" s="240">
        <v>26.3</v>
      </c>
      <c r="I524" s="240">
        <f t="shared" si="8"/>
        <v>657.5</v>
      </c>
      <c r="J524" s="231" t="s">
        <v>1311</v>
      </c>
      <c r="K524" s="231" t="s">
        <v>1312</v>
      </c>
      <c r="L524" s="232">
        <v>45170</v>
      </c>
      <c r="M524" s="232">
        <v>45199</v>
      </c>
    </row>
    <row r="525" spans="1:13" ht="18.75" customHeight="1" x14ac:dyDescent="0.2">
      <c r="A525" s="231" t="s">
        <v>19</v>
      </c>
      <c r="B525" s="230">
        <v>113249</v>
      </c>
      <c r="C525" s="230">
        <v>10751</v>
      </c>
      <c r="D525" s="231" t="s">
        <v>669</v>
      </c>
      <c r="E525" s="230">
        <v>14491078</v>
      </c>
      <c r="F525" s="230">
        <v>30933</v>
      </c>
      <c r="G525" s="230">
        <v>25</v>
      </c>
      <c r="H525" s="240">
        <v>26.3</v>
      </c>
      <c r="I525" s="240">
        <f t="shared" si="8"/>
        <v>657.5</v>
      </c>
      <c r="J525" s="231" t="s">
        <v>1311</v>
      </c>
      <c r="K525" s="231" t="s">
        <v>1312</v>
      </c>
      <c r="L525" s="232">
        <v>45170</v>
      </c>
      <c r="M525" s="232">
        <v>45199</v>
      </c>
    </row>
    <row r="526" spans="1:13" ht="18.75" customHeight="1" x14ac:dyDescent="0.2">
      <c r="A526" s="231" t="s">
        <v>19</v>
      </c>
      <c r="B526" s="230">
        <v>113260</v>
      </c>
      <c r="C526" s="230">
        <v>10761</v>
      </c>
      <c r="D526" s="231" t="s">
        <v>675</v>
      </c>
      <c r="E526" s="230">
        <v>14491078</v>
      </c>
      <c r="F526" s="230">
        <v>30955</v>
      </c>
      <c r="G526" s="230">
        <v>25</v>
      </c>
      <c r="H526" s="240">
        <v>26.3</v>
      </c>
      <c r="I526" s="240">
        <f t="shared" si="8"/>
        <v>657.5</v>
      </c>
      <c r="J526" s="231" t="s">
        <v>1311</v>
      </c>
      <c r="K526" s="231" t="s">
        <v>1312</v>
      </c>
      <c r="L526" s="232">
        <v>45170</v>
      </c>
      <c r="M526" s="232">
        <v>45199</v>
      </c>
    </row>
    <row r="527" spans="1:13" ht="18.75" customHeight="1" x14ac:dyDescent="0.2">
      <c r="A527" s="231" t="s">
        <v>19</v>
      </c>
      <c r="B527" s="230">
        <v>113264</v>
      </c>
      <c r="C527" s="230">
        <v>10750</v>
      </c>
      <c r="D527" s="231" t="s">
        <v>678</v>
      </c>
      <c r="E527" s="230">
        <v>14491078</v>
      </c>
      <c r="F527" s="230">
        <v>30963</v>
      </c>
      <c r="G527" s="230">
        <v>25</v>
      </c>
      <c r="H527" s="240">
        <v>26.3</v>
      </c>
      <c r="I527" s="240">
        <f t="shared" si="8"/>
        <v>657.5</v>
      </c>
      <c r="J527" s="231" t="s">
        <v>1311</v>
      </c>
      <c r="K527" s="231" t="s">
        <v>1312</v>
      </c>
      <c r="L527" s="232">
        <v>45170</v>
      </c>
      <c r="M527" s="232">
        <v>45199</v>
      </c>
    </row>
    <row r="528" spans="1:13" ht="18.75" customHeight="1" x14ac:dyDescent="0.2">
      <c r="A528" s="231" t="s">
        <v>19</v>
      </c>
      <c r="B528" s="230">
        <v>113280</v>
      </c>
      <c r="C528" s="230">
        <v>10757</v>
      </c>
      <c r="D528" s="231" t="s">
        <v>687</v>
      </c>
      <c r="E528" s="230">
        <v>14491078</v>
      </c>
      <c r="F528" s="230">
        <v>30995</v>
      </c>
      <c r="G528" s="230">
        <v>25</v>
      </c>
      <c r="H528" s="240">
        <v>26.3</v>
      </c>
      <c r="I528" s="240">
        <f t="shared" si="8"/>
        <v>657.5</v>
      </c>
      <c r="J528" s="231" t="s">
        <v>1311</v>
      </c>
      <c r="K528" s="231" t="s">
        <v>1312</v>
      </c>
      <c r="L528" s="232">
        <v>45170</v>
      </c>
      <c r="M528" s="232">
        <v>45199</v>
      </c>
    </row>
    <row r="529" spans="1:13" ht="18.75" customHeight="1" x14ac:dyDescent="0.2">
      <c r="A529" s="231" t="s">
        <v>19</v>
      </c>
      <c r="B529" s="230">
        <v>113294</v>
      </c>
      <c r="C529" s="230">
        <v>10754</v>
      </c>
      <c r="D529" s="231" t="s">
        <v>694</v>
      </c>
      <c r="E529" s="230">
        <v>14491078</v>
      </c>
      <c r="F529" s="230">
        <v>31023</v>
      </c>
      <c r="G529" s="230">
        <v>25</v>
      </c>
      <c r="H529" s="240">
        <v>26.3</v>
      </c>
      <c r="I529" s="240">
        <f t="shared" si="8"/>
        <v>657.5</v>
      </c>
      <c r="J529" s="231" t="s">
        <v>1311</v>
      </c>
      <c r="K529" s="231" t="s">
        <v>1312</v>
      </c>
      <c r="L529" s="232">
        <v>45170</v>
      </c>
      <c r="M529" s="232">
        <v>45199</v>
      </c>
    </row>
    <row r="530" spans="1:13" ht="18.75" customHeight="1" x14ac:dyDescent="0.2">
      <c r="A530" s="231" t="s">
        <v>19</v>
      </c>
      <c r="B530" s="230">
        <v>113318</v>
      </c>
      <c r="C530" s="230">
        <v>10750</v>
      </c>
      <c r="D530" s="231" t="s">
        <v>705</v>
      </c>
      <c r="E530" s="230">
        <v>14491078</v>
      </c>
      <c r="F530" s="230">
        <v>31071</v>
      </c>
      <c r="G530" s="230">
        <v>25</v>
      </c>
      <c r="H530" s="240">
        <v>26.3</v>
      </c>
      <c r="I530" s="240">
        <f t="shared" si="8"/>
        <v>657.5</v>
      </c>
      <c r="J530" s="231" t="s">
        <v>1311</v>
      </c>
      <c r="K530" s="231" t="s">
        <v>1312</v>
      </c>
      <c r="L530" s="232">
        <v>45170</v>
      </c>
      <c r="M530" s="232">
        <v>45199</v>
      </c>
    </row>
    <row r="531" spans="1:13" ht="18.75" customHeight="1" x14ac:dyDescent="0.2">
      <c r="A531" s="231" t="s">
        <v>19</v>
      </c>
      <c r="B531" s="230">
        <v>113354</v>
      </c>
      <c r="C531" s="230">
        <v>10757</v>
      </c>
      <c r="D531" s="231" t="s">
        <v>724</v>
      </c>
      <c r="E531" s="230">
        <v>14491078</v>
      </c>
      <c r="F531" s="230">
        <v>31143</v>
      </c>
      <c r="G531" s="230">
        <v>25</v>
      </c>
      <c r="H531" s="240">
        <v>26.3</v>
      </c>
      <c r="I531" s="240">
        <f t="shared" si="8"/>
        <v>657.5</v>
      </c>
      <c r="J531" s="231" t="s">
        <v>1311</v>
      </c>
      <c r="K531" s="231" t="s">
        <v>1312</v>
      </c>
      <c r="L531" s="232">
        <v>45170</v>
      </c>
      <c r="M531" s="232">
        <v>45199</v>
      </c>
    </row>
    <row r="532" spans="1:13" ht="18.75" customHeight="1" x14ac:dyDescent="0.2">
      <c r="A532" s="231" t="s">
        <v>19</v>
      </c>
      <c r="B532" s="230">
        <v>113364</v>
      </c>
      <c r="C532" s="230">
        <v>10751</v>
      </c>
      <c r="D532" s="231" t="s">
        <v>732</v>
      </c>
      <c r="E532" s="230">
        <v>14491078</v>
      </c>
      <c r="F532" s="230">
        <v>31163</v>
      </c>
      <c r="G532" s="230">
        <v>25</v>
      </c>
      <c r="H532" s="240">
        <v>26.3</v>
      </c>
      <c r="I532" s="240">
        <f t="shared" si="8"/>
        <v>657.5</v>
      </c>
      <c r="J532" s="231" t="s">
        <v>1311</v>
      </c>
      <c r="K532" s="231" t="s">
        <v>1312</v>
      </c>
      <c r="L532" s="232">
        <v>45170</v>
      </c>
      <c r="M532" s="232">
        <v>45199</v>
      </c>
    </row>
    <row r="533" spans="1:13" ht="18.75" customHeight="1" x14ac:dyDescent="0.2">
      <c r="A533" s="231" t="s">
        <v>19</v>
      </c>
      <c r="B533" s="230">
        <v>113368</v>
      </c>
      <c r="C533" s="230">
        <v>10750</v>
      </c>
      <c r="D533" s="231" t="s">
        <v>735</v>
      </c>
      <c r="E533" s="230">
        <v>14491078</v>
      </c>
      <c r="F533" s="230">
        <v>31171</v>
      </c>
      <c r="G533" s="230">
        <v>25</v>
      </c>
      <c r="H533" s="240">
        <v>26.3</v>
      </c>
      <c r="I533" s="240">
        <f t="shared" si="8"/>
        <v>657.5</v>
      </c>
      <c r="J533" s="231" t="s">
        <v>1311</v>
      </c>
      <c r="K533" s="231" t="s">
        <v>1312</v>
      </c>
      <c r="L533" s="232">
        <v>45170</v>
      </c>
      <c r="M533" s="232">
        <v>45199</v>
      </c>
    </row>
    <row r="534" spans="1:13" ht="18.75" customHeight="1" x14ac:dyDescent="0.2">
      <c r="A534" s="231" t="s">
        <v>19</v>
      </c>
      <c r="B534" s="230">
        <v>113376</v>
      </c>
      <c r="C534" s="230">
        <v>10751</v>
      </c>
      <c r="D534" s="231" t="s">
        <v>740</v>
      </c>
      <c r="E534" s="230">
        <v>14491078</v>
      </c>
      <c r="F534" s="230">
        <v>31187</v>
      </c>
      <c r="G534" s="230">
        <v>25</v>
      </c>
      <c r="H534" s="240">
        <v>26.3</v>
      </c>
      <c r="I534" s="240">
        <f t="shared" si="8"/>
        <v>657.5</v>
      </c>
      <c r="J534" s="231" t="s">
        <v>1311</v>
      </c>
      <c r="K534" s="231" t="s">
        <v>1312</v>
      </c>
      <c r="L534" s="232">
        <v>45170</v>
      </c>
      <c r="M534" s="232">
        <v>45199</v>
      </c>
    </row>
    <row r="535" spans="1:13" ht="18.75" customHeight="1" x14ac:dyDescent="0.2">
      <c r="A535" s="231" t="s">
        <v>19</v>
      </c>
      <c r="B535" s="230">
        <v>113391</v>
      </c>
      <c r="C535" s="230">
        <v>10754</v>
      </c>
      <c r="D535" s="231" t="s">
        <v>751</v>
      </c>
      <c r="E535" s="230">
        <v>14491078</v>
      </c>
      <c r="F535" s="230">
        <v>31217</v>
      </c>
      <c r="G535" s="230">
        <v>25</v>
      </c>
      <c r="H535" s="240">
        <v>26.3</v>
      </c>
      <c r="I535" s="240">
        <f t="shared" si="8"/>
        <v>657.5</v>
      </c>
      <c r="J535" s="231" t="s">
        <v>1311</v>
      </c>
      <c r="K535" s="231" t="s">
        <v>1312</v>
      </c>
      <c r="L535" s="232">
        <v>45170</v>
      </c>
      <c r="M535" s="232">
        <v>45199</v>
      </c>
    </row>
    <row r="536" spans="1:13" ht="18.75" customHeight="1" x14ac:dyDescent="0.2">
      <c r="A536" s="231" t="s">
        <v>19</v>
      </c>
      <c r="B536" s="230">
        <v>113396</v>
      </c>
      <c r="C536" s="230">
        <v>10766</v>
      </c>
      <c r="D536" s="231" t="s">
        <v>1318</v>
      </c>
      <c r="E536" s="230">
        <v>14491078</v>
      </c>
      <c r="F536" s="230">
        <v>31227</v>
      </c>
      <c r="G536" s="230">
        <v>25</v>
      </c>
      <c r="H536" s="240">
        <v>26.3</v>
      </c>
      <c r="I536" s="240">
        <f t="shared" si="8"/>
        <v>657.5</v>
      </c>
      <c r="J536" s="231" t="s">
        <v>1311</v>
      </c>
      <c r="K536" s="231" t="s">
        <v>1312</v>
      </c>
      <c r="L536" s="232">
        <v>45170</v>
      </c>
      <c r="M536" s="232">
        <v>45199</v>
      </c>
    </row>
    <row r="537" spans="1:13" ht="18.75" customHeight="1" x14ac:dyDescent="0.2">
      <c r="A537" s="231" t="s">
        <v>19</v>
      </c>
      <c r="B537" s="230">
        <v>113438</v>
      </c>
      <c r="C537" s="230">
        <v>10766</v>
      </c>
      <c r="D537" s="231" t="s">
        <v>782</v>
      </c>
      <c r="E537" s="230">
        <v>14491078</v>
      </c>
      <c r="F537" s="230">
        <v>31311</v>
      </c>
      <c r="G537" s="230">
        <v>25</v>
      </c>
      <c r="H537" s="240">
        <v>26.3</v>
      </c>
      <c r="I537" s="240">
        <f t="shared" si="8"/>
        <v>657.5</v>
      </c>
      <c r="J537" s="231" t="s">
        <v>1311</v>
      </c>
      <c r="K537" s="231" t="s">
        <v>1312</v>
      </c>
      <c r="L537" s="232">
        <v>45170</v>
      </c>
      <c r="M537" s="232">
        <v>45199</v>
      </c>
    </row>
    <row r="538" spans="1:13" ht="18.75" customHeight="1" x14ac:dyDescent="0.2">
      <c r="A538" s="231" t="s">
        <v>19</v>
      </c>
      <c r="B538" s="230">
        <v>113443</v>
      </c>
      <c r="C538" s="230">
        <v>10754</v>
      </c>
      <c r="D538" s="231" t="s">
        <v>374</v>
      </c>
      <c r="E538" s="230">
        <v>14491078</v>
      </c>
      <c r="F538" s="230">
        <v>31321</v>
      </c>
      <c r="G538" s="230">
        <v>25</v>
      </c>
      <c r="H538" s="240">
        <v>26.3</v>
      </c>
      <c r="I538" s="240">
        <f t="shared" si="8"/>
        <v>657.5</v>
      </c>
      <c r="J538" s="231" t="s">
        <v>1311</v>
      </c>
      <c r="K538" s="231" t="s">
        <v>1312</v>
      </c>
      <c r="L538" s="232">
        <v>45170</v>
      </c>
      <c r="M538" s="232">
        <v>45199</v>
      </c>
    </row>
    <row r="539" spans="1:13" ht="18.75" customHeight="1" x14ac:dyDescent="0.2">
      <c r="A539" s="231" t="s">
        <v>19</v>
      </c>
      <c r="B539" s="230">
        <v>113489</v>
      </c>
      <c r="C539" s="230">
        <v>10750</v>
      </c>
      <c r="D539" s="231" t="s">
        <v>808</v>
      </c>
      <c r="E539" s="230">
        <v>14491078</v>
      </c>
      <c r="F539" s="230">
        <v>31413</v>
      </c>
      <c r="G539" s="230">
        <v>25</v>
      </c>
      <c r="H539" s="240">
        <v>26.3</v>
      </c>
      <c r="I539" s="240">
        <f t="shared" si="8"/>
        <v>657.5</v>
      </c>
      <c r="J539" s="231" t="s">
        <v>1311</v>
      </c>
      <c r="K539" s="231" t="s">
        <v>1312</v>
      </c>
      <c r="L539" s="232">
        <v>45170</v>
      </c>
      <c r="M539" s="232">
        <v>45199</v>
      </c>
    </row>
    <row r="540" spans="1:13" ht="18.75" customHeight="1" x14ac:dyDescent="0.2">
      <c r="A540" s="231" t="s">
        <v>19</v>
      </c>
      <c r="B540" s="230">
        <v>113498</v>
      </c>
      <c r="C540" s="230">
        <v>10757</v>
      </c>
      <c r="D540" s="231" t="s">
        <v>813</v>
      </c>
      <c r="E540" s="230">
        <v>14491078</v>
      </c>
      <c r="F540" s="230">
        <v>31431</v>
      </c>
      <c r="G540" s="230">
        <v>25</v>
      </c>
      <c r="H540" s="240">
        <v>26.3</v>
      </c>
      <c r="I540" s="240">
        <f t="shared" si="8"/>
        <v>657.5</v>
      </c>
      <c r="J540" s="231" t="s">
        <v>1311</v>
      </c>
      <c r="K540" s="231" t="s">
        <v>1312</v>
      </c>
      <c r="L540" s="232">
        <v>45170</v>
      </c>
      <c r="M540" s="232">
        <v>45199</v>
      </c>
    </row>
    <row r="541" spans="1:13" ht="18.75" customHeight="1" x14ac:dyDescent="0.2">
      <c r="A541" s="231" t="s">
        <v>19</v>
      </c>
      <c r="B541" s="230">
        <v>113500</v>
      </c>
      <c r="C541" s="230">
        <v>10755</v>
      </c>
      <c r="D541" s="231" t="s">
        <v>815</v>
      </c>
      <c r="E541" s="230">
        <v>14491078</v>
      </c>
      <c r="F541" s="230">
        <v>31435</v>
      </c>
      <c r="G541" s="230">
        <v>25</v>
      </c>
      <c r="H541" s="240">
        <v>26.3</v>
      </c>
      <c r="I541" s="240">
        <f t="shared" si="8"/>
        <v>657.5</v>
      </c>
      <c r="J541" s="231" t="s">
        <v>1311</v>
      </c>
      <c r="K541" s="231" t="s">
        <v>1312</v>
      </c>
      <c r="L541" s="232">
        <v>45170</v>
      </c>
      <c r="M541" s="232">
        <v>45199</v>
      </c>
    </row>
    <row r="542" spans="1:13" ht="18.75" customHeight="1" x14ac:dyDescent="0.2">
      <c r="A542" s="231" t="s">
        <v>19</v>
      </c>
      <c r="B542" s="230">
        <v>113504</v>
      </c>
      <c r="C542" s="230">
        <v>10750</v>
      </c>
      <c r="D542" s="231" t="s">
        <v>816</v>
      </c>
      <c r="E542" s="230">
        <v>14491078</v>
      </c>
      <c r="F542" s="230">
        <v>31443</v>
      </c>
      <c r="G542" s="230">
        <v>25</v>
      </c>
      <c r="H542" s="240">
        <v>26.3</v>
      </c>
      <c r="I542" s="240">
        <f t="shared" si="8"/>
        <v>657.5</v>
      </c>
      <c r="J542" s="231" t="s">
        <v>1311</v>
      </c>
      <c r="K542" s="231" t="s">
        <v>1312</v>
      </c>
      <c r="L542" s="232">
        <v>45170</v>
      </c>
      <c r="M542" s="232">
        <v>45199</v>
      </c>
    </row>
    <row r="543" spans="1:13" ht="18.75" customHeight="1" x14ac:dyDescent="0.2">
      <c r="A543" s="231" t="s">
        <v>19</v>
      </c>
      <c r="B543" s="230">
        <v>113524</v>
      </c>
      <c r="C543" s="230">
        <v>10757</v>
      </c>
      <c r="D543" s="231" t="s">
        <v>1335</v>
      </c>
      <c r="E543" s="230">
        <v>14491078</v>
      </c>
      <c r="F543" s="230">
        <v>31483</v>
      </c>
      <c r="G543" s="230">
        <v>25</v>
      </c>
      <c r="H543" s="240">
        <v>26.3</v>
      </c>
      <c r="I543" s="240">
        <f t="shared" si="8"/>
        <v>657.5</v>
      </c>
      <c r="J543" s="231" t="s">
        <v>1311</v>
      </c>
      <c r="K543" s="231" t="s">
        <v>1312</v>
      </c>
      <c r="L543" s="232">
        <v>45170</v>
      </c>
      <c r="M543" s="232">
        <v>45199</v>
      </c>
    </row>
    <row r="544" spans="1:13" ht="18.75" customHeight="1" x14ac:dyDescent="0.2">
      <c r="A544" s="231" t="s">
        <v>19</v>
      </c>
      <c r="B544" s="230">
        <v>113526</v>
      </c>
      <c r="C544" s="230">
        <v>10766</v>
      </c>
      <c r="D544" s="231" t="s">
        <v>827</v>
      </c>
      <c r="E544" s="230">
        <v>14491078</v>
      </c>
      <c r="F544" s="230">
        <v>31487</v>
      </c>
      <c r="G544" s="230">
        <v>25</v>
      </c>
      <c r="H544" s="240">
        <v>26.3</v>
      </c>
      <c r="I544" s="240">
        <f t="shared" si="8"/>
        <v>657.5</v>
      </c>
      <c r="J544" s="231" t="s">
        <v>1311</v>
      </c>
      <c r="K544" s="231" t="s">
        <v>1312</v>
      </c>
      <c r="L544" s="232">
        <v>45170</v>
      </c>
      <c r="M544" s="232">
        <v>45199</v>
      </c>
    </row>
    <row r="545" spans="1:13" ht="18.75" customHeight="1" x14ac:dyDescent="0.2">
      <c r="A545" s="231" t="s">
        <v>19</v>
      </c>
      <c r="B545" s="230">
        <v>113555</v>
      </c>
      <c r="C545" s="230">
        <v>10750</v>
      </c>
      <c r="D545" s="231" t="s">
        <v>728</v>
      </c>
      <c r="E545" s="230">
        <v>14491078</v>
      </c>
      <c r="F545" s="230">
        <v>31545</v>
      </c>
      <c r="G545" s="230">
        <v>25</v>
      </c>
      <c r="H545" s="240">
        <v>26.3</v>
      </c>
      <c r="I545" s="240">
        <f t="shared" si="8"/>
        <v>657.5</v>
      </c>
      <c r="J545" s="231" t="s">
        <v>1311</v>
      </c>
      <c r="K545" s="231" t="s">
        <v>1312</v>
      </c>
      <c r="L545" s="232">
        <v>45170</v>
      </c>
      <c r="M545" s="232">
        <v>45199</v>
      </c>
    </row>
    <row r="546" spans="1:13" ht="18.75" customHeight="1" x14ac:dyDescent="0.2">
      <c r="A546" s="231" t="s">
        <v>19</v>
      </c>
      <c r="B546" s="230">
        <v>113585</v>
      </c>
      <c r="C546" s="230">
        <v>10751</v>
      </c>
      <c r="D546" s="231" t="s">
        <v>861</v>
      </c>
      <c r="E546" s="230">
        <v>14491078</v>
      </c>
      <c r="F546" s="230">
        <v>31605</v>
      </c>
      <c r="G546" s="230">
        <v>25</v>
      </c>
      <c r="H546" s="240">
        <v>26.3</v>
      </c>
      <c r="I546" s="240">
        <f t="shared" si="8"/>
        <v>657.5</v>
      </c>
      <c r="J546" s="231" t="s">
        <v>1311</v>
      </c>
      <c r="K546" s="231" t="s">
        <v>1312</v>
      </c>
      <c r="L546" s="232">
        <v>45170</v>
      </c>
      <c r="M546" s="232">
        <v>45199</v>
      </c>
    </row>
    <row r="547" spans="1:13" ht="18.75" customHeight="1" x14ac:dyDescent="0.2">
      <c r="A547" s="231" t="s">
        <v>19</v>
      </c>
      <c r="B547" s="230">
        <v>113608</v>
      </c>
      <c r="C547" s="230">
        <v>10750</v>
      </c>
      <c r="D547" s="231" t="s">
        <v>873</v>
      </c>
      <c r="E547" s="230">
        <v>14491078</v>
      </c>
      <c r="F547" s="230">
        <v>31651</v>
      </c>
      <c r="G547" s="230">
        <v>25</v>
      </c>
      <c r="H547" s="240">
        <v>26.3</v>
      </c>
      <c r="I547" s="240">
        <f t="shared" si="8"/>
        <v>657.5</v>
      </c>
      <c r="J547" s="231" t="s">
        <v>1311</v>
      </c>
      <c r="K547" s="231" t="s">
        <v>1312</v>
      </c>
      <c r="L547" s="232">
        <v>45170</v>
      </c>
      <c r="M547" s="232">
        <v>45199</v>
      </c>
    </row>
    <row r="548" spans="1:13" ht="18.75" customHeight="1" x14ac:dyDescent="0.2">
      <c r="A548" s="231" t="s">
        <v>19</v>
      </c>
      <c r="B548" s="230">
        <v>113623</v>
      </c>
      <c r="C548" s="230">
        <v>10754</v>
      </c>
      <c r="D548" s="231" t="s">
        <v>880</v>
      </c>
      <c r="E548" s="230">
        <v>14491078</v>
      </c>
      <c r="F548" s="230">
        <v>31681</v>
      </c>
      <c r="G548" s="230">
        <v>25</v>
      </c>
      <c r="H548" s="240">
        <v>26.3</v>
      </c>
      <c r="I548" s="240">
        <f t="shared" si="8"/>
        <v>657.5</v>
      </c>
      <c r="J548" s="231" t="s">
        <v>1311</v>
      </c>
      <c r="K548" s="231" t="s">
        <v>1312</v>
      </c>
      <c r="L548" s="232">
        <v>45170</v>
      </c>
      <c r="M548" s="232">
        <v>45199</v>
      </c>
    </row>
    <row r="549" spans="1:13" ht="18.75" customHeight="1" x14ac:dyDescent="0.2">
      <c r="A549" s="231" t="s">
        <v>19</v>
      </c>
      <c r="B549" s="230">
        <v>113636</v>
      </c>
      <c r="C549" s="230">
        <v>10757</v>
      </c>
      <c r="D549" s="231" t="s">
        <v>890</v>
      </c>
      <c r="E549" s="230">
        <v>14491078</v>
      </c>
      <c r="F549" s="230">
        <v>31707</v>
      </c>
      <c r="G549" s="230">
        <v>25</v>
      </c>
      <c r="H549" s="240">
        <v>26.3</v>
      </c>
      <c r="I549" s="240">
        <f t="shared" si="8"/>
        <v>657.5</v>
      </c>
      <c r="J549" s="231" t="s">
        <v>1311</v>
      </c>
      <c r="K549" s="231" t="s">
        <v>1312</v>
      </c>
      <c r="L549" s="232">
        <v>45170</v>
      </c>
      <c r="M549" s="232">
        <v>45199</v>
      </c>
    </row>
    <row r="550" spans="1:13" ht="18.75" customHeight="1" x14ac:dyDescent="0.2">
      <c r="A550" s="231" t="s">
        <v>19</v>
      </c>
      <c r="B550" s="230">
        <v>113667</v>
      </c>
      <c r="C550" s="230">
        <v>10750</v>
      </c>
      <c r="D550" s="231" t="s">
        <v>907</v>
      </c>
      <c r="E550" s="230">
        <v>14491078</v>
      </c>
      <c r="F550" s="230">
        <v>31769</v>
      </c>
      <c r="G550" s="230">
        <v>25</v>
      </c>
      <c r="H550" s="240">
        <v>26.3</v>
      </c>
      <c r="I550" s="240">
        <f t="shared" si="8"/>
        <v>657.5</v>
      </c>
      <c r="J550" s="231" t="s">
        <v>1311</v>
      </c>
      <c r="K550" s="231" t="s">
        <v>1312</v>
      </c>
      <c r="L550" s="232">
        <v>45170</v>
      </c>
      <c r="M550" s="232">
        <v>45199</v>
      </c>
    </row>
    <row r="551" spans="1:13" ht="18.75" customHeight="1" x14ac:dyDescent="0.2">
      <c r="A551" s="231" t="s">
        <v>19</v>
      </c>
      <c r="B551" s="230">
        <v>113675</v>
      </c>
      <c r="C551" s="230">
        <v>10755</v>
      </c>
      <c r="D551" s="231" t="s">
        <v>912</v>
      </c>
      <c r="E551" s="230">
        <v>14491078</v>
      </c>
      <c r="F551" s="230">
        <v>31785</v>
      </c>
      <c r="G551" s="230">
        <v>25</v>
      </c>
      <c r="H551" s="240">
        <v>26.3</v>
      </c>
      <c r="I551" s="240">
        <f t="shared" si="8"/>
        <v>657.5</v>
      </c>
      <c r="J551" s="231" t="s">
        <v>1311</v>
      </c>
      <c r="K551" s="231" t="s">
        <v>1312</v>
      </c>
      <c r="L551" s="232">
        <v>45170</v>
      </c>
      <c r="M551" s="232">
        <v>45199</v>
      </c>
    </row>
    <row r="552" spans="1:13" ht="18.75" customHeight="1" x14ac:dyDescent="0.2">
      <c r="A552" s="231" t="s">
        <v>19</v>
      </c>
      <c r="B552" s="230">
        <v>113696</v>
      </c>
      <c r="C552" s="230">
        <v>10766</v>
      </c>
      <c r="D552" s="231" t="s">
        <v>1321</v>
      </c>
      <c r="E552" s="230">
        <v>14491078</v>
      </c>
      <c r="F552" s="230">
        <v>31827</v>
      </c>
      <c r="G552" s="230">
        <v>25</v>
      </c>
      <c r="H552" s="240">
        <v>26.3</v>
      </c>
      <c r="I552" s="240">
        <f t="shared" si="8"/>
        <v>657.5</v>
      </c>
      <c r="J552" s="231" t="s">
        <v>1311</v>
      </c>
      <c r="K552" s="231" t="s">
        <v>1312</v>
      </c>
      <c r="L552" s="232">
        <v>45170</v>
      </c>
      <c r="M552" s="232">
        <v>45199</v>
      </c>
    </row>
    <row r="553" spans="1:13" ht="18.75" customHeight="1" x14ac:dyDescent="0.2">
      <c r="A553" s="231" t="s">
        <v>19</v>
      </c>
      <c r="B553" s="230">
        <v>113728</v>
      </c>
      <c r="C553" s="230">
        <v>10763</v>
      </c>
      <c r="D553" s="231" t="s">
        <v>946</v>
      </c>
      <c r="E553" s="230">
        <v>14491078</v>
      </c>
      <c r="F553" s="230">
        <v>31891</v>
      </c>
      <c r="G553" s="230">
        <v>25</v>
      </c>
      <c r="H553" s="240">
        <v>26.3</v>
      </c>
      <c r="I553" s="240">
        <f t="shared" si="8"/>
        <v>657.5</v>
      </c>
      <c r="J553" s="231" t="s">
        <v>1311</v>
      </c>
      <c r="K553" s="231" t="s">
        <v>1312</v>
      </c>
      <c r="L553" s="232">
        <v>45170</v>
      </c>
      <c r="M553" s="232">
        <v>45199</v>
      </c>
    </row>
    <row r="554" spans="1:13" ht="18.75" customHeight="1" x14ac:dyDescent="0.2">
      <c r="A554" s="231" t="s">
        <v>19</v>
      </c>
      <c r="B554" s="230">
        <v>114092</v>
      </c>
      <c r="C554" s="230">
        <v>10763</v>
      </c>
      <c r="D554" s="231" t="s">
        <v>1004</v>
      </c>
      <c r="E554" s="230">
        <v>14491078</v>
      </c>
      <c r="F554" s="230">
        <v>34337</v>
      </c>
      <c r="G554" s="230">
        <v>25</v>
      </c>
      <c r="H554" s="240">
        <v>26.3</v>
      </c>
      <c r="I554" s="240">
        <f t="shared" si="8"/>
        <v>657.5</v>
      </c>
      <c r="J554" s="231" t="s">
        <v>1311</v>
      </c>
      <c r="K554" s="231" t="s">
        <v>1312</v>
      </c>
      <c r="L554" s="232">
        <v>45170</v>
      </c>
      <c r="M554" s="232">
        <v>45199</v>
      </c>
    </row>
    <row r="555" spans="1:13" ht="18.75" customHeight="1" x14ac:dyDescent="0.2">
      <c r="A555" s="231" t="s">
        <v>19</v>
      </c>
      <c r="B555" s="230">
        <v>114107</v>
      </c>
      <c r="C555" s="230">
        <v>10750</v>
      </c>
      <c r="D555" s="231" t="s">
        <v>1011</v>
      </c>
      <c r="E555" s="230">
        <v>14491078</v>
      </c>
      <c r="F555" s="230">
        <v>34364</v>
      </c>
      <c r="G555" s="230">
        <v>25</v>
      </c>
      <c r="H555" s="240">
        <v>26.3</v>
      </c>
      <c r="I555" s="240">
        <f t="shared" si="8"/>
        <v>657.5</v>
      </c>
      <c r="J555" s="231" t="s">
        <v>1311</v>
      </c>
      <c r="K555" s="231" t="s">
        <v>1312</v>
      </c>
      <c r="L555" s="232">
        <v>45170</v>
      </c>
      <c r="M555" s="232">
        <v>45199</v>
      </c>
    </row>
    <row r="556" spans="1:13" ht="18.75" customHeight="1" x14ac:dyDescent="0.2">
      <c r="A556" s="231" t="s">
        <v>19</v>
      </c>
      <c r="B556" s="230">
        <v>114231</v>
      </c>
      <c r="C556" s="230">
        <v>10771</v>
      </c>
      <c r="D556" s="231" t="s">
        <v>1019</v>
      </c>
      <c r="E556" s="230">
        <v>14491078</v>
      </c>
      <c r="F556" s="230">
        <v>35716</v>
      </c>
      <c r="G556" s="230">
        <v>25</v>
      </c>
      <c r="H556" s="240">
        <v>26.3</v>
      </c>
      <c r="I556" s="240">
        <f t="shared" si="8"/>
        <v>657.5</v>
      </c>
      <c r="J556" s="231" t="s">
        <v>1311</v>
      </c>
      <c r="K556" s="231" t="s">
        <v>1312</v>
      </c>
      <c r="L556" s="232">
        <v>45170</v>
      </c>
      <c r="M556" s="232">
        <v>45199</v>
      </c>
    </row>
    <row r="557" spans="1:13" ht="18.75" customHeight="1" x14ac:dyDescent="0.2">
      <c r="A557" s="231" t="s">
        <v>19</v>
      </c>
      <c r="B557" s="230">
        <v>114263</v>
      </c>
      <c r="C557" s="230">
        <v>10751</v>
      </c>
      <c r="D557" s="231" t="s">
        <v>1029</v>
      </c>
      <c r="E557" s="230">
        <v>14491078</v>
      </c>
      <c r="F557" s="230">
        <v>35806</v>
      </c>
      <c r="G557" s="230">
        <v>25</v>
      </c>
      <c r="H557" s="240">
        <v>26.3</v>
      </c>
      <c r="I557" s="240">
        <f t="shared" si="8"/>
        <v>657.5</v>
      </c>
      <c r="J557" s="231" t="s">
        <v>1311</v>
      </c>
      <c r="K557" s="231" t="s">
        <v>1312</v>
      </c>
      <c r="L557" s="232">
        <v>45170</v>
      </c>
      <c r="M557" s="232">
        <v>45199</v>
      </c>
    </row>
    <row r="558" spans="1:13" ht="18.75" customHeight="1" x14ac:dyDescent="0.2">
      <c r="A558" s="231" t="s">
        <v>19</v>
      </c>
      <c r="B558" s="230">
        <v>114548</v>
      </c>
      <c r="C558" s="230">
        <v>10750</v>
      </c>
      <c r="D558" s="231" t="s">
        <v>1059</v>
      </c>
      <c r="E558" s="230">
        <v>14491078</v>
      </c>
      <c r="F558" s="230">
        <v>36374</v>
      </c>
      <c r="G558" s="230">
        <v>24</v>
      </c>
      <c r="H558" s="240">
        <v>26.3</v>
      </c>
      <c r="I558" s="240">
        <f t="shared" si="8"/>
        <v>631.20000000000005</v>
      </c>
      <c r="J558" s="231" t="s">
        <v>1311</v>
      </c>
      <c r="K558" s="231" t="s">
        <v>1312</v>
      </c>
      <c r="L558" s="232">
        <v>45170</v>
      </c>
      <c r="M558" s="232">
        <v>45199</v>
      </c>
    </row>
    <row r="559" spans="1:13" ht="18.75" customHeight="1" x14ac:dyDescent="0.2">
      <c r="A559" s="231" t="s">
        <v>19</v>
      </c>
      <c r="B559" s="230">
        <v>114683</v>
      </c>
      <c r="C559" s="230">
        <v>10750</v>
      </c>
      <c r="D559" s="231" t="s">
        <v>1068</v>
      </c>
      <c r="E559" s="230">
        <v>14491078</v>
      </c>
      <c r="F559" s="230">
        <v>36814</v>
      </c>
      <c r="G559" s="230">
        <v>25</v>
      </c>
      <c r="H559" s="240">
        <v>26.3</v>
      </c>
      <c r="I559" s="240">
        <f t="shared" si="8"/>
        <v>657.5</v>
      </c>
      <c r="J559" s="231" t="s">
        <v>1311</v>
      </c>
      <c r="K559" s="231" t="s">
        <v>1312</v>
      </c>
      <c r="L559" s="232">
        <v>45170</v>
      </c>
      <c r="M559" s="232">
        <v>45199</v>
      </c>
    </row>
    <row r="560" spans="1:13" ht="18.75" customHeight="1" x14ac:dyDescent="0.2">
      <c r="A560" s="231" t="s">
        <v>19</v>
      </c>
      <c r="B560" s="230">
        <v>114687</v>
      </c>
      <c r="C560" s="230">
        <v>10754</v>
      </c>
      <c r="D560" s="231" t="s">
        <v>1071</v>
      </c>
      <c r="E560" s="230">
        <v>14491078</v>
      </c>
      <c r="F560" s="230">
        <v>36822</v>
      </c>
      <c r="G560" s="230">
        <v>25</v>
      </c>
      <c r="H560" s="240">
        <v>26.3</v>
      </c>
      <c r="I560" s="240">
        <f t="shared" si="8"/>
        <v>657.5</v>
      </c>
      <c r="J560" s="231" t="s">
        <v>1311</v>
      </c>
      <c r="K560" s="231" t="s">
        <v>1312</v>
      </c>
      <c r="L560" s="232">
        <v>45170</v>
      </c>
      <c r="M560" s="232">
        <v>45199</v>
      </c>
    </row>
    <row r="561" spans="1:13" ht="18.75" customHeight="1" x14ac:dyDescent="0.2">
      <c r="A561" s="231" t="s">
        <v>19</v>
      </c>
      <c r="B561" s="230">
        <v>114695</v>
      </c>
      <c r="C561" s="230">
        <v>10750</v>
      </c>
      <c r="D561" s="231" t="s">
        <v>1074</v>
      </c>
      <c r="E561" s="230">
        <v>14491078</v>
      </c>
      <c r="F561" s="230">
        <v>36839</v>
      </c>
      <c r="G561" s="230">
        <v>25</v>
      </c>
      <c r="H561" s="240">
        <v>26.3</v>
      </c>
      <c r="I561" s="240">
        <f t="shared" si="8"/>
        <v>657.5</v>
      </c>
      <c r="J561" s="231" t="s">
        <v>1311</v>
      </c>
      <c r="K561" s="231" t="s">
        <v>1312</v>
      </c>
      <c r="L561" s="232">
        <v>45170</v>
      </c>
      <c r="M561" s="232">
        <v>45199</v>
      </c>
    </row>
    <row r="562" spans="1:13" ht="18.75" customHeight="1" x14ac:dyDescent="0.2">
      <c r="A562" s="231" t="s">
        <v>19</v>
      </c>
      <c r="B562" s="230">
        <v>115218</v>
      </c>
      <c r="C562" s="230">
        <v>10758</v>
      </c>
      <c r="D562" s="231" t="s">
        <v>1147</v>
      </c>
      <c r="E562" s="230">
        <v>14491078</v>
      </c>
      <c r="F562" s="230">
        <v>38484</v>
      </c>
      <c r="G562" s="230">
        <v>25</v>
      </c>
      <c r="H562" s="240">
        <v>26.3</v>
      </c>
      <c r="I562" s="240">
        <f t="shared" si="8"/>
        <v>657.5</v>
      </c>
      <c r="J562" s="231" t="s">
        <v>1311</v>
      </c>
      <c r="K562" s="231" t="s">
        <v>1312</v>
      </c>
      <c r="L562" s="232">
        <v>45170</v>
      </c>
      <c r="M562" s="232">
        <v>45199</v>
      </c>
    </row>
    <row r="563" spans="1:13" ht="18.75" customHeight="1" x14ac:dyDescent="0.2">
      <c r="A563" s="231" t="s">
        <v>19</v>
      </c>
      <c r="B563" s="230">
        <v>115225</v>
      </c>
      <c r="C563" s="230">
        <v>10760</v>
      </c>
      <c r="D563" s="231" t="s">
        <v>1150</v>
      </c>
      <c r="E563" s="230">
        <v>14491078</v>
      </c>
      <c r="F563" s="230">
        <v>38502</v>
      </c>
      <c r="G563" s="230">
        <v>25</v>
      </c>
      <c r="H563" s="240">
        <v>26.3</v>
      </c>
      <c r="I563" s="240">
        <f t="shared" si="8"/>
        <v>657.5</v>
      </c>
      <c r="J563" s="231" t="s">
        <v>1311</v>
      </c>
      <c r="K563" s="231" t="s">
        <v>1312</v>
      </c>
      <c r="L563" s="232">
        <v>45170</v>
      </c>
      <c r="M563" s="232">
        <v>45199</v>
      </c>
    </row>
    <row r="564" spans="1:13" ht="18.75" customHeight="1" x14ac:dyDescent="0.2">
      <c r="A564" s="231" t="s">
        <v>19</v>
      </c>
      <c r="B564" s="230">
        <v>115409</v>
      </c>
      <c r="C564" s="230">
        <v>10757</v>
      </c>
      <c r="D564" s="231" t="s">
        <v>1162</v>
      </c>
      <c r="E564" s="230">
        <v>14491078</v>
      </c>
      <c r="F564" s="230">
        <v>39025</v>
      </c>
      <c r="G564" s="230">
        <v>21</v>
      </c>
      <c r="H564" s="240">
        <v>26.3</v>
      </c>
      <c r="I564" s="240">
        <f t="shared" si="8"/>
        <v>552.30000000000007</v>
      </c>
      <c r="J564" s="231" t="s">
        <v>1311</v>
      </c>
      <c r="K564" s="231" t="s">
        <v>1312</v>
      </c>
      <c r="L564" s="232">
        <v>45170</v>
      </c>
      <c r="M564" s="232">
        <v>45199</v>
      </c>
    </row>
    <row r="565" spans="1:13" ht="18.75" customHeight="1" x14ac:dyDescent="0.2">
      <c r="A565" s="231" t="s">
        <v>19</v>
      </c>
      <c r="B565" s="230">
        <v>115413</v>
      </c>
      <c r="C565" s="230">
        <v>10757</v>
      </c>
      <c r="D565" s="231" t="s">
        <v>1163</v>
      </c>
      <c r="E565" s="230">
        <v>14491078</v>
      </c>
      <c r="F565" s="230">
        <v>39034</v>
      </c>
      <c r="G565" s="230">
        <v>25</v>
      </c>
      <c r="H565" s="240">
        <v>26.3</v>
      </c>
      <c r="I565" s="240">
        <f t="shared" si="8"/>
        <v>657.5</v>
      </c>
      <c r="J565" s="231" t="s">
        <v>1311</v>
      </c>
      <c r="K565" s="231" t="s">
        <v>1312</v>
      </c>
      <c r="L565" s="232">
        <v>45170</v>
      </c>
      <c r="M565" s="232">
        <v>45199</v>
      </c>
    </row>
    <row r="566" spans="1:13" ht="18.75" customHeight="1" x14ac:dyDescent="0.2">
      <c r="A566" s="231" t="s">
        <v>19</v>
      </c>
      <c r="B566" s="230">
        <v>115447</v>
      </c>
      <c r="C566" s="230">
        <v>10771</v>
      </c>
      <c r="D566" s="231" t="s">
        <v>1550</v>
      </c>
      <c r="E566" s="230">
        <v>14491078</v>
      </c>
      <c r="F566" s="230">
        <v>39175</v>
      </c>
      <c r="G566" s="230">
        <v>25</v>
      </c>
      <c r="H566" s="240">
        <v>26.3</v>
      </c>
      <c r="I566" s="240">
        <f t="shared" si="8"/>
        <v>657.5</v>
      </c>
      <c r="J566" s="231" t="s">
        <v>1311</v>
      </c>
      <c r="K566" s="231" t="s">
        <v>1312</v>
      </c>
      <c r="L566" s="232">
        <v>45170</v>
      </c>
      <c r="M566" s="232">
        <v>45199</v>
      </c>
    </row>
    <row r="567" spans="1:13" ht="18.75" customHeight="1" x14ac:dyDescent="0.2">
      <c r="A567" s="231" t="s">
        <v>19</v>
      </c>
      <c r="B567" s="230">
        <v>116228</v>
      </c>
      <c r="C567" s="230">
        <v>10766</v>
      </c>
      <c r="D567" s="231" t="s">
        <v>1196</v>
      </c>
      <c r="E567" s="230">
        <v>14491078</v>
      </c>
      <c r="F567" s="230">
        <v>41663</v>
      </c>
      <c r="G567" s="230">
        <v>25</v>
      </c>
      <c r="H567" s="240">
        <v>26.3</v>
      </c>
      <c r="I567" s="240">
        <f t="shared" si="8"/>
        <v>657.5</v>
      </c>
      <c r="J567" s="231" t="s">
        <v>1311</v>
      </c>
      <c r="K567" s="231" t="s">
        <v>1312</v>
      </c>
      <c r="L567" s="232">
        <v>45170</v>
      </c>
      <c r="M567" s="232">
        <v>45199</v>
      </c>
    </row>
    <row r="568" spans="1:13" ht="18.75" customHeight="1" x14ac:dyDescent="0.2">
      <c r="A568" s="231" t="s">
        <v>19</v>
      </c>
      <c r="B568" s="230">
        <v>116384</v>
      </c>
      <c r="C568" s="230">
        <v>10761</v>
      </c>
      <c r="D568" s="231" t="s">
        <v>1213</v>
      </c>
      <c r="E568" s="230">
        <v>14491078</v>
      </c>
      <c r="F568" s="230">
        <v>42039</v>
      </c>
      <c r="G568" s="230">
        <v>25</v>
      </c>
      <c r="H568" s="240">
        <v>26.3</v>
      </c>
      <c r="I568" s="240">
        <f t="shared" si="8"/>
        <v>657.5</v>
      </c>
      <c r="J568" s="231" t="s">
        <v>1311</v>
      </c>
      <c r="K568" s="231" t="s">
        <v>1312</v>
      </c>
      <c r="L568" s="232">
        <v>45170</v>
      </c>
      <c r="M568" s="232">
        <v>45199</v>
      </c>
    </row>
    <row r="569" spans="1:13" ht="18.75" customHeight="1" x14ac:dyDescent="0.2">
      <c r="A569" s="231" t="s">
        <v>19</v>
      </c>
      <c r="B569" s="230">
        <v>116713</v>
      </c>
      <c r="C569" s="230">
        <v>10750</v>
      </c>
      <c r="D569" s="231" t="s">
        <v>1219</v>
      </c>
      <c r="E569" s="230">
        <v>14491078</v>
      </c>
      <c r="F569" s="230">
        <v>42812</v>
      </c>
      <c r="G569" s="230">
        <v>25</v>
      </c>
      <c r="H569" s="240">
        <v>26.3</v>
      </c>
      <c r="I569" s="240">
        <f t="shared" si="8"/>
        <v>657.5</v>
      </c>
      <c r="J569" s="231" t="s">
        <v>1311</v>
      </c>
      <c r="K569" s="231" t="s">
        <v>1312</v>
      </c>
      <c r="L569" s="232">
        <v>45170</v>
      </c>
      <c r="M569" s="232">
        <v>45199</v>
      </c>
    </row>
    <row r="570" spans="1:13" ht="18.75" customHeight="1" x14ac:dyDescent="0.2">
      <c r="A570" s="231" t="s">
        <v>19</v>
      </c>
      <c r="B570" s="230">
        <v>116718</v>
      </c>
      <c r="C570" s="230">
        <v>10750</v>
      </c>
      <c r="D570" s="231" t="s">
        <v>1221</v>
      </c>
      <c r="E570" s="230">
        <v>14491078</v>
      </c>
      <c r="F570" s="230">
        <v>42822</v>
      </c>
      <c r="G570" s="230">
        <v>25</v>
      </c>
      <c r="H570" s="240">
        <v>26.3</v>
      </c>
      <c r="I570" s="240">
        <f t="shared" si="8"/>
        <v>657.5</v>
      </c>
      <c r="J570" s="231" t="s">
        <v>1311</v>
      </c>
      <c r="K570" s="231" t="s">
        <v>1312</v>
      </c>
      <c r="L570" s="232">
        <v>45170</v>
      </c>
      <c r="M570" s="232">
        <v>45199</v>
      </c>
    </row>
    <row r="571" spans="1:13" ht="18.75" customHeight="1" x14ac:dyDescent="0.2">
      <c r="A571" s="231" t="s">
        <v>19</v>
      </c>
      <c r="B571" s="230">
        <v>116726</v>
      </c>
      <c r="C571" s="230">
        <v>10754</v>
      </c>
      <c r="D571" s="231" t="s">
        <v>1223</v>
      </c>
      <c r="E571" s="230">
        <v>14491078</v>
      </c>
      <c r="F571" s="230">
        <v>42840</v>
      </c>
      <c r="G571" s="230">
        <v>20</v>
      </c>
      <c r="H571" s="240">
        <v>26.3</v>
      </c>
      <c r="I571" s="240">
        <f t="shared" si="8"/>
        <v>526</v>
      </c>
      <c r="J571" s="231" t="s">
        <v>1311</v>
      </c>
      <c r="K571" s="231" t="s">
        <v>1312</v>
      </c>
      <c r="L571" s="232">
        <v>45170</v>
      </c>
      <c r="M571" s="232">
        <v>45199</v>
      </c>
    </row>
    <row r="572" spans="1:13" ht="18.75" customHeight="1" x14ac:dyDescent="0.2">
      <c r="A572" s="231" t="s">
        <v>19</v>
      </c>
      <c r="B572" s="230">
        <v>117241</v>
      </c>
      <c r="C572" s="230">
        <v>10745</v>
      </c>
      <c r="D572" s="231" t="s">
        <v>1263</v>
      </c>
      <c r="E572" s="230">
        <v>14491078</v>
      </c>
      <c r="F572" s="230">
        <v>44099</v>
      </c>
      <c r="G572" s="230">
        <v>25</v>
      </c>
      <c r="H572" s="240">
        <v>26.3</v>
      </c>
      <c r="I572" s="240">
        <f t="shared" si="8"/>
        <v>657.5</v>
      </c>
      <c r="J572" s="231" t="s">
        <v>1311</v>
      </c>
      <c r="K572" s="231" t="s">
        <v>1312</v>
      </c>
      <c r="L572" s="232">
        <v>45170</v>
      </c>
      <c r="M572" s="232">
        <v>45199</v>
      </c>
    </row>
    <row r="573" spans="1:13" ht="18.75" customHeight="1" x14ac:dyDescent="0.2">
      <c r="A573" s="231" t="s">
        <v>19</v>
      </c>
      <c r="B573" s="230">
        <v>117412</v>
      </c>
      <c r="C573" s="230">
        <v>10751</v>
      </c>
      <c r="D573" s="231" t="s">
        <v>1279</v>
      </c>
      <c r="E573" s="230">
        <v>14491078</v>
      </c>
      <c r="F573" s="230">
        <v>44525</v>
      </c>
      <c r="G573" s="230">
        <v>25</v>
      </c>
      <c r="H573" s="240">
        <v>26.3</v>
      </c>
      <c r="I573" s="240">
        <f t="shared" si="8"/>
        <v>657.5</v>
      </c>
      <c r="J573" s="231" t="s">
        <v>1311</v>
      </c>
      <c r="K573" s="231" t="s">
        <v>1312</v>
      </c>
      <c r="L573" s="232">
        <v>45170</v>
      </c>
      <c r="M573" s="232">
        <v>45199</v>
      </c>
    </row>
    <row r="574" spans="1:13" ht="18.75" customHeight="1" x14ac:dyDescent="0.2">
      <c r="A574" s="231" t="s">
        <v>19</v>
      </c>
      <c r="B574" s="230">
        <v>118051</v>
      </c>
      <c r="C574" s="230">
        <v>10757</v>
      </c>
      <c r="D574" s="231" t="s">
        <v>1432</v>
      </c>
      <c r="E574" s="230">
        <v>14491078</v>
      </c>
      <c r="F574" s="230">
        <v>45891</v>
      </c>
      <c r="G574" s="230">
        <v>25</v>
      </c>
      <c r="H574" s="240">
        <v>26.3</v>
      </c>
      <c r="I574" s="240">
        <f t="shared" si="8"/>
        <v>657.5</v>
      </c>
      <c r="J574" s="231" t="s">
        <v>1311</v>
      </c>
      <c r="K574" s="231" t="s">
        <v>1312</v>
      </c>
      <c r="L574" s="232">
        <v>45170</v>
      </c>
      <c r="M574" s="232">
        <v>45199</v>
      </c>
    </row>
    <row r="575" spans="1:13" ht="18.75" customHeight="1" x14ac:dyDescent="0.2">
      <c r="A575" s="231" t="s">
        <v>19</v>
      </c>
      <c r="B575" s="230">
        <v>119107</v>
      </c>
      <c r="C575" s="230">
        <v>10760</v>
      </c>
      <c r="D575" s="231" t="s">
        <v>1447</v>
      </c>
      <c r="E575" s="230">
        <v>14491078</v>
      </c>
      <c r="F575" s="230">
        <v>48237</v>
      </c>
      <c r="G575" s="230">
        <v>25</v>
      </c>
      <c r="H575" s="240">
        <v>26.3</v>
      </c>
      <c r="I575" s="240">
        <f t="shared" si="8"/>
        <v>657.5</v>
      </c>
      <c r="J575" s="231" t="s">
        <v>1311</v>
      </c>
      <c r="K575" s="231" t="s">
        <v>1312</v>
      </c>
      <c r="L575" s="232">
        <v>45170</v>
      </c>
      <c r="M575" s="232">
        <v>45199</v>
      </c>
    </row>
    <row r="576" spans="1:13" ht="18.75" customHeight="1" x14ac:dyDescent="0.2">
      <c r="A576" s="231" t="s">
        <v>19</v>
      </c>
      <c r="B576" s="230">
        <v>119117</v>
      </c>
      <c r="C576" s="230">
        <v>10757</v>
      </c>
      <c r="D576" s="231" t="s">
        <v>1450</v>
      </c>
      <c r="E576" s="230">
        <v>14491078</v>
      </c>
      <c r="F576" s="230">
        <v>48257</v>
      </c>
      <c r="G576" s="230">
        <v>25</v>
      </c>
      <c r="H576" s="240">
        <v>26.3</v>
      </c>
      <c r="I576" s="240">
        <f t="shared" si="8"/>
        <v>657.5</v>
      </c>
      <c r="J576" s="231" t="s">
        <v>1311</v>
      </c>
      <c r="K576" s="231" t="s">
        <v>1315</v>
      </c>
      <c r="L576" s="232">
        <v>45170</v>
      </c>
      <c r="M576" s="232">
        <v>45199</v>
      </c>
    </row>
    <row r="577" spans="1:13" ht="18.75" customHeight="1" x14ac:dyDescent="0.2">
      <c r="A577" s="231" t="s">
        <v>19</v>
      </c>
      <c r="B577" s="230">
        <v>119642</v>
      </c>
      <c r="C577" s="230">
        <v>10757</v>
      </c>
      <c r="D577" s="231" t="s">
        <v>1469</v>
      </c>
      <c r="E577" s="230">
        <v>14491078</v>
      </c>
      <c r="F577" s="230">
        <v>49600</v>
      </c>
      <c r="G577" s="230">
        <v>25</v>
      </c>
      <c r="H577" s="240">
        <v>26.3</v>
      </c>
      <c r="I577" s="240">
        <f t="shared" si="8"/>
        <v>657.5</v>
      </c>
      <c r="J577" s="231" t="s">
        <v>1311</v>
      </c>
      <c r="K577" s="231" t="s">
        <v>1312</v>
      </c>
      <c r="L577" s="232">
        <v>45170</v>
      </c>
      <c r="M577" s="232">
        <v>45199</v>
      </c>
    </row>
    <row r="578" spans="1:13" ht="18.75" customHeight="1" x14ac:dyDescent="0.2">
      <c r="A578" s="231" t="s">
        <v>19</v>
      </c>
      <c r="B578" s="230">
        <v>119644</v>
      </c>
      <c r="C578" s="230">
        <v>10757</v>
      </c>
      <c r="D578" s="231" t="s">
        <v>1462</v>
      </c>
      <c r="E578" s="230">
        <v>14491078</v>
      </c>
      <c r="F578" s="230">
        <v>49604</v>
      </c>
      <c r="G578" s="230">
        <v>25</v>
      </c>
      <c r="H578" s="240">
        <v>26.3</v>
      </c>
      <c r="I578" s="240">
        <f t="shared" si="8"/>
        <v>657.5</v>
      </c>
      <c r="J578" s="231" t="s">
        <v>1311</v>
      </c>
      <c r="K578" s="231" t="s">
        <v>1312</v>
      </c>
      <c r="L578" s="232">
        <v>45170</v>
      </c>
      <c r="M578" s="232">
        <v>45199</v>
      </c>
    </row>
    <row r="579" spans="1:13" ht="18.75" customHeight="1" x14ac:dyDescent="0.2">
      <c r="A579" s="231" t="s">
        <v>19</v>
      </c>
      <c r="B579" s="230">
        <v>119678</v>
      </c>
      <c r="C579" s="230">
        <v>10761</v>
      </c>
      <c r="D579" s="231" t="s">
        <v>1482</v>
      </c>
      <c r="E579" s="230">
        <v>14491078</v>
      </c>
      <c r="F579" s="230">
        <v>49686</v>
      </c>
      <c r="G579" s="230">
        <v>25</v>
      </c>
      <c r="H579" s="240">
        <v>26.3</v>
      </c>
      <c r="I579" s="240">
        <f t="shared" ref="I579:I642" si="9">G579*H579</f>
        <v>657.5</v>
      </c>
      <c r="J579" s="231" t="s">
        <v>1311</v>
      </c>
      <c r="K579" s="231" t="s">
        <v>1312</v>
      </c>
      <c r="L579" s="232">
        <v>45170</v>
      </c>
      <c r="M579" s="232">
        <v>45199</v>
      </c>
    </row>
    <row r="580" spans="1:13" ht="18.75" customHeight="1" x14ac:dyDescent="0.2">
      <c r="A580" s="231" t="s">
        <v>19</v>
      </c>
      <c r="B580" s="230">
        <v>120172</v>
      </c>
      <c r="C580" s="230">
        <v>10766</v>
      </c>
      <c r="D580" s="231" t="s">
        <v>1509</v>
      </c>
      <c r="E580" s="230">
        <v>14491078</v>
      </c>
      <c r="F580" s="230">
        <v>50891</v>
      </c>
      <c r="G580" s="230">
        <v>25</v>
      </c>
      <c r="H580" s="240">
        <v>26.3</v>
      </c>
      <c r="I580" s="240">
        <f t="shared" si="9"/>
        <v>657.5</v>
      </c>
      <c r="J580" s="231" t="s">
        <v>1311</v>
      </c>
      <c r="K580" s="231" t="s">
        <v>1312</v>
      </c>
      <c r="L580" s="232">
        <v>45170</v>
      </c>
      <c r="M580" s="232">
        <v>45199</v>
      </c>
    </row>
    <row r="581" spans="1:13" ht="18.75" customHeight="1" x14ac:dyDescent="0.2">
      <c r="A581" s="231" t="s">
        <v>19</v>
      </c>
      <c r="B581" s="230">
        <v>120188</v>
      </c>
      <c r="C581" s="230">
        <v>10758</v>
      </c>
      <c r="D581" s="231" t="s">
        <v>1507</v>
      </c>
      <c r="E581" s="230">
        <v>14491078</v>
      </c>
      <c r="F581" s="230">
        <v>50928</v>
      </c>
      <c r="G581" s="230">
        <v>25</v>
      </c>
      <c r="H581" s="240">
        <v>26.3</v>
      </c>
      <c r="I581" s="240">
        <f t="shared" si="9"/>
        <v>657.5</v>
      </c>
      <c r="J581" s="231" t="s">
        <v>1311</v>
      </c>
      <c r="K581" s="231" t="s">
        <v>1312</v>
      </c>
      <c r="L581" s="232">
        <v>45170</v>
      </c>
      <c r="M581" s="232">
        <v>45199</v>
      </c>
    </row>
    <row r="582" spans="1:13" ht="18.75" customHeight="1" x14ac:dyDescent="0.2">
      <c r="A582" s="231" t="s">
        <v>19</v>
      </c>
      <c r="B582" s="230">
        <v>121024</v>
      </c>
      <c r="C582" s="230">
        <v>10750</v>
      </c>
      <c r="D582" s="231" t="s">
        <v>1523</v>
      </c>
      <c r="E582" s="230">
        <v>14491078</v>
      </c>
      <c r="F582" s="230">
        <v>52798</v>
      </c>
      <c r="G582" s="230">
        <v>25</v>
      </c>
      <c r="H582" s="240">
        <v>26.3</v>
      </c>
      <c r="I582" s="240">
        <f t="shared" si="9"/>
        <v>657.5</v>
      </c>
      <c r="J582" s="231" t="s">
        <v>1311</v>
      </c>
      <c r="K582" s="231" t="s">
        <v>1312</v>
      </c>
      <c r="L582" s="232">
        <v>45170</v>
      </c>
      <c r="M582" s="232">
        <v>45199</v>
      </c>
    </row>
    <row r="583" spans="1:13" ht="18.75" customHeight="1" x14ac:dyDescent="0.2">
      <c r="A583" s="231" t="s">
        <v>19</v>
      </c>
      <c r="B583" s="230">
        <v>121315</v>
      </c>
      <c r="C583" s="230">
        <v>10750</v>
      </c>
      <c r="D583" s="231" t="s">
        <v>1543</v>
      </c>
      <c r="E583" s="230">
        <v>14491078</v>
      </c>
      <c r="F583" s="230">
        <v>53485</v>
      </c>
      <c r="G583" s="230">
        <v>25</v>
      </c>
      <c r="H583" s="240">
        <v>26.3</v>
      </c>
      <c r="I583" s="240">
        <f t="shared" si="9"/>
        <v>657.5</v>
      </c>
      <c r="J583" s="231" t="s">
        <v>1311</v>
      </c>
      <c r="K583" s="231" t="s">
        <v>1312</v>
      </c>
      <c r="L583" s="232">
        <v>45170</v>
      </c>
      <c r="M583" s="232">
        <v>45199</v>
      </c>
    </row>
    <row r="584" spans="1:13" ht="18.75" customHeight="1" x14ac:dyDescent="0.2">
      <c r="A584" s="231" t="s">
        <v>19</v>
      </c>
      <c r="B584" s="230">
        <v>121321</v>
      </c>
      <c r="C584" s="230">
        <v>10750</v>
      </c>
      <c r="D584" s="231" t="s">
        <v>1539</v>
      </c>
      <c r="E584" s="230">
        <v>14491078</v>
      </c>
      <c r="F584" s="230">
        <v>53497</v>
      </c>
      <c r="G584" s="230">
        <v>25</v>
      </c>
      <c r="H584" s="240">
        <v>26.3</v>
      </c>
      <c r="I584" s="240">
        <f t="shared" si="9"/>
        <v>657.5</v>
      </c>
      <c r="J584" s="231" t="s">
        <v>1311</v>
      </c>
      <c r="K584" s="231" t="s">
        <v>1312</v>
      </c>
      <c r="L584" s="232">
        <v>45170</v>
      </c>
      <c r="M584" s="232">
        <v>45199</v>
      </c>
    </row>
    <row r="585" spans="1:13" ht="18.75" customHeight="1" x14ac:dyDescent="0.2">
      <c r="A585" s="231" t="s">
        <v>19</v>
      </c>
      <c r="B585" s="230">
        <v>121327</v>
      </c>
      <c r="C585" s="230">
        <v>10757</v>
      </c>
      <c r="D585" s="231" t="s">
        <v>1546</v>
      </c>
      <c r="E585" s="230">
        <v>14491078</v>
      </c>
      <c r="F585" s="230">
        <v>53505</v>
      </c>
      <c r="G585" s="230">
        <v>25</v>
      </c>
      <c r="H585" s="240">
        <v>26.3</v>
      </c>
      <c r="I585" s="240">
        <f t="shared" si="9"/>
        <v>657.5</v>
      </c>
      <c r="J585" s="231" t="s">
        <v>1311</v>
      </c>
      <c r="K585" s="231" t="s">
        <v>1315</v>
      </c>
      <c r="L585" s="232">
        <v>45170</v>
      </c>
      <c r="M585" s="232">
        <v>45199</v>
      </c>
    </row>
    <row r="586" spans="1:13" ht="18.75" customHeight="1" x14ac:dyDescent="0.2">
      <c r="A586" s="231" t="s">
        <v>19</v>
      </c>
      <c r="B586" s="230">
        <v>121414</v>
      </c>
      <c r="C586" s="230">
        <v>10755</v>
      </c>
      <c r="D586" s="231" t="s">
        <v>1570</v>
      </c>
      <c r="E586" s="230">
        <v>14491078</v>
      </c>
      <c r="F586" s="230">
        <v>53709</v>
      </c>
      <c r="G586" s="230">
        <v>25</v>
      </c>
      <c r="H586" s="240">
        <v>26.3</v>
      </c>
      <c r="I586" s="240">
        <f t="shared" si="9"/>
        <v>657.5</v>
      </c>
      <c r="J586" s="231" t="s">
        <v>1311</v>
      </c>
      <c r="K586" s="231" t="s">
        <v>1312</v>
      </c>
      <c r="L586" s="232">
        <v>45170</v>
      </c>
      <c r="M586" s="232">
        <v>45199</v>
      </c>
    </row>
    <row r="587" spans="1:13" ht="18.75" customHeight="1" x14ac:dyDescent="0.2">
      <c r="A587" s="231" t="s">
        <v>19</v>
      </c>
      <c r="B587" s="230">
        <v>121458</v>
      </c>
      <c r="C587" s="230">
        <v>10755</v>
      </c>
      <c r="D587" s="231" t="s">
        <v>1579</v>
      </c>
      <c r="E587" s="230">
        <v>14491078</v>
      </c>
      <c r="F587" s="230">
        <v>53797</v>
      </c>
      <c r="G587" s="230">
        <v>25</v>
      </c>
      <c r="H587" s="240">
        <v>26.3</v>
      </c>
      <c r="I587" s="240">
        <f t="shared" si="9"/>
        <v>657.5</v>
      </c>
      <c r="J587" s="231" t="s">
        <v>1311</v>
      </c>
      <c r="K587" s="231" t="s">
        <v>1312</v>
      </c>
      <c r="L587" s="232">
        <v>45170</v>
      </c>
      <c r="M587" s="232">
        <v>45199</v>
      </c>
    </row>
    <row r="588" spans="1:13" ht="18.75" customHeight="1" x14ac:dyDescent="0.2">
      <c r="A588" s="231" t="s">
        <v>19</v>
      </c>
      <c r="B588" s="230">
        <v>121460</v>
      </c>
      <c r="C588" s="230">
        <v>10755</v>
      </c>
      <c r="D588" s="231" t="s">
        <v>1580</v>
      </c>
      <c r="E588" s="230">
        <v>14491078</v>
      </c>
      <c r="F588" s="230">
        <v>53801</v>
      </c>
      <c r="G588" s="230">
        <v>24</v>
      </c>
      <c r="H588" s="240">
        <v>26.3</v>
      </c>
      <c r="I588" s="240">
        <f t="shared" si="9"/>
        <v>631.20000000000005</v>
      </c>
      <c r="J588" s="231" t="s">
        <v>1311</v>
      </c>
      <c r="K588" s="231" t="s">
        <v>1312</v>
      </c>
      <c r="L588" s="232">
        <v>45170</v>
      </c>
      <c r="M588" s="232">
        <v>45199</v>
      </c>
    </row>
    <row r="589" spans="1:13" ht="18.75" customHeight="1" x14ac:dyDescent="0.2">
      <c r="A589" s="231" t="s">
        <v>19</v>
      </c>
      <c r="B589" s="230">
        <v>121480</v>
      </c>
      <c r="C589" s="230">
        <v>10755</v>
      </c>
      <c r="D589" s="231" t="s">
        <v>1581</v>
      </c>
      <c r="E589" s="230">
        <v>14491078</v>
      </c>
      <c r="F589" s="230">
        <v>53843</v>
      </c>
      <c r="G589" s="230">
        <v>25</v>
      </c>
      <c r="H589" s="240">
        <v>26.3</v>
      </c>
      <c r="I589" s="240">
        <f t="shared" si="9"/>
        <v>657.5</v>
      </c>
      <c r="J589" s="231" t="s">
        <v>1311</v>
      </c>
      <c r="K589" s="231" t="s">
        <v>1315</v>
      </c>
      <c r="L589" s="232">
        <v>45170</v>
      </c>
      <c r="M589" s="232">
        <v>45199</v>
      </c>
    </row>
    <row r="590" spans="1:13" ht="18.75" customHeight="1" x14ac:dyDescent="0.2">
      <c r="A590" s="231" t="s">
        <v>19</v>
      </c>
      <c r="B590" s="230">
        <v>121525</v>
      </c>
      <c r="C590" s="230">
        <v>10755</v>
      </c>
      <c r="D590" s="231" t="s">
        <v>1568</v>
      </c>
      <c r="E590" s="230">
        <v>14491078</v>
      </c>
      <c r="F590" s="230">
        <v>53949</v>
      </c>
      <c r="G590" s="230">
        <v>24</v>
      </c>
      <c r="H590" s="240">
        <v>26.3</v>
      </c>
      <c r="I590" s="240">
        <f t="shared" si="9"/>
        <v>631.20000000000005</v>
      </c>
      <c r="J590" s="231" t="s">
        <v>1311</v>
      </c>
      <c r="K590" s="231" t="s">
        <v>1312</v>
      </c>
      <c r="L590" s="232">
        <v>45170</v>
      </c>
      <c r="M590" s="232">
        <v>45199</v>
      </c>
    </row>
    <row r="591" spans="1:13" ht="18.75" customHeight="1" x14ac:dyDescent="0.2">
      <c r="A591" s="231" t="s">
        <v>19</v>
      </c>
      <c r="B591" s="230">
        <v>121853</v>
      </c>
      <c r="C591" s="230">
        <v>10755</v>
      </c>
      <c r="D591" s="231" t="s">
        <v>1631</v>
      </c>
      <c r="E591" s="230">
        <v>14491078</v>
      </c>
      <c r="F591" s="230">
        <v>54724</v>
      </c>
      <c r="G591" s="230">
        <v>18</v>
      </c>
      <c r="H591" s="240">
        <v>26.3</v>
      </c>
      <c r="I591" s="240">
        <f t="shared" si="9"/>
        <v>473.40000000000003</v>
      </c>
      <c r="J591" s="231" t="s">
        <v>1311</v>
      </c>
      <c r="K591" s="231" t="s">
        <v>1315</v>
      </c>
      <c r="L591" s="232">
        <v>45170</v>
      </c>
      <c r="M591" s="232">
        <v>45199</v>
      </c>
    </row>
    <row r="592" spans="1:13" ht="18.75" customHeight="1" x14ac:dyDescent="0.2">
      <c r="A592" s="231" t="s">
        <v>19</v>
      </c>
      <c r="B592" s="230">
        <v>122082</v>
      </c>
      <c r="C592" s="230">
        <v>10757</v>
      </c>
      <c r="D592" s="231" t="s">
        <v>1644</v>
      </c>
      <c r="E592" s="230">
        <v>14491078</v>
      </c>
      <c r="F592" s="230">
        <v>55281</v>
      </c>
      <c r="G592" s="230">
        <v>25</v>
      </c>
      <c r="H592" s="240">
        <v>26.3</v>
      </c>
      <c r="I592" s="240">
        <f t="shared" si="9"/>
        <v>657.5</v>
      </c>
      <c r="J592" s="231" t="s">
        <v>1311</v>
      </c>
      <c r="K592" s="231" t="s">
        <v>1312</v>
      </c>
      <c r="L592" s="232">
        <v>45170</v>
      </c>
      <c r="M592" s="232">
        <v>45199</v>
      </c>
    </row>
    <row r="593" spans="1:13" ht="18.75" customHeight="1" x14ac:dyDescent="0.2">
      <c r="A593" s="231" t="s">
        <v>19</v>
      </c>
      <c r="B593" s="230">
        <v>122083</v>
      </c>
      <c r="C593" s="230">
        <v>10757</v>
      </c>
      <c r="D593" s="231" t="s">
        <v>1646</v>
      </c>
      <c r="E593" s="230">
        <v>14491078</v>
      </c>
      <c r="F593" s="230">
        <v>55283</v>
      </c>
      <c r="G593" s="230">
        <v>25</v>
      </c>
      <c r="H593" s="240">
        <v>26.3</v>
      </c>
      <c r="I593" s="240">
        <f t="shared" si="9"/>
        <v>657.5</v>
      </c>
      <c r="J593" s="231" t="s">
        <v>1311</v>
      </c>
      <c r="K593" s="231" t="s">
        <v>1312</v>
      </c>
      <c r="L593" s="232">
        <v>45170</v>
      </c>
      <c r="M593" s="232">
        <v>45199</v>
      </c>
    </row>
    <row r="594" spans="1:13" ht="18.75" customHeight="1" x14ac:dyDescent="0.2">
      <c r="A594" s="231" t="s">
        <v>1589</v>
      </c>
      <c r="B594" s="230">
        <v>112177</v>
      </c>
      <c r="C594" s="230">
        <v>10761</v>
      </c>
      <c r="D594" s="231" t="s">
        <v>1323</v>
      </c>
      <c r="E594" s="230">
        <v>14491078</v>
      </c>
      <c r="F594" s="230">
        <v>28789</v>
      </c>
      <c r="G594" s="230">
        <v>25</v>
      </c>
      <c r="H594" s="240">
        <v>26.3</v>
      </c>
      <c r="I594" s="240">
        <f t="shared" si="9"/>
        <v>657.5</v>
      </c>
      <c r="J594" s="231" t="s">
        <v>1311</v>
      </c>
      <c r="K594" s="231" t="s">
        <v>1312</v>
      </c>
      <c r="L594" s="232">
        <v>45170</v>
      </c>
      <c r="M594" s="232">
        <v>45199</v>
      </c>
    </row>
    <row r="595" spans="1:13" ht="18.75" customHeight="1" x14ac:dyDescent="0.2">
      <c r="A595" s="231" t="s">
        <v>1589</v>
      </c>
      <c r="B595" s="230">
        <v>112186</v>
      </c>
      <c r="C595" s="230">
        <v>10761</v>
      </c>
      <c r="D595" s="231" t="s">
        <v>1650</v>
      </c>
      <c r="E595" s="230">
        <v>14491078</v>
      </c>
      <c r="F595" s="230">
        <v>28807</v>
      </c>
      <c r="G595" s="230">
        <v>25</v>
      </c>
      <c r="H595" s="240">
        <v>26.3</v>
      </c>
      <c r="I595" s="240">
        <f t="shared" si="9"/>
        <v>657.5</v>
      </c>
      <c r="J595" s="231" t="s">
        <v>1311</v>
      </c>
      <c r="K595" s="231" t="s">
        <v>1312</v>
      </c>
      <c r="L595" s="232">
        <v>45170</v>
      </c>
      <c r="M595" s="232">
        <v>45199</v>
      </c>
    </row>
    <row r="596" spans="1:13" ht="18.75" customHeight="1" x14ac:dyDescent="0.2">
      <c r="A596" s="231" t="s">
        <v>1589</v>
      </c>
      <c r="B596" s="230">
        <v>112187</v>
      </c>
      <c r="C596" s="230">
        <v>10761</v>
      </c>
      <c r="D596" s="231" t="s">
        <v>1324</v>
      </c>
      <c r="E596" s="230">
        <v>14491078</v>
      </c>
      <c r="F596" s="230">
        <v>28809</v>
      </c>
      <c r="G596" s="230">
        <v>25</v>
      </c>
      <c r="H596" s="240">
        <v>26.3</v>
      </c>
      <c r="I596" s="240">
        <f t="shared" si="9"/>
        <v>657.5</v>
      </c>
      <c r="J596" s="231" t="s">
        <v>1311</v>
      </c>
      <c r="K596" s="231" t="s">
        <v>1312</v>
      </c>
      <c r="L596" s="232">
        <v>45170</v>
      </c>
      <c r="M596" s="232">
        <v>45199</v>
      </c>
    </row>
    <row r="597" spans="1:13" ht="18.75" customHeight="1" x14ac:dyDescent="0.2">
      <c r="A597" s="231" t="s">
        <v>1589</v>
      </c>
      <c r="B597" s="230">
        <v>112253</v>
      </c>
      <c r="C597" s="230">
        <v>10761</v>
      </c>
      <c r="D597" s="231" t="s">
        <v>64</v>
      </c>
      <c r="E597" s="230">
        <v>14491078</v>
      </c>
      <c r="F597" s="230">
        <v>28941</v>
      </c>
      <c r="G597" s="230">
        <v>25</v>
      </c>
      <c r="H597" s="240">
        <v>26.3</v>
      </c>
      <c r="I597" s="240">
        <f t="shared" si="9"/>
        <v>657.5</v>
      </c>
      <c r="J597" s="231" t="s">
        <v>1311</v>
      </c>
      <c r="K597" s="231" t="s">
        <v>1312</v>
      </c>
      <c r="L597" s="232">
        <v>45170</v>
      </c>
      <c r="M597" s="232">
        <v>45199</v>
      </c>
    </row>
    <row r="598" spans="1:13" ht="18.75" customHeight="1" x14ac:dyDescent="0.2">
      <c r="A598" s="231" t="s">
        <v>1589</v>
      </c>
      <c r="B598" s="230">
        <v>112254</v>
      </c>
      <c r="C598" s="230">
        <v>10768</v>
      </c>
      <c r="D598" s="231" t="s">
        <v>65</v>
      </c>
      <c r="E598" s="230">
        <v>14491078</v>
      </c>
      <c r="F598" s="230">
        <v>28943</v>
      </c>
      <c r="G598" s="230">
        <v>25</v>
      </c>
      <c r="H598" s="240">
        <v>26.3</v>
      </c>
      <c r="I598" s="240">
        <f t="shared" si="9"/>
        <v>657.5</v>
      </c>
      <c r="J598" s="231" t="s">
        <v>1311</v>
      </c>
      <c r="K598" s="231" t="s">
        <v>1312</v>
      </c>
      <c r="L598" s="232">
        <v>45170</v>
      </c>
      <c r="M598" s="232">
        <v>45199</v>
      </c>
    </row>
    <row r="599" spans="1:13" ht="18.75" customHeight="1" x14ac:dyDescent="0.2">
      <c r="A599" s="231" t="s">
        <v>1589</v>
      </c>
      <c r="B599" s="230">
        <v>112256</v>
      </c>
      <c r="C599" s="230">
        <v>10755</v>
      </c>
      <c r="D599" s="231" t="s">
        <v>67</v>
      </c>
      <c r="E599" s="230">
        <v>14491078</v>
      </c>
      <c r="F599" s="230">
        <v>28947</v>
      </c>
      <c r="G599" s="230">
        <v>25</v>
      </c>
      <c r="H599" s="240">
        <v>26.3</v>
      </c>
      <c r="I599" s="240">
        <f t="shared" si="9"/>
        <v>657.5</v>
      </c>
      <c r="J599" s="231" t="s">
        <v>1311</v>
      </c>
      <c r="K599" s="231" t="s">
        <v>1312</v>
      </c>
      <c r="L599" s="232">
        <v>45170</v>
      </c>
      <c r="M599" s="232">
        <v>45199</v>
      </c>
    </row>
    <row r="600" spans="1:13" ht="18.75" customHeight="1" x14ac:dyDescent="0.2">
      <c r="A600" s="231" t="s">
        <v>1589</v>
      </c>
      <c r="B600" s="230">
        <v>112274</v>
      </c>
      <c r="C600" s="230">
        <v>10761</v>
      </c>
      <c r="D600" s="231" t="s">
        <v>80</v>
      </c>
      <c r="E600" s="230">
        <v>14491078</v>
      </c>
      <c r="F600" s="230">
        <v>28983</v>
      </c>
      <c r="G600" s="230">
        <v>25</v>
      </c>
      <c r="H600" s="240">
        <v>26.3</v>
      </c>
      <c r="I600" s="240">
        <f t="shared" si="9"/>
        <v>657.5</v>
      </c>
      <c r="J600" s="231" t="s">
        <v>1311</v>
      </c>
      <c r="K600" s="231" t="s">
        <v>1312</v>
      </c>
      <c r="L600" s="232">
        <v>45170</v>
      </c>
      <c r="M600" s="232">
        <v>45199</v>
      </c>
    </row>
    <row r="601" spans="1:13" ht="18.75" customHeight="1" x14ac:dyDescent="0.2">
      <c r="A601" s="231" t="s">
        <v>1589</v>
      </c>
      <c r="B601" s="230">
        <v>112281</v>
      </c>
      <c r="C601" s="230">
        <v>10761</v>
      </c>
      <c r="D601" s="231" t="s">
        <v>87</v>
      </c>
      <c r="E601" s="230">
        <v>14491078</v>
      </c>
      <c r="F601" s="230">
        <v>28997</v>
      </c>
      <c r="G601" s="230">
        <v>25</v>
      </c>
      <c r="H601" s="240">
        <v>26.3</v>
      </c>
      <c r="I601" s="240">
        <f t="shared" si="9"/>
        <v>657.5</v>
      </c>
      <c r="J601" s="231" t="s">
        <v>1311</v>
      </c>
      <c r="K601" s="231" t="s">
        <v>1312</v>
      </c>
      <c r="L601" s="232">
        <v>45170</v>
      </c>
      <c r="M601" s="232">
        <v>45199</v>
      </c>
    </row>
    <row r="602" spans="1:13" ht="18.75" customHeight="1" x14ac:dyDescent="0.2">
      <c r="A602" s="231" t="s">
        <v>1589</v>
      </c>
      <c r="B602" s="230">
        <v>112292</v>
      </c>
      <c r="C602" s="230">
        <v>10767</v>
      </c>
      <c r="D602" s="231" t="s">
        <v>92</v>
      </c>
      <c r="E602" s="230">
        <v>14491078</v>
      </c>
      <c r="F602" s="230">
        <v>29019</v>
      </c>
      <c r="G602" s="230">
        <v>25</v>
      </c>
      <c r="H602" s="240">
        <v>26.3</v>
      </c>
      <c r="I602" s="240">
        <f t="shared" si="9"/>
        <v>657.5</v>
      </c>
      <c r="J602" s="231" t="s">
        <v>1311</v>
      </c>
      <c r="K602" s="231" t="s">
        <v>1312</v>
      </c>
      <c r="L602" s="232">
        <v>45170</v>
      </c>
      <c r="M602" s="232">
        <v>45199</v>
      </c>
    </row>
    <row r="603" spans="1:13" ht="18.75" customHeight="1" x14ac:dyDescent="0.2">
      <c r="A603" s="231" t="s">
        <v>1589</v>
      </c>
      <c r="B603" s="230">
        <v>112297</v>
      </c>
      <c r="C603" s="230">
        <v>10755</v>
      </c>
      <c r="D603" s="231" t="s">
        <v>95</v>
      </c>
      <c r="E603" s="230">
        <v>14491078</v>
      </c>
      <c r="F603" s="230">
        <v>29029</v>
      </c>
      <c r="G603" s="230">
        <v>25</v>
      </c>
      <c r="H603" s="240">
        <v>26.3</v>
      </c>
      <c r="I603" s="240">
        <f t="shared" si="9"/>
        <v>657.5</v>
      </c>
      <c r="J603" s="231" t="s">
        <v>1311</v>
      </c>
      <c r="K603" s="231" t="s">
        <v>1312</v>
      </c>
      <c r="L603" s="232">
        <v>45170</v>
      </c>
      <c r="M603" s="232">
        <v>45199</v>
      </c>
    </row>
    <row r="604" spans="1:13" ht="18.75" customHeight="1" x14ac:dyDescent="0.2">
      <c r="A604" s="231" t="s">
        <v>1589</v>
      </c>
      <c r="B604" s="230">
        <v>112366</v>
      </c>
      <c r="C604" s="230">
        <v>10762</v>
      </c>
      <c r="D604" s="231" t="s">
        <v>133</v>
      </c>
      <c r="E604" s="230">
        <v>14491078</v>
      </c>
      <c r="F604" s="230">
        <v>29167</v>
      </c>
      <c r="G604" s="230">
        <v>25</v>
      </c>
      <c r="H604" s="240">
        <v>26.3</v>
      </c>
      <c r="I604" s="240">
        <f t="shared" si="9"/>
        <v>657.5</v>
      </c>
      <c r="J604" s="231" t="s">
        <v>1311</v>
      </c>
      <c r="K604" s="231" t="s">
        <v>1312</v>
      </c>
      <c r="L604" s="232">
        <v>45170</v>
      </c>
      <c r="M604" s="232">
        <v>45199</v>
      </c>
    </row>
    <row r="605" spans="1:13" ht="18.75" customHeight="1" x14ac:dyDescent="0.2">
      <c r="A605" s="231" t="s">
        <v>1589</v>
      </c>
      <c r="B605" s="230">
        <v>112376</v>
      </c>
      <c r="C605" s="230">
        <v>10771</v>
      </c>
      <c r="D605" s="231" t="s">
        <v>138</v>
      </c>
      <c r="E605" s="230">
        <v>14491078</v>
      </c>
      <c r="F605" s="230">
        <v>29187</v>
      </c>
      <c r="G605" s="230">
        <v>25</v>
      </c>
      <c r="H605" s="240">
        <v>26.3</v>
      </c>
      <c r="I605" s="240">
        <f t="shared" si="9"/>
        <v>657.5</v>
      </c>
      <c r="J605" s="231" t="s">
        <v>1311</v>
      </c>
      <c r="K605" s="231" t="s">
        <v>1312</v>
      </c>
      <c r="L605" s="232">
        <v>45170</v>
      </c>
      <c r="M605" s="232">
        <v>45199</v>
      </c>
    </row>
    <row r="606" spans="1:13" ht="18.75" customHeight="1" x14ac:dyDescent="0.2">
      <c r="A606" s="231" t="s">
        <v>1589</v>
      </c>
      <c r="B606" s="230">
        <v>112379</v>
      </c>
      <c r="C606" s="230">
        <v>10761</v>
      </c>
      <c r="D606" s="231" t="s">
        <v>142</v>
      </c>
      <c r="E606" s="230">
        <v>14491078</v>
      </c>
      <c r="F606" s="230">
        <v>29193</v>
      </c>
      <c r="G606" s="230">
        <v>25</v>
      </c>
      <c r="H606" s="240">
        <v>26.3</v>
      </c>
      <c r="I606" s="240">
        <f t="shared" si="9"/>
        <v>657.5</v>
      </c>
      <c r="J606" s="231" t="s">
        <v>1311</v>
      </c>
      <c r="K606" s="231" t="s">
        <v>1312</v>
      </c>
      <c r="L606" s="232">
        <v>45170</v>
      </c>
      <c r="M606" s="232">
        <v>45199</v>
      </c>
    </row>
    <row r="607" spans="1:13" ht="18.75" customHeight="1" x14ac:dyDescent="0.2">
      <c r="A607" s="231" t="s">
        <v>1589</v>
      </c>
      <c r="B607" s="230">
        <v>112381</v>
      </c>
      <c r="C607" s="230">
        <v>10761</v>
      </c>
      <c r="D607" s="231" t="s">
        <v>144</v>
      </c>
      <c r="E607" s="230">
        <v>14491078</v>
      </c>
      <c r="F607" s="230">
        <v>29197</v>
      </c>
      <c r="G607" s="230">
        <v>25</v>
      </c>
      <c r="H607" s="240">
        <v>26.3</v>
      </c>
      <c r="I607" s="240">
        <f t="shared" si="9"/>
        <v>657.5</v>
      </c>
      <c r="J607" s="231" t="s">
        <v>1311</v>
      </c>
      <c r="K607" s="231" t="s">
        <v>1312</v>
      </c>
      <c r="L607" s="232">
        <v>45170</v>
      </c>
      <c r="M607" s="232">
        <v>45199</v>
      </c>
    </row>
    <row r="608" spans="1:13" ht="18.75" customHeight="1" x14ac:dyDescent="0.2">
      <c r="A608" s="231" t="s">
        <v>1589</v>
      </c>
      <c r="B608" s="230">
        <v>112384</v>
      </c>
      <c r="C608" s="230">
        <v>10761</v>
      </c>
      <c r="D608" s="231" t="s">
        <v>148</v>
      </c>
      <c r="E608" s="230">
        <v>14491078</v>
      </c>
      <c r="F608" s="230">
        <v>29203</v>
      </c>
      <c r="G608" s="230">
        <v>25</v>
      </c>
      <c r="H608" s="240">
        <v>26.3</v>
      </c>
      <c r="I608" s="240">
        <f t="shared" si="9"/>
        <v>657.5</v>
      </c>
      <c r="J608" s="231" t="s">
        <v>1311</v>
      </c>
      <c r="K608" s="231" t="s">
        <v>1312</v>
      </c>
      <c r="L608" s="232">
        <v>45170</v>
      </c>
      <c r="M608" s="232">
        <v>45199</v>
      </c>
    </row>
    <row r="609" spans="1:13" ht="18.75" customHeight="1" x14ac:dyDescent="0.2">
      <c r="A609" s="231" t="s">
        <v>1589</v>
      </c>
      <c r="B609" s="230">
        <v>112400</v>
      </c>
      <c r="C609" s="230">
        <v>10743</v>
      </c>
      <c r="D609" s="231" t="s">
        <v>156</v>
      </c>
      <c r="E609" s="230">
        <v>14491078</v>
      </c>
      <c r="F609" s="230">
        <v>29235</v>
      </c>
      <c r="G609" s="230">
        <v>25</v>
      </c>
      <c r="H609" s="240">
        <v>26.3</v>
      </c>
      <c r="I609" s="240">
        <f t="shared" si="9"/>
        <v>657.5</v>
      </c>
      <c r="J609" s="231" t="s">
        <v>1311</v>
      </c>
      <c r="K609" s="231" t="s">
        <v>1312</v>
      </c>
      <c r="L609" s="232">
        <v>45170</v>
      </c>
      <c r="M609" s="232">
        <v>45199</v>
      </c>
    </row>
    <row r="610" spans="1:13" ht="18.75" customHeight="1" x14ac:dyDescent="0.2">
      <c r="A610" s="231" t="s">
        <v>1589</v>
      </c>
      <c r="B610" s="230">
        <v>112401</v>
      </c>
      <c r="C610" s="230">
        <v>10749</v>
      </c>
      <c r="D610" s="231" t="s">
        <v>1359</v>
      </c>
      <c r="E610" s="230">
        <v>14491078</v>
      </c>
      <c r="F610" s="230">
        <v>29237</v>
      </c>
      <c r="G610" s="230">
        <v>25</v>
      </c>
      <c r="H610" s="240">
        <v>26.3</v>
      </c>
      <c r="I610" s="240">
        <f t="shared" si="9"/>
        <v>657.5</v>
      </c>
      <c r="J610" s="231" t="s">
        <v>1311</v>
      </c>
      <c r="K610" s="231" t="s">
        <v>1312</v>
      </c>
      <c r="L610" s="232">
        <v>45170</v>
      </c>
      <c r="M610" s="232">
        <v>45199</v>
      </c>
    </row>
    <row r="611" spans="1:13" ht="18.75" customHeight="1" x14ac:dyDescent="0.2">
      <c r="A611" s="231" t="s">
        <v>1589</v>
      </c>
      <c r="B611" s="230">
        <v>112410</v>
      </c>
      <c r="C611" s="230">
        <v>10761</v>
      </c>
      <c r="D611" s="231" t="s">
        <v>163</v>
      </c>
      <c r="E611" s="230">
        <v>14491078</v>
      </c>
      <c r="F611" s="230">
        <v>29255</v>
      </c>
      <c r="G611" s="230">
        <v>25</v>
      </c>
      <c r="H611" s="240">
        <v>26.3</v>
      </c>
      <c r="I611" s="240">
        <f t="shared" si="9"/>
        <v>657.5</v>
      </c>
      <c r="J611" s="231" t="s">
        <v>1311</v>
      </c>
      <c r="K611" s="231" t="s">
        <v>1312</v>
      </c>
      <c r="L611" s="232">
        <v>45170</v>
      </c>
      <c r="M611" s="232">
        <v>45199</v>
      </c>
    </row>
    <row r="612" spans="1:13" ht="18.75" customHeight="1" x14ac:dyDescent="0.2">
      <c r="A612" s="231" t="s">
        <v>1589</v>
      </c>
      <c r="B612" s="230">
        <v>112413</v>
      </c>
      <c r="C612" s="230">
        <v>10761</v>
      </c>
      <c r="D612" s="231" t="s">
        <v>164</v>
      </c>
      <c r="E612" s="230">
        <v>14491078</v>
      </c>
      <c r="F612" s="230">
        <v>29261</v>
      </c>
      <c r="G612" s="230">
        <v>25</v>
      </c>
      <c r="H612" s="240">
        <v>26.3</v>
      </c>
      <c r="I612" s="240">
        <f t="shared" si="9"/>
        <v>657.5</v>
      </c>
      <c r="J612" s="231" t="s">
        <v>1311</v>
      </c>
      <c r="K612" s="231" t="s">
        <v>1312</v>
      </c>
      <c r="L612" s="232">
        <v>45170</v>
      </c>
      <c r="M612" s="232">
        <v>45199</v>
      </c>
    </row>
    <row r="613" spans="1:13" ht="18.75" customHeight="1" x14ac:dyDescent="0.2">
      <c r="A613" s="231" t="s">
        <v>1589</v>
      </c>
      <c r="B613" s="230">
        <v>112414</v>
      </c>
      <c r="C613" s="230">
        <v>10756</v>
      </c>
      <c r="D613" s="231" t="s">
        <v>165</v>
      </c>
      <c r="E613" s="230">
        <v>14491078</v>
      </c>
      <c r="F613" s="230">
        <v>29263</v>
      </c>
      <c r="G613" s="230">
        <v>25</v>
      </c>
      <c r="H613" s="240">
        <v>26.3</v>
      </c>
      <c r="I613" s="240">
        <f t="shared" si="9"/>
        <v>657.5</v>
      </c>
      <c r="J613" s="231" t="s">
        <v>1311</v>
      </c>
      <c r="K613" s="231" t="s">
        <v>1312</v>
      </c>
      <c r="L613" s="232">
        <v>45170</v>
      </c>
      <c r="M613" s="232">
        <v>45199</v>
      </c>
    </row>
    <row r="614" spans="1:13" ht="18.75" customHeight="1" x14ac:dyDescent="0.2">
      <c r="A614" s="231" t="s">
        <v>1589</v>
      </c>
      <c r="B614" s="230">
        <v>112415</v>
      </c>
      <c r="C614" s="230">
        <v>10761</v>
      </c>
      <c r="D614" s="231" t="s">
        <v>1360</v>
      </c>
      <c r="E614" s="230">
        <v>14491078</v>
      </c>
      <c r="F614" s="230">
        <v>29265</v>
      </c>
      <c r="G614" s="230">
        <v>25</v>
      </c>
      <c r="H614" s="240">
        <v>26.3</v>
      </c>
      <c r="I614" s="240">
        <f t="shared" si="9"/>
        <v>657.5</v>
      </c>
      <c r="J614" s="231" t="s">
        <v>1311</v>
      </c>
      <c r="K614" s="231" t="s">
        <v>1312</v>
      </c>
      <c r="L614" s="232">
        <v>45170</v>
      </c>
      <c r="M614" s="232">
        <v>45199</v>
      </c>
    </row>
    <row r="615" spans="1:13" ht="18.75" customHeight="1" x14ac:dyDescent="0.2">
      <c r="A615" s="231" t="s">
        <v>1589</v>
      </c>
      <c r="B615" s="230">
        <v>112430</v>
      </c>
      <c r="C615" s="230">
        <v>10755</v>
      </c>
      <c r="D615" s="231" t="s">
        <v>173</v>
      </c>
      <c r="E615" s="230">
        <v>14491078</v>
      </c>
      <c r="F615" s="230">
        <v>29295</v>
      </c>
      <c r="G615" s="230">
        <v>25</v>
      </c>
      <c r="H615" s="240">
        <v>26.3</v>
      </c>
      <c r="I615" s="240">
        <f t="shared" si="9"/>
        <v>657.5</v>
      </c>
      <c r="J615" s="231" t="s">
        <v>1311</v>
      </c>
      <c r="K615" s="231" t="s">
        <v>1312</v>
      </c>
      <c r="L615" s="232">
        <v>45170</v>
      </c>
      <c r="M615" s="232">
        <v>45199</v>
      </c>
    </row>
    <row r="616" spans="1:13" ht="18.75" customHeight="1" x14ac:dyDescent="0.2">
      <c r="A616" s="231" t="s">
        <v>1589</v>
      </c>
      <c r="B616" s="230">
        <v>112433</v>
      </c>
      <c r="C616" s="230">
        <v>10761</v>
      </c>
      <c r="D616" s="231" t="s">
        <v>1314</v>
      </c>
      <c r="E616" s="230">
        <v>14491078</v>
      </c>
      <c r="F616" s="230">
        <v>29301</v>
      </c>
      <c r="G616" s="230">
        <v>25</v>
      </c>
      <c r="H616" s="240">
        <v>26.3</v>
      </c>
      <c r="I616" s="240">
        <f t="shared" si="9"/>
        <v>657.5</v>
      </c>
      <c r="J616" s="231" t="s">
        <v>1311</v>
      </c>
      <c r="K616" s="231" t="s">
        <v>1312</v>
      </c>
      <c r="L616" s="232">
        <v>45170</v>
      </c>
      <c r="M616" s="232">
        <v>45199</v>
      </c>
    </row>
    <row r="617" spans="1:13" ht="18.75" customHeight="1" x14ac:dyDescent="0.2">
      <c r="A617" s="231" t="s">
        <v>1589</v>
      </c>
      <c r="B617" s="230">
        <v>112437</v>
      </c>
      <c r="C617" s="230">
        <v>10755</v>
      </c>
      <c r="D617" s="231" t="s">
        <v>179</v>
      </c>
      <c r="E617" s="230">
        <v>14491078</v>
      </c>
      <c r="F617" s="230">
        <v>29309</v>
      </c>
      <c r="G617" s="230">
        <v>25</v>
      </c>
      <c r="H617" s="240">
        <v>26.3</v>
      </c>
      <c r="I617" s="240">
        <f t="shared" si="9"/>
        <v>657.5</v>
      </c>
      <c r="J617" s="231" t="s">
        <v>1311</v>
      </c>
      <c r="K617" s="231" t="s">
        <v>1312</v>
      </c>
      <c r="L617" s="232">
        <v>45170</v>
      </c>
      <c r="M617" s="232">
        <v>45199</v>
      </c>
    </row>
    <row r="618" spans="1:13" ht="18.75" customHeight="1" x14ac:dyDescent="0.2">
      <c r="A618" s="231" t="s">
        <v>1589</v>
      </c>
      <c r="B618" s="230">
        <v>112439</v>
      </c>
      <c r="C618" s="230">
        <v>10768</v>
      </c>
      <c r="D618" s="231" t="s">
        <v>180</v>
      </c>
      <c r="E618" s="230">
        <v>14491078</v>
      </c>
      <c r="F618" s="230">
        <v>29313</v>
      </c>
      <c r="G618" s="230">
        <v>25</v>
      </c>
      <c r="H618" s="240">
        <v>26.3</v>
      </c>
      <c r="I618" s="240">
        <f t="shared" si="9"/>
        <v>657.5</v>
      </c>
      <c r="J618" s="231" t="s">
        <v>1311</v>
      </c>
      <c r="K618" s="231" t="s">
        <v>1312</v>
      </c>
      <c r="L618" s="232">
        <v>45170</v>
      </c>
      <c r="M618" s="232">
        <v>45199</v>
      </c>
    </row>
    <row r="619" spans="1:13" ht="18.75" customHeight="1" x14ac:dyDescent="0.2">
      <c r="A619" s="231" t="s">
        <v>1589</v>
      </c>
      <c r="B619" s="230">
        <v>112459</v>
      </c>
      <c r="C619" s="230">
        <v>10743</v>
      </c>
      <c r="D619" s="231" t="s">
        <v>195</v>
      </c>
      <c r="E619" s="230">
        <v>14491078</v>
      </c>
      <c r="F619" s="230">
        <v>29353</v>
      </c>
      <c r="G619" s="230">
        <v>25</v>
      </c>
      <c r="H619" s="240">
        <v>26.3</v>
      </c>
      <c r="I619" s="240">
        <f t="shared" si="9"/>
        <v>657.5</v>
      </c>
      <c r="J619" s="231" t="s">
        <v>1311</v>
      </c>
      <c r="K619" s="231" t="s">
        <v>1312</v>
      </c>
      <c r="L619" s="232">
        <v>45170</v>
      </c>
      <c r="M619" s="232">
        <v>45199</v>
      </c>
    </row>
    <row r="620" spans="1:13" ht="18.75" customHeight="1" x14ac:dyDescent="0.2">
      <c r="A620" s="231" t="s">
        <v>1589</v>
      </c>
      <c r="B620" s="230">
        <v>112462</v>
      </c>
      <c r="C620" s="230">
        <v>10762</v>
      </c>
      <c r="D620" s="231" t="s">
        <v>190</v>
      </c>
      <c r="E620" s="230">
        <v>14491078</v>
      </c>
      <c r="F620" s="230">
        <v>29359</v>
      </c>
      <c r="G620" s="230">
        <v>25</v>
      </c>
      <c r="H620" s="240">
        <v>26.3</v>
      </c>
      <c r="I620" s="240">
        <f t="shared" si="9"/>
        <v>657.5</v>
      </c>
      <c r="J620" s="231" t="s">
        <v>1311</v>
      </c>
      <c r="K620" s="231" t="s">
        <v>1312</v>
      </c>
      <c r="L620" s="232">
        <v>45170</v>
      </c>
      <c r="M620" s="232">
        <v>45199</v>
      </c>
    </row>
    <row r="621" spans="1:13" ht="18.75" customHeight="1" x14ac:dyDescent="0.2">
      <c r="A621" s="231" t="s">
        <v>1589</v>
      </c>
      <c r="B621" s="230">
        <v>112478</v>
      </c>
      <c r="C621" s="230">
        <v>10768</v>
      </c>
      <c r="D621" s="231" t="s">
        <v>206</v>
      </c>
      <c r="E621" s="230">
        <v>14491078</v>
      </c>
      <c r="F621" s="230">
        <v>29391</v>
      </c>
      <c r="G621" s="230">
        <v>25</v>
      </c>
      <c r="H621" s="240">
        <v>26.3</v>
      </c>
      <c r="I621" s="240">
        <f t="shared" si="9"/>
        <v>657.5</v>
      </c>
      <c r="J621" s="231" t="s">
        <v>1311</v>
      </c>
      <c r="K621" s="231" t="s">
        <v>1312</v>
      </c>
      <c r="L621" s="232">
        <v>45170</v>
      </c>
      <c r="M621" s="232">
        <v>45199</v>
      </c>
    </row>
    <row r="622" spans="1:13" ht="18.75" customHeight="1" x14ac:dyDescent="0.2">
      <c r="A622" s="231" t="s">
        <v>1589</v>
      </c>
      <c r="B622" s="230">
        <v>112490</v>
      </c>
      <c r="C622" s="230">
        <v>10767</v>
      </c>
      <c r="D622" s="231" t="s">
        <v>212</v>
      </c>
      <c r="E622" s="230">
        <v>14491078</v>
      </c>
      <c r="F622" s="230">
        <v>29415</v>
      </c>
      <c r="G622" s="230">
        <v>25</v>
      </c>
      <c r="H622" s="240">
        <v>26.3</v>
      </c>
      <c r="I622" s="240">
        <f t="shared" si="9"/>
        <v>657.5</v>
      </c>
      <c r="J622" s="231" t="s">
        <v>1311</v>
      </c>
      <c r="K622" s="231" t="s">
        <v>1312</v>
      </c>
      <c r="L622" s="232">
        <v>45170</v>
      </c>
      <c r="M622" s="232">
        <v>45199</v>
      </c>
    </row>
    <row r="623" spans="1:13" ht="18.75" customHeight="1" x14ac:dyDescent="0.2">
      <c r="A623" s="231" t="s">
        <v>1589</v>
      </c>
      <c r="B623" s="230">
        <v>112502</v>
      </c>
      <c r="C623" s="230">
        <v>10757</v>
      </c>
      <c r="D623" s="231" t="s">
        <v>220</v>
      </c>
      <c r="E623" s="230">
        <v>14491078</v>
      </c>
      <c r="F623" s="230">
        <v>29439</v>
      </c>
      <c r="G623" s="230">
        <v>25</v>
      </c>
      <c r="H623" s="240">
        <v>26.3</v>
      </c>
      <c r="I623" s="240">
        <f t="shared" si="9"/>
        <v>657.5</v>
      </c>
      <c r="J623" s="231" t="s">
        <v>1311</v>
      </c>
      <c r="K623" s="231" t="s">
        <v>1312</v>
      </c>
      <c r="L623" s="232">
        <v>45170</v>
      </c>
      <c r="M623" s="232">
        <v>45199</v>
      </c>
    </row>
    <row r="624" spans="1:13" ht="18.75" customHeight="1" x14ac:dyDescent="0.2">
      <c r="A624" s="231" t="s">
        <v>1589</v>
      </c>
      <c r="B624" s="230">
        <v>112506</v>
      </c>
      <c r="C624" s="230">
        <v>10757</v>
      </c>
      <c r="D624" s="231" t="s">
        <v>224</v>
      </c>
      <c r="E624" s="230">
        <v>14491078</v>
      </c>
      <c r="F624" s="230">
        <v>29447</v>
      </c>
      <c r="G624" s="230">
        <v>25</v>
      </c>
      <c r="H624" s="240">
        <v>26.3</v>
      </c>
      <c r="I624" s="240">
        <f t="shared" si="9"/>
        <v>657.5</v>
      </c>
      <c r="J624" s="231" t="s">
        <v>1311</v>
      </c>
      <c r="K624" s="231" t="s">
        <v>1312</v>
      </c>
      <c r="L624" s="232">
        <v>45170</v>
      </c>
      <c r="M624" s="232">
        <v>45199</v>
      </c>
    </row>
    <row r="625" spans="1:13" ht="18.75" customHeight="1" x14ac:dyDescent="0.2">
      <c r="A625" s="231" t="s">
        <v>1589</v>
      </c>
      <c r="B625" s="230">
        <v>112518</v>
      </c>
      <c r="C625" s="230">
        <v>10761</v>
      </c>
      <c r="D625" s="231" t="s">
        <v>234</v>
      </c>
      <c r="E625" s="230">
        <v>14491078</v>
      </c>
      <c r="F625" s="230">
        <v>29471</v>
      </c>
      <c r="G625" s="230">
        <v>25</v>
      </c>
      <c r="H625" s="240">
        <v>26.3</v>
      </c>
      <c r="I625" s="240">
        <f t="shared" si="9"/>
        <v>657.5</v>
      </c>
      <c r="J625" s="231" t="s">
        <v>1311</v>
      </c>
      <c r="K625" s="231" t="s">
        <v>1312</v>
      </c>
      <c r="L625" s="232">
        <v>45170</v>
      </c>
      <c r="M625" s="232">
        <v>45199</v>
      </c>
    </row>
    <row r="626" spans="1:13" ht="18.75" customHeight="1" x14ac:dyDescent="0.2">
      <c r="A626" s="231" t="s">
        <v>1589</v>
      </c>
      <c r="B626" s="230">
        <v>112525</v>
      </c>
      <c r="C626" s="230">
        <v>10755</v>
      </c>
      <c r="D626" s="231" t="s">
        <v>238</v>
      </c>
      <c r="E626" s="230">
        <v>14491078</v>
      </c>
      <c r="F626" s="230">
        <v>29485</v>
      </c>
      <c r="G626" s="230">
        <v>25</v>
      </c>
      <c r="H626" s="240">
        <v>26.3</v>
      </c>
      <c r="I626" s="240">
        <f t="shared" si="9"/>
        <v>657.5</v>
      </c>
      <c r="J626" s="231" t="s">
        <v>1311</v>
      </c>
      <c r="K626" s="231" t="s">
        <v>1312</v>
      </c>
      <c r="L626" s="232">
        <v>45170</v>
      </c>
      <c r="M626" s="232">
        <v>45199</v>
      </c>
    </row>
    <row r="627" spans="1:13" ht="18.75" customHeight="1" x14ac:dyDescent="0.2">
      <c r="A627" s="231" t="s">
        <v>1589</v>
      </c>
      <c r="B627" s="230">
        <v>112527</v>
      </c>
      <c r="C627" s="230">
        <v>10766</v>
      </c>
      <c r="D627" s="231" t="s">
        <v>1326</v>
      </c>
      <c r="E627" s="230">
        <v>14491078</v>
      </c>
      <c r="F627" s="230">
        <v>29489</v>
      </c>
      <c r="G627" s="230">
        <v>25</v>
      </c>
      <c r="H627" s="240">
        <v>26.3</v>
      </c>
      <c r="I627" s="240">
        <f t="shared" si="9"/>
        <v>657.5</v>
      </c>
      <c r="J627" s="231" t="s">
        <v>1311</v>
      </c>
      <c r="K627" s="231" t="s">
        <v>1312</v>
      </c>
      <c r="L627" s="232">
        <v>45170</v>
      </c>
      <c r="M627" s="232">
        <v>45199</v>
      </c>
    </row>
    <row r="628" spans="1:13" ht="18.75" customHeight="1" x14ac:dyDescent="0.2">
      <c r="A628" s="231" t="s">
        <v>1589</v>
      </c>
      <c r="B628" s="230">
        <v>112530</v>
      </c>
      <c r="C628" s="230">
        <v>10761</v>
      </c>
      <c r="D628" s="231" t="s">
        <v>242</v>
      </c>
      <c r="E628" s="230">
        <v>14491078</v>
      </c>
      <c r="F628" s="230">
        <v>29495</v>
      </c>
      <c r="G628" s="230">
        <v>25</v>
      </c>
      <c r="H628" s="240">
        <v>26.3</v>
      </c>
      <c r="I628" s="240">
        <f t="shared" si="9"/>
        <v>657.5</v>
      </c>
      <c r="J628" s="231" t="s">
        <v>1311</v>
      </c>
      <c r="K628" s="231" t="s">
        <v>1312</v>
      </c>
      <c r="L628" s="232">
        <v>45170</v>
      </c>
      <c r="M628" s="232">
        <v>45199</v>
      </c>
    </row>
    <row r="629" spans="1:13" ht="18.75" customHeight="1" x14ac:dyDescent="0.2">
      <c r="A629" s="231" t="s">
        <v>1589</v>
      </c>
      <c r="B629" s="230">
        <v>112534</v>
      </c>
      <c r="C629" s="230">
        <v>10748</v>
      </c>
      <c r="D629" s="231" t="s">
        <v>246</v>
      </c>
      <c r="E629" s="230">
        <v>14491078</v>
      </c>
      <c r="F629" s="230">
        <v>29503</v>
      </c>
      <c r="G629" s="230">
        <v>25</v>
      </c>
      <c r="H629" s="240">
        <v>26.3</v>
      </c>
      <c r="I629" s="240">
        <f t="shared" si="9"/>
        <v>657.5</v>
      </c>
      <c r="J629" s="231" t="s">
        <v>1311</v>
      </c>
      <c r="K629" s="231" t="s">
        <v>1312</v>
      </c>
      <c r="L629" s="232">
        <v>45170</v>
      </c>
      <c r="M629" s="232">
        <v>45199</v>
      </c>
    </row>
    <row r="630" spans="1:13" ht="18.75" customHeight="1" x14ac:dyDescent="0.2">
      <c r="A630" s="231" t="s">
        <v>1589</v>
      </c>
      <c r="B630" s="230">
        <v>112546</v>
      </c>
      <c r="C630" s="230">
        <v>10771</v>
      </c>
      <c r="D630" s="231" t="s">
        <v>1363</v>
      </c>
      <c r="E630" s="230">
        <v>14491078</v>
      </c>
      <c r="F630" s="230">
        <v>29527</v>
      </c>
      <c r="G630" s="230">
        <v>25</v>
      </c>
      <c r="H630" s="240">
        <v>26.3</v>
      </c>
      <c r="I630" s="240">
        <f t="shared" si="9"/>
        <v>657.5</v>
      </c>
      <c r="J630" s="231" t="s">
        <v>1311</v>
      </c>
      <c r="K630" s="231" t="s">
        <v>1312</v>
      </c>
      <c r="L630" s="232">
        <v>45170</v>
      </c>
      <c r="M630" s="232">
        <v>45199</v>
      </c>
    </row>
    <row r="631" spans="1:13" ht="18.75" customHeight="1" x14ac:dyDescent="0.2">
      <c r="A631" s="231" t="s">
        <v>1589</v>
      </c>
      <c r="B631" s="230">
        <v>112557</v>
      </c>
      <c r="C631" s="230">
        <v>10768</v>
      </c>
      <c r="D631" s="231" t="s">
        <v>263</v>
      </c>
      <c r="E631" s="230">
        <v>14491078</v>
      </c>
      <c r="F631" s="230">
        <v>29549</v>
      </c>
      <c r="G631" s="230">
        <v>25</v>
      </c>
      <c r="H631" s="240">
        <v>26.3</v>
      </c>
      <c r="I631" s="240">
        <f t="shared" si="9"/>
        <v>657.5</v>
      </c>
      <c r="J631" s="231" t="s">
        <v>1311</v>
      </c>
      <c r="K631" s="231" t="s">
        <v>1312</v>
      </c>
      <c r="L631" s="232">
        <v>45170</v>
      </c>
      <c r="M631" s="232">
        <v>45199</v>
      </c>
    </row>
    <row r="632" spans="1:13" ht="18.75" customHeight="1" x14ac:dyDescent="0.2">
      <c r="A632" s="231" t="s">
        <v>1589</v>
      </c>
      <c r="B632" s="230">
        <v>112568</v>
      </c>
      <c r="C632" s="230">
        <v>10768</v>
      </c>
      <c r="D632" s="231" t="s">
        <v>270</v>
      </c>
      <c r="E632" s="230">
        <v>14491078</v>
      </c>
      <c r="F632" s="230">
        <v>29571</v>
      </c>
      <c r="G632" s="230">
        <v>25</v>
      </c>
      <c r="H632" s="240">
        <v>26.3</v>
      </c>
      <c r="I632" s="240">
        <f t="shared" si="9"/>
        <v>657.5</v>
      </c>
      <c r="J632" s="231" t="s">
        <v>1311</v>
      </c>
      <c r="K632" s="231" t="s">
        <v>1312</v>
      </c>
      <c r="L632" s="232">
        <v>45170</v>
      </c>
      <c r="M632" s="232">
        <v>45199</v>
      </c>
    </row>
    <row r="633" spans="1:13" ht="18.75" customHeight="1" x14ac:dyDescent="0.2">
      <c r="A633" s="231" t="s">
        <v>1589</v>
      </c>
      <c r="B633" s="230">
        <v>112581</v>
      </c>
      <c r="C633" s="230">
        <v>10755</v>
      </c>
      <c r="D633" s="231" t="s">
        <v>277</v>
      </c>
      <c r="E633" s="230">
        <v>14491078</v>
      </c>
      <c r="F633" s="230">
        <v>29597</v>
      </c>
      <c r="G633" s="230">
        <v>25</v>
      </c>
      <c r="H633" s="240">
        <v>26.3</v>
      </c>
      <c r="I633" s="240">
        <f t="shared" si="9"/>
        <v>657.5</v>
      </c>
      <c r="J633" s="231" t="s">
        <v>1311</v>
      </c>
      <c r="K633" s="231" t="s">
        <v>1312</v>
      </c>
      <c r="L633" s="232">
        <v>45170</v>
      </c>
      <c r="M633" s="232">
        <v>45199</v>
      </c>
    </row>
    <row r="634" spans="1:13" ht="18.75" customHeight="1" x14ac:dyDescent="0.2">
      <c r="A634" s="231" t="s">
        <v>1589</v>
      </c>
      <c r="B634" s="230">
        <v>112583</v>
      </c>
      <c r="C634" s="230">
        <v>10762</v>
      </c>
      <c r="D634" s="231" t="s">
        <v>278</v>
      </c>
      <c r="E634" s="230">
        <v>14491078</v>
      </c>
      <c r="F634" s="230">
        <v>29601</v>
      </c>
      <c r="G634" s="230">
        <v>25</v>
      </c>
      <c r="H634" s="240">
        <v>26.3</v>
      </c>
      <c r="I634" s="240">
        <f t="shared" si="9"/>
        <v>657.5</v>
      </c>
      <c r="J634" s="231" t="s">
        <v>1311</v>
      </c>
      <c r="K634" s="231" t="s">
        <v>1312</v>
      </c>
      <c r="L634" s="232">
        <v>45170</v>
      </c>
      <c r="M634" s="232">
        <v>45199</v>
      </c>
    </row>
    <row r="635" spans="1:13" ht="18.75" customHeight="1" x14ac:dyDescent="0.2">
      <c r="A635" s="231" t="s">
        <v>1589</v>
      </c>
      <c r="B635" s="230">
        <v>112589</v>
      </c>
      <c r="C635" s="230">
        <v>10757</v>
      </c>
      <c r="D635" s="231" t="s">
        <v>281</v>
      </c>
      <c r="E635" s="230">
        <v>14491078</v>
      </c>
      <c r="F635" s="230">
        <v>29613</v>
      </c>
      <c r="G635" s="230">
        <v>25</v>
      </c>
      <c r="H635" s="240">
        <v>26.3</v>
      </c>
      <c r="I635" s="240">
        <f t="shared" si="9"/>
        <v>657.5</v>
      </c>
      <c r="J635" s="231" t="s">
        <v>1311</v>
      </c>
      <c r="K635" s="231" t="s">
        <v>1312</v>
      </c>
      <c r="L635" s="232">
        <v>45170</v>
      </c>
      <c r="M635" s="232">
        <v>45199</v>
      </c>
    </row>
    <row r="636" spans="1:13" ht="18.75" customHeight="1" x14ac:dyDescent="0.2">
      <c r="A636" s="231" t="s">
        <v>1589</v>
      </c>
      <c r="B636" s="230">
        <v>112590</v>
      </c>
      <c r="C636" s="230">
        <v>10761</v>
      </c>
      <c r="D636" s="231" t="s">
        <v>283</v>
      </c>
      <c r="E636" s="230">
        <v>14491078</v>
      </c>
      <c r="F636" s="230">
        <v>29615</v>
      </c>
      <c r="G636" s="230">
        <v>25</v>
      </c>
      <c r="H636" s="240">
        <v>26.3</v>
      </c>
      <c r="I636" s="240">
        <f t="shared" si="9"/>
        <v>657.5</v>
      </c>
      <c r="J636" s="231" t="s">
        <v>1311</v>
      </c>
      <c r="K636" s="231" t="s">
        <v>1312</v>
      </c>
      <c r="L636" s="232">
        <v>45170</v>
      </c>
      <c r="M636" s="232">
        <v>45199</v>
      </c>
    </row>
    <row r="637" spans="1:13" ht="18.75" customHeight="1" x14ac:dyDescent="0.2">
      <c r="A637" s="231" t="s">
        <v>1589</v>
      </c>
      <c r="B637" s="230">
        <v>112598</v>
      </c>
      <c r="C637" s="230">
        <v>10745</v>
      </c>
      <c r="D637" s="231" t="s">
        <v>287</v>
      </c>
      <c r="E637" s="230">
        <v>14491078</v>
      </c>
      <c r="F637" s="230">
        <v>29631</v>
      </c>
      <c r="G637" s="230">
        <v>25</v>
      </c>
      <c r="H637" s="240">
        <v>26.3</v>
      </c>
      <c r="I637" s="240">
        <f t="shared" si="9"/>
        <v>657.5</v>
      </c>
      <c r="J637" s="231" t="s">
        <v>1311</v>
      </c>
      <c r="K637" s="231" t="s">
        <v>1312</v>
      </c>
      <c r="L637" s="232">
        <v>45170</v>
      </c>
      <c r="M637" s="232">
        <v>45199</v>
      </c>
    </row>
    <row r="638" spans="1:13" ht="18.75" customHeight="1" x14ac:dyDescent="0.2">
      <c r="A638" s="231" t="s">
        <v>1589</v>
      </c>
      <c r="B638" s="230">
        <v>112604</v>
      </c>
      <c r="C638" s="230">
        <v>10767</v>
      </c>
      <c r="D638" s="231" t="s">
        <v>290</v>
      </c>
      <c r="E638" s="230">
        <v>14491078</v>
      </c>
      <c r="F638" s="230">
        <v>29643</v>
      </c>
      <c r="G638" s="230">
        <v>25</v>
      </c>
      <c r="H638" s="240">
        <v>26.3</v>
      </c>
      <c r="I638" s="240">
        <f t="shared" si="9"/>
        <v>657.5</v>
      </c>
      <c r="J638" s="231" t="s">
        <v>1311</v>
      </c>
      <c r="K638" s="231" t="s">
        <v>1312</v>
      </c>
      <c r="L638" s="232">
        <v>45170</v>
      </c>
      <c r="M638" s="232">
        <v>45199</v>
      </c>
    </row>
    <row r="639" spans="1:13" ht="18.75" customHeight="1" x14ac:dyDescent="0.2">
      <c r="A639" s="231" t="s">
        <v>1589</v>
      </c>
      <c r="B639" s="230">
        <v>112606</v>
      </c>
      <c r="C639" s="230">
        <v>10761</v>
      </c>
      <c r="D639" s="231" t="s">
        <v>291</v>
      </c>
      <c r="E639" s="230">
        <v>14491078</v>
      </c>
      <c r="F639" s="230">
        <v>29647</v>
      </c>
      <c r="G639" s="230">
        <v>25</v>
      </c>
      <c r="H639" s="240">
        <v>26.3</v>
      </c>
      <c r="I639" s="240">
        <f t="shared" si="9"/>
        <v>657.5</v>
      </c>
      <c r="J639" s="231" t="s">
        <v>1311</v>
      </c>
      <c r="K639" s="231" t="s">
        <v>1312</v>
      </c>
      <c r="L639" s="232">
        <v>45170</v>
      </c>
      <c r="M639" s="232">
        <v>45199</v>
      </c>
    </row>
    <row r="640" spans="1:13" ht="18.75" customHeight="1" x14ac:dyDescent="0.2">
      <c r="A640" s="231" t="s">
        <v>1589</v>
      </c>
      <c r="B640" s="230">
        <v>112608</v>
      </c>
      <c r="C640" s="230">
        <v>10761</v>
      </c>
      <c r="D640" s="231" t="s">
        <v>293</v>
      </c>
      <c r="E640" s="230">
        <v>14491078</v>
      </c>
      <c r="F640" s="230">
        <v>29651</v>
      </c>
      <c r="G640" s="230">
        <v>25</v>
      </c>
      <c r="H640" s="240">
        <v>26.3</v>
      </c>
      <c r="I640" s="240">
        <f t="shared" si="9"/>
        <v>657.5</v>
      </c>
      <c r="J640" s="231" t="s">
        <v>1311</v>
      </c>
      <c r="K640" s="231" t="s">
        <v>1312</v>
      </c>
      <c r="L640" s="232">
        <v>45170</v>
      </c>
      <c r="M640" s="232">
        <v>45199</v>
      </c>
    </row>
    <row r="641" spans="1:13" ht="18.75" customHeight="1" x14ac:dyDescent="0.2">
      <c r="A641" s="231" t="s">
        <v>1589</v>
      </c>
      <c r="B641" s="230">
        <v>112611</v>
      </c>
      <c r="C641" s="230">
        <v>10755</v>
      </c>
      <c r="D641" s="231" t="s">
        <v>296</v>
      </c>
      <c r="E641" s="230">
        <v>14491078</v>
      </c>
      <c r="F641" s="230">
        <v>29657</v>
      </c>
      <c r="G641" s="230">
        <v>25</v>
      </c>
      <c r="H641" s="240">
        <v>26.3</v>
      </c>
      <c r="I641" s="240">
        <f t="shared" si="9"/>
        <v>657.5</v>
      </c>
      <c r="J641" s="231" t="s">
        <v>1311</v>
      </c>
      <c r="K641" s="231" t="s">
        <v>1312</v>
      </c>
      <c r="L641" s="232">
        <v>45170</v>
      </c>
      <c r="M641" s="232">
        <v>45199</v>
      </c>
    </row>
    <row r="642" spans="1:13" ht="18.75" customHeight="1" x14ac:dyDescent="0.2">
      <c r="A642" s="231" t="s">
        <v>1589</v>
      </c>
      <c r="B642" s="230">
        <v>112621</v>
      </c>
      <c r="C642" s="230">
        <v>10755</v>
      </c>
      <c r="D642" s="231" t="s">
        <v>305</v>
      </c>
      <c r="E642" s="230">
        <v>14491078</v>
      </c>
      <c r="F642" s="230">
        <v>29677</v>
      </c>
      <c r="G642" s="230">
        <v>25</v>
      </c>
      <c r="H642" s="240">
        <v>26.3</v>
      </c>
      <c r="I642" s="240">
        <f t="shared" si="9"/>
        <v>657.5</v>
      </c>
      <c r="J642" s="231" t="s">
        <v>1311</v>
      </c>
      <c r="K642" s="231" t="s">
        <v>1312</v>
      </c>
      <c r="L642" s="232">
        <v>45170</v>
      </c>
      <c r="M642" s="232">
        <v>45199</v>
      </c>
    </row>
    <row r="643" spans="1:13" ht="18.75" customHeight="1" x14ac:dyDescent="0.2">
      <c r="A643" s="231" t="s">
        <v>1589</v>
      </c>
      <c r="B643" s="230">
        <v>112625</v>
      </c>
      <c r="C643" s="230">
        <v>10745</v>
      </c>
      <c r="D643" s="231" t="s">
        <v>306</v>
      </c>
      <c r="E643" s="230">
        <v>14491078</v>
      </c>
      <c r="F643" s="230">
        <v>29685</v>
      </c>
      <c r="G643" s="230">
        <v>25</v>
      </c>
      <c r="H643" s="240">
        <v>26.3</v>
      </c>
      <c r="I643" s="240">
        <f t="shared" ref="I643:I706" si="10">G643*H643</f>
        <v>657.5</v>
      </c>
      <c r="J643" s="231" t="s">
        <v>1311</v>
      </c>
      <c r="K643" s="231" t="s">
        <v>1312</v>
      </c>
      <c r="L643" s="232">
        <v>45170</v>
      </c>
      <c r="M643" s="232">
        <v>45199</v>
      </c>
    </row>
    <row r="644" spans="1:13" ht="18.75" customHeight="1" x14ac:dyDescent="0.2">
      <c r="A644" s="231" t="s">
        <v>1589</v>
      </c>
      <c r="B644" s="230">
        <v>112640</v>
      </c>
      <c r="C644" s="230">
        <v>10771</v>
      </c>
      <c r="D644" s="231" t="s">
        <v>315</v>
      </c>
      <c r="E644" s="230">
        <v>14491078</v>
      </c>
      <c r="F644" s="230">
        <v>29715</v>
      </c>
      <c r="G644" s="230">
        <v>25</v>
      </c>
      <c r="H644" s="240">
        <v>26.3</v>
      </c>
      <c r="I644" s="240">
        <f t="shared" si="10"/>
        <v>657.5</v>
      </c>
      <c r="J644" s="231" t="s">
        <v>1311</v>
      </c>
      <c r="K644" s="231" t="s">
        <v>1312</v>
      </c>
      <c r="L644" s="232">
        <v>45170</v>
      </c>
      <c r="M644" s="232">
        <v>45199</v>
      </c>
    </row>
    <row r="645" spans="1:13" ht="18.75" customHeight="1" x14ac:dyDescent="0.2">
      <c r="A645" s="231" t="s">
        <v>1589</v>
      </c>
      <c r="B645" s="230">
        <v>112654</v>
      </c>
      <c r="C645" s="230">
        <v>10757</v>
      </c>
      <c r="D645" s="231" t="s">
        <v>322</v>
      </c>
      <c r="E645" s="230">
        <v>14491078</v>
      </c>
      <c r="F645" s="230">
        <v>29743</v>
      </c>
      <c r="G645" s="230">
        <v>25</v>
      </c>
      <c r="H645" s="240">
        <v>26.3</v>
      </c>
      <c r="I645" s="240">
        <f t="shared" si="10"/>
        <v>657.5</v>
      </c>
      <c r="J645" s="231" t="s">
        <v>1311</v>
      </c>
      <c r="K645" s="231" t="s">
        <v>1312</v>
      </c>
      <c r="L645" s="232">
        <v>45170</v>
      </c>
      <c r="M645" s="232">
        <v>45199</v>
      </c>
    </row>
    <row r="646" spans="1:13" ht="18.75" customHeight="1" x14ac:dyDescent="0.2">
      <c r="A646" s="231" t="s">
        <v>1589</v>
      </c>
      <c r="B646" s="230">
        <v>112656</v>
      </c>
      <c r="C646" s="230">
        <v>10768</v>
      </c>
      <c r="D646" s="231" t="s">
        <v>323</v>
      </c>
      <c r="E646" s="230">
        <v>14491078</v>
      </c>
      <c r="F646" s="230">
        <v>29747</v>
      </c>
      <c r="G646" s="230">
        <v>25</v>
      </c>
      <c r="H646" s="240">
        <v>26.3</v>
      </c>
      <c r="I646" s="240">
        <f t="shared" si="10"/>
        <v>657.5</v>
      </c>
      <c r="J646" s="231" t="s">
        <v>1311</v>
      </c>
      <c r="K646" s="231" t="s">
        <v>1312</v>
      </c>
      <c r="L646" s="232">
        <v>45170</v>
      </c>
      <c r="M646" s="232">
        <v>45199</v>
      </c>
    </row>
    <row r="647" spans="1:13" ht="18.75" customHeight="1" x14ac:dyDescent="0.2">
      <c r="A647" s="231" t="s">
        <v>1589</v>
      </c>
      <c r="B647" s="230">
        <v>112658</v>
      </c>
      <c r="C647" s="230">
        <v>10762</v>
      </c>
      <c r="D647" s="231" t="s">
        <v>324</v>
      </c>
      <c r="E647" s="230">
        <v>14491078</v>
      </c>
      <c r="F647" s="230">
        <v>29751</v>
      </c>
      <c r="G647" s="230">
        <v>25</v>
      </c>
      <c r="H647" s="240">
        <v>26.3</v>
      </c>
      <c r="I647" s="240">
        <f t="shared" si="10"/>
        <v>657.5</v>
      </c>
      <c r="J647" s="231" t="s">
        <v>1311</v>
      </c>
      <c r="K647" s="231" t="s">
        <v>1312</v>
      </c>
      <c r="L647" s="232">
        <v>45170</v>
      </c>
      <c r="M647" s="232">
        <v>45199</v>
      </c>
    </row>
    <row r="648" spans="1:13" ht="18.75" customHeight="1" x14ac:dyDescent="0.2">
      <c r="A648" s="231" t="s">
        <v>1589</v>
      </c>
      <c r="B648" s="230">
        <v>112661</v>
      </c>
      <c r="C648" s="230">
        <v>10757</v>
      </c>
      <c r="D648" s="231" t="s">
        <v>326</v>
      </c>
      <c r="E648" s="230">
        <v>14491078</v>
      </c>
      <c r="F648" s="230">
        <v>29757</v>
      </c>
      <c r="G648" s="230">
        <v>25</v>
      </c>
      <c r="H648" s="240">
        <v>26.3</v>
      </c>
      <c r="I648" s="240">
        <f t="shared" si="10"/>
        <v>657.5</v>
      </c>
      <c r="J648" s="231" t="s">
        <v>1311</v>
      </c>
      <c r="K648" s="231" t="s">
        <v>1312</v>
      </c>
      <c r="L648" s="232">
        <v>45170</v>
      </c>
      <c r="M648" s="232">
        <v>45199</v>
      </c>
    </row>
    <row r="649" spans="1:13" ht="18.75" customHeight="1" x14ac:dyDescent="0.2">
      <c r="A649" s="231" t="s">
        <v>1589</v>
      </c>
      <c r="B649" s="230">
        <v>112666</v>
      </c>
      <c r="C649" s="230">
        <v>10757</v>
      </c>
      <c r="D649" s="231" t="s">
        <v>328</v>
      </c>
      <c r="E649" s="230">
        <v>14491078</v>
      </c>
      <c r="F649" s="230">
        <v>29767</v>
      </c>
      <c r="G649" s="230">
        <v>25</v>
      </c>
      <c r="H649" s="240">
        <v>26.3</v>
      </c>
      <c r="I649" s="240">
        <f t="shared" si="10"/>
        <v>657.5</v>
      </c>
      <c r="J649" s="231" t="s">
        <v>1311</v>
      </c>
      <c r="K649" s="231" t="s">
        <v>1312</v>
      </c>
      <c r="L649" s="232">
        <v>45170</v>
      </c>
      <c r="M649" s="232">
        <v>45199</v>
      </c>
    </row>
    <row r="650" spans="1:13" ht="18.75" customHeight="1" x14ac:dyDescent="0.2">
      <c r="A650" s="231" t="s">
        <v>1589</v>
      </c>
      <c r="B650" s="230">
        <v>112667</v>
      </c>
      <c r="C650" s="230">
        <v>10771</v>
      </c>
      <c r="D650" s="231" t="s">
        <v>329</v>
      </c>
      <c r="E650" s="230">
        <v>14491078</v>
      </c>
      <c r="F650" s="230">
        <v>29769</v>
      </c>
      <c r="G650" s="230">
        <v>25</v>
      </c>
      <c r="H650" s="240">
        <v>26.3</v>
      </c>
      <c r="I650" s="240">
        <f t="shared" si="10"/>
        <v>657.5</v>
      </c>
      <c r="J650" s="231" t="s">
        <v>1311</v>
      </c>
      <c r="K650" s="231" t="s">
        <v>1312</v>
      </c>
      <c r="L650" s="232">
        <v>45170</v>
      </c>
      <c r="M650" s="232">
        <v>45199</v>
      </c>
    </row>
    <row r="651" spans="1:13" ht="18.75" customHeight="1" x14ac:dyDescent="0.2">
      <c r="A651" s="231" t="s">
        <v>1589</v>
      </c>
      <c r="B651" s="230">
        <v>112677</v>
      </c>
      <c r="C651" s="230">
        <v>10759</v>
      </c>
      <c r="D651" s="231" t="s">
        <v>334</v>
      </c>
      <c r="E651" s="230">
        <v>14491078</v>
      </c>
      <c r="F651" s="230">
        <v>29789</v>
      </c>
      <c r="G651" s="230">
        <v>25</v>
      </c>
      <c r="H651" s="240">
        <v>26.3</v>
      </c>
      <c r="I651" s="240">
        <f t="shared" si="10"/>
        <v>657.5</v>
      </c>
      <c r="J651" s="231" t="s">
        <v>1311</v>
      </c>
      <c r="K651" s="231" t="s">
        <v>1312</v>
      </c>
      <c r="L651" s="232">
        <v>45170</v>
      </c>
      <c r="M651" s="232">
        <v>45199</v>
      </c>
    </row>
    <row r="652" spans="1:13" ht="18.75" customHeight="1" x14ac:dyDescent="0.2">
      <c r="A652" s="231" t="s">
        <v>1589</v>
      </c>
      <c r="B652" s="230">
        <v>112686</v>
      </c>
      <c r="C652" s="230">
        <v>10768</v>
      </c>
      <c r="D652" s="231" t="s">
        <v>342</v>
      </c>
      <c r="E652" s="230">
        <v>14491078</v>
      </c>
      <c r="F652" s="230">
        <v>29807</v>
      </c>
      <c r="G652" s="230">
        <v>25</v>
      </c>
      <c r="H652" s="240">
        <v>26.3</v>
      </c>
      <c r="I652" s="240">
        <f t="shared" si="10"/>
        <v>657.5</v>
      </c>
      <c r="J652" s="231" t="s">
        <v>1311</v>
      </c>
      <c r="K652" s="231" t="s">
        <v>1312</v>
      </c>
      <c r="L652" s="232">
        <v>45170</v>
      </c>
      <c r="M652" s="232">
        <v>45199</v>
      </c>
    </row>
    <row r="653" spans="1:13" ht="18.75" customHeight="1" x14ac:dyDescent="0.2">
      <c r="A653" s="231" t="s">
        <v>1589</v>
      </c>
      <c r="B653" s="230">
        <v>112691</v>
      </c>
      <c r="C653" s="230">
        <v>10768</v>
      </c>
      <c r="D653" s="231" t="s">
        <v>344</v>
      </c>
      <c r="E653" s="230">
        <v>14491078</v>
      </c>
      <c r="F653" s="230">
        <v>29817</v>
      </c>
      <c r="G653" s="230">
        <v>25</v>
      </c>
      <c r="H653" s="240">
        <v>26.3</v>
      </c>
      <c r="I653" s="240">
        <f t="shared" si="10"/>
        <v>657.5</v>
      </c>
      <c r="J653" s="231" t="s">
        <v>1311</v>
      </c>
      <c r="K653" s="231" t="s">
        <v>1312</v>
      </c>
      <c r="L653" s="232">
        <v>45170</v>
      </c>
      <c r="M653" s="232">
        <v>45199</v>
      </c>
    </row>
    <row r="654" spans="1:13" ht="18.75" customHeight="1" x14ac:dyDescent="0.2">
      <c r="A654" s="231" t="s">
        <v>1589</v>
      </c>
      <c r="B654" s="230">
        <v>112704</v>
      </c>
      <c r="C654" s="230">
        <v>10767</v>
      </c>
      <c r="D654" s="231" t="s">
        <v>354</v>
      </c>
      <c r="E654" s="230">
        <v>14491078</v>
      </c>
      <c r="F654" s="230">
        <v>29843</v>
      </c>
      <c r="G654" s="230">
        <v>25</v>
      </c>
      <c r="H654" s="240">
        <v>26.3</v>
      </c>
      <c r="I654" s="240">
        <f t="shared" si="10"/>
        <v>657.5</v>
      </c>
      <c r="J654" s="231" t="s">
        <v>1311</v>
      </c>
      <c r="K654" s="231" t="s">
        <v>1312</v>
      </c>
      <c r="L654" s="232">
        <v>45170</v>
      </c>
      <c r="M654" s="232">
        <v>45199</v>
      </c>
    </row>
    <row r="655" spans="1:13" ht="18.75" customHeight="1" x14ac:dyDescent="0.2">
      <c r="A655" s="231" t="s">
        <v>1589</v>
      </c>
      <c r="B655" s="230">
        <v>112707</v>
      </c>
      <c r="C655" s="230">
        <v>10767</v>
      </c>
      <c r="D655" s="231" t="s">
        <v>357</v>
      </c>
      <c r="E655" s="230">
        <v>14491078</v>
      </c>
      <c r="F655" s="230">
        <v>29849</v>
      </c>
      <c r="G655" s="230">
        <v>25</v>
      </c>
      <c r="H655" s="240">
        <v>26.3</v>
      </c>
      <c r="I655" s="240">
        <f t="shared" si="10"/>
        <v>657.5</v>
      </c>
      <c r="J655" s="231" t="s">
        <v>1311</v>
      </c>
      <c r="K655" s="231" t="s">
        <v>1312</v>
      </c>
      <c r="L655" s="232">
        <v>45170</v>
      </c>
      <c r="M655" s="232">
        <v>45199</v>
      </c>
    </row>
    <row r="656" spans="1:13" ht="18.75" customHeight="1" x14ac:dyDescent="0.2">
      <c r="A656" s="231" t="s">
        <v>1589</v>
      </c>
      <c r="B656" s="230">
        <v>112709</v>
      </c>
      <c r="C656" s="230">
        <v>10757</v>
      </c>
      <c r="D656" s="231" t="s">
        <v>1549</v>
      </c>
      <c r="E656" s="230">
        <v>14491078</v>
      </c>
      <c r="F656" s="230">
        <v>29853</v>
      </c>
      <c r="G656" s="230">
        <v>25</v>
      </c>
      <c r="H656" s="240">
        <v>26.3</v>
      </c>
      <c r="I656" s="240">
        <f t="shared" si="10"/>
        <v>657.5</v>
      </c>
      <c r="J656" s="231" t="s">
        <v>1311</v>
      </c>
      <c r="K656" s="231" t="s">
        <v>1312</v>
      </c>
      <c r="L656" s="232">
        <v>45170</v>
      </c>
      <c r="M656" s="232">
        <v>45199</v>
      </c>
    </row>
    <row r="657" spans="1:13" ht="18.75" customHeight="1" x14ac:dyDescent="0.2">
      <c r="A657" s="231" t="s">
        <v>1589</v>
      </c>
      <c r="B657" s="230">
        <v>112713</v>
      </c>
      <c r="C657" s="230">
        <v>10757</v>
      </c>
      <c r="D657" s="231" t="s">
        <v>358</v>
      </c>
      <c r="E657" s="230">
        <v>14491078</v>
      </c>
      <c r="F657" s="230">
        <v>29861</v>
      </c>
      <c r="G657" s="230">
        <v>25</v>
      </c>
      <c r="H657" s="240">
        <v>26.3</v>
      </c>
      <c r="I657" s="240">
        <f t="shared" si="10"/>
        <v>657.5</v>
      </c>
      <c r="J657" s="231" t="s">
        <v>1311</v>
      </c>
      <c r="K657" s="231" t="s">
        <v>1312</v>
      </c>
      <c r="L657" s="232">
        <v>45170</v>
      </c>
      <c r="M657" s="232">
        <v>45199</v>
      </c>
    </row>
    <row r="658" spans="1:13" ht="18.75" customHeight="1" x14ac:dyDescent="0.2">
      <c r="A658" s="231" t="s">
        <v>1589</v>
      </c>
      <c r="B658" s="230">
        <v>112717</v>
      </c>
      <c r="C658" s="230">
        <v>10768</v>
      </c>
      <c r="D658" s="231" t="s">
        <v>361</v>
      </c>
      <c r="E658" s="230">
        <v>14491078</v>
      </c>
      <c r="F658" s="230">
        <v>29869</v>
      </c>
      <c r="G658" s="230">
        <v>25</v>
      </c>
      <c r="H658" s="240">
        <v>26.3</v>
      </c>
      <c r="I658" s="240">
        <f t="shared" si="10"/>
        <v>657.5</v>
      </c>
      <c r="J658" s="231" t="s">
        <v>1311</v>
      </c>
      <c r="K658" s="231" t="s">
        <v>1312</v>
      </c>
      <c r="L658" s="232">
        <v>45170</v>
      </c>
      <c r="M658" s="232">
        <v>45199</v>
      </c>
    </row>
    <row r="659" spans="1:13" ht="18.75" customHeight="1" x14ac:dyDescent="0.2">
      <c r="A659" s="231" t="s">
        <v>1589</v>
      </c>
      <c r="B659" s="230">
        <v>112719</v>
      </c>
      <c r="C659" s="230">
        <v>10756</v>
      </c>
      <c r="D659" s="231" t="s">
        <v>363</v>
      </c>
      <c r="E659" s="230">
        <v>14491078</v>
      </c>
      <c r="F659" s="230">
        <v>29873</v>
      </c>
      <c r="G659" s="230">
        <v>25</v>
      </c>
      <c r="H659" s="240">
        <v>26.3</v>
      </c>
      <c r="I659" s="240">
        <f t="shared" si="10"/>
        <v>657.5</v>
      </c>
      <c r="J659" s="231" t="s">
        <v>1311</v>
      </c>
      <c r="K659" s="231" t="s">
        <v>1312</v>
      </c>
      <c r="L659" s="232">
        <v>45170</v>
      </c>
      <c r="M659" s="232">
        <v>45199</v>
      </c>
    </row>
    <row r="660" spans="1:13" ht="18.75" customHeight="1" x14ac:dyDescent="0.2">
      <c r="A660" s="231" t="s">
        <v>1589</v>
      </c>
      <c r="B660" s="230">
        <v>112722</v>
      </c>
      <c r="C660" s="230">
        <v>10749</v>
      </c>
      <c r="D660" s="231" t="s">
        <v>365</v>
      </c>
      <c r="E660" s="230">
        <v>14491078</v>
      </c>
      <c r="F660" s="230">
        <v>29879</v>
      </c>
      <c r="G660" s="230">
        <v>25</v>
      </c>
      <c r="H660" s="240">
        <v>26.3</v>
      </c>
      <c r="I660" s="240">
        <f t="shared" si="10"/>
        <v>657.5</v>
      </c>
      <c r="J660" s="231" t="s">
        <v>1311</v>
      </c>
      <c r="K660" s="231" t="s">
        <v>1312</v>
      </c>
      <c r="L660" s="232">
        <v>45170</v>
      </c>
      <c r="M660" s="232">
        <v>45199</v>
      </c>
    </row>
    <row r="661" spans="1:13" ht="18.75" customHeight="1" x14ac:dyDescent="0.2">
      <c r="A661" s="231" t="s">
        <v>1589</v>
      </c>
      <c r="B661" s="230">
        <v>112726</v>
      </c>
      <c r="C661" s="230">
        <v>10761</v>
      </c>
      <c r="D661" s="231" t="s">
        <v>368</v>
      </c>
      <c r="E661" s="230">
        <v>14491078</v>
      </c>
      <c r="F661" s="230">
        <v>29887</v>
      </c>
      <c r="G661" s="230">
        <v>25</v>
      </c>
      <c r="H661" s="240">
        <v>26.3</v>
      </c>
      <c r="I661" s="240">
        <f t="shared" si="10"/>
        <v>657.5</v>
      </c>
      <c r="J661" s="231" t="s">
        <v>1311</v>
      </c>
      <c r="K661" s="231" t="s">
        <v>1312</v>
      </c>
      <c r="L661" s="232">
        <v>45170</v>
      </c>
      <c r="M661" s="232">
        <v>45199</v>
      </c>
    </row>
    <row r="662" spans="1:13" ht="18.75" customHeight="1" x14ac:dyDescent="0.2">
      <c r="A662" s="231" t="s">
        <v>1589</v>
      </c>
      <c r="B662" s="230">
        <v>112733</v>
      </c>
      <c r="C662" s="230">
        <v>10766</v>
      </c>
      <c r="D662" s="231" t="s">
        <v>373</v>
      </c>
      <c r="E662" s="230">
        <v>14491078</v>
      </c>
      <c r="F662" s="230">
        <v>29901</v>
      </c>
      <c r="G662" s="230">
        <v>25</v>
      </c>
      <c r="H662" s="240">
        <v>26.3</v>
      </c>
      <c r="I662" s="240">
        <f t="shared" si="10"/>
        <v>657.5</v>
      </c>
      <c r="J662" s="231" t="s">
        <v>1311</v>
      </c>
      <c r="K662" s="231" t="s">
        <v>1312</v>
      </c>
      <c r="L662" s="232">
        <v>45170</v>
      </c>
      <c r="M662" s="232">
        <v>45199</v>
      </c>
    </row>
    <row r="663" spans="1:13" ht="18.75" customHeight="1" x14ac:dyDescent="0.2">
      <c r="A663" s="231" t="s">
        <v>1589</v>
      </c>
      <c r="B663" s="230">
        <v>112742</v>
      </c>
      <c r="C663" s="230">
        <v>10771</v>
      </c>
      <c r="D663" s="231" t="s">
        <v>377</v>
      </c>
      <c r="E663" s="230">
        <v>14491078</v>
      </c>
      <c r="F663" s="230">
        <v>29919</v>
      </c>
      <c r="G663" s="230">
        <v>25</v>
      </c>
      <c r="H663" s="240">
        <v>26.3</v>
      </c>
      <c r="I663" s="240">
        <f t="shared" si="10"/>
        <v>657.5</v>
      </c>
      <c r="J663" s="231" t="s">
        <v>1311</v>
      </c>
      <c r="K663" s="231" t="s">
        <v>1312</v>
      </c>
      <c r="L663" s="232">
        <v>45170</v>
      </c>
      <c r="M663" s="232">
        <v>45199</v>
      </c>
    </row>
    <row r="664" spans="1:13" ht="18.75" customHeight="1" x14ac:dyDescent="0.2">
      <c r="A664" s="231" t="s">
        <v>1589</v>
      </c>
      <c r="B664" s="230">
        <v>112745</v>
      </c>
      <c r="C664" s="230">
        <v>10771</v>
      </c>
      <c r="D664" s="231" t="s">
        <v>380</v>
      </c>
      <c r="E664" s="230">
        <v>14491078</v>
      </c>
      <c r="F664" s="230">
        <v>29925</v>
      </c>
      <c r="G664" s="230">
        <v>25</v>
      </c>
      <c r="H664" s="240">
        <v>26.3</v>
      </c>
      <c r="I664" s="240">
        <f t="shared" si="10"/>
        <v>657.5</v>
      </c>
      <c r="J664" s="231" t="s">
        <v>1311</v>
      </c>
      <c r="K664" s="231" t="s">
        <v>1312</v>
      </c>
      <c r="L664" s="232">
        <v>45170</v>
      </c>
      <c r="M664" s="232">
        <v>45199</v>
      </c>
    </row>
    <row r="665" spans="1:13" ht="18.75" customHeight="1" x14ac:dyDescent="0.2">
      <c r="A665" s="231" t="s">
        <v>1589</v>
      </c>
      <c r="B665" s="230">
        <v>112747</v>
      </c>
      <c r="C665" s="230">
        <v>10759</v>
      </c>
      <c r="D665" s="231" t="s">
        <v>381</v>
      </c>
      <c r="E665" s="230">
        <v>14491078</v>
      </c>
      <c r="F665" s="230">
        <v>29929</v>
      </c>
      <c r="G665" s="230">
        <v>25</v>
      </c>
      <c r="H665" s="240">
        <v>26.3</v>
      </c>
      <c r="I665" s="240">
        <f t="shared" si="10"/>
        <v>657.5</v>
      </c>
      <c r="J665" s="231" t="s">
        <v>1311</v>
      </c>
      <c r="K665" s="231" t="s">
        <v>1312</v>
      </c>
      <c r="L665" s="232">
        <v>45170</v>
      </c>
      <c r="M665" s="232">
        <v>45199</v>
      </c>
    </row>
    <row r="666" spans="1:13" ht="18.75" customHeight="1" x14ac:dyDescent="0.2">
      <c r="A666" s="231" t="s">
        <v>1589</v>
      </c>
      <c r="B666" s="230">
        <v>112753</v>
      </c>
      <c r="C666" s="230">
        <v>10771</v>
      </c>
      <c r="D666" s="231" t="s">
        <v>384</v>
      </c>
      <c r="E666" s="230">
        <v>14491078</v>
      </c>
      <c r="F666" s="230">
        <v>29941</v>
      </c>
      <c r="G666" s="230">
        <v>25</v>
      </c>
      <c r="H666" s="240">
        <v>26.3</v>
      </c>
      <c r="I666" s="240">
        <f t="shared" si="10"/>
        <v>657.5</v>
      </c>
      <c r="J666" s="231" t="s">
        <v>1311</v>
      </c>
      <c r="K666" s="231" t="s">
        <v>1312</v>
      </c>
      <c r="L666" s="232">
        <v>45170</v>
      </c>
      <c r="M666" s="232">
        <v>45199</v>
      </c>
    </row>
    <row r="667" spans="1:13" ht="18.75" customHeight="1" x14ac:dyDescent="0.2">
      <c r="A667" s="231" t="s">
        <v>1589</v>
      </c>
      <c r="B667" s="230">
        <v>112757</v>
      </c>
      <c r="C667" s="230">
        <v>10768</v>
      </c>
      <c r="D667" s="231" t="s">
        <v>387</v>
      </c>
      <c r="E667" s="230">
        <v>14491078</v>
      </c>
      <c r="F667" s="230">
        <v>29949</v>
      </c>
      <c r="G667" s="230">
        <v>25</v>
      </c>
      <c r="H667" s="240">
        <v>26.3</v>
      </c>
      <c r="I667" s="240">
        <f t="shared" si="10"/>
        <v>657.5</v>
      </c>
      <c r="J667" s="231" t="s">
        <v>1311</v>
      </c>
      <c r="K667" s="231" t="s">
        <v>1312</v>
      </c>
      <c r="L667" s="232">
        <v>45170</v>
      </c>
      <c r="M667" s="232">
        <v>45199</v>
      </c>
    </row>
    <row r="668" spans="1:13" ht="18.75" customHeight="1" x14ac:dyDescent="0.2">
      <c r="A668" s="231" t="s">
        <v>1589</v>
      </c>
      <c r="B668" s="230">
        <v>112759</v>
      </c>
      <c r="C668" s="230">
        <v>10757</v>
      </c>
      <c r="D668" s="231" t="s">
        <v>388</v>
      </c>
      <c r="E668" s="230">
        <v>14491078</v>
      </c>
      <c r="F668" s="230">
        <v>29953</v>
      </c>
      <c r="G668" s="230">
        <v>25</v>
      </c>
      <c r="H668" s="240">
        <v>26.3</v>
      </c>
      <c r="I668" s="240">
        <f t="shared" si="10"/>
        <v>657.5</v>
      </c>
      <c r="J668" s="231" t="s">
        <v>1311</v>
      </c>
      <c r="K668" s="231" t="s">
        <v>1312</v>
      </c>
      <c r="L668" s="232">
        <v>45170</v>
      </c>
      <c r="M668" s="232">
        <v>45199</v>
      </c>
    </row>
    <row r="669" spans="1:13" ht="18.75" customHeight="1" x14ac:dyDescent="0.2">
      <c r="A669" s="231" t="s">
        <v>1589</v>
      </c>
      <c r="B669" s="230">
        <v>112763</v>
      </c>
      <c r="C669" s="230">
        <v>10768</v>
      </c>
      <c r="D669" s="231" t="s">
        <v>390</v>
      </c>
      <c r="E669" s="230">
        <v>14491078</v>
      </c>
      <c r="F669" s="230">
        <v>29961</v>
      </c>
      <c r="G669" s="230">
        <v>25</v>
      </c>
      <c r="H669" s="240">
        <v>26.3</v>
      </c>
      <c r="I669" s="240">
        <f t="shared" si="10"/>
        <v>657.5</v>
      </c>
      <c r="J669" s="231" t="s">
        <v>1311</v>
      </c>
      <c r="K669" s="231" t="s">
        <v>1312</v>
      </c>
      <c r="L669" s="232">
        <v>45170</v>
      </c>
      <c r="M669" s="232">
        <v>45199</v>
      </c>
    </row>
    <row r="670" spans="1:13" ht="18.75" customHeight="1" x14ac:dyDescent="0.2">
      <c r="A670" s="231" t="s">
        <v>1589</v>
      </c>
      <c r="B670" s="230">
        <v>112768</v>
      </c>
      <c r="C670" s="230">
        <v>10761</v>
      </c>
      <c r="D670" s="231" t="s">
        <v>395</v>
      </c>
      <c r="E670" s="230">
        <v>14491078</v>
      </c>
      <c r="F670" s="230">
        <v>29971</v>
      </c>
      <c r="G670" s="230">
        <v>25</v>
      </c>
      <c r="H670" s="240">
        <v>26.3</v>
      </c>
      <c r="I670" s="240">
        <f t="shared" si="10"/>
        <v>657.5</v>
      </c>
      <c r="J670" s="231" t="s">
        <v>1311</v>
      </c>
      <c r="K670" s="231" t="s">
        <v>1312</v>
      </c>
      <c r="L670" s="232">
        <v>45170</v>
      </c>
      <c r="M670" s="232">
        <v>45199</v>
      </c>
    </row>
    <row r="671" spans="1:13" ht="18.75" customHeight="1" x14ac:dyDescent="0.2">
      <c r="A671" s="231" t="s">
        <v>1589</v>
      </c>
      <c r="B671" s="230">
        <v>112769</v>
      </c>
      <c r="C671" s="230">
        <v>10768</v>
      </c>
      <c r="D671" s="231" t="s">
        <v>396</v>
      </c>
      <c r="E671" s="230">
        <v>14491078</v>
      </c>
      <c r="F671" s="230">
        <v>29973</v>
      </c>
      <c r="G671" s="230">
        <v>25</v>
      </c>
      <c r="H671" s="240">
        <v>26.3</v>
      </c>
      <c r="I671" s="240">
        <f t="shared" si="10"/>
        <v>657.5</v>
      </c>
      <c r="J671" s="231" t="s">
        <v>1311</v>
      </c>
      <c r="K671" s="231" t="s">
        <v>1312</v>
      </c>
      <c r="L671" s="232">
        <v>45170</v>
      </c>
      <c r="M671" s="232">
        <v>45199</v>
      </c>
    </row>
    <row r="672" spans="1:13" ht="18.75" customHeight="1" x14ac:dyDescent="0.2">
      <c r="A672" s="231" t="s">
        <v>1589</v>
      </c>
      <c r="B672" s="230">
        <v>112771</v>
      </c>
      <c r="C672" s="230">
        <v>10768</v>
      </c>
      <c r="D672" s="231" t="s">
        <v>397</v>
      </c>
      <c r="E672" s="230">
        <v>14491078</v>
      </c>
      <c r="F672" s="230">
        <v>29977</v>
      </c>
      <c r="G672" s="230">
        <v>25</v>
      </c>
      <c r="H672" s="240">
        <v>26.3</v>
      </c>
      <c r="I672" s="240">
        <f t="shared" si="10"/>
        <v>657.5</v>
      </c>
      <c r="J672" s="231" t="s">
        <v>1311</v>
      </c>
      <c r="K672" s="231" t="s">
        <v>1312</v>
      </c>
      <c r="L672" s="232">
        <v>45170</v>
      </c>
      <c r="M672" s="232">
        <v>45199</v>
      </c>
    </row>
    <row r="673" spans="1:13" ht="18.75" customHeight="1" x14ac:dyDescent="0.2">
      <c r="A673" s="231" t="s">
        <v>1589</v>
      </c>
      <c r="B673" s="230">
        <v>112779</v>
      </c>
      <c r="C673" s="230">
        <v>10757</v>
      </c>
      <c r="D673" s="231" t="s">
        <v>403</v>
      </c>
      <c r="E673" s="230">
        <v>14491078</v>
      </c>
      <c r="F673" s="230">
        <v>29993</v>
      </c>
      <c r="G673" s="230">
        <v>25</v>
      </c>
      <c r="H673" s="240">
        <v>26.3</v>
      </c>
      <c r="I673" s="240">
        <f t="shared" si="10"/>
        <v>657.5</v>
      </c>
      <c r="J673" s="231" t="s">
        <v>1311</v>
      </c>
      <c r="K673" s="231" t="s">
        <v>1312</v>
      </c>
      <c r="L673" s="232">
        <v>45170</v>
      </c>
      <c r="M673" s="232">
        <v>45199</v>
      </c>
    </row>
    <row r="674" spans="1:13" ht="18.75" customHeight="1" x14ac:dyDescent="0.2">
      <c r="A674" s="231" t="s">
        <v>1589</v>
      </c>
      <c r="B674" s="230">
        <v>112788</v>
      </c>
      <c r="C674" s="230">
        <v>10771</v>
      </c>
      <c r="D674" s="231" t="s">
        <v>410</v>
      </c>
      <c r="E674" s="230">
        <v>14491078</v>
      </c>
      <c r="F674" s="230">
        <v>30011</v>
      </c>
      <c r="G674" s="230">
        <v>25</v>
      </c>
      <c r="H674" s="240">
        <v>26.3</v>
      </c>
      <c r="I674" s="240">
        <f t="shared" si="10"/>
        <v>657.5</v>
      </c>
      <c r="J674" s="231" t="s">
        <v>1311</v>
      </c>
      <c r="K674" s="231" t="s">
        <v>1312</v>
      </c>
      <c r="L674" s="232">
        <v>45170</v>
      </c>
      <c r="M674" s="232">
        <v>45199</v>
      </c>
    </row>
    <row r="675" spans="1:13" ht="18.75" customHeight="1" x14ac:dyDescent="0.2">
      <c r="A675" s="231" t="s">
        <v>1589</v>
      </c>
      <c r="B675" s="230">
        <v>112795</v>
      </c>
      <c r="C675" s="230">
        <v>10771</v>
      </c>
      <c r="D675" s="231" t="s">
        <v>415</v>
      </c>
      <c r="E675" s="230">
        <v>14491078</v>
      </c>
      <c r="F675" s="230">
        <v>30025</v>
      </c>
      <c r="G675" s="230">
        <v>25</v>
      </c>
      <c r="H675" s="240">
        <v>26.3</v>
      </c>
      <c r="I675" s="240">
        <f t="shared" si="10"/>
        <v>657.5</v>
      </c>
      <c r="J675" s="231" t="s">
        <v>1311</v>
      </c>
      <c r="K675" s="231" t="s">
        <v>1312</v>
      </c>
      <c r="L675" s="232">
        <v>45170</v>
      </c>
      <c r="M675" s="232">
        <v>45199</v>
      </c>
    </row>
    <row r="676" spans="1:13" ht="18.75" customHeight="1" x14ac:dyDescent="0.2">
      <c r="A676" s="231" t="s">
        <v>1589</v>
      </c>
      <c r="B676" s="230">
        <v>112801</v>
      </c>
      <c r="C676" s="230">
        <v>10762</v>
      </c>
      <c r="D676" s="231" t="s">
        <v>1390</v>
      </c>
      <c r="E676" s="230">
        <v>14491078</v>
      </c>
      <c r="F676" s="230">
        <v>30037</v>
      </c>
      <c r="G676" s="230">
        <v>25</v>
      </c>
      <c r="H676" s="240">
        <v>26.3</v>
      </c>
      <c r="I676" s="240">
        <f t="shared" si="10"/>
        <v>657.5</v>
      </c>
      <c r="J676" s="231" t="s">
        <v>1311</v>
      </c>
      <c r="K676" s="231" t="s">
        <v>1312</v>
      </c>
      <c r="L676" s="232">
        <v>45170</v>
      </c>
      <c r="M676" s="232">
        <v>45199</v>
      </c>
    </row>
    <row r="677" spans="1:13" ht="18.75" customHeight="1" x14ac:dyDescent="0.2">
      <c r="A677" s="231" t="s">
        <v>1589</v>
      </c>
      <c r="B677" s="230">
        <v>112802</v>
      </c>
      <c r="C677" s="230">
        <v>10761</v>
      </c>
      <c r="D677" s="231" t="s">
        <v>421</v>
      </c>
      <c r="E677" s="230">
        <v>14491078</v>
      </c>
      <c r="F677" s="230">
        <v>30039</v>
      </c>
      <c r="G677" s="230">
        <v>25</v>
      </c>
      <c r="H677" s="240">
        <v>26.3</v>
      </c>
      <c r="I677" s="240">
        <f t="shared" si="10"/>
        <v>657.5</v>
      </c>
      <c r="J677" s="231" t="s">
        <v>1311</v>
      </c>
      <c r="K677" s="231" t="s">
        <v>1312</v>
      </c>
      <c r="L677" s="232">
        <v>45170</v>
      </c>
      <c r="M677" s="232">
        <v>45199</v>
      </c>
    </row>
    <row r="678" spans="1:13" ht="18.75" customHeight="1" x14ac:dyDescent="0.2">
      <c r="A678" s="231" t="s">
        <v>1589</v>
      </c>
      <c r="B678" s="230">
        <v>112805</v>
      </c>
      <c r="C678" s="230">
        <v>10743</v>
      </c>
      <c r="D678" s="231" t="s">
        <v>424</v>
      </c>
      <c r="E678" s="230">
        <v>14491078</v>
      </c>
      <c r="F678" s="230">
        <v>30045</v>
      </c>
      <c r="G678" s="230">
        <v>25</v>
      </c>
      <c r="H678" s="240">
        <v>26.3</v>
      </c>
      <c r="I678" s="240">
        <f t="shared" si="10"/>
        <v>657.5</v>
      </c>
      <c r="J678" s="231" t="s">
        <v>1311</v>
      </c>
      <c r="K678" s="231" t="s">
        <v>1315</v>
      </c>
      <c r="L678" s="232">
        <v>45170</v>
      </c>
      <c r="M678" s="232">
        <v>45199</v>
      </c>
    </row>
    <row r="679" spans="1:13" ht="18.75" customHeight="1" x14ac:dyDescent="0.2">
      <c r="A679" s="231" t="s">
        <v>1589</v>
      </c>
      <c r="B679" s="230">
        <v>112811</v>
      </c>
      <c r="C679" s="230">
        <v>10756</v>
      </c>
      <c r="D679" s="231" t="s">
        <v>428</v>
      </c>
      <c r="E679" s="230">
        <v>14491078</v>
      </c>
      <c r="F679" s="230">
        <v>30057</v>
      </c>
      <c r="G679" s="230">
        <v>25</v>
      </c>
      <c r="H679" s="240">
        <v>26.3</v>
      </c>
      <c r="I679" s="240">
        <f t="shared" si="10"/>
        <v>657.5</v>
      </c>
      <c r="J679" s="231" t="s">
        <v>1311</v>
      </c>
      <c r="K679" s="231" t="s">
        <v>1312</v>
      </c>
      <c r="L679" s="232">
        <v>45170</v>
      </c>
      <c r="M679" s="232">
        <v>45199</v>
      </c>
    </row>
    <row r="680" spans="1:13" ht="18.75" customHeight="1" x14ac:dyDescent="0.2">
      <c r="A680" s="231" t="s">
        <v>1589</v>
      </c>
      <c r="B680" s="230">
        <v>112816</v>
      </c>
      <c r="C680" s="230">
        <v>10767</v>
      </c>
      <c r="D680" s="231" t="s">
        <v>432</v>
      </c>
      <c r="E680" s="230">
        <v>14491078</v>
      </c>
      <c r="F680" s="230">
        <v>30067</v>
      </c>
      <c r="G680" s="230">
        <v>25</v>
      </c>
      <c r="H680" s="240">
        <v>26.3</v>
      </c>
      <c r="I680" s="240">
        <f t="shared" si="10"/>
        <v>657.5</v>
      </c>
      <c r="J680" s="231" t="s">
        <v>1311</v>
      </c>
      <c r="K680" s="231" t="s">
        <v>1312</v>
      </c>
      <c r="L680" s="232">
        <v>45170</v>
      </c>
      <c r="M680" s="232">
        <v>45199</v>
      </c>
    </row>
    <row r="681" spans="1:13" ht="18.75" customHeight="1" x14ac:dyDescent="0.2">
      <c r="A681" s="231" t="s">
        <v>1589</v>
      </c>
      <c r="B681" s="230">
        <v>112820</v>
      </c>
      <c r="C681" s="230">
        <v>10768</v>
      </c>
      <c r="D681" s="231" t="s">
        <v>434</v>
      </c>
      <c r="E681" s="230">
        <v>14491078</v>
      </c>
      <c r="F681" s="230">
        <v>30075</v>
      </c>
      <c r="G681" s="230">
        <v>25</v>
      </c>
      <c r="H681" s="240">
        <v>26.3</v>
      </c>
      <c r="I681" s="240">
        <f t="shared" si="10"/>
        <v>657.5</v>
      </c>
      <c r="J681" s="231" t="s">
        <v>1311</v>
      </c>
      <c r="K681" s="231" t="s">
        <v>1312</v>
      </c>
      <c r="L681" s="232">
        <v>45170</v>
      </c>
      <c r="M681" s="232">
        <v>45199</v>
      </c>
    </row>
    <row r="682" spans="1:13" ht="18.75" customHeight="1" x14ac:dyDescent="0.2">
      <c r="A682" s="231" t="s">
        <v>1589</v>
      </c>
      <c r="B682" s="230">
        <v>112821</v>
      </c>
      <c r="C682" s="230">
        <v>10761</v>
      </c>
      <c r="D682" s="231" t="s">
        <v>435</v>
      </c>
      <c r="E682" s="230">
        <v>14491078</v>
      </c>
      <c r="F682" s="230">
        <v>30077</v>
      </c>
      <c r="G682" s="230">
        <v>25</v>
      </c>
      <c r="H682" s="240">
        <v>26.3</v>
      </c>
      <c r="I682" s="240">
        <f t="shared" si="10"/>
        <v>657.5</v>
      </c>
      <c r="J682" s="231" t="s">
        <v>1311</v>
      </c>
      <c r="K682" s="231" t="s">
        <v>1312</v>
      </c>
      <c r="L682" s="232">
        <v>45170</v>
      </c>
      <c r="M682" s="232">
        <v>45199</v>
      </c>
    </row>
    <row r="683" spans="1:13" ht="18.75" customHeight="1" x14ac:dyDescent="0.2">
      <c r="A683" s="231" t="s">
        <v>1589</v>
      </c>
      <c r="B683" s="230">
        <v>112825</v>
      </c>
      <c r="C683" s="230">
        <v>10757</v>
      </c>
      <c r="D683" s="231" t="s">
        <v>439</v>
      </c>
      <c r="E683" s="230">
        <v>14491078</v>
      </c>
      <c r="F683" s="230">
        <v>30085</v>
      </c>
      <c r="G683" s="230">
        <v>25</v>
      </c>
      <c r="H683" s="240">
        <v>26.3</v>
      </c>
      <c r="I683" s="240">
        <f t="shared" si="10"/>
        <v>657.5</v>
      </c>
      <c r="J683" s="231" t="s">
        <v>1311</v>
      </c>
      <c r="K683" s="231" t="s">
        <v>1312</v>
      </c>
      <c r="L683" s="232">
        <v>45170</v>
      </c>
      <c r="M683" s="232">
        <v>45199</v>
      </c>
    </row>
    <row r="684" spans="1:13" ht="18.75" customHeight="1" x14ac:dyDescent="0.2">
      <c r="A684" s="231" t="s">
        <v>1589</v>
      </c>
      <c r="B684" s="230">
        <v>112827</v>
      </c>
      <c r="C684" s="230">
        <v>10767</v>
      </c>
      <c r="D684" s="231" t="s">
        <v>440</v>
      </c>
      <c r="E684" s="230">
        <v>14491078</v>
      </c>
      <c r="F684" s="230">
        <v>30089</v>
      </c>
      <c r="G684" s="230">
        <v>25</v>
      </c>
      <c r="H684" s="240">
        <v>26.3</v>
      </c>
      <c r="I684" s="240">
        <f t="shared" si="10"/>
        <v>657.5</v>
      </c>
      <c r="J684" s="231" t="s">
        <v>1311</v>
      </c>
      <c r="K684" s="231" t="s">
        <v>1312</v>
      </c>
      <c r="L684" s="232">
        <v>45170</v>
      </c>
      <c r="M684" s="232">
        <v>45199</v>
      </c>
    </row>
    <row r="685" spans="1:13" ht="18.75" customHeight="1" x14ac:dyDescent="0.2">
      <c r="A685" s="231" t="s">
        <v>1589</v>
      </c>
      <c r="B685" s="230">
        <v>112829</v>
      </c>
      <c r="C685" s="230">
        <v>10757</v>
      </c>
      <c r="D685" s="231" t="s">
        <v>441</v>
      </c>
      <c r="E685" s="230">
        <v>14491078</v>
      </c>
      <c r="F685" s="230">
        <v>30093</v>
      </c>
      <c r="G685" s="230">
        <v>25</v>
      </c>
      <c r="H685" s="240">
        <v>26.3</v>
      </c>
      <c r="I685" s="240">
        <f t="shared" si="10"/>
        <v>657.5</v>
      </c>
      <c r="J685" s="231" t="s">
        <v>1311</v>
      </c>
      <c r="K685" s="231" t="s">
        <v>1312</v>
      </c>
      <c r="L685" s="232">
        <v>45170</v>
      </c>
      <c r="M685" s="232">
        <v>45199</v>
      </c>
    </row>
    <row r="686" spans="1:13" ht="18.75" customHeight="1" x14ac:dyDescent="0.2">
      <c r="A686" s="231" t="s">
        <v>1589</v>
      </c>
      <c r="B686" s="230">
        <v>112832</v>
      </c>
      <c r="C686" s="230">
        <v>10768</v>
      </c>
      <c r="D686" s="231" t="s">
        <v>443</v>
      </c>
      <c r="E686" s="230">
        <v>14491078</v>
      </c>
      <c r="F686" s="230">
        <v>30099</v>
      </c>
      <c r="G686" s="230">
        <v>25</v>
      </c>
      <c r="H686" s="240">
        <v>26.3</v>
      </c>
      <c r="I686" s="240">
        <f t="shared" si="10"/>
        <v>657.5</v>
      </c>
      <c r="J686" s="231" t="s">
        <v>1311</v>
      </c>
      <c r="K686" s="231" t="s">
        <v>1312</v>
      </c>
      <c r="L686" s="232">
        <v>45170</v>
      </c>
      <c r="M686" s="232">
        <v>45199</v>
      </c>
    </row>
    <row r="687" spans="1:13" ht="18.75" customHeight="1" x14ac:dyDescent="0.2">
      <c r="A687" s="231" t="s">
        <v>1589</v>
      </c>
      <c r="B687" s="230">
        <v>112837</v>
      </c>
      <c r="C687" s="230">
        <v>10745</v>
      </c>
      <c r="D687" s="231" t="s">
        <v>446</v>
      </c>
      <c r="E687" s="230">
        <v>14491078</v>
      </c>
      <c r="F687" s="230">
        <v>30109</v>
      </c>
      <c r="G687" s="230">
        <v>25</v>
      </c>
      <c r="H687" s="240">
        <v>26.3</v>
      </c>
      <c r="I687" s="240">
        <f t="shared" si="10"/>
        <v>657.5</v>
      </c>
      <c r="J687" s="231" t="s">
        <v>1311</v>
      </c>
      <c r="K687" s="231" t="s">
        <v>1312</v>
      </c>
      <c r="L687" s="232">
        <v>45170</v>
      </c>
      <c r="M687" s="232">
        <v>45199</v>
      </c>
    </row>
    <row r="688" spans="1:13" ht="18.75" customHeight="1" x14ac:dyDescent="0.2">
      <c r="A688" s="231" t="s">
        <v>1589</v>
      </c>
      <c r="B688" s="230">
        <v>112838</v>
      </c>
      <c r="C688" s="230">
        <v>10768</v>
      </c>
      <c r="D688" s="231" t="s">
        <v>447</v>
      </c>
      <c r="E688" s="230">
        <v>14491078</v>
      </c>
      <c r="F688" s="230">
        <v>30111</v>
      </c>
      <c r="G688" s="230">
        <v>25</v>
      </c>
      <c r="H688" s="240">
        <v>26.3</v>
      </c>
      <c r="I688" s="240">
        <f t="shared" si="10"/>
        <v>657.5</v>
      </c>
      <c r="J688" s="231" t="s">
        <v>1311</v>
      </c>
      <c r="K688" s="231" t="s">
        <v>1312</v>
      </c>
      <c r="L688" s="232">
        <v>45170</v>
      </c>
      <c r="M688" s="232">
        <v>45199</v>
      </c>
    </row>
    <row r="689" spans="1:13" ht="18.75" customHeight="1" x14ac:dyDescent="0.2">
      <c r="A689" s="231" t="s">
        <v>1589</v>
      </c>
      <c r="B689" s="230">
        <v>112845</v>
      </c>
      <c r="C689" s="230">
        <v>10761</v>
      </c>
      <c r="D689" s="231" t="s">
        <v>450</v>
      </c>
      <c r="E689" s="230">
        <v>14491078</v>
      </c>
      <c r="F689" s="230">
        <v>30125</v>
      </c>
      <c r="G689" s="230">
        <v>25</v>
      </c>
      <c r="H689" s="240">
        <v>26.3</v>
      </c>
      <c r="I689" s="240">
        <f t="shared" si="10"/>
        <v>657.5</v>
      </c>
      <c r="J689" s="231" t="s">
        <v>1311</v>
      </c>
      <c r="K689" s="231" t="s">
        <v>1312</v>
      </c>
      <c r="L689" s="232">
        <v>45170</v>
      </c>
      <c r="M689" s="232">
        <v>45199</v>
      </c>
    </row>
    <row r="690" spans="1:13" ht="18.75" customHeight="1" x14ac:dyDescent="0.2">
      <c r="A690" s="231" t="s">
        <v>1589</v>
      </c>
      <c r="B690" s="230">
        <v>112850</v>
      </c>
      <c r="C690" s="230">
        <v>10756</v>
      </c>
      <c r="D690" s="231" t="s">
        <v>453</v>
      </c>
      <c r="E690" s="230">
        <v>14491078</v>
      </c>
      <c r="F690" s="230">
        <v>30135</v>
      </c>
      <c r="G690" s="230">
        <v>25</v>
      </c>
      <c r="H690" s="240">
        <v>26.3</v>
      </c>
      <c r="I690" s="240">
        <f t="shared" si="10"/>
        <v>657.5</v>
      </c>
      <c r="J690" s="231" t="s">
        <v>1311</v>
      </c>
      <c r="K690" s="231" t="s">
        <v>1312</v>
      </c>
      <c r="L690" s="232">
        <v>45170</v>
      </c>
      <c r="M690" s="232">
        <v>45199</v>
      </c>
    </row>
    <row r="691" spans="1:13" ht="18.75" customHeight="1" x14ac:dyDescent="0.2">
      <c r="A691" s="231" t="s">
        <v>1589</v>
      </c>
      <c r="B691" s="230">
        <v>112858</v>
      </c>
      <c r="C691" s="230">
        <v>10757</v>
      </c>
      <c r="D691" s="231" t="s">
        <v>457</v>
      </c>
      <c r="E691" s="230">
        <v>14491078</v>
      </c>
      <c r="F691" s="230">
        <v>30151</v>
      </c>
      <c r="G691" s="230">
        <v>25</v>
      </c>
      <c r="H691" s="240">
        <v>26.3</v>
      </c>
      <c r="I691" s="240">
        <f t="shared" si="10"/>
        <v>657.5</v>
      </c>
      <c r="J691" s="231" t="s">
        <v>1311</v>
      </c>
      <c r="K691" s="231" t="s">
        <v>1312</v>
      </c>
      <c r="L691" s="232">
        <v>45170</v>
      </c>
      <c r="M691" s="232">
        <v>45199</v>
      </c>
    </row>
    <row r="692" spans="1:13" ht="18.75" customHeight="1" x14ac:dyDescent="0.2">
      <c r="A692" s="231" t="s">
        <v>1589</v>
      </c>
      <c r="B692" s="230">
        <v>112860</v>
      </c>
      <c r="C692" s="230">
        <v>10755</v>
      </c>
      <c r="D692" s="231" t="s">
        <v>458</v>
      </c>
      <c r="E692" s="230">
        <v>14491078</v>
      </c>
      <c r="F692" s="230">
        <v>30155</v>
      </c>
      <c r="G692" s="230">
        <v>25</v>
      </c>
      <c r="H692" s="240">
        <v>26.3</v>
      </c>
      <c r="I692" s="240">
        <f t="shared" si="10"/>
        <v>657.5</v>
      </c>
      <c r="J692" s="231" t="s">
        <v>1311</v>
      </c>
      <c r="K692" s="231" t="s">
        <v>1312</v>
      </c>
      <c r="L692" s="232">
        <v>45170</v>
      </c>
      <c r="M692" s="232">
        <v>45199</v>
      </c>
    </row>
    <row r="693" spans="1:13" ht="18.75" customHeight="1" x14ac:dyDescent="0.2">
      <c r="A693" s="231" t="s">
        <v>1589</v>
      </c>
      <c r="B693" s="230">
        <v>112874</v>
      </c>
      <c r="C693" s="230">
        <v>10755</v>
      </c>
      <c r="D693" s="231" t="s">
        <v>467</v>
      </c>
      <c r="E693" s="230">
        <v>14491078</v>
      </c>
      <c r="F693" s="230">
        <v>30183</v>
      </c>
      <c r="G693" s="230">
        <v>25</v>
      </c>
      <c r="H693" s="240">
        <v>26.3</v>
      </c>
      <c r="I693" s="240">
        <f t="shared" si="10"/>
        <v>657.5</v>
      </c>
      <c r="J693" s="231" t="s">
        <v>1311</v>
      </c>
      <c r="K693" s="231" t="s">
        <v>1312</v>
      </c>
      <c r="L693" s="232">
        <v>45170</v>
      </c>
      <c r="M693" s="232">
        <v>45199</v>
      </c>
    </row>
    <row r="694" spans="1:13" ht="18.75" customHeight="1" x14ac:dyDescent="0.2">
      <c r="A694" s="231" t="s">
        <v>1589</v>
      </c>
      <c r="B694" s="230">
        <v>112875</v>
      </c>
      <c r="C694" s="230">
        <v>10757</v>
      </c>
      <c r="D694" s="231" t="s">
        <v>468</v>
      </c>
      <c r="E694" s="230">
        <v>14491078</v>
      </c>
      <c r="F694" s="230">
        <v>30185</v>
      </c>
      <c r="G694" s="230">
        <v>25</v>
      </c>
      <c r="H694" s="240">
        <v>26.3</v>
      </c>
      <c r="I694" s="240">
        <f t="shared" si="10"/>
        <v>657.5</v>
      </c>
      <c r="J694" s="231" t="s">
        <v>1311</v>
      </c>
      <c r="K694" s="231" t="s">
        <v>1312</v>
      </c>
      <c r="L694" s="232">
        <v>45170</v>
      </c>
      <c r="M694" s="232">
        <v>45199</v>
      </c>
    </row>
    <row r="695" spans="1:13" ht="18.75" customHeight="1" x14ac:dyDescent="0.2">
      <c r="A695" s="231" t="s">
        <v>1589</v>
      </c>
      <c r="B695" s="230">
        <v>112878</v>
      </c>
      <c r="C695" s="230">
        <v>10756</v>
      </c>
      <c r="D695" s="231" t="s">
        <v>472</v>
      </c>
      <c r="E695" s="230">
        <v>14491078</v>
      </c>
      <c r="F695" s="230">
        <v>30191</v>
      </c>
      <c r="G695" s="230">
        <v>25</v>
      </c>
      <c r="H695" s="240">
        <v>26.3</v>
      </c>
      <c r="I695" s="240">
        <f t="shared" si="10"/>
        <v>657.5</v>
      </c>
      <c r="J695" s="231" t="s">
        <v>1311</v>
      </c>
      <c r="K695" s="231" t="s">
        <v>1312</v>
      </c>
      <c r="L695" s="232">
        <v>45170</v>
      </c>
      <c r="M695" s="232">
        <v>45199</v>
      </c>
    </row>
    <row r="696" spans="1:13" ht="18.75" customHeight="1" x14ac:dyDescent="0.2">
      <c r="A696" s="231" t="s">
        <v>1589</v>
      </c>
      <c r="B696" s="230">
        <v>112888</v>
      </c>
      <c r="C696" s="230">
        <v>10768</v>
      </c>
      <c r="D696" s="231" t="s">
        <v>478</v>
      </c>
      <c r="E696" s="230">
        <v>14491078</v>
      </c>
      <c r="F696" s="230">
        <v>30211</v>
      </c>
      <c r="G696" s="230">
        <v>25</v>
      </c>
      <c r="H696" s="240">
        <v>26.3</v>
      </c>
      <c r="I696" s="240">
        <f t="shared" si="10"/>
        <v>657.5</v>
      </c>
      <c r="J696" s="231" t="s">
        <v>1311</v>
      </c>
      <c r="K696" s="231" t="s">
        <v>1312</v>
      </c>
      <c r="L696" s="232">
        <v>45170</v>
      </c>
      <c r="M696" s="232">
        <v>45199</v>
      </c>
    </row>
    <row r="697" spans="1:13" ht="18.75" customHeight="1" x14ac:dyDescent="0.2">
      <c r="A697" s="231" t="s">
        <v>1589</v>
      </c>
      <c r="B697" s="230">
        <v>112892</v>
      </c>
      <c r="C697" s="230">
        <v>10771</v>
      </c>
      <c r="D697" s="231" t="s">
        <v>480</v>
      </c>
      <c r="E697" s="230">
        <v>14491078</v>
      </c>
      <c r="F697" s="230">
        <v>30219</v>
      </c>
      <c r="G697" s="230">
        <v>25</v>
      </c>
      <c r="H697" s="240">
        <v>26.3</v>
      </c>
      <c r="I697" s="240">
        <f t="shared" si="10"/>
        <v>657.5</v>
      </c>
      <c r="J697" s="231" t="s">
        <v>1311</v>
      </c>
      <c r="K697" s="231" t="s">
        <v>1312</v>
      </c>
      <c r="L697" s="232">
        <v>45170</v>
      </c>
      <c r="M697" s="232">
        <v>45199</v>
      </c>
    </row>
    <row r="698" spans="1:13" ht="18.75" customHeight="1" x14ac:dyDescent="0.2">
      <c r="A698" s="231" t="s">
        <v>1589</v>
      </c>
      <c r="B698" s="230">
        <v>112896</v>
      </c>
      <c r="C698" s="230">
        <v>10761</v>
      </c>
      <c r="D698" s="231" t="s">
        <v>484</v>
      </c>
      <c r="E698" s="230">
        <v>14491078</v>
      </c>
      <c r="F698" s="230">
        <v>30227</v>
      </c>
      <c r="G698" s="230">
        <v>25</v>
      </c>
      <c r="H698" s="240">
        <v>26.3</v>
      </c>
      <c r="I698" s="240">
        <f t="shared" si="10"/>
        <v>657.5</v>
      </c>
      <c r="J698" s="231" t="s">
        <v>1311</v>
      </c>
      <c r="K698" s="231" t="s">
        <v>1312</v>
      </c>
      <c r="L698" s="232">
        <v>45170</v>
      </c>
      <c r="M698" s="232">
        <v>45199</v>
      </c>
    </row>
    <row r="699" spans="1:13" ht="18.75" customHeight="1" x14ac:dyDescent="0.2">
      <c r="A699" s="231" t="s">
        <v>1589</v>
      </c>
      <c r="B699" s="230">
        <v>112898</v>
      </c>
      <c r="C699" s="230">
        <v>10761</v>
      </c>
      <c r="D699" s="231" t="s">
        <v>486</v>
      </c>
      <c r="E699" s="230">
        <v>14491078</v>
      </c>
      <c r="F699" s="230">
        <v>30231</v>
      </c>
      <c r="G699" s="230">
        <v>25</v>
      </c>
      <c r="H699" s="240">
        <v>26.3</v>
      </c>
      <c r="I699" s="240">
        <f t="shared" si="10"/>
        <v>657.5</v>
      </c>
      <c r="J699" s="231" t="s">
        <v>1311</v>
      </c>
      <c r="K699" s="231" t="s">
        <v>1312</v>
      </c>
      <c r="L699" s="232">
        <v>45170</v>
      </c>
      <c r="M699" s="232">
        <v>45199</v>
      </c>
    </row>
    <row r="700" spans="1:13" ht="18.75" customHeight="1" x14ac:dyDescent="0.2">
      <c r="A700" s="231" t="s">
        <v>1589</v>
      </c>
      <c r="B700" s="230">
        <v>112904</v>
      </c>
      <c r="C700" s="230">
        <v>10762</v>
      </c>
      <c r="D700" s="231" t="s">
        <v>489</v>
      </c>
      <c r="E700" s="230">
        <v>14491078</v>
      </c>
      <c r="F700" s="230">
        <v>30243</v>
      </c>
      <c r="G700" s="230">
        <v>25</v>
      </c>
      <c r="H700" s="240">
        <v>26.3</v>
      </c>
      <c r="I700" s="240">
        <f t="shared" si="10"/>
        <v>657.5</v>
      </c>
      <c r="J700" s="231" t="s">
        <v>1311</v>
      </c>
      <c r="K700" s="231" t="s">
        <v>1312</v>
      </c>
      <c r="L700" s="232">
        <v>45170</v>
      </c>
      <c r="M700" s="232">
        <v>45199</v>
      </c>
    </row>
    <row r="701" spans="1:13" ht="18.75" customHeight="1" x14ac:dyDescent="0.2">
      <c r="A701" s="231" t="s">
        <v>1589</v>
      </c>
      <c r="B701" s="230">
        <v>112907</v>
      </c>
      <c r="C701" s="230">
        <v>10767</v>
      </c>
      <c r="D701" s="231" t="s">
        <v>491</v>
      </c>
      <c r="E701" s="230">
        <v>14491078</v>
      </c>
      <c r="F701" s="230">
        <v>30249</v>
      </c>
      <c r="G701" s="230">
        <v>25</v>
      </c>
      <c r="H701" s="240">
        <v>26.3</v>
      </c>
      <c r="I701" s="240">
        <f t="shared" si="10"/>
        <v>657.5</v>
      </c>
      <c r="J701" s="231" t="s">
        <v>1311</v>
      </c>
      <c r="K701" s="231" t="s">
        <v>1312</v>
      </c>
      <c r="L701" s="232">
        <v>45170</v>
      </c>
      <c r="M701" s="232">
        <v>45199</v>
      </c>
    </row>
    <row r="702" spans="1:13" ht="18.75" customHeight="1" x14ac:dyDescent="0.2">
      <c r="A702" s="231" t="s">
        <v>1589</v>
      </c>
      <c r="B702" s="230">
        <v>112911</v>
      </c>
      <c r="C702" s="230">
        <v>10761</v>
      </c>
      <c r="D702" s="231" t="s">
        <v>494</v>
      </c>
      <c r="E702" s="230">
        <v>14491078</v>
      </c>
      <c r="F702" s="230">
        <v>30257</v>
      </c>
      <c r="G702" s="230">
        <v>25</v>
      </c>
      <c r="H702" s="240">
        <v>26.3</v>
      </c>
      <c r="I702" s="240">
        <f t="shared" si="10"/>
        <v>657.5</v>
      </c>
      <c r="J702" s="231" t="s">
        <v>1311</v>
      </c>
      <c r="K702" s="231" t="s">
        <v>1312</v>
      </c>
      <c r="L702" s="232">
        <v>45170</v>
      </c>
      <c r="M702" s="232">
        <v>45199</v>
      </c>
    </row>
    <row r="703" spans="1:13" ht="18.75" customHeight="1" x14ac:dyDescent="0.2">
      <c r="A703" s="231" t="s">
        <v>1589</v>
      </c>
      <c r="B703" s="230">
        <v>112918</v>
      </c>
      <c r="C703" s="230">
        <v>10768</v>
      </c>
      <c r="D703" s="231" t="s">
        <v>497</v>
      </c>
      <c r="E703" s="230">
        <v>14491078</v>
      </c>
      <c r="F703" s="230">
        <v>30271</v>
      </c>
      <c r="G703" s="230">
        <v>25</v>
      </c>
      <c r="H703" s="240">
        <v>26.3</v>
      </c>
      <c r="I703" s="240">
        <f t="shared" si="10"/>
        <v>657.5</v>
      </c>
      <c r="J703" s="231" t="s">
        <v>1311</v>
      </c>
      <c r="K703" s="231" t="s">
        <v>1312</v>
      </c>
      <c r="L703" s="232">
        <v>45170</v>
      </c>
      <c r="M703" s="232">
        <v>45199</v>
      </c>
    </row>
    <row r="704" spans="1:13" ht="18.75" customHeight="1" x14ac:dyDescent="0.2">
      <c r="A704" s="231" t="s">
        <v>1589</v>
      </c>
      <c r="B704" s="230">
        <v>112920</v>
      </c>
      <c r="C704" s="230">
        <v>10761</v>
      </c>
      <c r="D704" s="231" t="s">
        <v>498</v>
      </c>
      <c r="E704" s="230">
        <v>14491078</v>
      </c>
      <c r="F704" s="230">
        <v>30275</v>
      </c>
      <c r="G704" s="230">
        <v>25</v>
      </c>
      <c r="H704" s="240">
        <v>26.3</v>
      </c>
      <c r="I704" s="240">
        <f t="shared" si="10"/>
        <v>657.5</v>
      </c>
      <c r="J704" s="231" t="s">
        <v>1311</v>
      </c>
      <c r="K704" s="231" t="s">
        <v>1312</v>
      </c>
      <c r="L704" s="232">
        <v>45170</v>
      </c>
      <c r="M704" s="232">
        <v>45199</v>
      </c>
    </row>
    <row r="705" spans="1:13" ht="18.75" customHeight="1" x14ac:dyDescent="0.2">
      <c r="A705" s="231" t="s">
        <v>1589</v>
      </c>
      <c r="B705" s="230">
        <v>112922</v>
      </c>
      <c r="C705" s="230">
        <v>10767</v>
      </c>
      <c r="D705" s="231" t="s">
        <v>500</v>
      </c>
      <c r="E705" s="230">
        <v>14491078</v>
      </c>
      <c r="F705" s="230">
        <v>30279</v>
      </c>
      <c r="G705" s="230">
        <v>25</v>
      </c>
      <c r="H705" s="240">
        <v>26.3</v>
      </c>
      <c r="I705" s="240">
        <f t="shared" si="10"/>
        <v>657.5</v>
      </c>
      <c r="J705" s="231" t="s">
        <v>1311</v>
      </c>
      <c r="K705" s="231" t="s">
        <v>1312</v>
      </c>
      <c r="L705" s="232">
        <v>45170</v>
      </c>
      <c r="M705" s="232">
        <v>45199</v>
      </c>
    </row>
    <row r="706" spans="1:13" ht="18.75" customHeight="1" x14ac:dyDescent="0.2">
      <c r="A706" s="231" t="s">
        <v>1589</v>
      </c>
      <c r="B706" s="230">
        <v>112942</v>
      </c>
      <c r="C706" s="230">
        <v>10757</v>
      </c>
      <c r="D706" s="231" t="s">
        <v>511</v>
      </c>
      <c r="E706" s="230">
        <v>14491078</v>
      </c>
      <c r="F706" s="230">
        <v>30319</v>
      </c>
      <c r="G706" s="230">
        <v>25</v>
      </c>
      <c r="H706" s="240">
        <v>26.3</v>
      </c>
      <c r="I706" s="240">
        <f t="shared" si="10"/>
        <v>657.5</v>
      </c>
      <c r="J706" s="231" t="s">
        <v>1311</v>
      </c>
      <c r="K706" s="231" t="s">
        <v>1312</v>
      </c>
      <c r="L706" s="232">
        <v>45170</v>
      </c>
      <c r="M706" s="232">
        <v>45199</v>
      </c>
    </row>
    <row r="707" spans="1:13" ht="18.75" customHeight="1" x14ac:dyDescent="0.2">
      <c r="A707" s="231" t="s">
        <v>1589</v>
      </c>
      <c r="B707" s="230">
        <v>112957</v>
      </c>
      <c r="C707" s="230">
        <v>10768</v>
      </c>
      <c r="D707" s="231" t="s">
        <v>1353</v>
      </c>
      <c r="E707" s="230">
        <v>14491078</v>
      </c>
      <c r="F707" s="230">
        <v>30349</v>
      </c>
      <c r="G707" s="230">
        <v>25</v>
      </c>
      <c r="H707" s="240">
        <v>26.3</v>
      </c>
      <c r="I707" s="240">
        <f t="shared" ref="I707:I770" si="11">G707*H707</f>
        <v>657.5</v>
      </c>
      <c r="J707" s="231" t="s">
        <v>1311</v>
      </c>
      <c r="K707" s="231" t="s">
        <v>1312</v>
      </c>
      <c r="L707" s="232">
        <v>45170</v>
      </c>
      <c r="M707" s="232">
        <v>45199</v>
      </c>
    </row>
    <row r="708" spans="1:13" ht="18.75" customHeight="1" x14ac:dyDescent="0.2">
      <c r="A708" s="231" t="s">
        <v>1589</v>
      </c>
      <c r="B708" s="230">
        <v>112961</v>
      </c>
      <c r="C708" s="230">
        <v>10768</v>
      </c>
      <c r="D708" s="231" t="s">
        <v>1332</v>
      </c>
      <c r="E708" s="230">
        <v>14491078</v>
      </c>
      <c r="F708" s="230">
        <v>30357</v>
      </c>
      <c r="G708" s="230">
        <v>25</v>
      </c>
      <c r="H708" s="240">
        <v>26.3</v>
      </c>
      <c r="I708" s="240">
        <f t="shared" si="11"/>
        <v>657.5</v>
      </c>
      <c r="J708" s="231" t="s">
        <v>1311</v>
      </c>
      <c r="K708" s="231" t="s">
        <v>1312</v>
      </c>
      <c r="L708" s="232">
        <v>45170</v>
      </c>
      <c r="M708" s="232">
        <v>45199</v>
      </c>
    </row>
    <row r="709" spans="1:13" ht="18.75" customHeight="1" x14ac:dyDescent="0.2">
      <c r="A709" s="231" t="s">
        <v>1589</v>
      </c>
      <c r="B709" s="230">
        <v>112975</v>
      </c>
      <c r="C709" s="230">
        <v>10771</v>
      </c>
      <c r="D709" s="231" t="s">
        <v>529</v>
      </c>
      <c r="E709" s="230">
        <v>14491078</v>
      </c>
      <c r="F709" s="230">
        <v>30385</v>
      </c>
      <c r="G709" s="230">
        <v>25</v>
      </c>
      <c r="H709" s="240">
        <v>26.3</v>
      </c>
      <c r="I709" s="240">
        <f t="shared" si="11"/>
        <v>657.5</v>
      </c>
      <c r="J709" s="231" t="s">
        <v>1311</v>
      </c>
      <c r="K709" s="231" t="s">
        <v>1312</v>
      </c>
      <c r="L709" s="232">
        <v>45170</v>
      </c>
      <c r="M709" s="232">
        <v>45199</v>
      </c>
    </row>
    <row r="710" spans="1:13" ht="18.75" customHeight="1" x14ac:dyDescent="0.2">
      <c r="A710" s="231" t="s">
        <v>1589</v>
      </c>
      <c r="B710" s="230">
        <v>112990</v>
      </c>
      <c r="C710" s="230">
        <v>10745</v>
      </c>
      <c r="D710" s="231" t="s">
        <v>535</v>
      </c>
      <c r="E710" s="230">
        <v>14491078</v>
      </c>
      <c r="F710" s="230">
        <v>30415</v>
      </c>
      <c r="G710" s="230">
        <v>25</v>
      </c>
      <c r="H710" s="240">
        <v>26.3</v>
      </c>
      <c r="I710" s="240">
        <f t="shared" si="11"/>
        <v>657.5</v>
      </c>
      <c r="J710" s="231" t="s">
        <v>1311</v>
      </c>
      <c r="K710" s="231" t="s">
        <v>1312</v>
      </c>
      <c r="L710" s="232">
        <v>45170</v>
      </c>
      <c r="M710" s="232">
        <v>45199</v>
      </c>
    </row>
    <row r="711" spans="1:13" ht="18.75" customHeight="1" x14ac:dyDescent="0.2">
      <c r="A711" s="231" t="s">
        <v>1589</v>
      </c>
      <c r="B711" s="230">
        <v>112992</v>
      </c>
      <c r="C711" s="230">
        <v>10745</v>
      </c>
      <c r="D711" s="231" t="s">
        <v>537</v>
      </c>
      <c r="E711" s="230">
        <v>14491078</v>
      </c>
      <c r="F711" s="230">
        <v>30419</v>
      </c>
      <c r="G711" s="230">
        <v>25</v>
      </c>
      <c r="H711" s="240">
        <v>26.3</v>
      </c>
      <c r="I711" s="240">
        <f t="shared" si="11"/>
        <v>657.5</v>
      </c>
      <c r="J711" s="231" t="s">
        <v>1311</v>
      </c>
      <c r="K711" s="231" t="s">
        <v>1312</v>
      </c>
      <c r="L711" s="232">
        <v>45170</v>
      </c>
      <c r="M711" s="232">
        <v>45199</v>
      </c>
    </row>
    <row r="712" spans="1:13" ht="18.75" customHeight="1" x14ac:dyDescent="0.2">
      <c r="A712" s="231" t="s">
        <v>1589</v>
      </c>
      <c r="B712" s="230">
        <v>113000</v>
      </c>
      <c r="C712" s="230">
        <v>10757</v>
      </c>
      <c r="D712" s="231" t="s">
        <v>540</v>
      </c>
      <c r="E712" s="230">
        <v>14491078</v>
      </c>
      <c r="F712" s="230">
        <v>30435</v>
      </c>
      <c r="G712" s="230">
        <v>25</v>
      </c>
      <c r="H712" s="240">
        <v>26.3</v>
      </c>
      <c r="I712" s="240">
        <f t="shared" si="11"/>
        <v>657.5</v>
      </c>
      <c r="J712" s="231" t="s">
        <v>1311</v>
      </c>
      <c r="K712" s="231" t="s">
        <v>1312</v>
      </c>
      <c r="L712" s="232">
        <v>45170</v>
      </c>
      <c r="M712" s="232">
        <v>45199</v>
      </c>
    </row>
    <row r="713" spans="1:13" ht="18.75" customHeight="1" x14ac:dyDescent="0.2">
      <c r="A713" s="231" t="s">
        <v>1589</v>
      </c>
      <c r="B713" s="230">
        <v>113003</v>
      </c>
      <c r="C713" s="230">
        <v>10761</v>
      </c>
      <c r="D713" s="231" t="s">
        <v>542</v>
      </c>
      <c r="E713" s="230">
        <v>14491078</v>
      </c>
      <c r="F713" s="230">
        <v>30441</v>
      </c>
      <c r="G713" s="230">
        <v>25</v>
      </c>
      <c r="H713" s="240">
        <v>26.3</v>
      </c>
      <c r="I713" s="240">
        <f t="shared" si="11"/>
        <v>657.5</v>
      </c>
      <c r="J713" s="231" t="s">
        <v>1311</v>
      </c>
      <c r="K713" s="231" t="s">
        <v>1312</v>
      </c>
      <c r="L713" s="232">
        <v>45170</v>
      </c>
      <c r="M713" s="232">
        <v>45199</v>
      </c>
    </row>
    <row r="714" spans="1:13" ht="18.75" customHeight="1" x14ac:dyDescent="0.2">
      <c r="A714" s="231" t="s">
        <v>1589</v>
      </c>
      <c r="B714" s="230">
        <v>113008</v>
      </c>
      <c r="C714" s="230">
        <v>10766</v>
      </c>
      <c r="D714" s="231" t="s">
        <v>544</v>
      </c>
      <c r="E714" s="230">
        <v>14491078</v>
      </c>
      <c r="F714" s="230">
        <v>30451</v>
      </c>
      <c r="G714" s="230">
        <v>25</v>
      </c>
      <c r="H714" s="240">
        <v>26.3</v>
      </c>
      <c r="I714" s="240">
        <f t="shared" si="11"/>
        <v>657.5</v>
      </c>
      <c r="J714" s="231" t="s">
        <v>1311</v>
      </c>
      <c r="K714" s="231" t="s">
        <v>1312</v>
      </c>
      <c r="L714" s="232">
        <v>45170</v>
      </c>
      <c r="M714" s="232">
        <v>45199</v>
      </c>
    </row>
    <row r="715" spans="1:13" ht="18.75" customHeight="1" x14ac:dyDescent="0.2">
      <c r="A715" s="231" t="s">
        <v>1589</v>
      </c>
      <c r="B715" s="230">
        <v>113013</v>
      </c>
      <c r="C715" s="230">
        <v>10761</v>
      </c>
      <c r="D715" s="231" t="s">
        <v>545</v>
      </c>
      <c r="E715" s="230">
        <v>14491078</v>
      </c>
      <c r="F715" s="230">
        <v>30461</v>
      </c>
      <c r="G715" s="230">
        <v>25</v>
      </c>
      <c r="H715" s="240">
        <v>26.3</v>
      </c>
      <c r="I715" s="240">
        <f t="shared" si="11"/>
        <v>657.5</v>
      </c>
      <c r="J715" s="231" t="s">
        <v>1311</v>
      </c>
      <c r="K715" s="231" t="s">
        <v>1312</v>
      </c>
      <c r="L715" s="232">
        <v>45170</v>
      </c>
      <c r="M715" s="232">
        <v>45199</v>
      </c>
    </row>
    <row r="716" spans="1:13" ht="18.75" customHeight="1" x14ac:dyDescent="0.2">
      <c r="A716" s="231" t="s">
        <v>1589</v>
      </c>
      <c r="B716" s="230">
        <v>113016</v>
      </c>
      <c r="C716" s="230">
        <v>10745</v>
      </c>
      <c r="D716" s="231" t="s">
        <v>546</v>
      </c>
      <c r="E716" s="230">
        <v>14491078</v>
      </c>
      <c r="F716" s="230">
        <v>30467</v>
      </c>
      <c r="G716" s="230">
        <v>25</v>
      </c>
      <c r="H716" s="240">
        <v>26.3</v>
      </c>
      <c r="I716" s="240">
        <f t="shared" si="11"/>
        <v>657.5</v>
      </c>
      <c r="J716" s="231" t="s">
        <v>1311</v>
      </c>
      <c r="K716" s="231" t="s">
        <v>1312</v>
      </c>
      <c r="L716" s="232">
        <v>45170</v>
      </c>
      <c r="M716" s="232">
        <v>45199</v>
      </c>
    </row>
    <row r="717" spans="1:13" ht="18.75" customHeight="1" x14ac:dyDescent="0.2">
      <c r="A717" s="231" t="s">
        <v>1589</v>
      </c>
      <c r="B717" s="230">
        <v>113023</v>
      </c>
      <c r="C717" s="230">
        <v>10757</v>
      </c>
      <c r="D717" s="231" t="s">
        <v>547</v>
      </c>
      <c r="E717" s="230">
        <v>14491078</v>
      </c>
      <c r="F717" s="230">
        <v>30481</v>
      </c>
      <c r="G717" s="230">
        <v>25</v>
      </c>
      <c r="H717" s="240">
        <v>26.3</v>
      </c>
      <c r="I717" s="240">
        <f t="shared" si="11"/>
        <v>657.5</v>
      </c>
      <c r="J717" s="231" t="s">
        <v>1311</v>
      </c>
      <c r="K717" s="231" t="s">
        <v>1312</v>
      </c>
      <c r="L717" s="232">
        <v>45170</v>
      </c>
      <c r="M717" s="232">
        <v>45199</v>
      </c>
    </row>
    <row r="718" spans="1:13" ht="18.75" customHeight="1" x14ac:dyDescent="0.2">
      <c r="A718" s="231" t="s">
        <v>1589</v>
      </c>
      <c r="B718" s="230">
        <v>113029</v>
      </c>
      <c r="C718" s="230">
        <v>10761</v>
      </c>
      <c r="D718" s="231" t="s">
        <v>551</v>
      </c>
      <c r="E718" s="230">
        <v>14491078</v>
      </c>
      <c r="F718" s="230">
        <v>30493</v>
      </c>
      <c r="G718" s="230">
        <v>25</v>
      </c>
      <c r="H718" s="240">
        <v>26.3</v>
      </c>
      <c r="I718" s="240">
        <f t="shared" si="11"/>
        <v>657.5</v>
      </c>
      <c r="J718" s="231" t="s">
        <v>1311</v>
      </c>
      <c r="K718" s="231" t="s">
        <v>1312</v>
      </c>
      <c r="L718" s="232">
        <v>45170</v>
      </c>
      <c r="M718" s="232">
        <v>45199</v>
      </c>
    </row>
    <row r="719" spans="1:13" ht="18.75" customHeight="1" x14ac:dyDescent="0.2">
      <c r="A719" s="231" t="s">
        <v>1589</v>
      </c>
      <c r="B719" s="230">
        <v>113030</v>
      </c>
      <c r="C719" s="230">
        <v>10768</v>
      </c>
      <c r="D719" s="231" t="s">
        <v>552</v>
      </c>
      <c r="E719" s="230">
        <v>14491078</v>
      </c>
      <c r="F719" s="230">
        <v>30495</v>
      </c>
      <c r="G719" s="230">
        <v>25</v>
      </c>
      <c r="H719" s="240">
        <v>26.3</v>
      </c>
      <c r="I719" s="240">
        <f t="shared" si="11"/>
        <v>657.5</v>
      </c>
      <c r="J719" s="231" t="s">
        <v>1311</v>
      </c>
      <c r="K719" s="231" t="s">
        <v>1312</v>
      </c>
      <c r="L719" s="232">
        <v>45170</v>
      </c>
      <c r="M719" s="232">
        <v>45199</v>
      </c>
    </row>
    <row r="720" spans="1:13" ht="18.75" customHeight="1" x14ac:dyDescent="0.2">
      <c r="A720" s="231" t="s">
        <v>1589</v>
      </c>
      <c r="B720" s="230">
        <v>113033</v>
      </c>
      <c r="C720" s="230">
        <v>10757</v>
      </c>
      <c r="D720" s="231" t="s">
        <v>553</v>
      </c>
      <c r="E720" s="230">
        <v>14491078</v>
      </c>
      <c r="F720" s="230">
        <v>30501</v>
      </c>
      <c r="G720" s="230">
        <v>25</v>
      </c>
      <c r="H720" s="240">
        <v>26.3</v>
      </c>
      <c r="I720" s="240">
        <f t="shared" si="11"/>
        <v>657.5</v>
      </c>
      <c r="J720" s="231" t="s">
        <v>1311</v>
      </c>
      <c r="K720" s="231" t="s">
        <v>1312</v>
      </c>
      <c r="L720" s="232">
        <v>45170</v>
      </c>
      <c r="M720" s="232">
        <v>45199</v>
      </c>
    </row>
    <row r="721" spans="1:13" ht="18.75" customHeight="1" x14ac:dyDescent="0.2">
      <c r="A721" s="231" t="s">
        <v>1589</v>
      </c>
      <c r="B721" s="230">
        <v>113034</v>
      </c>
      <c r="C721" s="230">
        <v>10745</v>
      </c>
      <c r="D721" s="231" t="s">
        <v>1389</v>
      </c>
      <c r="E721" s="230">
        <v>14491078</v>
      </c>
      <c r="F721" s="230">
        <v>30503</v>
      </c>
      <c r="G721" s="230">
        <v>25</v>
      </c>
      <c r="H721" s="240">
        <v>26.3</v>
      </c>
      <c r="I721" s="240">
        <f t="shared" si="11"/>
        <v>657.5</v>
      </c>
      <c r="J721" s="231" t="s">
        <v>1311</v>
      </c>
      <c r="K721" s="231" t="s">
        <v>1312</v>
      </c>
      <c r="L721" s="232">
        <v>45170</v>
      </c>
      <c r="M721" s="232">
        <v>45199</v>
      </c>
    </row>
    <row r="722" spans="1:13" ht="18.75" customHeight="1" x14ac:dyDescent="0.2">
      <c r="A722" s="231" t="s">
        <v>1589</v>
      </c>
      <c r="B722" s="230">
        <v>113035</v>
      </c>
      <c r="C722" s="230">
        <v>10761</v>
      </c>
      <c r="D722" s="231" t="s">
        <v>1349</v>
      </c>
      <c r="E722" s="230">
        <v>14491078</v>
      </c>
      <c r="F722" s="230">
        <v>30505</v>
      </c>
      <c r="G722" s="230">
        <v>25</v>
      </c>
      <c r="H722" s="240">
        <v>26.3</v>
      </c>
      <c r="I722" s="240">
        <f t="shared" si="11"/>
        <v>657.5</v>
      </c>
      <c r="J722" s="231" t="s">
        <v>1311</v>
      </c>
      <c r="K722" s="231" t="s">
        <v>1312</v>
      </c>
      <c r="L722" s="232">
        <v>45170</v>
      </c>
      <c r="M722" s="232">
        <v>45199</v>
      </c>
    </row>
    <row r="723" spans="1:13" ht="18.75" customHeight="1" x14ac:dyDescent="0.2">
      <c r="A723" s="231" t="s">
        <v>1589</v>
      </c>
      <c r="B723" s="230">
        <v>113041</v>
      </c>
      <c r="C723" s="230">
        <v>10757</v>
      </c>
      <c r="D723" s="231" t="s">
        <v>557</v>
      </c>
      <c r="E723" s="230">
        <v>14491078</v>
      </c>
      <c r="F723" s="230">
        <v>30517</v>
      </c>
      <c r="G723" s="230">
        <v>25</v>
      </c>
      <c r="H723" s="240">
        <v>26.3</v>
      </c>
      <c r="I723" s="240">
        <f t="shared" si="11"/>
        <v>657.5</v>
      </c>
      <c r="J723" s="231" t="s">
        <v>1311</v>
      </c>
      <c r="K723" s="231" t="s">
        <v>1312</v>
      </c>
      <c r="L723" s="232">
        <v>45170</v>
      </c>
      <c r="M723" s="232">
        <v>45199</v>
      </c>
    </row>
    <row r="724" spans="1:13" ht="18.75" customHeight="1" x14ac:dyDescent="0.2">
      <c r="A724" s="231" t="s">
        <v>1589</v>
      </c>
      <c r="B724" s="230">
        <v>113044</v>
      </c>
      <c r="C724" s="230">
        <v>10768</v>
      </c>
      <c r="D724" s="231" t="s">
        <v>560</v>
      </c>
      <c r="E724" s="230">
        <v>14491078</v>
      </c>
      <c r="F724" s="230">
        <v>30523</v>
      </c>
      <c r="G724" s="230">
        <v>25</v>
      </c>
      <c r="H724" s="240">
        <v>26.3</v>
      </c>
      <c r="I724" s="240">
        <f t="shared" si="11"/>
        <v>657.5</v>
      </c>
      <c r="J724" s="231" t="s">
        <v>1311</v>
      </c>
      <c r="K724" s="231" t="s">
        <v>1312</v>
      </c>
      <c r="L724" s="232">
        <v>45170</v>
      </c>
      <c r="M724" s="232">
        <v>45199</v>
      </c>
    </row>
    <row r="725" spans="1:13" ht="18.75" customHeight="1" x14ac:dyDescent="0.2">
      <c r="A725" s="231" t="s">
        <v>1589</v>
      </c>
      <c r="B725" s="230">
        <v>113049</v>
      </c>
      <c r="C725" s="230">
        <v>10768</v>
      </c>
      <c r="D725" s="231" t="s">
        <v>561</v>
      </c>
      <c r="E725" s="230">
        <v>14491078</v>
      </c>
      <c r="F725" s="230">
        <v>30533</v>
      </c>
      <c r="G725" s="230">
        <v>25</v>
      </c>
      <c r="H725" s="240">
        <v>26.3</v>
      </c>
      <c r="I725" s="240">
        <f t="shared" si="11"/>
        <v>657.5</v>
      </c>
      <c r="J725" s="231" t="s">
        <v>1311</v>
      </c>
      <c r="K725" s="231" t="s">
        <v>1312</v>
      </c>
      <c r="L725" s="232">
        <v>45170</v>
      </c>
      <c r="M725" s="232">
        <v>45199</v>
      </c>
    </row>
    <row r="726" spans="1:13" ht="18.75" customHeight="1" x14ac:dyDescent="0.2">
      <c r="A726" s="231" t="s">
        <v>1589</v>
      </c>
      <c r="B726" s="230">
        <v>113059</v>
      </c>
      <c r="C726" s="230">
        <v>10757</v>
      </c>
      <c r="D726" s="231" t="s">
        <v>566</v>
      </c>
      <c r="E726" s="230">
        <v>14491078</v>
      </c>
      <c r="F726" s="230">
        <v>30553</v>
      </c>
      <c r="G726" s="230">
        <v>25</v>
      </c>
      <c r="H726" s="240">
        <v>26.3</v>
      </c>
      <c r="I726" s="240">
        <f t="shared" si="11"/>
        <v>657.5</v>
      </c>
      <c r="J726" s="231" t="s">
        <v>1311</v>
      </c>
      <c r="K726" s="231" t="s">
        <v>1312</v>
      </c>
      <c r="L726" s="232">
        <v>45170</v>
      </c>
      <c r="M726" s="232">
        <v>45199</v>
      </c>
    </row>
    <row r="727" spans="1:13" ht="18.75" customHeight="1" x14ac:dyDescent="0.2">
      <c r="A727" s="231" t="s">
        <v>1589</v>
      </c>
      <c r="B727" s="230">
        <v>113063</v>
      </c>
      <c r="C727" s="230">
        <v>10757</v>
      </c>
      <c r="D727" s="231" t="s">
        <v>567</v>
      </c>
      <c r="E727" s="230">
        <v>14491078</v>
      </c>
      <c r="F727" s="230">
        <v>30561</v>
      </c>
      <c r="G727" s="230">
        <v>25</v>
      </c>
      <c r="H727" s="240">
        <v>26.3</v>
      </c>
      <c r="I727" s="240">
        <f t="shared" si="11"/>
        <v>657.5</v>
      </c>
      <c r="J727" s="231" t="s">
        <v>1311</v>
      </c>
      <c r="K727" s="231" t="s">
        <v>1312</v>
      </c>
      <c r="L727" s="232">
        <v>45170</v>
      </c>
      <c r="M727" s="232">
        <v>45199</v>
      </c>
    </row>
    <row r="728" spans="1:13" ht="18.75" customHeight="1" x14ac:dyDescent="0.2">
      <c r="A728" s="231" t="s">
        <v>1589</v>
      </c>
      <c r="B728" s="230">
        <v>113064</v>
      </c>
      <c r="C728" s="230">
        <v>10761</v>
      </c>
      <c r="D728" s="231" t="s">
        <v>1350</v>
      </c>
      <c r="E728" s="230">
        <v>14491078</v>
      </c>
      <c r="F728" s="230">
        <v>30563</v>
      </c>
      <c r="G728" s="230">
        <v>24</v>
      </c>
      <c r="H728" s="240">
        <v>26.3</v>
      </c>
      <c r="I728" s="240">
        <f t="shared" si="11"/>
        <v>631.20000000000005</v>
      </c>
      <c r="J728" s="231" t="s">
        <v>1311</v>
      </c>
      <c r="K728" s="231" t="s">
        <v>1312</v>
      </c>
      <c r="L728" s="232">
        <v>45170</v>
      </c>
      <c r="M728" s="232">
        <v>45199</v>
      </c>
    </row>
    <row r="729" spans="1:13" ht="18.75" customHeight="1" x14ac:dyDescent="0.2">
      <c r="A729" s="231" t="s">
        <v>1589</v>
      </c>
      <c r="B729" s="230">
        <v>113068</v>
      </c>
      <c r="C729" s="230">
        <v>10767</v>
      </c>
      <c r="D729" s="231" t="s">
        <v>569</v>
      </c>
      <c r="E729" s="230">
        <v>14491078</v>
      </c>
      <c r="F729" s="230">
        <v>30571</v>
      </c>
      <c r="G729" s="230">
        <v>25</v>
      </c>
      <c r="H729" s="240">
        <v>26.3</v>
      </c>
      <c r="I729" s="240">
        <f t="shared" si="11"/>
        <v>657.5</v>
      </c>
      <c r="J729" s="231" t="s">
        <v>1311</v>
      </c>
      <c r="K729" s="231" t="s">
        <v>1312</v>
      </c>
      <c r="L729" s="232">
        <v>45170</v>
      </c>
      <c r="M729" s="232">
        <v>45199</v>
      </c>
    </row>
    <row r="730" spans="1:13" ht="18.75" customHeight="1" x14ac:dyDescent="0.2">
      <c r="A730" s="231" t="s">
        <v>1589</v>
      </c>
      <c r="B730" s="230">
        <v>113074</v>
      </c>
      <c r="C730" s="230">
        <v>10757</v>
      </c>
      <c r="D730" s="231" t="s">
        <v>573</v>
      </c>
      <c r="E730" s="230">
        <v>14491078</v>
      </c>
      <c r="F730" s="230">
        <v>30583</v>
      </c>
      <c r="G730" s="230">
        <v>25</v>
      </c>
      <c r="H730" s="240">
        <v>26.3</v>
      </c>
      <c r="I730" s="240">
        <f t="shared" si="11"/>
        <v>657.5</v>
      </c>
      <c r="J730" s="231" t="s">
        <v>1311</v>
      </c>
      <c r="K730" s="231" t="s">
        <v>1312</v>
      </c>
      <c r="L730" s="232">
        <v>45170</v>
      </c>
      <c r="M730" s="232">
        <v>45199</v>
      </c>
    </row>
    <row r="731" spans="1:13" ht="18.75" customHeight="1" x14ac:dyDescent="0.2">
      <c r="A731" s="231" t="s">
        <v>1589</v>
      </c>
      <c r="B731" s="230">
        <v>113080</v>
      </c>
      <c r="C731" s="230">
        <v>10761</v>
      </c>
      <c r="D731" s="231" t="s">
        <v>577</v>
      </c>
      <c r="E731" s="230">
        <v>14491078</v>
      </c>
      <c r="F731" s="230">
        <v>30595</v>
      </c>
      <c r="G731" s="230">
        <v>25</v>
      </c>
      <c r="H731" s="240">
        <v>26.3</v>
      </c>
      <c r="I731" s="240">
        <f t="shared" si="11"/>
        <v>657.5</v>
      </c>
      <c r="J731" s="231" t="s">
        <v>1311</v>
      </c>
      <c r="K731" s="231" t="s">
        <v>1312</v>
      </c>
      <c r="L731" s="232">
        <v>45170</v>
      </c>
      <c r="M731" s="232">
        <v>45199</v>
      </c>
    </row>
    <row r="732" spans="1:13" ht="18.75" customHeight="1" x14ac:dyDescent="0.2">
      <c r="A732" s="231" t="s">
        <v>1589</v>
      </c>
      <c r="B732" s="230">
        <v>113086</v>
      </c>
      <c r="C732" s="230">
        <v>10761</v>
      </c>
      <c r="D732" s="231" t="s">
        <v>581</v>
      </c>
      <c r="E732" s="230">
        <v>14491078</v>
      </c>
      <c r="F732" s="230">
        <v>30607</v>
      </c>
      <c r="G732" s="230">
        <v>25</v>
      </c>
      <c r="H732" s="240">
        <v>26.3</v>
      </c>
      <c r="I732" s="240">
        <f t="shared" si="11"/>
        <v>657.5</v>
      </c>
      <c r="J732" s="231" t="s">
        <v>1311</v>
      </c>
      <c r="K732" s="231" t="s">
        <v>1312</v>
      </c>
      <c r="L732" s="232">
        <v>45170</v>
      </c>
      <c r="M732" s="232">
        <v>45199</v>
      </c>
    </row>
    <row r="733" spans="1:13" ht="18.75" customHeight="1" x14ac:dyDescent="0.2">
      <c r="A733" s="231" t="s">
        <v>1589</v>
      </c>
      <c r="B733" s="230">
        <v>113094</v>
      </c>
      <c r="C733" s="230">
        <v>10748</v>
      </c>
      <c r="D733" s="231" t="s">
        <v>584</v>
      </c>
      <c r="E733" s="230">
        <v>14491078</v>
      </c>
      <c r="F733" s="230">
        <v>30623</v>
      </c>
      <c r="G733" s="230">
        <v>25</v>
      </c>
      <c r="H733" s="240">
        <v>26.3</v>
      </c>
      <c r="I733" s="240">
        <f t="shared" si="11"/>
        <v>657.5</v>
      </c>
      <c r="J733" s="231" t="s">
        <v>1311</v>
      </c>
      <c r="K733" s="231" t="s">
        <v>1312</v>
      </c>
      <c r="L733" s="232">
        <v>45170</v>
      </c>
      <c r="M733" s="232">
        <v>45199</v>
      </c>
    </row>
    <row r="734" spans="1:13" ht="18.75" customHeight="1" x14ac:dyDescent="0.2">
      <c r="A734" s="231" t="s">
        <v>1589</v>
      </c>
      <c r="B734" s="230">
        <v>113098</v>
      </c>
      <c r="C734" s="230">
        <v>10759</v>
      </c>
      <c r="D734" s="231" t="s">
        <v>586</v>
      </c>
      <c r="E734" s="230">
        <v>14491078</v>
      </c>
      <c r="F734" s="230">
        <v>30631</v>
      </c>
      <c r="G734" s="230">
        <v>25</v>
      </c>
      <c r="H734" s="240">
        <v>26.3</v>
      </c>
      <c r="I734" s="240">
        <f t="shared" si="11"/>
        <v>657.5</v>
      </c>
      <c r="J734" s="231" t="s">
        <v>1311</v>
      </c>
      <c r="K734" s="231" t="s">
        <v>1312</v>
      </c>
      <c r="L734" s="232">
        <v>45170</v>
      </c>
      <c r="M734" s="232">
        <v>45199</v>
      </c>
    </row>
    <row r="735" spans="1:13" ht="18.75" customHeight="1" x14ac:dyDescent="0.2">
      <c r="A735" s="231" t="s">
        <v>1589</v>
      </c>
      <c r="B735" s="230">
        <v>113118</v>
      </c>
      <c r="C735" s="230">
        <v>10771</v>
      </c>
      <c r="D735" s="231" t="s">
        <v>596</v>
      </c>
      <c r="E735" s="230">
        <v>14491078</v>
      </c>
      <c r="F735" s="230">
        <v>30671</v>
      </c>
      <c r="G735" s="230">
        <v>25</v>
      </c>
      <c r="H735" s="240">
        <v>26.3</v>
      </c>
      <c r="I735" s="240">
        <f t="shared" si="11"/>
        <v>657.5</v>
      </c>
      <c r="J735" s="231" t="s">
        <v>1311</v>
      </c>
      <c r="K735" s="231" t="s">
        <v>1312</v>
      </c>
      <c r="L735" s="232">
        <v>45170</v>
      </c>
      <c r="M735" s="232">
        <v>45199</v>
      </c>
    </row>
    <row r="736" spans="1:13" ht="18.75" customHeight="1" x14ac:dyDescent="0.2">
      <c r="A736" s="231" t="s">
        <v>1589</v>
      </c>
      <c r="B736" s="230">
        <v>113119</v>
      </c>
      <c r="C736" s="230">
        <v>10768</v>
      </c>
      <c r="D736" s="231" t="s">
        <v>597</v>
      </c>
      <c r="E736" s="230">
        <v>14491078</v>
      </c>
      <c r="F736" s="230">
        <v>30673</v>
      </c>
      <c r="G736" s="230">
        <v>25</v>
      </c>
      <c r="H736" s="240">
        <v>26.3</v>
      </c>
      <c r="I736" s="240">
        <f t="shared" si="11"/>
        <v>657.5</v>
      </c>
      <c r="J736" s="231" t="s">
        <v>1311</v>
      </c>
      <c r="K736" s="231" t="s">
        <v>1312</v>
      </c>
      <c r="L736" s="232">
        <v>45170</v>
      </c>
      <c r="M736" s="232">
        <v>45199</v>
      </c>
    </row>
    <row r="737" spans="1:13" ht="18.75" customHeight="1" x14ac:dyDescent="0.2">
      <c r="A737" s="231" t="s">
        <v>1589</v>
      </c>
      <c r="B737" s="230">
        <v>113121</v>
      </c>
      <c r="C737" s="230">
        <v>10757</v>
      </c>
      <c r="D737" s="231" t="s">
        <v>1291</v>
      </c>
      <c r="E737" s="230">
        <v>14491078</v>
      </c>
      <c r="F737" s="230">
        <v>30677</v>
      </c>
      <c r="G737" s="230">
        <v>25</v>
      </c>
      <c r="H737" s="240">
        <v>26.3</v>
      </c>
      <c r="I737" s="240">
        <f t="shared" si="11"/>
        <v>657.5</v>
      </c>
      <c r="J737" s="231" t="s">
        <v>1311</v>
      </c>
      <c r="K737" s="231" t="s">
        <v>1312</v>
      </c>
      <c r="L737" s="232">
        <v>45170</v>
      </c>
      <c r="M737" s="232">
        <v>45199</v>
      </c>
    </row>
    <row r="738" spans="1:13" ht="18.75" customHeight="1" x14ac:dyDescent="0.2">
      <c r="A738" s="231" t="s">
        <v>1589</v>
      </c>
      <c r="B738" s="230">
        <v>113123</v>
      </c>
      <c r="C738" s="230">
        <v>10757</v>
      </c>
      <c r="D738" s="231" t="s">
        <v>599</v>
      </c>
      <c r="E738" s="230">
        <v>14491078</v>
      </c>
      <c r="F738" s="230">
        <v>30681</v>
      </c>
      <c r="G738" s="230">
        <v>25</v>
      </c>
      <c r="H738" s="240">
        <v>26.3</v>
      </c>
      <c r="I738" s="240">
        <f t="shared" si="11"/>
        <v>657.5</v>
      </c>
      <c r="J738" s="231" t="s">
        <v>1311</v>
      </c>
      <c r="K738" s="231" t="s">
        <v>1312</v>
      </c>
      <c r="L738" s="232">
        <v>45170</v>
      </c>
      <c r="M738" s="232">
        <v>45199</v>
      </c>
    </row>
    <row r="739" spans="1:13" ht="18.75" customHeight="1" x14ac:dyDescent="0.2">
      <c r="A739" s="231" t="s">
        <v>1589</v>
      </c>
      <c r="B739" s="230">
        <v>113124</v>
      </c>
      <c r="C739" s="230">
        <v>10768</v>
      </c>
      <c r="D739" s="231" t="s">
        <v>600</v>
      </c>
      <c r="E739" s="230">
        <v>14491078</v>
      </c>
      <c r="F739" s="230">
        <v>30683</v>
      </c>
      <c r="G739" s="230">
        <v>25</v>
      </c>
      <c r="H739" s="240">
        <v>26.3</v>
      </c>
      <c r="I739" s="240">
        <f t="shared" si="11"/>
        <v>657.5</v>
      </c>
      <c r="J739" s="231" t="s">
        <v>1311</v>
      </c>
      <c r="K739" s="231" t="s">
        <v>1312</v>
      </c>
      <c r="L739" s="232">
        <v>45170</v>
      </c>
      <c r="M739" s="232">
        <v>45199</v>
      </c>
    </row>
    <row r="740" spans="1:13" ht="18.75" customHeight="1" x14ac:dyDescent="0.2">
      <c r="A740" s="231" t="s">
        <v>1589</v>
      </c>
      <c r="B740" s="230">
        <v>113125</v>
      </c>
      <c r="C740" s="230">
        <v>10761</v>
      </c>
      <c r="D740" s="231" t="s">
        <v>601</v>
      </c>
      <c r="E740" s="230">
        <v>14491078</v>
      </c>
      <c r="F740" s="230">
        <v>30685</v>
      </c>
      <c r="G740" s="230">
        <v>25</v>
      </c>
      <c r="H740" s="240">
        <v>26.3</v>
      </c>
      <c r="I740" s="240">
        <f t="shared" si="11"/>
        <v>657.5</v>
      </c>
      <c r="J740" s="231" t="s">
        <v>1311</v>
      </c>
      <c r="K740" s="231" t="s">
        <v>1312</v>
      </c>
      <c r="L740" s="232">
        <v>45170</v>
      </c>
      <c r="M740" s="232">
        <v>45199</v>
      </c>
    </row>
    <row r="741" spans="1:13" ht="18.75" customHeight="1" x14ac:dyDescent="0.2">
      <c r="A741" s="231" t="s">
        <v>1589</v>
      </c>
      <c r="B741" s="230">
        <v>113132</v>
      </c>
      <c r="C741" s="230">
        <v>10768</v>
      </c>
      <c r="D741" s="231" t="s">
        <v>603</v>
      </c>
      <c r="E741" s="230">
        <v>14491078</v>
      </c>
      <c r="F741" s="230">
        <v>30699</v>
      </c>
      <c r="G741" s="230">
        <v>25</v>
      </c>
      <c r="H741" s="240">
        <v>26.3</v>
      </c>
      <c r="I741" s="240">
        <f t="shared" si="11"/>
        <v>657.5</v>
      </c>
      <c r="J741" s="231" t="s">
        <v>1311</v>
      </c>
      <c r="K741" s="231" t="s">
        <v>1312</v>
      </c>
      <c r="L741" s="232">
        <v>45170</v>
      </c>
      <c r="M741" s="232">
        <v>45199</v>
      </c>
    </row>
    <row r="742" spans="1:13" ht="18.75" customHeight="1" x14ac:dyDescent="0.2">
      <c r="A742" s="231" t="s">
        <v>1589</v>
      </c>
      <c r="B742" s="230">
        <v>113134</v>
      </c>
      <c r="C742" s="230">
        <v>10768</v>
      </c>
      <c r="D742" s="231" t="s">
        <v>604</v>
      </c>
      <c r="E742" s="230">
        <v>14491078</v>
      </c>
      <c r="F742" s="230">
        <v>30703</v>
      </c>
      <c r="G742" s="230">
        <v>25</v>
      </c>
      <c r="H742" s="240">
        <v>26.3</v>
      </c>
      <c r="I742" s="240">
        <f t="shared" si="11"/>
        <v>657.5</v>
      </c>
      <c r="J742" s="231" t="s">
        <v>1311</v>
      </c>
      <c r="K742" s="231" t="s">
        <v>1312</v>
      </c>
      <c r="L742" s="232">
        <v>45170</v>
      </c>
      <c r="M742" s="232">
        <v>45199</v>
      </c>
    </row>
    <row r="743" spans="1:13" ht="18.75" customHeight="1" x14ac:dyDescent="0.2">
      <c r="A743" s="231" t="s">
        <v>1589</v>
      </c>
      <c r="B743" s="230">
        <v>113136</v>
      </c>
      <c r="C743" s="230">
        <v>10759</v>
      </c>
      <c r="D743" s="231" t="s">
        <v>606</v>
      </c>
      <c r="E743" s="230">
        <v>14491078</v>
      </c>
      <c r="F743" s="230">
        <v>30707</v>
      </c>
      <c r="G743" s="230">
        <v>25</v>
      </c>
      <c r="H743" s="240">
        <v>26.3</v>
      </c>
      <c r="I743" s="240">
        <f t="shared" si="11"/>
        <v>657.5</v>
      </c>
      <c r="J743" s="231" t="s">
        <v>1311</v>
      </c>
      <c r="K743" s="231" t="s">
        <v>1312</v>
      </c>
      <c r="L743" s="232">
        <v>45170</v>
      </c>
      <c r="M743" s="232">
        <v>45199</v>
      </c>
    </row>
    <row r="744" spans="1:13" ht="18.75" customHeight="1" x14ac:dyDescent="0.2">
      <c r="A744" s="231" t="s">
        <v>1589</v>
      </c>
      <c r="B744" s="230">
        <v>113137</v>
      </c>
      <c r="C744" s="230">
        <v>10761</v>
      </c>
      <c r="D744" s="231" t="s">
        <v>1367</v>
      </c>
      <c r="E744" s="230">
        <v>14491078</v>
      </c>
      <c r="F744" s="230">
        <v>30709</v>
      </c>
      <c r="G744" s="230">
        <v>25</v>
      </c>
      <c r="H744" s="240">
        <v>26.3</v>
      </c>
      <c r="I744" s="240">
        <f t="shared" si="11"/>
        <v>657.5</v>
      </c>
      <c r="J744" s="231" t="s">
        <v>1311</v>
      </c>
      <c r="K744" s="231" t="s">
        <v>1312</v>
      </c>
      <c r="L744" s="232">
        <v>45170</v>
      </c>
      <c r="M744" s="232">
        <v>45199</v>
      </c>
    </row>
    <row r="745" spans="1:13" ht="18.75" customHeight="1" x14ac:dyDescent="0.2">
      <c r="A745" s="231" t="s">
        <v>1589</v>
      </c>
      <c r="B745" s="230">
        <v>113142</v>
      </c>
      <c r="C745" s="230">
        <v>10761</v>
      </c>
      <c r="D745" s="231" t="s">
        <v>1368</v>
      </c>
      <c r="E745" s="230">
        <v>14491078</v>
      </c>
      <c r="F745" s="230">
        <v>30719</v>
      </c>
      <c r="G745" s="230">
        <v>25</v>
      </c>
      <c r="H745" s="240">
        <v>26.3</v>
      </c>
      <c r="I745" s="240">
        <f t="shared" si="11"/>
        <v>657.5</v>
      </c>
      <c r="J745" s="231" t="s">
        <v>1311</v>
      </c>
      <c r="K745" s="231" t="s">
        <v>1312</v>
      </c>
      <c r="L745" s="232">
        <v>45170</v>
      </c>
      <c r="M745" s="232">
        <v>45199</v>
      </c>
    </row>
    <row r="746" spans="1:13" ht="18.75" customHeight="1" x14ac:dyDescent="0.2">
      <c r="A746" s="231" t="s">
        <v>1589</v>
      </c>
      <c r="B746" s="230">
        <v>113150</v>
      </c>
      <c r="C746" s="230">
        <v>10768</v>
      </c>
      <c r="D746" s="231" t="s">
        <v>614</v>
      </c>
      <c r="E746" s="230">
        <v>14491078</v>
      </c>
      <c r="F746" s="230">
        <v>30735</v>
      </c>
      <c r="G746" s="230">
        <v>25</v>
      </c>
      <c r="H746" s="240">
        <v>26.3</v>
      </c>
      <c r="I746" s="240">
        <f t="shared" si="11"/>
        <v>657.5</v>
      </c>
      <c r="J746" s="231" t="s">
        <v>1311</v>
      </c>
      <c r="K746" s="231" t="s">
        <v>1312</v>
      </c>
      <c r="L746" s="232">
        <v>45170</v>
      </c>
      <c r="M746" s="232">
        <v>45199</v>
      </c>
    </row>
    <row r="747" spans="1:13" ht="18.75" customHeight="1" x14ac:dyDescent="0.2">
      <c r="A747" s="231" t="s">
        <v>1589</v>
      </c>
      <c r="B747" s="230">
        <v>113155</v>
      </c>
      <c r="C747" s="230">
        <v>10767</v>
      </c>
      <c r="D747" s="231" t="s">
        <v>617</v>
      </c>
      <c r="E747" s="230">
        <v>14491078</v>
      </c>
      <c r="F747" s="230">
        <v>30745</v>
      </c>
      <c r="G747" s="230">
        <v>25</v>
      </c>
      <c r="H747" s="240">
        <v>26.3</v>
      </c>
      <c r="I747" s="240">
        <f t="shared" si="11"/>
        <v>657.5</v>
      </c>
      <c r="J747" s="231" t="s">
        <v>1311</v>
      </c>
      <c r="K747" s="231" t="s">
        <v>1312</v>
      </c>
      <c r="L747" s="232">
        <v>45170</v>
      </c>
      <c r="M747" s="232">
        <v>45199</v>
      </c>
    </row>
    <row r="748" spans="1:13" ht="18.75" customHeight="1" x14ac:dyDescent="0.2">
      <c r="A748" s="231" t="s">
        <v>1589</v>
      </c>
      <c r="B748" s="230">
        <v>113158</v>
      </c>
      <c r="C748" s="230">
        <v>10767</v>
      </c>
      <c r="D748" s="231" t="s">
        <v>619</v>
      </c>
      <c r="E748" s="230">
        <v>14491078</v>
      </c>
      <c r="F748" s="230">
        <v>30751</v>
      </c>
      <c r="G748" s="230">
        <v>25</v>
      </c>
      <c r="H748" s="240">
        <v>26.3</v>
      </c>
      <c r="I748" s="240">
        <f t="shared" si="11"/>
        <v>657.5</v>
      </c>
      <c r="J748" s="231" t="s">
        <v>1311</v>
      </c>
      <c r="K748" s="231" t="s">
        <v>1312</v>
      </c>
      <c r="L748" s="232">
        <v>45170</v>
      </c>
      <c r="M748" s="232">
        <v>45199</v>
      </c>
    </row>
    <row r="749" spans="1:13" ht="18.75" customHeight="1" x14ac:dyDescent="0.2">
      <c r="A749" s="231" t="s">
        <v>1589</v>
      </c>
      <c r="B749" s="230">
        <v>113159</v>
      </c>
      <c r="C749" s="230">
        <v>10767</v>
      </c>
      <c r="D749" s="231" t="s">
        <v>620</v>
      </c>
      <c r="E749" s="230">
        <v>14491078</v>
      </c>
      <c r="F749" s="230">
        <v>30753</v>
      </c>
      <c r="G749" s="230">
        <v>25</v>
      </c>
      <c r="H749" s="240">
        <v>26.3</v>
      </c>
      <c r="I749" s="240">
        <f t="shared" si="11"/>
        <v>657.5</v>
      </c>
      <c r="J749" s="231" t="s">
        <v>1311</v>
      </c>
      <c r="K749" s="231" t="s">
        <v>1312</v>
      </c>
      <c r="L749" s="232">
        <v>45170</v>
      </c>
      <c r="M749" s="232">
        <v>45199</v>
      </c>
    </row>
    <row r="750" spans="1:13" ht="18.75" customHeight="1" x14ac:dyDescent="0.2">
      <c r="A750" s="231" t="s">
        <v>1589</v>
      </c>
      <c r="B750" s="230">
        <v>113160</v>
      </c>
      <c r="C750" s="230">
        <v>10761</v>
      </c>
      <c r="D750" s="231" t="s">
        <v>621</v>
      </c>
      <c r="E750" s="230">
        <v>14491078</v>
      </c>
      <c r="F750" s="230">
        <v>30755</v>
      </c>
      <c r="G750" s="230">
        <v>25</v>
      </c>
      <c r="H750" s="240">
        <v>26.3</v>
      </c>
      <c r="I750" s="240">
        <f t="shared" si="11"/>
        <v>657.5</v>
      </c>
      <c r="J750" s="231" t="s">
        <v>1311</v>
      </c>
      <c r="K750" s="231" t="s">
        <v>1312</v>
      </c>
      <c r="L750" s="232">
        <v>45170</v>
      </c>
      <c r="M750" s="232">
        <v>45199</v>
      </c>
    </row>
    <row r="751" spans="1:13" ht="18.75" customHeight="1" x14ac:dyDescent="0.2">
      <c r="A751" s="231" t="s">
        <v>1589</v>
      </c>
      <c r="B751" s="230">
        <v>113161</v>
      </c>
      <c r="C751" s="230">
        <v>10767</v>
      </c>
      <c r="D751" s="231" t="s">
        <v>622</v>
      </c>
      <c r="E751" s="230">
        <v>14491078</v>
      </c>
      <c r="F751" s="230">
        <v>30757</v>
      </c>
      <c r="G751" s="230">
        <v>25</v>
      </c>
      <c r="H751" s="240">
        <v>26.3</v>
      </c>
      <c r="I751" s="240">
        <f t="shared" si="11"/>
        <v>657.5</v>
      </c>
      <c r="J751" s="231" t="s">
        <v>1311</v>
      </c>
      <c r="K751" s="231" t="s">
        <v>1312</v>
      </c>
      <c r="L751" s="232">
        <v>45170</v>
      </c>
      <c r="M751" s="232">
        <v>45199</v>
      </c>
    </row>
    <row r="752" spans="1:13" ht="18.75" customHeight="1" x14ac:dyDescent="0.2">
      <c r="A752" s="231" t="s">
        <v>1589</v>
      </c>
      <c r="B752" s="230">
        <v>113162</v>
      </c>
      <c r="C752" s="230">
        <v>10761</v>
      </c>
      <c r="D752" s="231" t="s">
        <v>514</v>
      </c>
      <c r="E752" s="230">
        <v>14491078</v>
      </c>
      <c r="F752" s="230">
        <v>30759</v>
      </c>
      <c r="G752" s="230">
        <v>25</v>
      </c>
      <c r="H752" s="240">
        <v>26.3</v>
      </c>
      <c r="I752" s="240">
        <f t="shared" si="11"/>
        <v>657.5</v>
      </c>
      <c r="J752" s="231" t="s">
        <v>1311</v>
      </c>
      <c r="K752" s="231" t="s">
        <v>1312</v>
      </c>
      <c r="L752" s="232">
        <v>45170</v>
      </c>
      <c r="M752" s="232">
        <v>45199</v>
      </c>
    </row>
    <row r="753" spans="1:13" ht="18.75" customHeight="1" x14ac:dyDescent="0.2">
      <c r="A753" s="231" t="s">
        <v>1589</v>
      </c>
      <c r="B753" s="230">
        <v>113163</v>
      </c>
      <c r="C753" s="230">
        <v>10768</v>
      </c>
      <c r="D753" s="231" t="s">
        <v>623</v>
      </c>
      <c r="E753" s="230">
        <v>14491078</v>
      </c>
      <c r="F753" s="230">
        <v>30761</v>
      </c>
      <c r="G753" s="230">
        <v>25</v>
      </c>
      <c r="H753" s="240">
        <v>26.3</v>
      </c>
      <c r="I753" s="240">
        <f t="shared" si="11"/>
        <v>657.5</v>
      </c>
      <c r="J753" s="231" t="s">
        <v>1311</v>
      </c>
      <c r="K753" s="231" t="s">
        <v>1312</v>
      </c>
      <c r="L753" s="232">
        <v>45170</v>
      </c>
      <c r="M753" s="232">
        <v>45199</v>
      </c>
    </row>
    <row r="754" spans="1:13" ht="18.75" customHeight="1" x14ac:dyDescent="0.2">
      <c r="A754" s="231" t="s">
        <v>1589</v>
      </c>
      <c r="B754" s="230">
        <v>113164</v>
      </c>
      <c r="C754" s="230">
        <v>10761</v>
      </c>
      <c r="D754" s="231" t="s">
        <v>624</v>
      </c>
      <c r="E754" s="230">
        <v>14491078</v>
      </c>
      <c r="F754" s="230">
        <v>30763</v>
      </c>
      <c r="G754" s="230">
        <v>25</v>
      </c>
      <c r="H754" s="240">
        <v>26.3</v>
      </c>
      <c r="I754" s="240">
        <f t="shared" si="11"/>
        <v>657.5</v>
      </c>
      <c r="J754" s="231" t="s">
        <v>1311</v>
      </c>
      <c r="K754" s="231" t="s">
        <v>1312</v>
      </c>
      <c r="L754" s="232">
        <v>45170</v>
      </c>
      <c r="M754" s="232">
        <v>45199</v>
      </c>
    </row>
    <row r="755" spans="1:13" ht="18.75" customHeight="1" x14ac:dyDescent="0.2">
      <c r="A755" s="231" t="s">
        <v>1589</v>
      </c>
      <c r="B755" s="230">
        <v>113166</v>
      </c>
      <c r="C755" s="230">
        <v>10768</v>
      </c>
      <c r="D755" s="231" t="s">
        <v>625</v>
      </c>
      <c r="E755" s="230">
        <v>14491078</v>
      </c>
      <c r="F755" s="230">
        <v>30767</v>
      </c>
      <c r="G755" s="230">
        <v>25</v>
      </c>
      <c r="H755" s="240">
        <v>26.3</v>
      </c>
      <c r="I755" s="240">
        <f t="shared" si="11"/>
        <v>657.5</v>
      </c>
      <c r="J755" s="231" t="s">
        <v>1311</v>
      </c>
      <c r="K755" s="231" t="s">
        <v>1312</v>
      </c>
      <c r="L755" s="232">
        <v>45170</v>
      </c>
      <c r="M755" s="232">
        <v>45199</v>
      </c>
    </row>
    <row r="756" spans="1:13" ht="18.75" customHeight="1" x14ac:dyDescent="0.2">
      <c r="A756" s="231" t="s">
        <v>1589</v>
      </c>
      <c r="B756" s="230">
        <v>113171</v>
      </c>
      <c r="C756" s="230">
        <v>10766</v>
      </c>
      <c r="D756" s="231" t="s">
        <v>628</v>
      </c>
      <c r="E756" s="230">
        <v>14491078</v>
      </c>
      <c r="F756" s="230">
        <v>30777</v>
      </c>
      <c r="G756" s="230">
        <v>25</v>
      </c>
      <c r="H756" s="240">
        <v>26.3</v>
      </c>
      <c r="I756" s="240">
        <f t="shared" si="11"/>
        <v>657.5</v>
      </c>
      <c r="J756" s="231" t="s">
        <v>1311</v>
      </c>
      <c r="K756" s="231" t="s">
        <v>1312</v>
      </c>
      <c r="L756" s="232">
        <v>45170</v>
      </c>
      <c r="M756" s="232">
        <v>45199</v>
      </c>
    </row>
    <row r="757" spans="1:13" ht="18.75" customHeight="1" x14ac:dyDescent="0.2">
      <c r="A757" s="231" t="s">
        <v>1589</v>
      </c>
      <c r="B757" s="230">
        <v>113183</v>
      </c>
      <c r="C757" s="230">
        <v>10768</v>
      </c>
      <c r="D757" s="231" t="s">
        <v>634</v>
      </c>
      <c r="E757" s="230">
        <v>14491078</v>
      </c>
      <c r="F757" s="230">
        <v>30801</v>
      </c>
      <c r="G757" s="230">
        <v>25</v>
      </c>
      <c r="H757" s="240">
        <v>26.3</v>
      </c>
      <c r="I757" s="240">
        <f t="shared" si="11"/>
        <v>657.5</v>
      </c>
      <c r="J757" s="231" t="s">
        <v>1311</v>
      </c>
      <c r="K757" s="231" t="s">
        <v>1312</v>
      </c>
      <c r="L757" s="232">
        <v>45170</v>
      </c>
      <c r="M757" s="232">
        <v>45199</v>
      </c>
    </row>
    <row r="758" spans="1:13" ht="18.75" customHeight="1" x14ac:dyDescent="0.2">
      <c r="A758" s="231" t="s">
        <v>1589</v>
      </c>
      <c r="B758" s="230">
        <v>113185</v>
      </c>
      <c r="C758" s="230">
        <v>10757</v>
      </c>
      <c r="D758" s="231" t="s">
        <v>635</v>
      </c>
      <c r="E758" s="230">
        <v>14491078</v>
      </c>
      <c r="F758" s="230">
        <v>30805</v>
      </c>
      <c r="G758" s="230">
        <v>25</v>
      </c>
      <c r="H758" s="240">
        <v>26.3</v>
      </c>
      <c r="I758" s="240">
        <f t="shared" si="11"/>
        <v>657.5</v>
      </c>
      <c r="J758" s="231" t="s">
        <v>1311</v>
      </c>
      <c r="K758" s="231" t="s">
        <v>1312</v>
      </c>
      <c r="L758" s="232">
        <v>45170</v>
      </c>
      <c r="M758" s="232">
        <v>45199</v>
      </c>
    </row>
    <row r="759" spans="1:13" ht="18.75" customHeight="1" x14ac:dyDescent="0.2">
      <c r="A759" s="231" t="s">
        <v>1589</v>
      </c>
      <c r="B759" s="230">
        <v>113189</v>
      </c>
      <c r="C759" s="230">
        <v>10761</v>
      </c>
      <c r="D759" s="231" t="s">
        <v>638</v>
      </c>
      <c r="E759" s="230">
        <v>14491078</v>
      </c>
      <c r="F759" s="230">
        <v>30813</v>
      </c>
      <c r="G759" s="230">
        <v>25</v>
      </c>
      <c r="H759" s="240">
        <v>26.3</v>
      </c>
      <c r="I759" s="240">
        <f t="shared" si="11"/>
        <v>657.5</v>
      </c>
      <c r="J759" s="231" t="s">
        <v>1311</v>
      </c>
      <c r="K759" s="231" t="s">
        <v>1312</v>
      </c>
      <c r="L759" s="232">
        <v>45170</v>
      </c>
      <c r="M759" s="232">
        <v>45199</v>
      </c>
    </row>
    <row r="760" spans="1:13" ht="18.75" customHeight="1" x14ac:dyDescent="0.2">
      <c r="A760" s="231" t="s">
        <v>1589</v>
      </c>
      <c r="B760" s="230">
        <v>113213</v>
      </c>
      <c r="C760" s="230">
        <v>10758</v>
      </c>
      <c r="D760" s="231" t="s">
        <v>652</v>
      </c>
      <c r="E760" s="230">
        <v>14491078</v>
      </c>
      <c r="F760" s="230">
        <v>30861</v>
      </c>
      <c r="G760" s="230">
        <v>25</v>
      </c>
      <c r="H760" s="240">
        <v>26.3</v>
      </c>
      <c r="I760" s="240">
        <f t="shared" si="11"/>
        <v>657.5</v>
      </c>
      <c r="J760" s="231" t="s">
        <v>1311</v>
      </c>
      <c r="K760" s="231" t="s">
        <v>1312</v>
      </c>
      <c r="L760" s="232">
        <v>45170</v>
      </c>
      <c r="M760" s="232">
        <v>45199</v>
      </c>
    </row>
    <row r="761" spans="1:13" ht="18.75" customHeight="1" x14ac:dyDescent="0.2">
      <c r="A761" s="231" t="s">
        <v>1589</v>
      </c>
      <c r="B761" s="230">
        <v>113218</v>
      </c>
      <c r="C761" s="230">
        <v>10768</v>
      </c>
      <c r="D761" s="231" t="s">
        <v>654</v>
      </c>
      <c r="E761" s="230">
        <v>14491078</v>
      </c>
      <c r="F761" s="230">
        <v>30871</v>
      </c>
      <c r="G761" s="230">
        <v>25</v>
      </c>
      <c r="H761" s="240">
        <v>26.3</v>
      </c>
      <c r="I761" s="240">
        <f t="shared" si="11"/>
        <v>657.5</v>
      </c>
      <c r="J761" s="231" t="s">
        <v>1311</v>
      </c>
      <c r="K761" s="231" t="s">
        <v>1312</v>
      </c>
      <c r="L761" s="232">
        <v>45170</v>
      </c>
      <c r="M761" s="232">
        <v>45199</v>
      </c>
    </row>
    <row r="762" spans="1:13" ht="18.75" customHeight="1" x14ac:dyDescent="0.2">
      <c r="A762" s="231" t="s">
        <v>1589</v>
      </c>
      <c r="B762" s="230">
        <v>113219</v>
      </c>
      <c r="C762" s="230">
        <v>10768</v>
      </c>
      <c r="D762" s="231" t="s">
        <v>655</v>
      </c>
      <c r="E762" s="230">
        <v>14491078</v>
      </c>
      <c r="F762" s="230">
        <v>30873</v>
      </c>
      <c r="G762" s="230">
        <v>25</v>
      </c>
      <c r="H762" s="240">
        <v>26.3</v>
      </c>
      <c r="I762" s="240">
        <f t="shared" si="11"/>
        <v>657.5</v>
      </c>
      <c r="J762" s="231" t="s">
        <v>1311</v>
      </c>
      <c r="K762" s="231" t="s">
        <v>1312</v>
      </c>
      <c r="L762" s="232">
        <v>45170</v>
      </c>
      <c r="M762" s="232">
        <v>45199</v>
      </c>
    </row>
    <row r="763" spans="1:13" ht="18.75" customHeight="1" x14ac:dyDescent="0.2">
      <c r="A763" s="231" t="s">
        <v>1589</v>
      </c>
      <c r="B763" s="230">
        <v>113227</v>
      </c>
      <c r="C763" s="230">
        <v>10745</v>
      </c>
      <c r="D763" s="231" t="s">
        <v>660</v>
      </c>
      <c r="E763" s="230">
        <v>14491078</v>
      </c>
      <c r="F763" s="230">
        <v>30889</v>
      </c>
      <c r="G763" s="230">
        <v>25</v>
      </c>
      <c r="H763" s="240">
        <v>26.3</v>
      </c>
      <c r="I763" s="240">
        <f t="shared" si="11"/>
        <v>657.5</v>
      </c>
      <c r="J763" s="231" t="s">
        <v>1311</v>
      </c>
      <c r="K763" s="231" t="s">
        <v>1312</v>
      </c>
      <c r="L763" s="232">
        <v>45170</v>
      </c>
      <c r="M763" s="232">
        <v>45199</v>
      </c>
    </row>
    <row r="764" spans="1:13" ht="18.75" customHeight="1" x14ac:dyDescent="0.2">
      <c r="A764" s="231" t="s">
        <v>1589</v>
      </c>
      <c r="B764" s="230">
        <v>113228</v>
      </c>
      <c r="C764" s="230">
        <v>10767</v>
      </c>
      <c r="D764" s="231" t="s">
        <v>661</v>
      </c>
      <c r="E764" s="230">
        <v>14491078</v>
      </c>
      <c r="F764" s="230">
        <v>30891</v>
      </c>
      <c r="G764" s="230">
        <v>25</v>
      </c>
      <c r="H764" s="240">
        <v>26.3</v>
      </c>
      <c r="I764" s="240">
        <f t="shared" si="11"/>
        <v>657.5</v>
      </c>
      <c r="J764" s="231" t="s">
        <v>1311</v>
      </c>
      <c r="K764" s="231" t="s">
        <v>1312</v>
      </c>
      <c r="L764" s="232">
        <v>45170</v>
      </c>
      <c r="M764" s="232">
        <v>45199</v>
      </c>
    </row>
    <row r="765" spans="1:13" ht="18.75" customHeight="1" x14ac:dyDescent="0.2">
      <c r="A765" s="231" t="s">
        <v>1589</v>
      </c>
      <c r="B765" s="230">
        <v>113232</v>
      </c>
      <c r="C765" s="230">
        <v>10771</v>
      </c>
      <c r="D765" s="231" t="s">
        <v>662</v>
      </c>
      <c r="E765" s="230">
        <v>14491078</v>
      </c>
      <c r="F765" s="230">
        <v>30899</v>
      </c>
      <c r="G765" s="230">
        <v>25</v>
      </c>
      <c r="H765" s="240">
        <v>26.3</v>
      </c>
      <c r="I765" s="240">
        <f t="shared" si="11"/>
        <v>657.5</v>
      </c>
      <c r="J765" s="231" t="s">
        <v>1311</v>
      </c>
      <c r="K765" s="231" t="s">
        <v>1312</v>
      </c>
      <c r="L765" s="232">
        <v>45170</v>
      </c>
      <c r="M765" s="232">
        <v>45199</v>
      </c>
    </row>
    <row r="766" spans="1:13" ht="18.75" customHeight="1" x14ac:dyDescent="0.2">
      <c r="A766" s="231" t="s">
        <v>1589</v>
      </c>
      <c r="B766" s="230">
        <v>113246</v>
      </c>
      <c r="C766" s="230">
        <v>10745</v>
      </c>
      <c r="D766" s="231" t="s">
        <v>668</v>
      </c>
      <c r="E766" s="230">
        <v>14491078</v>
      </c>
      <c r="F766" s="230">
        <v>30927</v>
      </c>
      <c r="G766" s="230">
        <v>25</v>
      </c>
      <c r="H766" s="240">
        <v>26.3</v>
      </c>
      <c r="I766" s="240">
        <f t="shared" si="11"/>
        <v>657.5</v>
      </c>
      <c r="J766" s="231" t="s">
        <v>1311</v>
      </c>
      <c r="K766" s="231" t="s">
        <v>1312</v>
      </c>
      <c r="L766" s="232">
        <v>45170</v>
      </c>
      <c r="M766" s="232">
        <v>45199</v>
      </c>
    </row>
    <row r="767" spans="1:13" ht="18.75" customHeight="1" x14ac:dyDescent="0.2">
      <c r="A767" s="231" t="s">
        <v>1589</v>
      </c>
      <c r="B767" s="230">
        <v>113251</v>
      </c>
      <c r="C767" s="230">
        <v>10745</v>
      </c>
      <c r="D767" s="231" t="s">
        <v>671</v>
      </c>
      <c r="E767" s="230">
        <v>14491078</v>
      </c>
      <c r="F767" s="230">
        <v>30937</v>
      </c>
      <c r="G767" s="230">
        <v>25</v>
      </c>
      <c r="H767" s="240">
        <v>26.3</v>
      </c>
      <c r="I767" s="240">
        <f t="shared" si="11"/>
        <v>657.5</v>
      </c>
      <c r="J767" s="231" t="s">
        <v>1311</v>
      </c>
      <c r="K767" s="231" t="s">
        <v>1312</v>
      </c>
      <c r="L767" s="232">
        <v>45170</v>
      </c>
      <c r="M767" s="232">
        <v>45199</v>
      </c>
    </row>
    <row r="768" spans="1:13" ht="18.75" customHeight="1" x14ac:dyDescent="0.2">
      <c r="A768" s="231" t="s">
        <v>1589</v>
      </c>
      <c r="B768" s="230">
        <v>113255</v>
      </c>
      <c r="C768" s="230">
        <v>10759</v>
      </c>
      <c r="D768" s="231" t="s">
        <v>673</v>
      </c>
      <c r="E768" s="230">
        <v>14491078</v>
      </c>
      <c r="F768" s="230">
        <v>30945</v>
      </c>
      <c r="G768" s="230">
        <v>25</v>
      </c>
      <c r="H768" s="240">
        <v>26.3</v>
      </c>
      <c r="I768" s="240">
        <f t="shared" si="11"/>
        <v>657.5</v>
      </c>
      <c r="J768" s="231" t="s">
        <v>1311</v>
      </c>
      <c r="K768" s="231" t="s">
        <v>1312</v>
      </c>
      <c r="L768" s="232">
        <v>45170</v>
      </c>
      <c r="M768" s="232">
        <v>45199</v>
      </c>
    </row>
    <row r="769" spans="1:13" ht="18.75" customHeight="1" x14ac:dyDescent="0.2">
      <c r="A769" s="231" t="s">
        <v>1589</v>
      </c>
      <c r="B769" s="230">
        <v>113273</v>
      </c>
      <c r="C769" s="230">
        <v>10761</v>
      </c>
      <c r="D769" s="231" t="s">
        <v>682</v>
      </c>
      <c r="E769" s="230">
        <v>14491078</v>
      </c>
      <c r="F769" s="230">
        <v>30981</v>
      </c>
      <c r="G769" s="230">
        <v>25</v>
      </c>
      <c r="H769" s="240">
        <v>26.3</v>
      </c>
      <c r="I769" s="240">
        <f t="shared" si="11"/>
        <v>657.5</v>
      </c>
      <c r="J769" s="231" t="s">
        <v>1311</v>
      </c>
      <c r="K769" s="231" t="s">
        <v>1312</v>
      </c>
      <c r="L769" s="232">
        <v>45170</v>
      </c>
      <c r="M769" s="232">
        <v>45199</v>
      </c>
    </row>
    <row r="770" spans="1:13" ht="18.75" customHeight="1" x14ac:dyDescent="0.2">
      <c r="A770" s="231" t="s">
        <v>1589</v>
      </c>
      <c r="B770" s="230">
        <v>113279</v>
      </c>
      <c r="C770" s="230">
        <v>10771</v>
      </c>
      <c r="D770" s="231" t="s">
        <v>1372</v>
      </c>
      <c r="E770" s="230">
        <v>14491078</v>
      </c>
      <c r="F770" s="230">
        <v>30993</v>
      </c>
      <c r="G770" s="230">
        <v>25</v>
      </c>
      <c r="H770" s="240">
        <v>26.3</v>
      </c>
      <c r="I770" s="240">
        <f t="shared" si="11"/>
        <v>657.5</v>
      </c>
      <c r="J770" s="231" t="s">
        <v>1311</v>
      </c>
      <c r="K770" s="231" t="s">
        <v>1312</v>
      </c>
      <c r="L770" s="232">
        <v>45170</v>
      </c>
      <c r="M770" s="232">
        <v>45199</v>
      </c>
    </row>
    <row r="771" spans="1:13" ht="18.75" customHeight="1" x14ac:dyDescent="0.2">
      <c r="A771" s="231" t="s">
        <v>1589</v>
      </c>
      <c r="B771" s="230">
        <v>113282</v>
      </c>
      <c r="C771" s="230">
        <v>10761</v>
      </c>
      <c r="D771" s="231" t="s">
        <v>688</v>
      </c>
      <c r="E771" s="230">
        <v>14491078</v>
      </c>
      <c r="F771" s="230">
        <v>30999</v>
      </c>
      <c r="G771" s="230">
        <v>25</v>
      </c>
      <c r="H771" s="240">
        <v>26.3</v>
      </c>
      <c r="I771" s="240">
        <f t="shared" ref="I771:I834" si="12">G771*H771</f>
        <v>657.5</v>
      </c>
      <c r="J771" s="231" t="s">
        <v>1311</v>
      </c>
      <c r="K771" s="231" t="s">
        <v>1312</v>
      </c>
      <c r="L771" s="232">
        <v>45170</v>
      </c>
      <c r="M771" s="232">
        <v>45199</v>
      </c>
    </row>
    <row r="772" spans="1:13" ht="18.75" customHeight="1" x14ac:dyDescent="0.2">
      <c r="A772" s="231" t="s">
        <v>1589</v>
      </c>
      <c r="B772" s="230">
        <v>113286</v>
      </c>
      <c r="C772" s="230">
        <v>10768</v>
      </c>
      <c r="D772" s="231" t="s">
        <v>1373</v>
      </c>
      <c r="E772" s="230">
        <v>14491078</v>
      </c>
      <c r="F772" s="230">
        <v>31007</v>
      </c>
      <c r="G772" s="230">
        <v>25</v>
      </c>
      <c r="H772" s="240">
        <v>26.3</v>
      </c>
      <c r="I772" s="240">
        <f t="shared" si="12"/>
        <v>657.5</v>
      </c>
      <c r="J772" s="231" t="s">
        <v>1311</v>
      </c>
      <c r="K772" s="231" t="s">
        <v>1312</v>
      </c>
      <c r="L772" s="232">
        <v>45170</v>
      </c>
      <c r="M772" s="232">
        <v>45199</v>
      </c>
    </row>
    <row r="773" spans="1:13" ht="18.75" customHeight="1" x14ac:dyDescent="0.2">
      <c r="A773" s="231" t="s">
        <v>1589</v>
      </c>
      <c r="B773" s="230">
        <v>113298</v>
      </c>
      <c r="C773" s="230">
        <v>10768</v>
      </c>
      <c r="D773" s="231" t="s">
        <v>695</v>
      </c>
      <c r="E773" s="230">
        <v>14491078</v>
      </c>
      <c r="F773" s="230">
        <v>31031</v>
      </c>
      <c r="G773" s="230">
        <v>25</v>
      </c>
      <c r="H773" s="240">
        <v>26.3</v>
      </c>
      <c r="I773" s="240">
        <f t="shared" si="12"/>
        <v>657.5</v>
      </c>
      <c r="J773" s="231" t="s">
        <v>1311</v>
      </c>
      <c r="K773" s="231" t="s">
        <v>1312</v>
      </c>
      <c r="L773" s="232">
        <v>45170</v>
      </c>
      <c r="M773" s="232">
        <v>45199</v>
      </c>
    </row>
    <row r="774" spans="1:13" ht="18.75" customHeight="1" x14ac:dyDescent="0.2">
      <c r="A774" s="231" t="s">
        <v>1589</v>
      </c>
      <c r="B774" s="230">
        <v>113303</v>
      </c>
      <c r="C774" s="230">
        <v>10761</v>
      </c>
      <c r="D774" s="231" t="s">
        <v>697</v>
      </c>
      <c r="E774" s="230">
        <v>14491078</v>
      </c>
      <c r="F774" s="230">
        <v>31041</v>
      </c>
      <c r="G774" s="230">
        <v>25</v>
      </c>
      <c r="H774" s="240">
        <v>26.3</v>
      </c>
      <c r="I774" s="240">
        <f t="shared" si="12"/>
        <v>657.5</v>
      </c>
      <c r="J774" s="231" t="s">
        <v>1311</v>
      </c>
      <c r="K774" s="231" t="s">
        <v>1312</v>
      </c>
      <c r="L774" s="232">
        <v>45170</v>
      </c>
      <c r="M774" s="232">
        <v>45199</v>
      </c>
    </row>
    <row r="775" spans="1:13" ht="18.75" customHeight="1" x14ac:dyDescent="0.2">
      <c r="A775" s="231" t="s">
        <v>1589</v>
      </c>
      <c r="B775" s="230">
        <v>113308</v>
      </c>
      <c r="C775" s="230">
        <v>10743</v>
      </c>
      <c r="D775" s="231" t="s">
        <v>699</v>
      </c>
      <c r="E775" s="230">
        <v>14491078</v>
      </c>
      <c r="F775" s="230">
        <v>31051</v>
      </c>
      <c r="G775" s="230">
        <v>25</v>
      </c>
      <c r="H775" s="240">
        <v>26.3</v>
      </c>
      <c r="I775" s="240">
        <f t="shared" si="12"/>
        <v>657.5</v>
      </c>
      <c r="J775" s="231" t="s">
        <v>1311</v>
      </c>
      <c r="K775" s="231" t="s">
        <v>1312</v>
      </c>
      <c r="L775" s="232">
        <v>45170</v>
      </c>
      <c r="M775" s="232">
        <v>45199</v>
      </c>
    </row>
    <row r="776" spans="1:13" ht="18.75" customHeight="1" x14ac:dyDescent="0.2">
      <c r="A776" s="231" t="s">
        <v>1589</v>
      </c>
      <c r="B776" s="230">
        <v>113310</v>
      </c>
      <c r="C776" s="230">
        <v>10767</v>
      </c>
      <c r="D776" s="231" t="s">
        <v>702</v>
      </c>
      <c r="E776" s="230">
        <v>14491078</v>
      </c>
      <c r="F776" s="230">
        <v>31055</v>
      </c>
      <c r="G776" s="230">
        <v>25</v>
      </c>
      <c r="H776" s="240">
        <v>26.3</v>
      </c>
      <c r="I776" s="240">
        <f t="shared" si="12"/>
        <v>657.5</v>
      </c>
      <c r="J776" s="231" t="s">
        <v>1311</v>
      </c>
      <c r="K776" s="231" t="s">
        <v>1312</v>
      </c>
      <c r="L776" s="232">
        <v>45170</v>
      </c>
      <c r="M776" s="232">
        <v>45199</v>
      </c>
    </row>
    <row r="777" spans="1:13" ht="18.75" customHeight="1" x14ac:dyDescent="0.2">
      <c r="A777" s="231" t="s">
        <v>1589</v>
      </c>
      <c r="B777" s="230">
        <v>113320</v>
      </c>
      <c r="C777" s="230">
        <v>10768</v>
      </c>
      <c r="D777" s="231" t="s">
        <v>706</v>
      </c>
      <c r="E777" s="230">
        <v>14491078</v>
      </c>
      <c r="F777" s="230">
        <v>31075</v>
      </c>
      <c r="G777" s="230">
        <v>25</v>
      </c>
      <c r="H777" s="240">
        <v>26.3</v>
      </c>
      <c r="I777" s="240">
        <f t="shared" si="12"/>
        <v>657.5</v>
      </c>
      <c r="J777" s="231" t="s">
        <v>1311</v>
      </c>
      <c r="K777" s="231" t="s">
        <v>1312</v>
      </c>
      <c r="L777" s="232">
        <v>45170</v>
      </c>
      <c r="M777" s="232">
        <v>45199</v>
      </c>
    </row>
    <row r="778" spans="1:13" ht="18.75" customHeight="1" x14ac:dyDescent="0.2">
      <c r="A778" s="231" t="s">
        <v>1589</v>
      </c>
      <c r="B778" s="230">
        <v>113325</v>
      </c>
      <c r="C778" s="230">
        <v>10768</v>
      </c>
      <c r="D778" s="231" t="s">
        <v>709</v>
      </c>
      <c r="E778" s="230">
        <v>14491078</v>
      </c>
      <c r="F778" s="230">
        <v>31085</v>
      </c>
      <c r="G778" s="230">
        <v>23</v>
      </c>
      <c r="H778" s="240">
        <v>26.3</v>
      </c>
      <c r="I778" s="240">
        <f t="shared" si="12"/>
        <v>604.9</v>
      </c>
      <c r="J778" s="231" t="s">
        <v>1311</v>
      </c>
      <c r="K778" s="231" t="s">
        <v>1312</v>
      </c>
      <c r="L778" s="232">
        <v>45170</v>
      </c>
      <c r="M778" s="232">
        <v>45199</v>
      </c>
    </row>
    <row r="779" spans="1:13" ht="18.75" customHeight="1" x14ac:dyDescent="0.2">
      <c r="A779" s="231" t="s">
        <v>1589</v>
      </c>
      <c r="B779" s="230">
        <v>113327</v>
      </c>
      <c r="C779" s="230">
        <v>10768</v>
      </c>
      <c r="D779" s="231" t="s">
        <v>710</v>
      </c>
      <c r="E779" s="230">
        <v>14491078</v>
      </c>
      <c r="F779" s="230">
        <v>31089</v>
      </c>
      <c r="G779" s="230">
        <v>25</v>
      </c>
      <c r="H779" s="240">
        <v>26.3</v>
      </c>
      <c r="I779" s="240">
        <f t="shared" si="12"/>
        <v>657.5</v>
      </c>
      <c r="J779" s="231" t="s">
        <v>1311</v>
      </c>
      <c r="K779" s="231" t="s">
        <v>1312</v>
      </c>
      <c r="L779" s="232">
        <v>45170</v>
      </c>
      <c r="M779" s="232">
        <v>45199</v>
      </c>
    </row>
    <row r="780" spans="1:13" ht="18.75" customHeight="1" x14ac:dyDescent="0.2">
      <c r="A780" s="231" t="s">
        <v>1589</v>
      </c>
      <c r="B780" s="230">
        <v>113331</v>
      </c>
      <c r="C780" s="230">
        <v>10748</v>
      </c>
      <c r="D780" s="231" t="s">
        <v>713</v>
      </c>
      <c r="E780" s="230">
        <v>14491078</v>
      </c>
      <c r="F780" s="230">
        <v>31097</v>
      </c>
      <c r="G780" s="230">
        <v>25</v>
      </c>
      <c r="H780" s="240">
        <v>26.3</v>
      </c>
      <c r="I780" s="240">
        <f t="shared" si="12"/>
        <v>657.5</v>
      </c>
      <c r="J780" s="231" t="s">
        <v>1311</v>
      </c>
      <c r="K780" s="231" t="s">
        <v>1312</v>
      </c>
      <c r="L780" s="232">
        <v>45170</v>
      </c>
      <c r="M780" s="232">
        <v>45199</v>
      </c>
    </row>
    <row r="781" spans="1:13" ht="18.75" customHeight="1" x14ac:dyDescent="0.2">
      <c r="A781" s="231" t="s">
        <v>1589</v>
      </c>
      <c r="B781" s="230">
        <v>113334</v>
      </c>
      <c r="C781" s="230">
        <v>10745</v>
      </c>
      <c r="D781" s="231" t="s">
        <v>714</v>
      </c>
      <c r="E781" s="230">
        <v>14491078</v>
      </c>
      <c r="F781" s="230">
        <v>31103</v>
      </c>
      <c r="G781" s="230">
        <v>25</v>
      </c>
      <c r="H781" s="240">
        <v>26.3</v>
      </c>
      <c r="I781" s="240">
        <f t="shared" si="12"/>
        <v>657.5</v>
      </c>
      <c r="J781" s="231" t="s">
        <v>1311</v>
      </c>
      <c r="K781" s="231" t="s">
        <v>1312</v>
      </c>
      <c r="L781" s="232">
        <v>45170</v>
      </c>
      <c r="M781" s="232">
        <v>45199</v>
      </c>
    </row>
    <row r="782" spans="1:13" ht="18.75" customHeight="1" x14ac:dyDescent="0.2">
      <c r="A782" s="231" t="s">
        <v>1589</v>
      </c>
      <c r="B782" s="230">
        <v>113335</v>
      </c>
      <c r="C782" s="230">
        <v>10771</v>
      </c>
      <c r="D782" s="231" t="s">
        <v>715</v>
      </c>
      <c r="E782" s="230">
        <v>14491078</v>
      </c>
      <c r="F782" s="230">
        <v>31105</v>
      </c>
      <c r="G782" s="230">
        <v>25</v>
      </c>
      <c r="H782" s="240">
        <v>26.3</v>
      </c>
      <c r="I782" s="240">
        <f t="shared" si="12"/>
        <v>657.5</v>
      </c>
      <c r="J782" s="231" t="s">
        <v>1311</v>
      </c>
      <c r="K782" s="231" t="s">
        <v>1312</v>
      </c>
      <c r="L782" s="232">
        <v>45170</v>
      </c>
      <c r="M782" s="232">
        <v>45199</v>
      </c>
    </row>
    <row r="783" spans="1:13" ht="18.75" customHeight="1" x14ac:dyDescent="0.2">
      <c r="A783" s="231" t="s">
        <v>1589</v>
      </c>
      <c r="B783" s="230">
        <v>113339</v>
      </c>
      <c r="C783" s="230">
        <v>10771</v>
      </c>
      <c r="D783" s="231" t="s">
        <v>717</v>
      </c>
      <c r="E783" s="230">
        <v>14491078</v>
      </c>
      <c r="F783" s="230">
        <v>31113</v>
      </c>
      <c r="G783" s="230">
        <v>25</v>
      </c>
      <c r="H783" s="240">
        <v>26.3</v>
      </c>
      <c r="I783" s="240">
        <f t="shared" si="12"/>
        <v>657.5</v>
      </c>
      <c r="J783" s="231" t="s">
        <v>1311</v>
      </c>
      <c r="K783" s="231" t="s">
        <v>1312</v>
      </c>
      <c r="L783" s="232">
        <v>45170</v>
      </c>
      <c r="M783" s="232">
        <v>45199</v>
      </c>
    </row>
    <row r="784" spans="1:13" ht="18.75" customHeight="1" x14ac:dyDescent="0.2">
      <c r="A784" s="231" t="s">
        <v>1589</v>
      </c>
      <c r="B784" s="230">
        <v>113344</v>
      </c>
      <c r="C784" s="230">
        <v>10762</v>
      </c>
      <c r="D784" s="231" t="s">
        <v>720</v>
      </c>
      <c r="E784" s="230">
        <v>14491078</v>
      </c>
      <c r="F784" s="230">
        <v>31123</v>
      </c>
      <c r="G784" s="230">
        <v>25</v>
      </c>
      <c r="H784" s="240">
        <v>26.3</v>
      </c>
      <c r="I784" s="240">
        <f t="shared" si="12"/>
        <v>657.5</v>
      </c>
      <c r="J784" s="231" t="s">
        <v>1311</v>
      </c>
      <c r="K784" s="231" t="s">
        <v>1312</v>
      </c>
      <c r="L784" s="232">
        <v>45170</v>
      </c>
      <c r="M784" s="232">
        <v>45199</v>
      </c>
    </row>
    <row r="785" spans="1:13" ht="18.75" customHeight="1" x14ac:dyDescent="0.2">
      <c r="A785" s="231" t="s">
        <v>1589</v>
      </c>
      <c r="B785" s="230">
        <v>113349</v>
      </c>
      <c r="C785" s="230">
        <v>10756</v>
      </c>
      <c r="D785" s="231" t="s">
        <v>1287</v>
      </c>
      <c r="E785" s="230">
        <v>14491078</v>
      </c>
      <c r="F785" s="230">
        <v>31133</v>
      </c>
      <c r="G785" s="230">
        <v>25</v>
      </c>
      <c r="H785" s="240">
        <v>26.3</v>
      </c>
      <c r="I785" s="240">
        <f t="shared" si="12"/>
        <v>657.5</v>
      </c>
      <c r="J785" s="231" t="s">
        <v>1311</v>
      </c>
      <c r="K785" s="231" t="s">
        <v>1312</v>
      </c>
      <c r="L785" s="232">
        <v>45170</v>
      </c>
      <c r="M785" s="232">
        <v>45199</v>
      </c>
    </row>
    <row r="786" spans="1:13" ht="18.75" customHeight="1" x14ac:dyDescent="0.2">
      <c r="A786" s="231" t="s">
        <v>1589</v>
      </c>
      <c r="B786" s="230">
        <v>113353</v>
      </c>
      <c r="C786" s="230">
        <v>10755</v>
      </c>
      <c r="D786" s="231" t="s">
        <v>723</v>
      </c>
      <c r="E786" s="230">
        <v>14491078</v>
      </c>
      <c r="F786" s="230">
        <v>31141</v>
      </c>
      <c r="G786" s="230">
        <v>25</v>
      </c>
      <c r="H786" s="240">
        <v>26.3</v>
      </c>
      <c r="I786" s="240">
        <f t="shared" si="12"/>
        <v>657.5</v>
      </c>
      <c r="J786" s="231" t="s">
        <v>1311</v>
      </c>
      <c r="K786" s="231" t="s">
        <v>1312</v>
      </c>
      <c r="L786" s="232">
        <v>45170</v>
      </c>
      <c r="M786" s="232">
        <v>45199</v>
      </c>
    </row>
    <row r="787" spans="1:13" ht="18.75" customHeight="1" x14ac:dyDescent="0.2">
      <c r="A787" s="231" t="s">
        <v>1589</v>
      </c>
      <c r="B787" s="230">
        <v>113361</v>
      </c>
      <c r="C787" s="230">
        <v>10748</v>
      </c>
      <c r="D787" s="231" t="s">
        <v>729</v>
      </c>
      <c r="E787" s="230">
        <v>14491078</v>
      </c>
      <c r="F787" s="230">
        <v>31157</v>
      </c>
      <c r="G787" s="230">
        <v>25</v>
      </c>
      <c r="H787" s="240">
        <v>26.3</v>
      </c>
      <c r="I787" s="240">
        <f t="shared" si="12"/>
        <v>657.5</v>
      </c>
      <c r="J787" s="231" t="s">
        <v>1311</v>
      </c>
      <c r="K787" s="231" t="s">
        <v>1312</v>
      </c>
      <c r="L787" s="232">
        <v>45170</v>
      </c>
      <c r="M787" s="232">
        <v>45199</v>
      </c>
    </row>
    <row r="788" spans="1:13" ht="18.75" customHeight="1" x14ac:dyDescent="0.2">
      <c r="A788" s="231" t="s">
        <v>1589</v>
      </c>
      <c r="B788" s="230">
        <v>113365</v>
      </c>
      <c r="C788" s="230">
        <v>10761</v>
      </c>
      <c r="D788" s="231" t="s">
        <v>648</v>
      </c>
      <c r="E788" s="230">
        <v>14491078</v>
      </c>
      <c r="F788" s="230">
        <v>31165</v>
      </c>
      <c r="G788" s="230">
        <v>25</v>
      </c>
      <c r="H788" s="240">
        <v>26.3</v>
      </c>
      <c r="I788" s="240">
        <f t="shared" si="12"/>
        <v>657.5</v>
      </c>
      <c r="J788" s="231" t="s">
        <v>1311</v>
      </c>
      <c r="K788" s="231" t="s">
        <v>1312</v>
      </c>
      <c r="L788" s="232">
        <v>45170</v>
      </c>
      <c r="M788" s="232">
        <v>45199</v>
      </c>
    </row>
    <row r="789" spans="1:13" ht="18.75" customHeight="1" x14ac:dyDescent="0.2">
      <c r="A789" s="231" t="s">
        <v>1589</v>
      </c>
      <c r="B789" s="230">
        <v>113367</v>
      </c>
      <c r="C789" s="230">
        <v>10768</v>
      </c>
      <c r="D789" s="231" t="s">
        <v>734</v>
      </c>
      <c r="E789" s="230">
        <v>14491078</v>
      </c>
      <c r="F789" s="230">
        <v>31169</v>
      </c>
      <c r="G789" s="230">
        <v>25</v>
      </c>
      <c r="H789" s="240">
        <v>26.3</v>
      </c>
      <c r="I789" s="240">
        <f t="shared" si="12"/>
        <v>657.5</v>
      </c>
      <c r="J789" s="231" t="s">
        <v>1311</v>
      </c>
      <c r="K789" s="231" t="s">
        <v>1312</v>
      </c>
      <c r="L789" s="232">
        <v>45170</v>
      </c>
      <c r="M789" s="232">
        <v>45199</v>
      </c>
    </row>
    <row r="790" spans="1:13" ht="18.75" customHeight="1" x14ac:dyDescent="0.2">
      <c r="A790" s="231" t="s">
        <v>1589</v>
      </c>
      <c r="B790" s="230">
        <v>113389</v>
      </c>
      <c r="C790" s="230">
        <v>10768</v>
      </c>
      <c r="D790" s="231" t="s">
        <v>748</v>
      </c>
      <c r="E790" s="230">
        <v>14491078</v>
      </c>
      <c r="F790" s="230">
        <v>31213</v>
      </c>
      <c r="G790" s="230">
        <v>25</v>
      </c>
      <c r="H790" s="240">
        <v>26.3</v>
      </c>
      <c r="I790" s="240">
        <f t="shared" si="12"/>
        <v>657.5</v>
      </c>
      <c r="J790" s="231" t="s">
        <v>1311</v>
      </c>
      <c r="K790" s="231" t="s">
        <v>1312</v>
      </c>
      <c r="L790" s="232">
        <v>45170</v>
      </c>
      <c r="M790" s="232">
        <v>45199</v>
      </c>
    </row>
    <row r="791" spans="1:13" ht="18.75" customHeight="1" x14ac:dyDescent="0.2">
      <c r="A791" s="231" t="s">
        <v>1589</v>
      </c>
      <c r="B791" s="230">
        <v>113400</v>
      </c>
      <c r="C791" s="230">
        <v>10767</v>
      </c>
      <c r="D791" s="231" t="s">
        <v>757</v>
      </c>
      <c r="E791" s="230">
        <v>14491078</v>
      </c>
      <c r="F791" s="230">
        <v>31235</v>
      </c>
      <c r="G791" s="230">
        <v>25</v>
      </c>
      <c r="H791" s="240">
        <v>26.3</v>
      </c>
      <c r="I791" s="240">
        <f t="shared" si="12"/>
        <v>657.5</v>
      </c>
      <c r="J791" s="231" t="s">
        <v>1311</v>
      </c>
      <c r="K791" s="231" t="s">
        <v>1312</v>
      </c>
      <c r="L791" s="232">
        <v>45170</v>
      </c>
      <c r="M791" s="232">
        <v>45199</v>
      </c>
    </row>
    <row r="792" spans="1:13" ht="18.75" customHeight="1" x14ac:dyDescent="0.2">
      <c r="A792" s="231" t="s">
        <v>1589</v>
      </c>
      <c r="B792" s="230">
        <v>113407</v>
      </c>
      <c r="C792" s="230">
        <v>10745</v>
      </c>
      <c r="D792" s="231" t="s">
        <v>761</v>
      </c>
      <c r="E792" s="230">
        <v>14491078</v>
      </c>
      <c r="F792" s="230">
        <v>31249</v>
      </c>
      <c r="G792" s="230">
        <v>25</v>
      </c>
      <c r="H792" s="240">
        <v>26.3</v>
      </c>
      <c r="I792" s="240">
        <f t="shared" si="12"/>
        <v>657.5</v>
      </c>
      <c r="J792" s="231" t="s">
        <v>1311</v>
      </c>
      <c r="K792" s="231" t="s">
        <v>1312</v>
      </c>
      <c r="L792" s="232">
        <v>45170</v>
      </c>
      <c r="M792" s="232">
        <v>45199</v>
      </c>
    </row>
    <row r="793" spans="1:13" ht="18.75" customHeight="1" x14ac:dyDescent="0.2">
      <c r="A793" s="231" t="s">
        <v>1589</v>
      </c>
      <c r="B793" s="230">
        <v>113419</v>
      </c>
      <c r="C793" s="230">
        <v>10743</v>
      </c>
      <c r="D793" s="231" t="s">
        <v>1316</v>
      </c>
      <c r="E793" s="230">
        <v>14491078</v>
      </c>
      <c r="F793" s="230">
        <v>31273</v>
      </c>
      <c r="G793" s="230">
        <v>25</v>
      </c>
      <c r="H793" s="240">
        <v>26.3</v>
      </c>
      <c r="I793" s="240">
        <f t="shared" si="12"/>
        <v>657.5</v>
      </c>
      <c r="J793" s="231" t="s">
        <v>1311</v>
      </c>
      <c r="K793" s="231" t="s">
        <v>1312</v>
      </c>
      <c r="L793" s="232">
        <v>45170</v>
      </c>
      <c r="M793" s="232">
        <v>45199</v>
      </c>
    </row>
    <row r="794" spans="1:13" ht="18.75" customHeight="1" x14ac:dyDescent="0.2">
      <c r="A794" s="231" t="s">
        <v>1589</v>
      </c>
      <c r="B794" s="230">
        <v>113421</v>
      </c>
      <c r="C794" s="230">
        <v>10761</v>
      </c>
      <c r="D794" s="231" t="s">
        <v>772</v>
      </c>
      <c r="E794" s="230">
        <v>14491078</v>
      </c>
      <c r="F794" s="230">
        <v>31277</v>
      </c>
      <c r="G794" s="230">
        <v>25</v>
      </c>
      <c r="H794" s="240">
        <v>26.3</v>
      </c>
      <c r="I794" s="240">
        <f t="shared" si="12"/>
        <v>657.5</v>
      </c>
      <c r="J794" s="231" t="s">
        <v>1311</v>
      </c>
      <c r="K794" s="231" t="s">
        <v>1312</v>
      </c>
      <c r="L794" s="232">
        <v>45170</v>
      </c>
      <c r="M794" s="232">
        <v>45199</v>
      </c>
    </row>
    <row r="795" spans="1:13" ht="18.75" customHeight="1" x14ac:dyDescent="0.2">
      <c r="A795" s="231" t="s">
        <v>1589</v>
      </c>
      <c r="B795" s="230">
        <v>113433</v>
      </c>
      <c r="C795" s="230">
        <v>10771</v>
      </c>
      <c r="D795" s="231" t="s">
        <v>1352</v>
      </c>
      <c r="E795" s="230">
        <v>14491078</v>
      </c>
      <c r="F795" s="230">
        <v>31301</v>
      </c>
      <c r="G795" s="230">
        <v>25</v>
      </c>
      <c r="H795" s="240">
        <v>26.3</v>
      </c>
      <c r="I795" s="240">
        <f t="shared" si="12"/>
        <v>657.5</v>
      </c>
      <c r="J795" s="231" t="s">
        <v>1311</v>
      </c>
      <c r="K795" s="231" t="s">
        <v>1312</v>
      </c>
      <c r="L795" s="232">
        <v>45170</v>
      </c>
      <c r="M795" s="232">
        <v>45199</v>
      </c>
    </row>
    <row r="796" spans="1:13" ht="18.75" customHeight="1" x14ac:dyDescent="0.2">
      <c r="A796" s="231" t="s">
        <v>1589</v>
      </c>
      <c r="B796" s="230">
        <v>113441</v>
      </c>
      <c r="C796" s="230">
        <v>10761</v>
      </c>
      <c r="D796" s="231" t="s">
        <v>783</v>
      </c>
      <c r="E796" s="230">
        <v>14491078</v>
      </c>
      <c r="F796" s="230">
        <v>31317</v>
      </c>
      <c r="G796" s="230">
        <v>25</v>
      </c>
      <c r="H796" s="240">
        <v>26.3</v>
      </c>
      <c r="I796" s="240">
        <f t="shared" si="12"/>
        <v>657.5</v>
      </c>
      <c r="J796" s="231" t="s">
        <v>1311</v>
      </c>
      <c r="K796" s="231" t="s">
        <v>1312</v>
      </c>
      <c r="L796" s="232">
        <v>45170</v>
      </c>
      <c r="M796" s="232">
        <v>45199</v>
      </c>
    </row>
    <row r="797" spans="1:13" ht="18.75" customHeight="1" x14ac:dyDescent="0.2">
      <c r="A797" s="231" t="s">
        <v>1589</v>
      </c>
      <c r="B797" s="230">
        <v>113447</v>
      </c>
      <c r="C797" s="230">
        <v>10743</v>
      </c>
      <c r="D797" s="231" t="s">
        <v>786</v>
      </c>
      <c r="E797" s="230">
        <v>14491078</v>
      </c>
      <c r="F797" s="230">
        <v>31329</v>
      </c>
      <c r="G797" s="230">
        <v>25</v>
      </c>
      <c r="H797" s="240">
        <v>26.3</v>
      </c>
      <c r="I797" s="240">
        <f t="shared" si="12"/>
        <v>657.5</v>
      </c>
      <c r="J797" s="231" t="s">
        <v>1311</v>
      </c>
      <c r="K797" s="231" t="s">
        <v>1312</v>
      </c>
      <c r="L797" s="232">
        <v>45170</v>
      </c>
      <c r="M797" s="232">
        <v>45199</v>
      </c>
    </row>
    <row r="798" spans="1:13" ht="18.75" customHeight="1" x14ac:dyDescent="0.2">
      <c r="A798" s="231" t="s">
        <v>1589</v>
      </c>
      <c r="B798" s="230">
        <v>113460</v>
      </c>
      <c r="C798" s="230">
        <v>10768</v>
      </c>
      <c r="D798" s="231" t="s">
        <v>793</v>
      </c>
      <c r="E798" s="230">
        <v>14491078</v>
      </c>
      <c r="F798" s="230">
        <v>31355</v>
      </c>
      <c r="G798" s="230">
        <v>25</v>
      </c>
      <c r="H798" s="240">
        <v>26.3</v>
      </c>
      <c r="I798" s="240">
        <f t="shared" si="12"/>
        <v>657.5</v>
      </c>
      <c r="J798" s="231" t="s">
        <v>1311</v>
      </c>
      <c r="K798" s="231" t="s">
        <v>1312</v>
      </c>
      <c r="L798" s="232">
        <v>45170</v>
      </c>
      <c r="M798" s="232">
        <v>45199</v>
      </c>
    </row>
    <row r="799" spans="1:13" ht="18.75" customHeight="1" x14ac:dyDescent="0.2">
      <c r="A799" s="231" t="s">
        <v>1589</v>
      </c>
      <c r="B799" s="230">
        <v>113478</v>
      </c>
      <c r="C799" s="230">
        <v>10762</v>
      </c>
      <c r="D799" s="231" t="s">
        <v>803</v>
      </c>
      <c r="E799" s="230">
        <v>14491078</v>
      </c>
      <c r="F799" s="230">
        <v>31391</v>
      </c>
      <c r="G799" s="230">
        <v>25</v>
      </c>
      <c r="H799" s="240">
        <v>26.3</v>
      </c>
      <c r="I799" s="240">
        <f t="shared" si="12"/>
        <v>657.5</v>
      </c>
      <c r="J799" s="231" t="s">
        <v>1311</v>
      </c>
      <c r="K799" s="231" t="s">
        <v>1312</v>
      </c>
      <c r="L799" s="232">
        <v>45170</v>
      </c>
      <c r="M799" s="232">
        <v>45199</v>
      </c>
    </row>
    <row r="800" spans="1:13" ht="18.75" customHeight="1" x14ac:dyDescent="0.2">
      <c r="A800" s="231" t="s">
        <v>1589</v>
      </c>
      <c r="B800" s="230">
        <v>113482</v>
      </c>
      <c r="C800" s="230">
        <v>10771</v>
      </c>
      <c r="D800" s="231" t="s">
        <v>805</v>
      </c>
      <c r="E800" s="230">
        <v>14491078</v>
      </c>
      <c r="F800" s="230">
        <v>31399</v>
      </c>
      <c r="G800" s="230">
        <v>25</v>
      </c>
      <c r="H800" s="240">
        <v>26.3</v>
      </c>
      <c r="I800" s="240">
        <f t="shared" si="12"/>
        <v>657.5</v>
      </c>
      <c r="J800" s="231" t="s">
        <v>1311</v>
      </c>
      <c r="K800" s="231" t="s">
        <v>1312</v>
      </c>
      <c r="L800" s="232">
        <v>45170</v>
      </c>
      <c r="M800" s="232">
        <v>45199</v>
      </c>
    </row>
    <row r="801" spans="1:13" ht="18.75" customHeight="1" x14ac:dyDescent="0.2">
      <c r="A801" s="231" t="s">
        <v>1589</v>
      </c>
      <c r="B801" s="230">
        <v>113486</v>
      </c>
      <c r="C801" s="230">
        <v>10762</v>
      </c>
      <c r="D801" s="231" t="s">
        <v>806</v>
      </c>
      <c r="E801" s="230">
        <v>14491078</v>
      </c>
      <c r="F801" s="230">
        <v>31407</v>
      </c>
      <c r="G801" s="230">
        <v>25</v>
      </c>
      <c r="H801" s="240">
        <v>26.3</v>
      </c>
      <c r="I801" s="240">
        <f t="shared" si="12"/>
        <v>657.5</v>
      </c>
      <c r="J801" s="231" t="s">
        <v>1311</v>
      </c>
      <c r="K801" s="231" t="s">
        <v>1312</v>
      </c>
      <c r="L801" s="232">
        <v>45170</v>
      </c>
      <c r="M801" s="232">
        <v>45199</v>
      </c>
    </row>
    <row r="802" spans="1:13" ht="18.75" customHeight="1" x14ac:dyDescent="0.2">
      <c r="A802" s="231" t="s">
        <v>1589</v>
      </c>
      <c r="B802" s="230">
        <v>113490</v>
      </c>
      <c r="C802" s="230">
        <v>10771</v>
      </c>
      <c r="D802" s="231" t="s">
        <v>809</v>
      </c>
      <c r="E802" s="230">
        <v>14491078</v>
      </c>
      <c r="F802" s="230">
        <v>31415</v>
      </c>
      <c r="G802" s="230">
        <v>25</v>
      </c>
      <c r="H802" s="240">
        <v>26.3</v>
      </c>
      <c r="I802" s="240">
        <f t="shared" si="12"/>
        <v>657.5</v>
      </c>
      <c r="J802" s="231" t="s">
        <v>1311</v>
      </c>
      <c r="K802" s="231" t="s">
        <v>1312</v>
      </c>
      <c r="L802" s="232">
        <v>45170</v>
      </c>
      <c r="M802" s="232">
        <v>45199</v>
      </c>
    </row>
    <row r="803" spans="1:13" ht="18.75" customHeight="1" x14ac:dyDescent="0.2">
      <c r="A803" s="231" t="s">
        <v>1589</v>
      </c>
      <c r="B803" s="230">
        <v>113508</v>
      </c>
      <c r="C803" s="230">
        <v>10757</v>
      </c>
      <c r="D803" s="231" t="s">
        <v>818</v>
      </c>
      <c r="E803" s="230">
        <v>14491078</v>
      </c>
      <c r="F803" s="230">
        <v>31451</v>
      </c>
      <c r="G803" s="230">
        <v>25</v>
      </c>
      <c r="H803" s="240">
        <v>26.3</v>
      </c>
      <c r="I803" s="240">
        <f t="shared" si="12"/>
        <v>657.5</v>
      </c>
      <c r="J803" s="231" t="s">
        <v>1311</v>
      </c>
      <c r="K803" s="231" t="s">
        <v>1312</v>
      </c>
      <c r="L803" s="232">
        <v>45170</v>
      </c>
      <c r="M803" s="232">
        <v>45199</v>
      </c>
    </row>
    <row r="804" spans="1:13" ht="18.75" customHeight="1" x14ac:dyDescent="0.2">
      <c r="A804" s="231" t="s">
        <v>1589</v>
      </c>
      <c r="B804" s="230">
        <v>113510</v>
      </c>
      <c r="C804" s="230">
        <v>10755</v>
      </c>
      <c r="D804" s="231" t="s">
        <v>819</v>
      </c>
      <c r="E804" s="230">
        <v>14491078</v>
      </c>
      <c r="F804" s="230">
        <v>31455</v>
      </c>
      <c r="G804" s="230">
        <v>25</v>
      </c>
      <c r="H804" s="240">
        <v>26.3</v>
      </c>
      <c r="I804" s="240">
        <f t="shared" si="12"/>
        <v>657.5</v>
      </c>
      <c r="J804" s="231" t="s">
        <v>1311</v>
      </c>
      <c r="K804" s="231" t="s">
        <v>1312</v>
      </c>
      <c r="L804" s="232">
        <v>45170</v>
      </c>
      <c r="M804" s="232">
        <v>45199</v>
      </c>
    </row>
    <row r="805" spans="1:13" ht="18.75" customHeight="1" x14ac:dyDescent="0.2">
      <c r="A805" s="231" t="s">
        <v>1589</v>
      </c>
      <c r="B805" s="230">
        <v>113529</v>
      </c>
      <c r="C805" s="230">
        <v>10755</v>
      </c>
      <c r="D805" s="231" t="s">
        <v>828</v>
      </c>
      <c r="E805" s="230">
        <v>14491078</v>
      </c>
      <c r="F805" s="230">
        <v>31493</v>
      </c>
      <c r="G805" s="230">
        <v>25</v>
      </c>
      <c r="H805" s="240">
        <v>26.3</v>
      </c>
      <c r="I805" s="240">
        <f t="shared" si="12"/>
        <v>657.5</v>
      </c>
      <c r="J805" s="231" t="s">
        <v>1311</v>
      </c>
      <c r="K805" s="231" t="s">
        <v>1312</v>
      </c>
      <c r="L805" s="232">
        <v>45170</v>
      </c>
      <c r="M805" s="232">
        <v>45199</v>
      </c>
    </row>
    <row r="806" spans="1:13" ht="18.75" customHeight="1" x14ac:dyDescent="0.2">
      <c r="A806" s="231" t="s">
        <v>1589</v>
      </c>
      <c r="B806" s="230">
        <v>113535</v>
      </c>
      <c r="C806" s="230">
        <v>10771</v>
      </c>
      <c r="D806" s="231" t="s">
        <v>833</v>
      </c>
      <c r="E806" s="230">
        <v>14491078</v>
      </c>
      <c r="F806" s="230">
        <v>31505</v>
      </c>
      <c r="G806" s="230">
        <v>25</v>
      </c>
      <c r="H806" s="240">
        <v>26.3</v>
      </c>
      <c r="I806" s="240">
        <f t="shared" si="12"/>
        <v>657.5</v>
      </c>
      <c r="J806" s="231" t="s">
        <v>1311</v>
      </c>
      <c r="K806" s="231" t="s">
        <v>1312</v>
      </c>
      <c r="L806" s="232">
        <v>45170</v>
      </c>
      <c r="M806" s="232">
        <v>45199</v>
      </c>
    </row>
    <row r="807" spans="1:13" ht="18.75" customHeight="1" x14ac:dyDescent="0.2">
      <c r="A807" s="231" t="s">
        <v>1589</v>
      </c>
      <c r="B807" s="230">
        <v>113540</v>
      </c>
      <c r="C807" s="230">
        <v>10745</v>
      </c>
      <c r="D807" s="231" t="s">
        <v>836</v>
      </c>
      <c r="E807" s="230">
        <v>14491078</v>
      </c>
      <c r="F807" s="230">
        <v>31515</v>
      </c>
      <c r="G807" s="230">
        <v>25</v>
      </c>
      <c r="H807" s="240">
        <v>26.3</v>
      </c>
      <c r="I807" s="240">
        <f t="shared" si="12"/>
        <v>657.5</v>
      </c>
      <c r="J807" s="231" t="s">
        <v>1311</v>
      </c>
      <c r="K807" s="231" t="s">
        <v>1312</v>
      </c>
      <c r="L807" s="232">
        <v>45170</v>
      </c>
      <c r="M807" s="232">
        <v>45199</v>
      </c>
    </row>
    <row r="808" spans="1:13" ht="18.75" customHeight="1" x14ac:dyDescent="0.2">
      <c r="A808" s="231" t="s">
        <v>1589</v>
      </c>
      <c r="B808" s="230">
        <v>113541</v>
      </c>
      <c r="C808" s="230">
        <v>10771</v>
      </c>
      <c r="D808" s="231" t="s">
        <v>837</v>
      </c>
      <c r="E808" s="230">
        <v>14491078</v>
      </c>
      <c r="F808" s="230">
        <v>31517</v>
      </c>
      <c r="G808" s="230">
        <v>25</v>
      </c>
      <c r="H808" s="240">
        <v>26.3</v>
      </c>
      <c r="I808" s="240">
        <f t="shared" si="12"/>
        <v>657.5</v>
      </c>
      <c r="J808" s="231" t="s">
        <v>1311</v>
      </c>
      <c r="K808" s="231" t="s">
        <v>1312</v>
      </c>
      <c r="L808" s="232">
        <v>45170</v>
      </c>
      <c r="M808" s="232">
        <v>45199</v>
      </c>
    </row>
    <row r="809" spans="1:13" ht="18.75" customHeight="1" x14ac:dyDescent="0.2">
      <c r="A809" s="231" t="s">
        <v>1589</v>
      </c>
      <c r="B809" s="230">
        <v>113543</v>
      </c>
      <c r="C809" s="230">
        <v>10766</v>
      </c>
      <c r="D809" s="231" t="s">
        <v>838</v>
      </c>
      <c r="E809" s="230">
        <v>14491078</v>
      </c>
      <c r="F809" s="230">
        <v>31521</v>
      </c>
      <c r="G809" s="230">
        <v>25</v>
      </c>
      <c r="H809" s="240">
        <v>26.3</v>
      </c>
      <c r="I809" s="240">
        <f t="shared" si="12"/>
        <v>657.5</v>
      </c>
      <c r="J809" s="231" t="s">
        <v>1311</v>
      </c>
      <c r="K809" s="231" t="s">
        <v>1312</v>
      </c>
      <c r="L809" s="232">
        <v>45170</v>
      </c>
      <c r="M809" s="232">
        <v>45199</v>
      </c>
    </row>
    <row r="810" spans="1:13" ht="18.75" customHeight="1" x14ac:dyDescent="0.2">
      <c r="A810" s="231" t="s">
        <v>1589</v>
      </c>
      <c r="B810" s="230">
        <v>113546</v>
      </c>
      <c r="C810" s="230">
        <v>10768</v>
      </c>
      <c r="D810" s="231" t="s">
        <v>840</v>
      </c>
      <c r="E810" s="230">
        <v>14491078</v>
      </c>
      <c r="F810" s="230">
        <v>31527</v>
      </c>
      <c r="G810" s="230">
        <v>25</v>
      </c>
      <c r="H810" s="240">
        <v>26.3</v>
      </c>
      <c r="I810" s="240">
        <f t="shared" si="12"/>
        <v>657.5</v>
      </c>
      <c r="J810" s="231" t="s">
        <v>1311</v>
      </c>
      <c r="K810" s="231" t="s">
        <v>1312</v>
      </c>
      <c r="L810" s="232">
        <v>45170</v>
      </c>
      <c r="M810" s="232">
        <v>45199</v>
      </c>
    </row>
    <row r="811" spans="1:13" ht="18.75" customHeight="1" x14ac:dyDescent="0.2">
      <c r="A811" s="231" t="s">
        <v>1589</v>
      </c>
      <c r="B811" s="230">
        <v>113552</v>
      </c>
      <c r="C811" s="230">
        <v>10768</v>
      </c>
      <c r="D811" s="231" t="s">
        <v>846</v>
      </c>
      <c r="E811" s="230">
        <v>14491078</v>
      </c>
      <c r="F811" s="230">
        <v>31539</v>
      </c>
      <c r="G811" s="230">
        <v>25</v>
      </c>
      <c r="H811" s="240">
        <v>26.3</v>
      </c>
      <c r="I811" s="240">
        <f t="shared" si="12"/>
        <v>657.5</v>
      </c>
      <c r="J811" s="231" t="s">
        <v>1311</v>
      </c>
      <c r="K811" s="231" t="s">
        <v>1312</v>
      </c>
      <c r="L811" s="232">
        <v>45170</v>
      </c>
      <c r="M811" s="232">
        <v>45199</v>
      </c>
    </row>
    <row r="812" spans="1:13" ht="18.75" customHeight="1" x14ac:dyDescent="0.2">
      <c r="A812" s="231" t="s">
        <v>1589</v>
      </c>
      <c r="B812" s="230">
        <v>113565</v>
      </c>
      <c r="C812" s="230">
        <v>10766</v>
      </c>
      <c r="D812" s="231" t="s">
        <v>853</v>
      </c>
      <c r="E812" s="230">
        <v>14491078</v>
      </c>
      <c r="F812" s="230">
        <v>31565</v>
      </c>
      <c r="G812" s="230">
        <v>25</v>
      </c>
      <c r="H812" s="240">
        <v>26.3</v>
      </c>
      <c r="I812" s="240">
        <f t="shared" si="12"/>
        <v>657.5</v>
      </c>
      <c r="J812" s="231" t="s">
        <v>1311</v>
      </c>
      <c r="K812" s="231" t="s">
        <v>1312</v>
      </c>
      <c r="L812" s="232">
        <v>45170</v>
      </c>
      <c r="M812" s="232">
        <v>45199</v>
      </c>
    </row>
    <row r="813" spans="1:13" ht="18.75" customHeight="1" x14ac:dyDescent="0.2">
      <c r="A813" s="231" t="s">
        <v>1589</v>
      </c>
      <c r="B813" s="230">
        <v>113568</v>
      </c>
      <c r="C813" s="230">
        <v>10761</v>
      </c>
      <c r="D813" s="231" t="s">
        <v>855</v>
      </c>
      <c r="E813" s="230">
        <v>14491078</v>
      </c>
      <c r="F813" s="230">
        <v>31571</v>
      </c>
      <c r="G813" s="230">
        <v>25</v>
      </c>
      <c r="H813" s="240">
        <v>26.3</v>
      </c>
      <c r="I813" s="240">
        <f t="shared" si="12"/>
        <v>657.5</v>
      </c>
      <c r="J813" s="231" t="s">
        <v>1311</v>
      </c>
      <c r="K813" s="231" t="s">
        <v>1312</v>
      </c>
      <c r="L813" s="232">
        <v>45170</v>
      </c>
      <c r="M813" s="232">
        <v>45199</v>
      </c>
    </row>
    <row r="814" spans="1:13" ht="18.75" customHeight="1" x14ac:dyDescent="0.2">
      <c r="A814" s="231" t="s">
        <v>1589</v>
      </c>
      <c r="B814" s="230">
        <v>113577</v>
      </c>
      <c r="C814" s="230">
        <v>10767</v>
      </c>
      <c r="D814" s="231" t="s">
        <v>857</v>
      </c>
      <c r="E814" s="230">
        <v>14491078</v>
      </c>
      <c r="F814" s="230">
        <v>31589</v>
      </c>
      <c r="G814" s="230">
        <v>25</v>
      </c>
      <c r="H814" s="240">
        <v>26.3</v>
      </c>
      <c r="I814" s="240">
        <f t="shared" si="12"/>
        <v>657.5</v>
      </c>
      <c r="J814" s="231" t="s">
        <v>1311</v>
      </c>
      <c r="K814" s="231" t="s">
        <v>1312</v>
      </c>
      <c r="L814" s="232">
        <v>45170</v>
      </c>
      <c r="M814" s="232">
        <v>45199</v>
      </c>
    </row>
    <row r="815" spans="1:13" ht="18.75" customHeight="1" x14ac:dyDescent="0.2">
      <c r="A815" s="231" t="s">
        <v>1589</v>
      </c>
      <c r="B815" s="230">
        <v>113592</v>
      </c>
      <c r="C815" s="230">
        <v>10761</v>
      </c>
      <c r="D815" s="231" t="s">
        <v>866</v>
      </c>
      <c r="E815" s="230">
        <v>14491078</v>
      </c>
      <c r="F815" s="230">
        <v>31619</v>
      </c>
      <c r="G815" s="230">
        <v>25</v>
      </c>
      <c r="H815" s="240">
        <v>26.3</v>
      </c>
      <c r="I815" s="240">
        <f t="shared" si="12"/>
        <v>657.5</v>
      </c>
      <c r="J815" s="231" t="s">
        <v>1311</v>
      </c>
      <c r="K815" s="231" t="s">
        <v>1312</v>
      </c>
      <c r="L815" s="232">
        <v>45170</v>
      </c>
      <c r="M815" s="232">
        <v>45199</v>
      </c>
    </row>
    <row r="816" spans="1:13" ht="18.75" customHeight="1" x14ac:dyDescent="0.2">
      <c r="A816" s="231" t="s">
        <v>1589</v>
      </c>
      <c r="B816" s="230">
        <v>113599</v>
      </c>
      <c r="C816" s="230">
        <v>10762</v>
      </c>
      <c r="D816" s="231" t="s">
        <v>869</v>
      </c>
      <c r="E816" s="230">
        <v>14491078</v>
      </c>
      <c r="F816" s="230">
        <v>31633</v>
      </c>
      <c r="G816" s="230">
        <v>25</v>
      </c>
      <c r="H816" s="240">
        <v>26.3</v>
      </c>
      <c r="I816" s="240">
        <f t="shared" si="12"/>
        <v>657.5</v>
      </c>
      <c r="J816" s="231" t="s">
        <v>1311</v>
      </c>
      <c r="K816" s="231" t="s">
        <v>1312</v>
      </c>
      <c r="L816" s="232">
        <v>45170</v>
      </c>
      <c r="M816" s="232">
        <v>45199</v>
      </c>
    </row>
    <row r="817" spans="1:13" ht="18.75" customHeight="1" x14ac:dyDescent="0.2">
      <c r="A817" s="231" t="s">
        <v>1589</v>
      </c>
      <c r="B817" s="230">
        <v>113602</v>
      </c>
      <c r="C817" s="230">
        <v>10755</v>
      </c>
      <c r="D817" s="231" t="s">
        <v>870</v>
      </c>
      <c r="E817" s="230">
        <v>14491078</v>
      </c>
      <c r="F817" s="230">
        <v>31639</v>
      </c>
      <c r="G817" s="230">
        <v>25</v>
      </c>
      <c r="H817" s="240">
        <v>26.3</v>
      </c>
      <c r="I817" s="240">
        <f t="shared" si="12"/>
        <v>657.5</v>
      </c>
      <c r="J817" s="231" t="s">
        <v>1311</v>
      </c>
      <c r="K817" s="231" t="s">
        <v>1312</v>
      </c>
      <c r="L817" s="232">
        <v>45170</v>
      </c>
      <c r="M817" s="232">
        <v>45199</v>
      </c>
    </row>
    <row r="818" spans="1:13" ht="18.75" customHeight="1" x14ac:dyDescent="0.2">
      <c r="A818" s="231" t="s">
        <v>1589</v>
      </c>
      <c r="B818" s="230">
        <v>113607</v>
      </c>
      <c r="C818" s="230">
        <v>10757</v>
      </c>
      <c r="D818" s="231" t="s">
        <v>872</v>
      </c>
      <c r="E818" s="230">
        <v>14491078</v>
      </c>
      <c r="F818" s="230">
        <v>31649</v>
      </c>
      <c r="G818" s="230">
        <v>25</v>
      </c>
      <c r="H818" s="240">
        <v>26.3</v>
      </c>
      <c r="I818" s="240">
        <f t="shared" si="12"/>
        <v>657.5</v>
      </c>
      <c r="J818" s="231" t="s">
        <v>1311</v>
      </c>
      <c r="K818" s="231" t="s">
        <v>1312</v>
      </c>
      <c r="L818" s="232">
        <v>45170</v>
      </c>
      <c r="M818" s="232">
        <v>45199</v>
      </c>
    </row>
    <row r="819" spans="1:13" ht="18.75" customHeight="1" x14ac:dyDescent="0.2">
      <c r="A819" s="231" t="s">
        <v>1589</v>
      </c>
      <c r="B819" s="230">
        <v>113614</v>
      </c>
      <c r="C819" s="230">
        <v>10767</v>
      </c>
      <c r="D819" s="231" t="s">
        <v>781</v>
      </c>
      <c r="E819" s="230">
        <v>14491078</v>
      </c>
      <c r="F819" s="230">
        <v>31663</v>
      </c>
      <c r="G819" s="230">
        <v>25</v>
      </c>
      <c r="H819" s="240">
        <v>26.3</v>
      </c>
      <c r="I819" s="240">
        <f t="shared" si="12"/>
        <v>657.5</v>
      </c>
      <c r="J819" s="231" t="s">
        <v>1311</v>
      </c>
      <c r="K819" s="231" t="s">
        <v>1312</v>
      </c>
      <c r="L819" s="232">
        <v>45170</v>
      </c>
      <c r="M819" s="232">
        <v>45199</v>
      </c>
    </row>
    <row r="820" spans="1:13" ht="18.75" customHeight="1" x14ac:dyDescent="0.2">
      <c r="A820" s="231" t="s">
        <v>1589</v>
      </c>
      <c r="B820" s="230">
        <v>113617</v>
      </c>
      <c r="C820" s="230">
        <v>10761</v>
      </c>
      <c r="D820" s="231" t="s">
        <v>877</v>
      </c>
      <c r="E820" s="230">
        <v>14491078</v>
      </c>
      <c r="F820" s="230">
        <v>31669</v>
      </c>
      <c r="G820" s="230">
        <v>25</v>
      </c>
      <c r="H820" s="240">
        <v>26.3</v>
      </c>
      <c r="I820" s="240">
        <f t="shared" si="12"/>
        <v>657.5</v>
      </c>
      <c r="J820" s="231" t="s">
        <v>1311</v>
      </c>
      <c r="K820" s="231" t="s">
        <v>1312</v>
      </c>
      <c r="L820" s="232">
        <v>45170</v>
      </c>
      <c r="M820" s="232">
        <v>45199</v>
      </c>
    </row>
    <row r="821" spans="1:13" ht="18.75" customHeight="1" x14ac:dyDescent="0.2">
      <c r="A821" s="231" t="s">
        <v>1589</v>
      </c>
      <c r="B821" s="230">
        <v>113618</v>
      </c>
      <c r="C821" s="230">
        <v>10762</v>
      </c>
      <c r="D821" s="231" t="s">
        <v>1355</v>
      </c>
      <c r="E821" s="230">
        <v>14491078</v>
      </c>
      <c r="F821" s="230">
        <v>31671</v>
      </c>
      <c r="G821" s="230">
        <v>25</v>
      </c>
      <c r="H821" s="240">
        <v>26.3</v>
      </c>
      <c r="I821" s="240">
        <f t="shared" si="12"/>
        <v>657.5</v>
      </c>
      <c r="J821" s="231" t="s">
        <v>1311</v>
      </c>
      <c r="K821" s="231" t="s">
        <v>1312</v>
      </c>
      <c r="L821" s="232">
        <v>45170</v>
      </c>
      <c r="M821" s="232">
        <v>45199</v>
      </c>
    </row>
    <row r="822" spans="1:13" ht="18.75" customHeight="1" x14ac:dyDescent="0.2">
      <c r="A822" s="231" t="s">
        <v>1589</v>
      </c>
      <c r="B822" s="230">
        <v>113626</v>
      </c>
      <c r="C822" s="230">
        <v>10771</v>
      </c>
      <c r="D822" s="231" t="s">
        <v>882</v>
      </c>
      <c r="E822" s="230">
        <v>14491078</v>
      </c>
      <c r="F822" s="230">
        <v>31687</v>
      </c>
      <c r="G822" s="230">
        <v>25</v>
      </c>
      <c r="H822" s="240">
        <v>26.3</v>
      </c>
      <c r="I822" s="240">
        <f t="shared" si="12"/>
        <v>657.5</v>
      </c>
      <c r="J822" s="231" t="s">
        <v>1311</v>
      </c>
      <c r="K822" s="231" t="s">
        <v>1312</v>
      </c>
      <c r="L822" s="232">
        <v>45170</v>
      </c>
      <c r="M822" s="232">
        <v>45199</v>
      </c>
    </row>
    <row r="823" spans="1:13" ht="18.75" customHeight="1" x14ac:dyDescent="0.2">
      <c r="A823" s="231" t="s">
        <v>1589</v>
      </c>
      <c r="B823" s="230">
        <v>113628</v>
      </c>
      <c r="C823" s="230">
        <v>10756</v>
      </c>
      <c r="D823" s="231" t="s">
        <v>884</v>
      </c>
      <c r="E823" s="230">
        <v>14491078</v>
      </c>
      <c r="F823" s="230">
        <v>31691</v>
      </c>
      <c r="G823" s="230">
        <v>25</v>
      </c>
      <c r="H823" s="240">
        <v>26.3</v>
      </c>
      <c r="I823" s="240">
        <f t="shared" si="12"/>
        <v>657.5</v>
      </c>
      <c r="J823" s="231" t="s">
        <v>1311</v>
      </c>
      <c r="K823" s="231" t="s">
        <v>1312</v>
      </c>
      <c r="L823" s="232">
        <v>45170</v>
      </c>
      <c r="M823" s="232">
        <v>45199</v>
      </c>
    </row>
    <row r="824" spans="1:13" ht="18.75" customHeight="1" x14ac:dyDescent="0.2">
      <c r="A824" s="231" t="s">
        <v>1589</v>
      </c>
      <c r="B824" s="230">
        <v>113633</v>
      </c>
      <c r="C824" s="230">
        <v>10755</v>
      </c>
      <c r="D824" s="231" t="s">
        <v>887</v>
      </c>
      <c r="E824" s="230">
        <v>14491078</v>
      </c>
      <c r="F824" s="230">
        <v>31701</v>
      </c>
      <c r="G824" s="230">
        <v>25</v>
      </c>
      <c r="H824" s="240">
        <v>26.3</v>
      </c>
      <c r="I824" s="240">
        <f t="shared" si="12"/>
        <v>657.5</v>
      </c>
      <c r="J824" s="231" t="s">
        <v>1311</v>
      </c>
      <c r="K824" s="231" t="s">
        <v>1312</v>
      </c>
      <c r="L824" s="232">
        <v>45170</v>
      </c>
      <c r="M824" s="232">
        <v>45199</v>
      </c>
    </row>
    <row r="825" spans="1:13" ht="18.75" customHeight="1" x14ac:dyDescent="0.2">
      <c r="A825" s="231" t="s">
        <v>1589</v>
      </c>
      <c r="B825" s="230">
        <v>113634</v>
      </c>
      <c r="C825" s="230">
        <v>10761</v>
      </c>
      <c r="D825" s="231" t="s">
        <v>888</v>
      </c>
      <c r="E825" s="230">
        <v>14491078</v>
      </c>
      <c r="F825" s="230">
        <v>31703</v>
      </c>
      <c r="G825" s="230">
        <v>25</v>
      </c>
      <c r="H825" s="240">
        <v>26.3</v>
      </c>
      <c r="I825" s="240">
        <f t="shared" si="12"/>
        <v>657.5</v>
      </c>
      <c r="J825" s="231" t="s">
        <v>1311</v>
      </c>
      <c r="K825" s="231" t="s">
        <v>1312</v>
      </c>
      <c r="L825" s="232">
        <v>45170</v>
      </c>
      <c r="M825" s="232">
        <v>45199</v>
      </c>
    </row>
    <row r="826" spans="1:13" ht="18.75" customHeight="1" x14ac:dyDescent="0.2">
      <c r="A826" s="231" t="s">
        <v>1589</v>
      </c>
      <c r="B826" s="230">
        <v>113635</v>
      </c>
      <c r="C826" s="230">
        <v>10757</v>
      </c>
      <c r="D826" s="231" t="s">
        <v>889</v>
      </c>
      <c r="E826" s="230">
        <v>14491078</v>
      </c>
      <c r="F826" s="230">
        <v>31705</v>
      </c>
      <c r="G826" s="230">
        <v>25</v>
      </c>
      <c r="H826" s="240">
        <v>26.3</v>
      </c>
      <c r="I826" s="240">
        <f t="shared" si="12"/>
        <v>657.5</v>
      </c>
      <c r="J826" s="231" t="s">
        <v>1311</v>
      </c>
      <c r="K826" s="231" t="s">
        <v>1312</v>
      </c>
      <c r="L826" s="232">
        <v>45170</v>
      </c>
      <c r="M826" s="232">
        <v>45199</v>
      </c>
    </row>
    <row r="827" spans="1:13" ht="18.75" customHeight="1" x14ac:dyDescent="0.2">
      <c r="A827" s="231" t="s">
        <v>1589</v>
      </c>
      <c r="B827" s="230">
        <v>113637</v>
      </c>
      <c r="C827" s="230">
        <v>10768</v>
      </c>
      <c r="D827" s="231" t="s">
        <v>891</v>
      </c>
      <c r="E827" s="230">
        <v>14491078</v>
      </c>
      <c r="F827" s="230">
        <v>31709</v>
      </c>
      <c r="G827" s="230">
        <v>25</v>
      </c>
      <c r="H827" s="240">
        <v>26.3</v>
      </c>
      <c r="I827" s="240">
        <f t="shared" si="12"/>
        <v>657.5</v>
      </c>
      <c r="J827" s="231" t="s">
        <v>1311</v>
      </c>
      <c r="K827" s="231" t="s">
        <v>1312</v>
      </c>
      <c r="L827" s="232">
        <v>45170</v>
      </c>
      <c r="M827" s="232">
        <v>45199</v>
      </c>
    </row>
    <row r="828" spans="1:13" ht="18.75" customHeight="1" x14ac:dyDescent="0.2">
      <c r="A828" s="231" t="s">
        <v>1589</v>
      </c>
      <c r="B828" s="230">
        <v>113645</v>
      </c>
      <c r="C828" s="230">
        <v>10757</v>
      </c>
      <c r="D828" s="231" t="s">
        <v>894</v>
      </c>
      <c r="E828" s="230">
        <v>14491078</v>
      </c>
      <c r="F828" s="230">
        <v>31725</v>
      </c>
      <c r="G828" s="230">
        <v>25</v>
      </c>
      <c r="H828" s="240">
        <v>26.3</v>
      </c>
      <c r="I828" s="240">
        <f t="shared" si="12"/>
        <v>657.5</v>
      </c>
      <c r="J828" s="231" t="s">
        <v>1311</v>
      </c>
      <c r="K828" s="231" t="s">
        <v>1312</v>
      </c>
      <c r="L828" s="232">
        <v>45170</v>
      </c>
      <c r="M828" s="232">
        <v>45199</v>
      </c>
    </row>
    <row r="829" spans="1:13" ht="18.75" customHeight="1" x14ac:dyDescent="0.2">
      <c r="A829" s="231" t="s">
        <v>1589</v>
      </c>
      <c r="B829" s="230">
        <v>113649</v>
      </c>
      <c r="C829" s="230">
        <v>10762</v>
      </c>
      <c r="D829" s="231" t="s">
        <v>897</v>
      </c>
      <c r="E829" s="230">
        <v>14491078</v>
      </c>
      <c r="F829" s="230">
        <v>31733</v>
      </c>
      <c r="G829" s="230">
        <v>25</v>
      </c>
      <c r="H829" s="240">
        <v>26.3</v>
      </c>
      <c r="I829" s="240">
        <f t="shared" si="12"/>
        <v>657.5</v>
      </c>
      <c r="J829" s="231" t="s">
        <v>1311</v>
      </c>
      <c r="K829" s="231" t="s">
        <v>1312</v>
      </c>
      <c r="L829" s="232">
        <v>45170</v>
      </c>
      <c r="M829" s="232">
        <v>45199</v>
      </c>
    </row>
    <row r="830" spans="1:13" ht="18.75" customHeight="1" x14ac:dyDescent="0.2">
      <c r="A830" s="231" t="s">
        <v>1589</v>
      </c>
      <c r="B830" s="230">
        <v>113650</v>
      </c>
      <c r="C830" s="230">
        <v>10761</v>
      </c>
      <c r="D830" s="231" t="s">
        <v>898</v>
      </c>
      <c r="E830" s="230">
        <v>14491078</v>
      </c>
      <c r="F830" s="230">
        <v>31735</v>
      </c>
      <c r="G830" s="230">
        <v>25</v>
      </c>
      <c r="H830" s="240">
        <v>26.3</v>
      </c>
      <c r="I830" s="240">
        <f t="shared" si="12"/>
        <v>657.5</v>
      </c>
      <c r="J830" s="231" t="s">
        <v>1311</v>
      </c>
      <c r="K830" s="231" t="s">
        <v>1312</v>
      </c>
      <c r="L830" s="232">
        <v>45170</v>
      </c>
      <c r="M830" s="232">
        <v>45199</v>
      </c>
    </row>
    <row r="831" spans="1:13" ht="18.75" customHeight="1" x14ac:dyDescent="0.2">
      <c r="A831" s="231" t="s">
        <v>1589</v>
      </c>
      <c r="B831" s="230">
        <v>113651</v>
      </c>
      <c r="C831" s="230">
        <v>10762</v>
      </c>
      <c r="D831" s="231" t="s">
        <v>781</v>
      </c>
      <c r="E831" s="230">
        <v>14491078</v>
      </c>
      <c r="F831" s="230">
        <v>31737</v>
      </c>
      <c r="G831" s="230">
        <v>25</v>
      </c>
      <c r="H831" s="240">
        <v>26.3</v>
      </c>
      <c r="I831" s="240">
        <f t="shared" si="12"/>
        <v>657.5</v>
      </c>
      <c r="J831" s="231" t="s">
        <v>1311</v>
      </c>
      <c r="K831" s="231" t="s">
        <v>1312</v>
      </c>
      <c r="L831" s="232">
        <v>45170</v>
      </c>
      <c r="M831" s="232">
        <v>45199</v>
      </c>
    </row>
    <row r="832" spans="1:13" ht="18.75" customHeight="1" x14ac:dyDescent="0.2">
      <c r="A832" s="231" t="s">
        <v>1589</v>
      </c>
      <c r="B832" s="230">
        <v>113654</v>
      </c>
      <c r="C832" s="230">
        <v>10768</v>
      </c>
      <c r="D832" s="231" t="s">
        <v>899</v>
      </c>
      <c r="E832" s="230">
        <v>14491078</v>
      </c>
      <c r="F832" s="230">
        <v>31743</v>
      </c>
      <c r="G832" s="230">
        <v>25</v>
      </c>
      <c r="H832" s="240">
        <v>26.3</v>
      </c>
      <c r="I832" s="240">
        <f t="shared" si="12"/>
        <v>657.5</v>
      </c>
      <c r="J832" s="231" t="s">
        <v>1311</v>
      </c>
      <c r="K832" s="231" t="s">
        <v>1312</v>
      </c>
      <c r="L832" s="232">
        <v>45170</v>
      </c>
      <c r="M832" s="232">
        <v>45199</v>
      </c>
    </row>
    <row r="833" spans="1:13" ht="18.75" customHeight="1" x14ac:dyDescent="0.2">
      <c r="A833" s="231" t="s">
        <v>1589</v>
      </c>
      <c r="B833" s="230">
        <v>113655</v>
      </c>
      <c r="C833" s="230">
        <v>10768</v>
      </c>
      <c r="D833" s="231" t="s">
        <v>900</v>
      </c>
      <c r="E833" s="230">
        <v>14491078</v>
      </c>
      <c r="F833" s="230">
        <v>31745</v>
      </c>
      <c r="G833" s="230">
        <v>25</v>
      </c>
      <c r="H833" s="240">
        <v>26.3</v>
      </c>
      <c r="I833" s="240">
        <f t="shared" si="12"/>
        <v>657.5</v>
      </c>
      <c r="J833" s="231" t="s">
        <v>1311</v>
      </c>
      <c r="K833" s="231" t="s">
        <v>1312</v>
      </c>
      <c r="L833" s="232">
        <v>45170</v>
      </c>
      <c r="M833" s="232">
        <v>45199</v>
      </c>
    </row>
    <row r="834" spans="1:13" ht="18.75" customHeight="1" x14ac:dyDescent="0.2">
      <c r="A834" s="231" t="s">
        <v>1589</v>
      </c>
      <c r="B834" s="230">
        <v>113663</v>
      </c>
      <c r="C834" s="230">
        <v>10756</v>
      </c>
      <c r="D834" s="231" t="s">
        <v>905</v>
      </c>
      <c r="E834" s="230">
        <v>14491078</v>
      </c>
      <c r="F834" s="230">
        <v>31761</v>
      </c>
      <c r="G834" s="230">
        <v>25</v>
      </c>
      <c r="H834" s="240">
        <v>26.3</v>
      </c>
      <c r="I834" s="240">
        <f t="shared" si="12"/>
        <v>657.5</v>
      </c>
      <c r="J834" s="231" t="s">
        <v>1311</v>
      </c>
      <c r="K834" s="231" t="s">
        <v>1312</v>
      </c>
      <c r="L834" s="232">
        <v>45170</v>
      </c>
      <c r="M834" s="232">
        <v>45199</v>
      </c>
    </row>
    <row r="835" spans="1:13" ht="18.75" customHeight="1" x14ac:dyDescent="0.2">
      <c r="A835" s="231" t="s">
        <v>1589</v>
      </c>
      <c r="B835" s="230">
        <v>113666</v>
      </c>
      <c r="C835" s="230">
        <v>10771</v>
      </c>
      <c r="D835" s="231" t="s">
        <v>906</v>
      </c>
      <c r="E835" s="230">
        <v>14491078</v>
      </c>
      <c r="F835" s="230">
        <v>31767</v>
      </c>
      <c r="G835" s="230">
        <v>25</v>
      </c>
      <c r="H835" s="240">
        <v>26.3</v>
      </c>
      <c r="I835" s="240">
        <f t="shared" ref="I835:I898" si="13">G835*H835</f>
        <v>657.5</v>
      </c>
      <c r="J835" s="231" t="s">
        <v>1311</v>
      </c>
      <c r="K835" s="231" t="s">
        <v>1312</v>
      </c>
      <c r="L835" s="232">
        <v>45170</v>
      </c>
      <c r="M835" s="232">
        <v>45199</v>
      </c>
    </row>
    <row r="836" spans="1:13" ht="18.75" customHeight="1" x14ac:dyDescent="0.2">
      <c r="A836" s="231" t="s">
        <v>1589</v>
      </c>
      <c r="B836" s="230">
        <v>113668</v>
      </c>
      <c r="C836" s="230">
        <v>10756</v>
      </c>
      <c r="D836" s="231" t="s">
        <v>908</v>
      </c>
      <c r="E836" s="230">
        <v>14491078</v>
      </c>
      <c r="F836" s="230">
        <v>31771</v>
      </c>
      <c r="G836" s="230">
        <v>25</v>
      </c>
      <c r="H836" s="240">
        <v>26.3</v>
      </c>
      <c r="I836" s="240">
        <f t="shared" si="13"/>
        <v>657.5</v>
      </c>
      <c r="J836" s="231" t="s">
        <v>1311</v>
      </c>
      <c r="K836" s="231" t="s">
        <v>1312</v>
      </c>
      <c r="L836" s="232">
        <v>45170</v>
      </c>
      <c r="M836" s="232">
        <v>45199</v>
      </c>
    </row>
    <row r="837" spans="1:13" ht="18.75" customHeight="1" x14ac:dyDescent="0.2">
      <c r="A837" s="231" t="s">
        <v>1589</v>
      </c>
      <c r="B837" s="230">
        <v>113682</v>
      </c>
      <c r="C837" s="230">
        <v>10748</v>
      </c>
      <c r="D837" s="231" t="s">
        <v>916</v>
      </c>
      <c r="E837" s="230">
        <v>14491078</v>
      </c>
      <c r="F837" s="230">
        <v>31799</v>
      </c>
      <c r="G837" s="230">
        <v>25</v>
      </c>
      <c r="H837" s="240">
        <v>26.3</v>
      </c>
      <c r="I837" s="240">
        <f t="shared" si="13"/>
        <v>657.5</v>
      </c>
      <c r="J837" s="231" t="s">
        <v>1311</v>
      </c>
      <c r="K837" s="231" t="s">
        <v>1312</v>
      </c>
      <c r="L837" s="232">
        <v>45170</v>
      </c>
      <c r="M837" s="232">
        <v>45199</v>
      </c>
    </row>
    <row r="838" spans="1:13" ht="18.75" customHeight="1" x14ac:dyDescent="0.2">
      <c r="A838" s="231" t="s">
        <v>1589</v>
      </c>
      <c r="B838" s="230">
        <v>113692</v>
      </c>
      <c r="C838" s="230">
        <v>10757</v>
      </c>
      <c r="D838" s="231" t="s">
        <v>921</v>
      </c>
      <c r="E838" s="230">
        <v>14491078</v>
      </c>
      <c r="F838" s="230">
        <v>31819</v>
      </c>
      <c r="G838" s="230">
        <v>25</v>
      </c>
      <c r="H838" s="240">
        <v>26.3</v>
      </c>
      <c r="I838" s="240">
        <f t="shared" si="13"/>
        <v>657.5</v>
      </c>
      <c r="J838" s="231" t="s">
        <v>1311</v>
      </c>
      <c r="K838" s="231" t="s">
        <v>1312</v>
      </c>
      <c r="L838" s="232">
        <v>45170</v>
      </c>
      <c r="M838" s="232">
        <v>45199</v>
      </c>
    </row>
    <row r="839" spans="1:13" ht="18.75" customHeight="1" x14ac:dyDescent="0.2">
      <c r="A839" s="231" t="s">
        <v>1589</v>
      </c>
      <c r="B839" s="230">
        <v>113694</v>
      </c>
      <c r="C839" s="230">
        <v>10762</v>
      </c>
      <c r="D839" s="231" t="s">
        <v>923</v>
      </c>
      <c r="E839" s="230">
        <v>14491078</v>
      </c>
      <c r="F839" s="230">
        <v>31823</v>
      </c>
      <c r="G839" s="230">
        <v>25</v>
      </c>
      <c r="H839" s="240">
        <v>26.3</v>
      </c>
      <c r="I839" s="240">
        <f t="shared" si="13"/>
        <v>657.5</v>
      </c>
      <c r="J839" s="231" t="s">
        <v>1311</v>
      </c>
      <c r="K839" s="231" t="s">
        <v>1312</v>
      </c>
      <c r="L839" s="232">
        <v>45170</v>
      </c>
      <c r="M839" s="232">
        <v>45199</v>
      </c>
    </row>
    <row r="840" spans="1:13" ht="18.75" customHeight="1" x14ac:dyDescent="0.2">
      <c r="A840" s="231" t="s">
        <v>1589</v>
      </c>
      <c r="B840" s="230">
        <v>113698</v>
      </c>
      <c r="C840" s="230">
        <v>10755</v>
      </c>
      <c r="D840" s="231" t="s">
        <v>925</v>
      </c>
      <c r="E840" s="230">
        <v>14491078</v>
      </c>
      <c r="F840" s="230">
        <v>31831</v>
      </c>
      <c r="G840" s="230">
        <v>25</v>
      </c>
      <c r="H840" s="240">
        <v>26.3</v>
      </c>
      <c r="I840" s="240">
        <f t="shared" si="13"/>
        <v>657.5</v>
      </c>
      <c r="J840" s="231" t="s">
        <v>1311</v>
      </c>
      <c r="K840" s="231" t="s">
        <v>1312</v>
      </c>
      <c r="L840" s="232">
        <v>45170</v>
      </c>
      <c r="M840" s="232">
        <v>45199</v>
      </c>
    </row>
    <row r="841" spans="1:13" ht="18.75" customHeight="1" x14ac:dyDescent="0.2">
      <c r="A841" s="231" t="s">
        <v>1589</v>
      </c>
      <c r="B841" s="230">
        <v>113714</v>
      </c>
      <c r="C841" s="230">
        <v>10743</v>
      </c>
      <c r="D841" s="231" t="s">
        <v>933</v>
      </c>
      <c r="E841" s="230">
        <v>14491078</v>
      </c>
      <c r="F841" s="230">
        <v>31863</v>
      </c>
      <c r="G841" s="230">
        <v>25</v>
      </c>
      <c r="H841" s="240">
        <v>26.3</v>
      </c>
      <c r="I841" s="240">
        <f t="shared" si="13"/>
        <v>657.5</v>
      </c>
      <c r="J841" s="231" t="s">
        <v>1311</v>
      </c>
      <c r="K841" s="231" t="s">
        <v>1312</v>
      </c>
      <c r="L841" s="232">
        <v>45170</v>
      </c>
      <c r="M841" s="232">
        <v>45199</v>
      </c>
    </row>
    <row r="842" spans="1:13" ht="18.75" customHeight="1" x14ac:dyDescent="0.2">
      <c r="A842" s="231" t="s">
        <v>1589</v>
      </c>
      <c r="B842" s="230">
        <v>113715</v>
      </c>
      <c r="C842" s="230">
        <v>10771</v>
      </c>
      <c r="D842" s="231" t="s">
        <v>934</v>
      </c>
      <c r="E842" s="230">
        <v>14491078</v>
      </c>
      <c r="F842" s="230">
        <v>31865</v>
      </c>
      <c r="G842" s="230">
        <v>25</v>
      </c>
      <c r="H842" s="240">
        <v>26.3</v>
      </c>
      <c r="I842" s="240">
        <f t="shared" si="13"/>
        <v>657.5</v>
      </c>
      <c r="J842" s="231" t="s">
        <v>1311</v>
      </c>
      <c r="K842" s="231" t="s">
        <v>1312</v>
      </c>
      <c r="L842" s="232">
        <v>45170</v>
      </c>
      <c r="M842" s="232">
        <v>45199</v>
      </c>
    </row>
    <row r="843" spans="1:13" ht="18.75" customHeight="1" x14ac:dyDescent="0.2">
      <c r="A843" s="231" t="s">
        <v>1589</v>
      </c>
      <c r="B843" s="230">
        <v>113723</v>
      </c>
      <c r="C843" s="230">
        <v>10771</v>
      </c>
      <c r="D843" s="231" t="s">
        <v>940</v>
      </c>
      <c r="E843" s="230">
        <v>14491078</v>
      </c>
      <c r="F843" s="230">
        <v>31881</v>
      </c>
      <c r="G843" s="230">
        <v>25</v>
      </c>
      <c r="H843" s="240">
        <v>26.3</v>
      </c>
      <c r="I843" s="240">
        <f t="shared" si="13"/>
        <v>657.5</v>
      </c>
      <c r="J843" s="231" t="s">
        <v>1311</v>
      </c>
      <c r="K843" s="231" t="s">
        <v>1312</v>
      </c>
      <c r="L843" s="232">
        <v>45170</v>
      </c>
      <c r="M843" s="232">
        <v>45199</v>
      </c>
    </row>
    <row r="844" spans="1:13" ht="18.75" customHeight="1" x14ac:dyDescent="0.2">
      <c r="A844" s="231" t="s">
        <v>1589</v>
      </c>
      <c r="B844" s="230">
        <v>113725</v>
      </c>
      <c r="C844" s="230">
        <v>10771</v>
      </c>
      <c r="D844" s="231" t="s">
        <v>943</v>
      </c>
      <c r="E844" s="230">
        <v>14491078</v>
      </c>
      <c r="F844" s="230">
        <v>31885</v>
      </c>
      <c r="G844" s="230">
        <v>25</v>
      </c>
      <c r="H844" s="240">
        <v>26.3</v>
      </c>
      <c r="I844" s="240">
        <f t="shared" si="13"/>
        <v>657.5</v>
      </c>
      <c r="J844" s="231" t="s">
        <v>1311</v>
      </c>
      <c r="K844" s="231" t="s">
        <v>1312</v>
      </c>
      <c r="L844" s="232">
        <v>45170</v>
      </c>
      <c r="M844" s="232">
        <v>45199</v>
      </c>
    </row>
    <row r="845" spans="1:13" ht="18.75" customHeight="1" x14ac:dyDescent="0.2">
      <c r="A845" s="231" t="s">
        <v>1589</v>
      </c>
      <c r="B845" s="230">
        <v>113729</v>
      </c>
      <c r="C845" s="230">
        <v>10743</v>
      </c>
      <c r="D845" s="231" t="s">
        <v>947</v>
      </c>
      <c r="E845" s="230">
        <v>14491078</v>
      </c>
      <c r="F845" s="230">
        <v>31893</v>
      </c>
      <c r="G845" s="230">
        <v>25</v>
      </c>
      <c r="H845" s="240">
        <v>26.3</v>
      </c>
      <c r="I845" s="240">
        <f t="shared" si="13"/>
        <v>657.5</v>
      </c>
      <c r="J845" s="231" t="s">
        <v>1311</v>
      </c>
      <c r="K845" s="231" t="s">
        <v>1312</v>
      </c>
      <c r="L845" s="232">
        <v>45170</v>
      </c>
      <c r="M845" s="232">
        <v>45199</v>
      </c>
    </row>
    <row r="846" spans="1:13" ht="18.75" customHeight="1" x14ac:dyDescent="0.2">
      <c r="A846" s="231" t="s">
        <v>1589</v>
      </c>
      <c r="B846" s="230">
        <v>113733</v>
      </c>
      <c r="C846" s="230">
        <v>10771</v>
      </c>
      <c r="D846" s="231" t="s">
        <v>949</v>
      </c>
      <c r="E846" s="230">
        <v>14491078</v>
      </c>
      <c r="F846" s="230">
        <v>31901</v>
      </c>
      <c r="G846" s="230">
        <v>25</v>
      </c>
      <c r="H846" s="240">
        <v>26.3</v>
      </c>
      <c r="I846" s="240">
        <f t="shared" si="13"/>
        <v>657.5</v>
      </c>
      <c r="J846" s="231" t="s">
        <v>1311</v>
      </c>
      <c r="K846" s="231" t="s">
        <v>1312</v>
      </c>
      <c r="L846" s="232">
        <v>45170</v>
      </c>
      <c r="M846" s="232">
        <v>45199</v>
      </c>
    </row>
    <row r="847" spans="1:13" ht="18.75" customHeight="1" x14ac:dyDescent="0.2">
      <c r="A847" s="231" t="s">
        <v>1589</v>
      </c>
      <c r="B847" s="230">
        <v>113734</v>
      </c>
      <c r="C847" s="230">
        <v>10743</v>
      </c>
      <c r="D847" s="231" t="s">
        <v>951</v>
      </c>
      <c r="E847" s="230">
        <v>14491078</v>
      </c>
      <c r="F847" s="230">
        <v>31903</v>
      </c>
      <c r="G847" s="230">
        <v>25</v>
      </c>
      <c r="H847" s="240">
        <v>26.3</v>
      </c>
      <c r="I847" s="240">
        <f t="shared" si="13"/>
        <v>657.5</v>
      </c>
      <c r="J847" s="231" t="s">
        <v>1311</v>
      </c>
      <c r="K847" s="231" t="s">
        <v>1312</v>
      </c>
      <c r="L847" s="232">
        <v>45170</v>
      </c>
      <c r="M847" s="232">
        <v>45199</v>
      </c>
    </row>
    <row r="848" spans="1:13" ht="18.75" customHeight="1" x14ac:dyDescent="0.2">
      <c r="A848" s="231" t="s">
        <v>1589</v>
      </c>
      <c r="B848" s="230">
        <v>113735</v>
      </c>
      <c r="C848" s="230">
        <v>10743</v>
      </c>
      <c r="D848" s="231" t="s">
        <v>953</v>
      </c>
      <c r="E848" s="230">
        <v>14491078</v>
      </c>
      <c r="F848" s="230">
        <v>31905</v>
      </c>
      <c r="G848" s="230">
        <v>25</v>
      </c>
      <c r="H848" s="240">
        <v>26.3</v>
      </c>
      <c r="I848" s="240">
        <f t="shared" si="13"/>
        <v>657.5</v>
      </c>
      <c r="J848" s="231" t="s">
        <v>1311</v>
      </c>
      <c r="K848" s="231" t="s">
        <v>1315</v>
      </c>
      <c r="L848" s="232">
        <v>45170</v>
      </c>
      <c r="M848" s="232">
        <v>45199</v>
      </c>
    </row>
    <row r="849" spans="1:13" ht="18.75" customHeight="1" x14ac:dyDescent="0.2">
      <c r="A849" s="231" t="s">
        <v>1589</v>
      </c>
      <c r="B849" s="230">
        <v>113760</v>
      </c>
      <c r="C849" s="230">
        <v>10743</v>
      </c>
      <c r="D849" s="231" t="s">
        <v>1518</v>
      </c>
      <c r="E849" s="230">
        <v>14491078</v>
      </c>
      <c r="F849" s="230">
        <v>31962</v>
      </c>
      <c r="G849" s="230">
        <v>25</v>
      </c>
      <c r="H849" s="240">
        <v>26.3</v>
      </c>
      <c r="I849" s="240">
        <f t="shared" si="13"/>
        <v>657.5</v>
      </c>
      <c r="J849" s="231" t="s">
        <v>1311</v>
      </c>
      <c r="K849" s="231" t="s">
        <v>1315</v>
      </c>
      <c r="L849" s="232">
        <v>45170</v>
      </c>
      <c r="M849" s="232">
        <v>45199</v>
      </c>
    </row>
    <row r="850" spans="1:13" ht="18.75" customHeight="1" x14ac:dyDescent="0.2">
      <c r="A850" s="231" t="s">
        <v>1589</v>
      </c>
      <c r="B850" s="230">
        <v>113763</v>
      </c>
      <c r="C850" s="230">
        <v>10771</v>
      </c>
      <c r="D850" s="231" t="s">
        <v>969</v>
      </c>
      <c r="E850" s="230">
        <v>14491078</v>
      </c>
      <c r="F850" s="230">
        <v>31968</v>
      </c>
      <c r="G850" s="230">
        <v>25</v>
      </c>
      <c r="H850" s="240">
        <v>26.3</v>
      </c>
      <c r="I850" s="240">
        <f t="shared" si="13"/>
        <v>657.5</v>
      </c>
      <c r="J850" s="231" t="s">
        <v>1311</v>
      </c>
      <c r="K850" s="231" t="s">
        <v>1312</v>
      </c>
      <c r="L850" s="232">
        <v>45170</v>
      </c>
      <c r="M850" s="232">
        <v>45199</v>
      </c>
    </row>
    <row r="851" spans="1:13" ht="18.75" customHeight="1" x14ac:dyDescent="0.2">
      <c r="A851" s="231" t="s">
        <v>1589</v>
      </c>
      <c r="B851" s="230">
        <v>113764</v>
      </c>
      <c r="C851" s="230">
        <v>10743</v>
      </c>
      <c r="D851" s="231" t="s">
        <v>970</v>
      </c>
      <c r="E851" s="230">
        <v>14491078</v>
      </c>
      <c r="F851" s="230">
        <v>31970</v>
      </c>
      <c r="G851" s="230">
        <v>25</v>
      </c>
      <c r="H851" s="240">
        <v>26.3</v>
      </c>
      <c r="I851" s="240">
        <f t="shared" si="13"/>
        <v>657.5</v>
      </c>
      <c r="J851" s="231" t="s">
        <v>1311</v>
      </c>
      <c r="K851" s="231" t="s">
        <v>1315</v>
      </c>
      <c r="L851" s="232">
        <v>45170</v>
      </c>
      <c r="M851" s="232">
        <v>45199</v>
      </c>
    </row>
    <row r="852" spans="1:13" ht="18.75" customHeight="1" x14ac:dyDescent="0.2">
      <c r="A852" s="231" t="s">
        <v>1589</v>
      </c>
      <c r="B852" s="230">
        <v>113766</v>
      </c>
      <c r="C852" s="230">
        <v>10743</v>
      </c>
      <c r="D852" s="231" t="s">
        <v>971</v>
      </c>
      <c r="E852" s="230">
        <v>14491078</v>
      </c>
      <c r="F852" s="230">
        <v>31979</v>
      </c>
      <c r="G852" s="230">
        <v>25</v>
      </c>
      <c r="H852" s="240">
        <v>26.3</v>
      </c>
      <c r="I852" s="240">
        <f t="shared" si="13"/>
        <v>657.5</v>
      </c>
      <c r="J852" s="231" t="s">
        <v>1311</v>
      </c>
      <c r="K852" s="231" t="s">
        <v>1312</v>
      </c>
      <c r="L852" s="232">
        <v>45170</v>
      </c>
      <c r="M852" s="232">
        <v>45199</v>
      </c>
    </row>
    <row r="853" spans="1:13" ht="18.75" customHeight="1" x14ac:dyDescent="0.2">
      <c r="A853" s="231" t="s">
        <v>1589</v>
      </c>
      <c r="B853" s="230">
        <v>113769</v>
      </c>
      <c r="C853" s="230">
        <v>10743</v>
      </c>
      <c r="D853" s="231" t="s">
        <v>973</v>
      </c>
      <c r="E853" s="230">
        <v>14491078</v>
      </c>
      <c r="F853" s="230">
        <v>31985</v>
      </c>
      <c r="G853" s="230">
        <v>25</v>
      </c>
      <c r="H853" s="240">
        <v>26.3</v>
      </c>
      <c r="I853" s="240">
        <f t="shared" si="13"/>
        <v>657.5</v>
      </c>
      <c r="J853" s="231" t="s">
        <v>1311</v>
      </c>
      <c r="K853" s="231" t="s">
        <v>1312</v>
      </c>
      <c r="L853" s="232">
        <v>45170</v>
      </c>
      <c r="M853" s="232">
        <v>45199</v>
      </c>
    </row>
    <row r="854" spans="1:13" ht="18.75" customHeight="1" x14ac:dyDescent="0.2">
      <c r="A854" s="231" t="s">
        <v>1589</v>
      </c>
      <c r="B854" s="230">
        <v>113775</v>
      </c>
      <c r="C854" s="230">
        <v>10771</v>
      </c>
      <c r="D854" s="231" t="s">
        <v>1331</v>
      </c>
      <c r="E854" s="230">
        <v>14491078</v>
      </c>
      <c r="F854" s="230">
        <v>31998</v>
      </c>
      <c r="G854" s="230">
        <v>25</v>
      </c>
      <c r="H854" s="240">
        <v>26.3</v>
      </c>
      <c r="I854" s="240">
        <f t="shared" si="13"/>
        <v>657.5</v>
      </c>
      <c r="J854" s="231" t="s">
        <v>1311</v>
      </c>
      <c r="K854" s="231" t="s">
        <v>1312</v>
      </c>
      <c r="L854" s="232">
        <v>45170</v>
      </c>
      <c r="M854" s="232">
        <v>45199</v>
      </c>
    </row>
    <row r="855" spans="1:13" ht="18.75" customHeight="1" x14ac:dyDescent="0.2">
      <c r="A855" s="231" t="s">
        <v>1589</v>
      </c>
      <c r="B855" s="230">
        <v>113776</v>
      </c>
      <c r="C855" s="230">
        <v>10771</v>
      </c>
      <c r="D855" s="231" t="s">
        <v>978</v>
      </c>
      <c r="E855" s="230">
        <v>14491078</v>
      </c>
      <c r="F855" s="230">
        <v>32000</v>
      </c>
      <c r="G855" s="230">
        <v>25</v>
      </c>
      <c r="H855" s="240">
        <v>26.3</v>
      </c>
      <c r="I855" s="240">
        <f t="shared" si="13"/>
        <v>657.5</v>
      </c>
      <c r="J855" s="231" t="s">
        <v>1311</v>
      </c>
      <c r="K855" s="231" t="s">
        <v>1312</v>
      </c>
      <c r="L855" s="232">
        <v>45170</v>
      </c>
      <c r="M855" s="232">
        <v>45199</v>
      </c>
    </row>
    <row r="856" spans="1:13" ht="18.75" customHeight="1" x14ac:dyDescent="0.2">
      <c r="A856" s="231" t="s">
        <v>1589</v>
      </c>
      <c r="B856" s="230">
        <v>113782</v>
      </c>
      <c r="C856" s="230">
        <v>10743</v>
      </c>
      <c r="D856" s="231" t="s">
        <v>1361</v>
      </c>
      <c r="E856" s="230">
        <v>14491078</v>
      </c>
      <c r="F856" s="230">
        <v>32015</v>
      </c>
      <c r="G856" s="230">
        <v>25</v>
      </c>
      <c r="H856" s="240">
        <v>26.3</v>
      </c>
      <c r="I856" s="240">
        <f t="shared" si="13"/>
        <v>657.5</v>
      </c>
      <c r="J856" s="231" t="s">
        <v>1311</v>
      </c>
      <c r="K856" s="231" t="s">
        <v>1312</v>
      </c>
      <c r="L856" s="232">
        <v>45170</v>
      </c>
      <c r="M856" s="232">
        <v>45199</v>
      </c>
    </row>
    <row r="857" spans="1:13" ht="18.75" customHeight="1" x14ac:dyDescent="0.2">
      <c r="A857" s="231" t="s">
        <v>1589</v>
      </c>
      <c r="B857" s="230">
        <v>113783</v>
      </c>
      <c r="C857" s="230">
        <v>10743</v>
      </c>
      <c r="D857" s="231" t="s">
        <v>1374</v>
      </c>
      <c r="E857" s="230">
        <v>14491078</v>
      </c>
      <c r="F857" s="230">
        <v>32016</v>
      </c>
      <c r="G857" s="230">
        <v>25</v>
      </c>
      <c r="H857" s="240">
        <v>26.3</v>
      </c>
      <c r="I857" s="240">
        <f t="shared" si="13"/>
        <v>657.5</v>
      </c>
      <c r="J857" s="231" t="s">
        <v>1311</v>
      </c>
      <c r="K857" s="231" t="s">
        <v>1312</v>
      </c>
      <c r="L857" s="232">
        <v>45170</v>
      </c>
      <c r="M857" s="232">
        <v>45199</v>
      </c>
    </row>
    <row r="858" spans="1:13" ht="18.75" customHeight="1" x14ac:dyDescent="0.2">
      <c r="A858" s="231" t="s">
        <v>1589</v>
      </c>
      <c r="B858" s="230">
        <v>113785</v>
      </c>
      <c r="C858" s="230">
        <v>10768</v>
      </c>
      <c r="D858" s="231" t="s">
        <v>983</v>
      </c>
      <c r="E858" s="230">
        <v>14491078</v>
      </c>
      <c r="F858" s="230">
        <v>32022</v>
      </c>
      <c r="G858" s="230">
        <v>25</v>
      </c>
      <c r="H858" s="240">
        <v>26.3</v>
      </c>
      <c r="I858" s="240">
        <f t="shared" si="13"/>
        <v>657.5</v>
      </c>
      <c r="J858" s="231" t="s">
        <v>1311</v>
      </c>
      <c r="K858" s="231" t="s">
        <v>1312</v>
      </c>
      <c r="L858" s="232">
        <v>45170</v>
      </c>
      <c r="M858" s="232">
        <v>45199</v>
      </c>
    </row>
    <row r="859" spans="1:13" ht="18.75" customHeight="1" x14ac:dyDescent="0.2">
      <c r="A859" s="231" t="s">
        <v>1589</v>
      </c>
      <c r="B859" s="230">
        <v>113792</v>
      </c>
      <c r="C859" s="230">
        <v>10771</v>
      </c>
      <c r="D859" s="231" t="s">
        <v>984</v>
      </c>
      <c r="E859" s="230">
        <v>14491078</v>
      </c>
      <c r="F859" s="230">
        <v>32036</v>
      </c>
      <c r="G859" s="230">
        <v>25</v>
      </c>
      <c r="H859" s="240">
        <v>26.3</v>
      </c>
      <c r="I859" s="240">
        <f t="shared" si="13"/>
        <v>657.5</v>
      </c>
      <c r="J859" s="231" t="s">
        <v>1311</v>
      </c>
      <c r="K859" s="231" t="s">
        <v>1312</v>
      </c>
      <c r="L859" s="232">
        <v>45170</v>
      </c>
      <c r="M859" s="232">
        <v>45199</v>
      </c>
    </row>
    <row r="860" spans="1:13" ht="18.75" customHeight="1" x14ac:dyDescent="0.2">
      <c r="A860" s="231" t="s">
        <v>1589</v>
      </c>
      <c r="B860" s="230">
        <v>113899</v>
      </c>
      <c r="C860" s="230">
        <v>10761</v>
      </c>
      <c r="D860" s="231" t="s">
        <v>990</v>
      </c>
      <c r="E860" s="230">
        <v>14491078</v>
      </c>
      <c r="F860" s="230">
        <v>33756</v>
      </c>
      <c r="G860" s="230">
        <v>25</v>
      </c>
      <c r="H860" s="240">
        <v>26.3</v>
      </c>
      <c r="I860" s="240">
        <f t="shared" si="13"/>
        <v>657.5</v>
      </c>
      <c r="J860" s="231" t="s">
        <v>1311</v>
      </c>
      <c r="K860" s="231" t="s">
        <v>1312</v>
      </c>
      <c r="L860" s="232">
        <v>45170</v>
      </c>
      <c r="M860" s="232">
        <v>45199</v>
      </c>
    </row>
    <row r="861" spans="1:13" ht="18.75" customHeight="1" x14ac:dyDescent="0.2">
      <c r="A861" s="231" t="s">
        <v>1589</v>
      </c>
      <c r="B861" s="230">
        <v>113922</v>
      </c>
      <c r="C861" s="230">
        <v>10743</v>
      </c>
      <c r="D861" s="231" t="s">
        <v>992</v>
      </c>
      <c r="E861" s="230">
        <v>14491078</v>
      </c>
      <c r="F861" s="230">
        <v>33815</v>
      </c>
      <c r="G861" s="230">
        <v>25</v>
      </c>
      <c r="H861" s="240">
        <v>26.3</v>
      </c>
      <c r="I861" s="240">
        <f t="shared" si="13"/>
        <v>657.5</v>
      </c>
      <c r="J861" s="231" t="s">
        <v>1311</v>
      </c>
      <c r="K861" s="231" t="s">
        <v>1315</v>
      </c>
      <c r="L861" s="232">
        <v>45170</v>
      </c>
      <c r="M861" s="232">
        <v>45199</v>
      </c>
    </row>
    <row r="862" spans="1:13" ht="18.75" customHeight="1" x14ac:dyDescent="0.2">
      <c r="A862" s="231" t="s">
        <v>1589</v>
      </c>
      <c r="B862" s="230">
        <v>113932</v>
      </c>
      <c r="C862" s="230">
        <v>10743</v>
      </c>
      <c r="D862" s="231" t="s">
        <v>997</v>
      </c>
      <c r="E862" s="230">
        <v>14491078</v>
      </c>
      <c r="F862" s="230">
        <v>33840</v>
      </c>
      <c r="G862" s="230">
        <v>25</v>
      </c>
      <c r="H862" s="240">
        <v>26.3</v>
      </c>
      <c r="I862" s="240">
        <f t="shared" si="13"/>
        <v>657.5</v>
      </c>
      <c r="J862" s="231" t="s">
        <v>1311</v>
      </c>
      <c r="K862" s="231" t="s">
        <v>1315</v>
      </c>
      <c r="L862" s="232">
        <v>45170</v>
      </c>
      <c r="M862" s="232">
        <v>45199</v>
      </c>
    </row>
    <row r="863" spans="1:13" ht="18.75" customHeight="1" x14ac:dyDescent="0.2">
      <c r="A863" s="231" t="s">
        <v>1589</v>
      </c>
      <c r="B863" s="230">
        <v>114004</v>
      </c>
      <c r="C863" s="230">
        <v>10771</v>
      </c>
      <c r="D863" s="231" t="s">
        <v>998</v>
      </c>
      <c r="E863" s="230">
        <v>14491078</v>
      </c>
      <c r="F863" s="230">
        <v>34038</v>
      </c>
      <c r="G863" s="230">
        <v>25</v>
      </c>
      <c r="H863" s="240">
        <v>26.3</v>
      </c>
      <c r="I863" s="240">
        <f t="shared" si="13"/>
        <v>657.5</v>
      </c>
      <c r="J863" s="231" t="s">
        <v>1311</v>
      </c>
      <c r="K863" s="231" t="s">
        <v>1312</v>
      </c>
      <c r="L863" s="232">
        <v>45170</v>
      </c>
      <c r="M863" s="232">
        <v>45199</v>
      </c>
    </row>
    <row r="864" spans="1:13" ht="18.75" customHeight="1" x14ac:dyDescent="0.2">
      <c r="A864" s="231" t="s">
        <v>1589</v>
      </c>
      <c r="B864" s="230">
        <v>113803</v>
      </c>
      <c r="C864" s="230">
        <v>10761</v>
      </c>
      <c r="D864" s="231" t="s">
        <v>987</v>
      </c>
      <c r="E864" s="230">
        <v>14491078</v>
      </c>
      <c r="F864" s="230">
        <v>34117</v>
      </c>
      <c r="G864" s="230">
        <v>25</v>
      </c>
      <c r="H864" s="240">
        <v>26.3</v>
      </c>
      <c r="I864" s="240">
        <f t="shared" si="13"/>
        <v>657.5</v>
      </c>
      <c r="J864" s="231" t="s">
        <v>1311</v>
      </c>
      <c r="K864" s="231" t="s">
        <v>1312</v>
      </c>
      <c r="L864" s="232">
        <v>45170</v>
      </c>
      <c r="M864" s="232">
        <v>45199</v>
      </c>
    </row>
    <row r="865" spans="1:13" ht="18.75" customHeight="1" x14ac:dyDescent="0.2">
      <c r="A865" s="231" t="s">
        <v>1589</v>
      </c>
      <c r="B865" s="230">
        <v>114099</v>
      </c>
      <c r="C865" s="230">
        <v>10748</v>
      </c>
      <c r="D865" s="231" t="s">
        <v>1007</v>
      </c>
      <c r="E865" s="230">
        <v>14491078</v>
      </c>
      <c r="F865" s="230">
        <v>34349</v>
      </c>
      <c r="G865" s="230">
        <v>25</v>
      </c>
      <c r="H865" s="240">
        <v>26.3</v>
      </c>
      <c r="I865" s="240">
        <f t="shared" si="13"/>
        <v>657.5</v>
      </c>
      <c r="J865" s="231" t="s">
        <v>1311</v>
      </c>
      <c r="K865" s="231" t="s">
        <v>1312</v>
      </c>
      <c r="L865" s="232">
        <v>45170</v>
      </c>
      <c r="M865" s="232">
        <v>45199</v>
      </c>
    </row>
    <row r="866" spans="1:13" ht="18.75" customHeight="1" x14ac:dyDescent="0.2">
      <c r="A866" s="231" t="s">
        <v>1589</v>
      </c>
      <c r="B866" s="230">
        <v>114105</v>
      </c>
      <c r="C866" s="230">
        <v>10757</v>
      </c>
      <c r="D866" s="231" t="s">
        <v>1009</v>
      </c>
      <c r="E866" s="230">
        <v>14491078</v>
      </c>
      <c r="F866" s="230">
        <v>34360</v>
      </c>
      <c r="G866" s="230">
        <v>25</v>
      </c>
      <c r="H866" s="240">
        <v>26.3</v>
      </c>
      <c r="I866" s="240">
        <f t="shared" si="13"/>
        <v>657.5</v>
      </c>
      <c r="J866" s="231" t="s">
        <v>1311</v>
      </c>
      <c r="K866" s="231" t="s">
        <v>1315</v>
      </c>
      <c r="L866" s="232">
        <v>45170</v>
      </c>
      <c r="M866" s="232">
        <v>45199</v>
      </c>
    </row>
    <row r="867" spans="1:13" ht="18.75" customHeight="1" x14ac:dyDescent="0.2">
      <c r="A867" s="231" t="s">
        <v>1589</v>
      </c>
      <c r="B867" s="230">
        <v>114120</v>
      </c>
      <c r="C867" s="230">
        <v>10762</v>
      </c>
      <c r="D867" s="231" t="s">
        <v>1014</v>
      </c>
      <c r="E867" s="230">
        <v>14491078</v>
      </c>
      <c r="F867" s="230">
        <v>34392</v>
      </c>
      <c r="G867" s="230">
        <v>25</v>
      </c>
      <c r="H867" s="240">
        <v>26.3</v>
      </c>
      <c r="I867" s="240">
        <f t="shared" si="13"/>
        <v>657.5</v>
      </c>
      <c r="J867" s="231" t="s">
        <v>1311</v>
      </c>
      <c r="K867" s="231" t="s">
        <v>1312</v>
      </c>
      <c r="L867" s="232">
        <v>45170</v>
      </c>
      <c r="M867" s="232">
        <v>45199</v>
      </c>
    </row>
    <row r="868" spans="1:13" ht="18.75" customHeight="1" x14ac:dyDescent="0.2">
      <c r="A868" s="231" t="s">
        <v>1589</v>
      </c>
      <c r="B868" s="230">
        <v>114124</v>
      </c>
      <c r="C868" s="230">
        <v>10761</v>
      </c>
      <c r="D868" s="231" t="s">
        <v>1015</v>
      </c>
      <c r="E868" s="230">
        <v>14491078</v>
      </c>
      <c r="F868" s="230">
        <v>34401</v>
      </c>
      <c r="G868" s="230">
        <v>25</v>
      </c>
      <c r="H868" s="240">
        <v>26.3</v>
      </c>
      <c r="I868" s="240">
        <f t="shared" si="13"/>
        <v>657.5</v>
      </c>
      <c r="J868" s="231" t="s">
        <v>1311</v>
      </c>
      <c r="K868" s="231" t="s">
        <v>1312</v>
      </c>
      <c r="L868" s="232">
        <v>45170</v>
      </c>
      <c r="M868" s="232">
        <v>45199</v>
      </c>
    </row>
    <row r="869" spans="1:13" ht="18.75" customHeight="1" x14ac:dyDescent="0.2">
      <c r="A869" s="231" t="s">
        <v>1589</v>
      </c>
      <c r="B869" s="230">
        <v>114127</v>
      </c>
      <c r="C869" s="230">
        <v>10757</v>
      </c>
      <c r="D869" s="231" t="s">
        <v>1017</v>
      </c>
      <c r="E869" s="230">
        <v>14491078</v>
      </c>
      <c r="F869" s="230">
        <v>34407</v>
      </c>
      <c r="G869" s="230">
        <v>25</v>
      </c>
      <c r="H869" s="240">
        <v>26.3</v>
      </c>
      <c r="I869" s="240">
        <f t="shared" si="13"/>
        <v>657.5</v>
      </c>
      <c r="J869" s="231" t="s">
        <v>1311</v>
      </c>
      <c r="K869" s="231" t="s">
        <v>1312</v>
      </c>
      <c r="L869" s="232">
        <v>45170</v>
      </c>
      <c r="M869" s="232">
        <v>45199</v>
      </c>
    </row>
    <row r="870" spans="1:13" ht="18.75" customHeight="1" x14ac:dyDescent="0.2">
      <c r="A870" s="231" t="s">
        <v>1589</v>
      </c>
      <c r="B870" s="230">
        <v>114128</v>
      </c>
      <c r="C870" s="230">
        <v>10768</v>
      </c>
      <c r="D870" s="231" t="s">
        <v>1018</v>
      </c>
      <c r="E870" s="230">
        <v>14491078</v>
      </c>
      <c r="F870" s="230">
        <v>34409</v>
      </c>
      <c r="G870" s="230">
        <v>25</v>
      </c>
      <c r="H870" s="240">
        <v>26.3</v>
      </c>
      <c r="I870" s="240">
        <f t="shared" si="13"/>
        <v>657.5</v>
      </c>
      <c r="J870" s="231" t="s">
        <v>1311</v>
      </c>
      <c r="K870" s="231" t="s">
        <v>1312</v>
      </c>
      <c r="L870" s="232">
        <v>45170</v>
      </c>
      <c r="M870" s="232">
        <v>45199</v>
      </c>
    </row>
    <row r="871" spans="1:13" ht="18.75" customHeight="1" x14ac:dyDescent="0.2">
      <c r="A871" s="231" t="s">
        <v>1589</v>
      </c>
      <c r="B871" s="230">
        <v>114255</v>
      </c>
      <c r="C871" s="230">
        <v>10766</v>
      </c>
      <c r="D871" s="231" t="s">
        <v>1023</v>
      </c>
      <c r="E871" s="230">
        <v>14491078</v>
      </c>
      <c r="F871" s="230">
        <v>35790</v>
      </c>
      <c r="G871" s="230">
        <v>25</v>
      </c>
      <c r="H871" s="240">
        <v>26.3</v>
      </c>
      <c r="I871" s="240">
        <f t="shared" si="13"/>
        <v>657.5</v>
      </c>
      <c r="J871" s="231" t="s">
        <v>1311</v>
      </c>
      <c r="K871" s="231" t="s">
        <v>1312</v>
      </c>
      <c r="L871" s="232">
        <v>45170</v>
      </c>
      <c r="M871" s="232">
        <v>45199</v>
      </c>
    </row>
    <row r="872" spans="1:13" ht="18.75" customHeight="1" x14ac:dyDescent="0.2">
      <c r="A872" s="231" t="s">
        <v>1589</v>
      </c>
      <c r="B872" s="230">
        <v>114256</v>
      </c>
      <c r="C872" s="230">
        <v>10771</v>
      </c>
      <c r="D872" s="231" t="s">
        <v>1024</v>
      </c>
      <c r="E872" s="230">
        <v>14491078</v>
      </c>
      <c r="F872" s="230">
        <v>35792</v>
      </c>
      <c r="G872" s="230">
        <v>25</v>
      </c>
      <c r="H872" s="240">
        <v>26.3</v>
      </c>
      <c r="I872" s="240">
        <f t="shared" si="13"/>
        <v>657.5</v>
      </c>
      <c r="J872" s="231" t="s">
        <v>1311</v>
      </c>
      <c r="K872" s="231" t="s">
        <v>1312</v>
      </c>
      <c r="L872" s="232">
        <v>45170</v>
      </c>
      <c r="M872" s="232">
        <v>45199</v>
      </c>
    </row>
    <row r="873" spans="1:13" ht="18.75" customHeight="1" x14ac:dyDescent="0.2">
      <c r="A873" s="231" t="s">
        <v>1589</v>
      </c>
      <c r="B873" s="230">
        <v>114385</v>
      </c>
      <c r="C873" s="230">
        <v>10771</v>
      </c>
      <c r="D873" s="231" t="s">
        <v>1338</v>
      </c>
      <c r="E873" s="230">
        <v>14491078</v>
      </c>
      <c r="F873" s="230">
        <v>35859</v>
      </c>
      <c r="G873" s="230">
        <v>25</v>
      </c>
      <c r="H873" s="240">
        <v>26.3</v>
      </c>
      <c r="I873" s="240">
        <f t="shared" si="13"/>
        <v>657.5</v>
      </c>
      <c r="J873" s="231" t="s">
        <v>1311</v>
      </c>
      <c r="K873" s="231" t="s">
        <v>1315</v>
      </c>
      <c r="L873" s="232">
        <v>45170</v>
      </c>
      <c r="M873" s="232">
        <v>45199</v>
      </c>
    </row>
    <row r="874" spans="1:13" ht="18.75" customHeight="1" x14ac:dyDescent="0.2">
      <c r="A874" s="231" t="s">
        <v>1589</v>
      </c>
      <c r="B874" s="230">
        <v>114506</v>
      </c>
      <c r="C874" s="230">
        <v>10771</v>
      </c>
      <c r="D874" s="231" t="s">
        <v>1046</v>
      </c>
      <c r="E874" s="230">
        <v>14491078</v>
      </c>
      <c r="F874" s="230">
        <v>35895</v>
      </c>
      <c r="G874" s="230">
        <v>25</v>
      </c>
      <c r="H874" s="240">
        <v>26.3</v>
      </c>
      <c r="I874" s="240">
        <f t="shared" si="13"/>
        <v>657.5</v>
      </c>
      <c r="J874" s="231" t="s">
        <v>1311</v>
      </c>
      <c r="K874" s="231" t="s">
        <v>1312</v>
      </c>
      <c r="L874" s="232">
        <v>45170</v>
      </c>
      <c r="M874" s="232">
        <v>45199</v>
      </c>
    </row>
    <row r="875" spans="1:13" ht="18.75" customHeight="1" x14ac:dyDescent="0.2">
      <c r="A875" s="231" t="s">
        <v>1589</v>
      </c>
      <c r="B875" s="230">
        <v>114523</v>
      </c>
      <c r="C875" s="230">
        <v>10759</v>
      </c>
      <c r="D875" s="231" t="s">
        <v>1049</v>
      </c>
      <c r="E875" s="230">
        <v>14491078</v>
      </c>
      <c r="F875" s="230">
        <v>36327</v>
      </c>
      <c r="G875" s="230">
        <v>25</v>
      </c>
      <c r="H875" s="240">
        <v>26.3</v>
      </c>
      <c r="I875" s="240">
        <f t="shared" si="13"/>
        <v>657.5</v>
      </c>
      <c r="J875" s="231" t="s">
        <v>1311</v>
      </c>
      <c r="K875" s="231" t="s">
        <v>1312</v>
      </c>
      <c r="L875" s="232">
        <v>45170</v>
      </c>
      <c r="M875" s="232">
        <v>45199</v>
      </c>
    </row>
    <row r="876" spans="1:13" ht="18.75" customHeight="1" x14ac:dyDescent="0.2">
      <c r="A876" s="231" t="s">
        <v>1589</v>
      </c>
      <c r="B876" s="230">
        <v>114525</v>
      </c>
      <c r="C876" s="230">
        <v>10756</v>
      </c>
      <c r="D876" s="231" t="s">
        <v>1336</v>
      </c>
      <c r="E876" s="230">
        <v>14491078</v>
      </c>
      <c r="F876" s="230">
        <v>36331</v>
      </c>
      <c r="G876" s="230">
        <v>25</v>
      </c>
      <c r="H876" s="240">
        <v>26.3</v>
      </c>
      <c r="I876" s="240">
        <f t="shared" si="13"/>
        <v>657.5</v>
      </c>
      <c r="J876" s="231" t="s">
        <v>1311</v>
      </c>
      <c r="K876" s="231" t="s">
        <v>1312</v>
      </c>
      <c r="L876" s="232">
        <v>45170</v>
      </c>
      <c r="M876" s="232">
        <v>45199</v>
      </c>
    </row>
    <row r="877" spans="1:13" ht="18.75" customHeight="1" x14ac:dyDescent="0.2">
      <c r="A877" s="231" t="s">
        <v>1589</v>
      </c>
      <c r="B877" s="230">
        <v>114526</v>
      </c>
      <c r="C877" s="230">
        <v>10768</v>
      </c>
      <c r="D877" s="231" t="s">
        <v>1051</v>
      </c>
      <c r="E877" s="230">
        <v>14491078</v>
      </c>
      <c r="F877" s="230">
        <v>36333</v>
      </c>
      <c r="G877" s="230">
        <v>25</v>
      </c>
      <c r="H877" s="240">
        <v>26.3</v>
      </c>
      <c r="I877" s="240">
        <f t="shared" si="13"/>
        <v>657.5</v>
      </c>
      <c r="J877" s="231" t="s">
        <v>1311</v>
      </c>
      <c r="K877" s="231" t="s">
        <v>1312</v>
      </c>
      <c r="L877" s="232">
        <v>45170</v>
      </c>
      <c r="M877" s="232">
        <v>45199</v>
      </c>
    </row>
    <row r="878" spans="1:13" ht="18.75" customHeight="1" x14ac:dyDescent="0.2">
      <c r="A878" s="231" t="s">
        <v>1589</v>
      </c>
      <c r="B878" s="230">
        <v>114529</v>
      </c>
      <c r="C878" s="230">
        <v>10757</v>
      </c>
      <c r="D878" s="231" t="s">
        <v>1053</v>
      </c>
      <c r="E878" s="230">
        <v>14491078</v>
      </c>
      <c r="F878" s="230">
        <v>36337</v>
      </c>
      <c r="G878" s="230">
        <v>25</v>
      </c>
      <c r="H878" s="240">
        <v>26.3</v>
      </c>
      <c r="I878" s="240">
        <f t="shared" si="13"/>
        <v>657.5</v>
      </c>
      <c r="J878" s="231" t="s">
        <v>1311</v>
      </c>
      <c r="K878" s="231" t="s">
        <v>1312</v>
      </c>
      <c r="L878" s="232">
        <v>45170</v>
      </c>
      <c r="M878" s="232">
        <v>45199</v>
      </c>
    </row>
    <row r="879" spans="1:13" ht="18.75" customHeight="1" x14ac:dyDescent="0.2">
      <c r="A879" s="231" t="s">
        <v>1589</v>
      </c>
      <c r="B879" s="230">
        <v>114607</v>
      </c>
      <c r="C879" s="230">
        <v>10771</v>
      </c>
      <c r="D879" s="231" t="s">
        <v>1063</v>
      </c>
      <c r="E879" s="230">
        <v>14491078</v>
      </c>
      <c r="F879" s="230">
        <v>36533</v>
      </c>
      <c r="G879" s="230">
        <v>25</v>
      </c>
      <c r="H879" s="240">
        <v>26.3</v>
      </c>
      <c r="I879" s="240">
        <f t="shared" si="13"/>
        <v>657.5</v>
      </c>
      <c r="J879" s="231" t="s">
        <v>1311</v>
      </c>
      <c r="K879" s="231" t="s">
        <v>1312</v>
      </c>
      <c r="L879" s="232">
        <v>45170</v>
      </c>
      <c r="M879" s="232">
        <v>45199</v>
      </c>
    </row>
    <row r="880" spans="1:13" ht="18.75" customHeight="1" x14ac:dyDescent="0.2">
      <c r="A880" s="231" t="s">
        <v>1589</v>
      </c>
      <c r="B880" s="230">
        <v>114641</v>
      </c>
      <c r="C880" s="230">
        <v>10757</v>
      </c>
      <c r="D880" s="231" t="s">
        <v>1508</v>
      </c>
      <c r="E880" s="230">
        <v>14491078</v>
      </c>
      <c r="F880" s="230">
        <v>36692</v>
      </c>
      <c r="G880" s="230">
        <v>25</v>
      </c>
      <c r="H880" s="240">
        <v>26.3</v>
      </c>
      <c r="I880" s="240">
        <f t="shared" si="13"/>
        <v>657.5</v>
      </c>
      <c r="J880" s="231" t="s">
        <v>1311</v>
      </c>
      <c r="K880" s="231" t="s">
        <v>1312</v>
      </c>
      <c r="L880" s="232">
        <v>45170</v>
      </c>
      <c r="M880" s="232">
        <v>45199</v>
      </c>
    </row>
    <row r="881" spans="1:13" ht="18.75" customHeight="1" x14ac:dyDescent="0.2">
      <c r="A881" s="231" t="s">
        <v>1589</v>
      </c>
      <c r="B881" s="230">
        <v>114757</v>
      </c>
      <c r="C881" s="230">
        <v>10763</v>
      </c>
      <c r="D881" s="231" t="s">
        <v>1097</v>
      </c>
      <c r="E881" s="230">
        <v>14491078</v>
      </c>
      <c r="F881" s="230">
        <v>36963</v>
      </c>
      <c r="G881" s="230">
        <v>25</v>
      </c>
      <c r="H881" s="240">
        <v>26.3</v>
      </c>
      <c r="I881" s="240">
        <f t="shared" si="13"/>
        <v>657.5</v>
      </c>
      <c r="J881" s="231" t="s">
        <v>1311</v>
      </c>
      <c r="K881" s="231" t="s">
        <v>1312</v>
      </c>
      <c r="L881" s="232">
        <v>45170</v>
      </c>
      <c r="M881" s="232">
        <v>45199</v>
      </c>
    </row>
    <row r="882" spans="1:13" ht="18.75" customHeight="1" x14ac:dyDescent="0.2">
      <c r="A882" s="231" t="s">
        <v>1589</v>
      </c>
      <c r="B882" s="230">
        <v>114760</v>
      </c>
      <c r="C882" s="230">
        <v>10768</v>
      </c>
      <c r="D882" s="231" t="s">
        <v>1098</v>
      </c>
      <c r="E882" s="230">
        <v>14491078</v>
      </c>
      <c r="F882" s="230">
        <v>36969</v>
      </c>
      <c r="G882" s="230">
        <v>25</v>
      </c>
      <c r="H882" s="240">
        <v>26.3</v>
      </c>
      <c r="I882" s="240">
        <f t="shared" si="13"/>
        <v>657.5</v>
      </c>
      <c r="J882" s="231" t="s">
        <v>1311</v>
      </c>
      <c r="K882" s="231" t="s">
        <v>1312</v>
      </c>
      <c r="L882" s="232">
        <v>45170</v>
      </c>
      <c r="M882" s="232">
        <v>45199</v>
      </c>
    </row>
    <row r="883" spans="1:13" ht="18.75" customHeight="1" x14ac:dyDescent="0.2">
      <c r="A883" s="231" t="s">
        <v>1589</v>
      </c>
      <c r="B883" s="230">
        <v>114761</v>
      </c>
      <c r="C883" s="230">
        <v>10763</v>
      </c>
      <c r="D883" s="231" t="s">
        <v>1099</v>
      </c>
      <c r="E883" s="230">
        <v>14491078</v>
      </c>
      <c r="F883" s="230">
        <v>36971</v>
      </c>
      <c r="G883" s="230">
        <v>25</v>
      </c>
      <c r="H883" s="240">
        <v>26.3</v>
      </c>
      <c r="I883" s="240">
        <f t="shared" si="13"/>
        <v>657.5</v>
      </c>
      <c r="J883" s="231" t="s">
        <v>1311</v>
      </c>
      <c r="K883" s="231" t="s">
        <v>1312</v>
      </c>
      <c r="L883" s="232">
        <v>45170</v>
      </c>
      <c r="M883" s="232">
        <v>45199</v>
      </c>
    </row>
    <row r="884" spans="1:13" ht="18.75" customHeight="1" x14ac:dyDescent="0.2">
      <c r="A884" s="231" t="s">
        <v>1589</v>
      </c>
      <c r="B884" s="230">
        <v>114763</v>
      </c>
      <c r="C884" s="230">
        <v>10768</v>
      </c>
      <c r="D884" s="231" t="s">
        <v>1100</v>
      </c>
      <c r="E884" s="230">
        <v>14491078</v>
      </c>
      <c r="F884" s="230">
        <v>36975</v>
      </c>
      <c r="G884" s="230">
        <v>25</v>
      </c>
      <c r="H884" s="240">
        <v>26.3</v>
      </c>
      <c r="I884" s="240">
        <f t="shared" si="13"/>
        <v>657.5</v>
      </c>
      <c r="J884" s="231" t="s">
        <v>1311</v>
      </c>
      <c r="K884" s="231" t="s">
        <v>1312</v>
      </c>
      <c r="L884" s="232">
        <v>45170</v>
      </c>
      <c r="M884" s="232">
        <v>45199</v>
      </c>
    </row>
    <row r="885" spans="1:13" ht="18.75" customHeight="1" x14ac:dyDescent="0.2">
      <c r="A885" s="231" t="s">
        <v>1589</v>
      </c>
      <c r="B885" s="230">
        <v>114765</v>
      </c>
      <c r="C885" s="230">
        <v>10768</v>
      </c>
      <c r="D885" s="231" t="s">
        <v>1101</v>
      </c>
      <c r="E885" s="230">
        <v>14491078</v>
      </c>
      <c r="F885" s="230">
        <v>36979</v>
      </c>
      <c r="G885" s="230">
        <v>25</v>
      </c>
      <c r="H885" s="240">
        <v>26.3</v>
      </c>
      <c r="I885" s="240">
        <f t="shared" si="13"/>
        <v>657.5</v>
      </c>
      <c r="J885" s="231" t="s">
        <v>1311</v>
      </c>
      <c r="K885" s="231" t="s">
        <v>1312</v>
      </c>
      <c r="L885" s="232">
        <v>45170</v>
      </c>
      <c r="M885" s="232">
        <v>45199</v>
      </c>
    </row>
    <row r="886" spans="1:13" ht="18.75" customHeight="1" x14ac:dyDescent="0.2">
      <c r="A886" s="231" t="s">
        <v>1589</v>
      </c>
      <c r="B886" s="230">
        <v>114770</v>
      </c>
      <c r="C886" s="230">
        <v>10768</v>
      </c>
      <c r="D886" s="231" t="s">
        <v>1348</v>
      </c>
      <c r="E886" s="230">
        <v>14491078</v>
      </c>
      <c r="F886" s="230">
        <v>36989</v>
      </c>
      <c r="G886" s="230">
        <v>25</v>
      </c>
      <c r="H886" s="240">
        <v>26.3</v>
      </c>
      <c r="I886" s="240">
        <f t="shared" si="13"/>
        <v>657.5</v>
      </c>
      <c r="J886" s="231" t="s">
        <v>1311</v>
      </c>
      <c r="K886" s="231" t="s">
        <v>1312</v>
      </c>
      <c r="L886" s="232">
        <v>45170</v>
      </c>
      <c r="M886" s="232">
        <v>45199</v>
      </c>
    </row>
    <row r="887" spans="1:13" ht="18.75" customHeight="1" x14ac:dyDescent="0.2">
      <c r="A887" s="231" t="s">
        <v>1589</v>
      </c>
      <c r="B887" s="230">
        <v>114800</v>
      </c>
      <c r="C887" s="230">
        <v>10763</v>
      </c>
      <c r="D887" s="231" t="s">
        <v>1106</v>
      </c>
      <c r="E887" s="230">
        <v>14491078</v>
      </c>
      <c r="F887" s="230">
        <v>37066</v>
      </c>
      <c r="G887" s="230">
        <v>25</v>
      </c>
      <c r="H887" s="240">
        <v>26.3</v>
      </c>
      <c r="I887" s="240">
        <f t="shared" si="13"/>
        <v>657.5</v>
      </c>
      <c r="J887" s="231" t="s">
        <v>1311</v>
      </c>
      <c r="K887" s="231" t="s">
        <v>1312</v>
      </c>
      <c r="L887" s="232">
        <v>45170</v>
      </c>
      <c r="M887" s="232">
        <v>45199</v>
      </c>
    </row>
    <row r="888" spans="1:13" ht="18.75" customHeight="1" x14ac:dyDescent="0.2">
      <c r="A888" s="231" t="s">
        <v>1589</v>
      </c>
      <c r="B888" s="230">
        <v>114805</v>
      </c>
      <c r="C888" s="230">
        <v>10761</v>
      </c>
      <c r="D888" s="231" t="s">
        <v>1107</v>
      </c>
      <c r="E888" s="230">
        <v>14491078</v>
      </c>
      <c r="F888" s="230">
        <v>37080</v>
      </c>
      <c r="G888" s="230">
        <v>25</v>
      </c>
      <c r="H888" s="240">
        <v>26.3</v>
      </c>
      <c r="I888" s="240">
        <f t="shared" si="13"/>
        <v>657.5</v>
      </c>
      <c r="J888" s="231" t="s">
        <v>1311</v>
      </c>
      <c r="K888" s="231" t="s">
        <v>1312</v>
      </c>
      <c r="L888" s="232">
        <v>45170</v>
      </c>
      <c r="M888" s="232">
        <v>45199</v>
      </c>
    </row>
    <row r="889" spans="1:13" ht="18.75" customHeight="1" x14ac:dyDescent="0.2">
      <c r="A889" s="231" t="s">
        <v>1589</v>
      </c>
      <c r="B889" s="230">
        <v>114907</v>
      </c>
      <c r="C889" s="230">
        <v>10758</v>
      </c>
      <c r="D889" s="231" t="s">
        <v>1108</v>
      </c>
      <c r="E889" s="230">
        <v>14491078</v>
      </c>
      <c r="F889" s="230">
        <v>37596</v>
      </c>
      <c r="G889" s="230">
        <v>25</v>
      </c>
      <c r="H889" s="240">
        <v>26.3</v>
      </c>
      <c r="I889" s="240">
        <f t="shared" si="13"/>
        <v>657.5</v>
      </c>
      <c r="J889" s="231" t="s">
        <v>1311</v>
      </c>
      <c r="K889" s="231" t="s">
        <v>1312</v>
      </c>
      <c r="L889" s="232">
        <v>45170</v>
      </c>
      <c r="M889" s="232">
        <v>45199</v>
      </c>
    </row>
    <row r="890" spans="1:13" ht="18.75" customHeight="1" x14ac:dyDescent="0.2">
      <c r="A890" s="231" t="s">
        <v>1589</v>
      </c>
      <c r="B890" s="230">
        <v>114910</v>
      </c>
      <c r="C890" s="230">
        <v>10761</v>
      </c>
      <c r="D890" s="231" t="s">
        <v>1109</v>
      </c>
      <c r="E890" s="230">
        <v>14491078</v>
      </c>
      <c r="F890" s="230">
        <v>37602</v>
      </c>
      <c r="G890" s="230">
        <v>25</v>
      </c>
      <c r="H890" s="240">
        <v>26.3</v>
      </c>
      <c r="I890" s="240">
        <f t="shared" si="13"/>
        <v>657.5</v>
      </c>
      <c r="J890" s="231" t="s">
        <v>1311</v>
      </c>
      <c r="K890" s="231" t="s">
        <v>1312</v>
      </c>
      <c r="L890" s="232">
        <v>45170</v>
      </c>
      <c r="M890" s="232">
        <v>45199</v>
      </c>
    </row>
    <row r="891" spans="1:13" ht="18.75" customHeight="1" x14ac:dyDescent="0.2">
      <c r="A891" s="231" t="s">
        <v>1589</v>
      </c>
      <c r="B891" s="230">
        <v>114913</v>
      </c>
      <c r="C891" s="230">
        <v>10771</v>
      </c>
      <c r="D891" s="231" t="s">
        <v>1330</v>
      </c>
      <c r="E891" s="230">
        <v>14491078</v>
      </c>
      <c r="F891" s="230">
        <v>37608</v>
      </c>
      <c r="G891" s="230">
        <v>25</v>
      </c>
      <c r="H891" s="240">
        <v>26.3</v>
      </c>
      <c r="I891" s="240">
        <f t="shared" si="13"/>
        <v>657.5</v>
      </c>
      <c r="J891" s="231" t="s">
        <v>1311</v>
      </c>
      <c r="K891" s="231" t="s">
        <v>1312</v>
      </c>
      <c r="L891" s="232">
        <v>45170</v>
      </c>
      <c r="M891" s="232">
        <v>45199</v>
      </c>
    </row>
    <row r="892" spans="1:13" ht="18.75" customHeight="1" x14ac:dyDescent="0.2">
      <c r="A892" s="231" t="s">
        <v>1589</v>
      </c>
      <c r="B892" s="230">
        <v>114916</v>
      </c>
      <c r="C892" s="230">
        <v>10771</v>
      </c>
      <c r="D892" s="231" t="s">
        <v>1111</v>
      </c>
      <c r="E892" s="230">
        <v>14491078</v>
      </c>
      <c r="F892" s="230">
        <v>37615</v>
      </c>
      <c r="G892" s="230">
        <v>25</v>
      </c>
      <c r="H892" s="240">
        <v>26.3</v>
      </c>
      <c r="I892" s="240">
        <f t="shared" si="13"/>
        <v>657.5</v>
      </c>
      <c r="J892" s="231" t="s">
        <v>1311</v>
      </c>
      <c r="K892" s="231" t="s">
        <v>1312</v>
      </c>
      <c r="L892" s="232">
        <v>45170</v>
      </c>
      <c r="M892" s="232">
        <v>45199</v>
      </c>
    </row>
    <row r="893" spans="1:13" ht="18.75" customHeight="1" x14ac:dyDescent="0.2">
      <c r="A893" s="231" t="s">
        <v>1589</v>
      </c>
      <c r="B893" s="230">
        <v>114918</v>
      </c>
      <c r="C893" s="230">
        <v>10758</v>
      </c>
      <c r="D893" s="231" t="s">
        <v>1112</v>
      </c>
      <c r="E893" s="230">
        <v>14491078</v>
      </c>
      <c r="F893" s="230">
        <v>37619</v>
      </c>
      <c r="G893" s="230">
        <v>25</v>
      </c>
      <c r="H893" s="240">
        <v>26.3</v>
      </c>
      <c r="I893" s="240">
        <f t="shared" si="13"/>
        <v>657.5</v>
      </c>
      <c r="J893" s="231" t="s">
        <v>1311</v>
      </c>
      <c r="K893" s="231" t="s">
        <v>1312</v>
      </c>
      <c r="L893" s="232">
        <v>45170</v>
      </c>
      <c r="M893" s="232">
        <v>45199</v>
      </c>
    </row>
    <row r="894" spans="1:13" ht="18.75" customHeight="1" x14ac:dyDescent="0.2">
      <c r="A894" s="231" t="s">
        <v>1589</v>
      </c>
      <c r="B894" s="230">
        <v>114923</v>
      </c>
      <c r="C894" s="230">
        <v>10757</v>
      </c>
      <c r="D894" s="231" t="s">
        <v>1114</v>
      </c>
      <c r="E894" s="230">
        <v>14491078</v>
      </c>
      <c r="F894" s="230">
        <v>37627</v>
      </c>
      <c r="G894" s="230">
        <v>25</v>
      </c>
      <c r="H894" s="240">
        <v>26.3</v>
      </c>
      <c r="I894" s="240">
        <f t="shared" si="13"/>
        <v>657.5</v>
      </c>
      <c r="J894" s="231" t="s">
        <v>1311</v>
      </c>
      <c r="K894" s="231" t="s">
        <v>1312</v>
      </c>
      <c r="L894" s="232">
        <v>45170</v>
      </c>
      <c r="M894" s="232">
        <v>45199</v>
      </c>
    </row>
    <row r="895" spans="1:13" ht="18.75" customHeight="1" x14ac:dyDescent="0.2">
      <c r="A895" s="231" t="s">
        <v>1589</v>
      </c>
      <c r="B895" s="230">
        <v>114925</v>
      </c>
      <c r="C895" s="230">
        <v>10771</v>
      </c>
      <c r="D895" s="231" t="s">
        <v>1115</v>
      </c>
      <c r="E895" s="230">
        <v>14491078</v>
      </c>
      <c r="F895" s="230">
        <v>37629</v>
      </c>
      <c r="G895" s="230">
        <v>25</v>
      </c>
      <c r="H895" s="240">
        <v>26.3</v>
      </c>
      <c r="I895" s="240">
        <f t="shared" si="13"/>
        <v>657.5</v>
      </c>
      <c r="J895" s="231" t="s">
        <v>1311</v>
      </c>
      <c r="K895" s="231" t="s">
        <v>1312</v>
      </c>
      <c r="L895" s="232">
        <v>45170</v>
      </c>
      <c r="M895" s="232">
        <v>45199</v>
      </c>
    </row>
    <row r="896" spans="1:13" ht="18.75" customHeight="1" x14ac:dyDescent="0.2">
      <c r="A896" s="231" t="s">
        <v>1589</v>
      </c>
      <c r="B896" s="230">
        <v>114926</v>
      </c>
      <c r="C896" s="230">
        <v>10763</v>
      </c>
      <c r="D896" s="231" t="s">
        <v>1116</v>
      </c>
      <c r="E896" s="230">
        <v>14491078</v>
      </c>
      <c r="F896" s="230">
        <v>37631</v>
      </c>
      <c r="G896" s="230">
        <v>25</v>
      </c>
      <c r="H896" s="240">
        <v>26.3</v>
      </c>
      <c r="I896" s="240">
        <f t="shared" si="13"/>
        <v>657.5</v>
      </c>
      <c r="J896" s="231" t="s">
        <v>1311</v>
      </c>
      <c r="K896" s="231" t="s">
        <v>1312</v>
      </c>
      <c r="L896" s="232">
        <v>45170</v>
      </c>
      <c r="M896" s="232">
        <v>45199</v>
      </c>
    </row>
    <row r="897" spans="1:13" ht="18.75" customHeight="1" x14ac:dyDescent="0.2">
      <c r="A897" s="231" t="s">
        <v>1589</v>
      </c>
      <c r="B897" s="230">
        <v>114927</v>
      </c>
      <c r="C897" s="230">
        <v>10758</v>
      </c>
      <c r="D897" s="231" t="s">
        <v>1362</v>
      </c>
      <c r="E897" s="230">
        <v>14491078</v>
      </c>
      <c r="F897" s="230">
        <v>37633</v>
      </c>
      <c r="G897" s="230">
        <v>25</v>
      </c>
      <c r="H897" s="240">
        <v>26.3</v>
      </c>
      <c r="I897" s="240">
        <f t="shared" si="13"/>
        <v>657.5</v>
      </c>
      <c r="J897" s="231" t="s">
        <v>1311</v>
      </c>
      <c r="K897" s="231" t="s">
        <v>1312</v>
      </c>
      <c r="L897" s="232">
        <v>45170</v>
      </c>
      <c r="M897" s="232">
        <v>45199</v>
      </c>
    </row>
    <row r="898" spans="1:13" ht="18.75" customHeight="1" x14ac:dyDescent="0.2">
      <c r="A898" s="231" t="s">
        <v>1589</v>
      </c>
      <c r="B898" s="230">
        <v>114928</v>
      </c>
      <c r="C898" s="230">
        <v>10757</v>
      </c>
      <c r="D898" s="231" t="s">
        <v>1118</v>
      </c>
      <c r="E898" s="230">
        <v>14491078</v>
      </c>
      <c r="F898" s="230">
        <v>37635</v>
      </c>
      <c r="G898" s="230">
        <v>25</v>
      </c>
      <c r="H898" s="240">
        <v>26.3</v>
      </c>
      <c r="I898" s="240">
        <f t="shared" si="13"/>
        <v>657.5</v>
      </c>
      <c r="J898" s="231" t="s">
        <v>1311</v>
      </c>
      <c r="K898" s="231" t="s">
        <v>1312</v>
      </c>
      <c r="L898" s="232">
        <v>45170</v>
      </c>
      <c r="M898" s="232">
        <v>45199</v>
      </c>
    </row>
    <row r="899" spans="1:13" ht="18.75" customHeight="1" x14ac:dyDescent="0.2">
      <c r="A899" s="231" t="s">
        <v>1589</v>
      </c>
      <c r="B899" s="230">
        <v>114933</v>
      </c>
      <c r="C899" s="230">
        <v>10767</v>
      </c>
      <c r="D899" s="231" t="s">
        <v>1120</v>
      </c>
      <c r="E899" s="230">
        <v>14491078</v>
      </c>
      <c r="F899" s="230">
        <v>37645</v>
      </c>
      <c r="G899" s="230">
        <v>25</v>
      </c>
      <c r="H899" s="240">
        <v>26.3</v>
      </c>
      <c r="I899" s="240">
        <f t="shared" ref="I899:I962" si="14">G899*H899</f>
        <v>657.5</v>
      </c>
      <c r="J899" s="231" t="s">
        <v>1311</v>
      </c>
      <c r="K899" s="231" t="s">
        <v>1312</v>
      </c>
      <c r="L899" s="232">
        <v>45170</v>
      </c>
      <c r="M899" s="232">
        <v>45199</v>
      </c>
    </row>
    <row r="900" spans="1:13" ht="18.75" customHeight="1" x14ac:dyDescent="0.2">
      <c r="A900" s="231" t="s">
        <v>1589</v>
      </c>
      <c r="B900" s="230">
        <v>114934</v>
      </c>
      <c r="C900" s="230">
        <v>10771</v>
      </c>
      <c r="D900" s="231" t="s">
        <v>1121</v>
      </c>
      <c r="E900" s="230">
        <v>14491078</v>
      </c>
      <c r="F900" s="230">
        <v>37647</v>
      </c>
      <c r="G900" s="230">
        <v>25</v>
      </c>
      <c r="H900" s="240">
        <v>26.3</v>
      </c>
      <c r="I900" s="240">
        <f t="shared" si="14"/>
        <v>657.5</v>
      </c>
      <c r="J900" s="231" t="s">
        <v>1311</v>
      </c>
      <c r="K900" s="231" t="s">
        <v>1312</v>
      </c>
      <c r="L900" s="232">
        <v>45170</v>
      </c>
      <c r="M900" s="232">
        <v>45199</v>
      </c>
    </row>
    <row r="901" spans="1:13" ht="18.75" customHeight="1" x14ac:dyDescent="0.2">
      <c r="A901" s="231" t="s">
        <v>1589</v>
      </c>
      <c r="B901" s="230">
        <v>114937</v>
      </c>
      <c r="C901" s="230">
        <v>10758</v>
      </c>
      <c r="D901" s="231" t="s">
        <v>1122</v>
      </c>
      <c r="E901" s="230">
        <v>14491078</v>
      </c>
      <c r="F901" s="230">
        <v>37653</v>
      </c>
      <c r="G901" s="230">
        <v>22</v>
      </c>
      <c r="H901" s="240">
        <v>26.3</v>
      </c>
      <c r="I901" s="240">
        <f t="shared" si="14"/>
        <v>578.6</v>
      </c>
      <c r="J901" s="231" t="s">
        <v>1311</v>
      </c>
      <c r="K901" s="231" t="s">
        <v>1312</v>
      </c>
      <c r="L901" s="232">
        <v>45170</v>
      </c>
      <c r="M901" s="232">
        <v>45199</v>
      </c>
    </row>
    <row r="902" spans="1:13" ht="18.75" customHeight="1" x14ac:dyDescent="0.2">
      <c r="A902" s="231" t="s">
        <v>1589</v>
      </c>
      <c r="B902" s="230">
        <v>114939</v>
      </c>
      <c r="C902" s="230">
        <v>10763</v>
      </c>
      <c r="D902" s="231" t="s">
        <v>1124</v>
      </c>
      <c r="E902" s="230">
        <v>14491078</v>
      </c>
      <c r="F902" s="230">
        <v>37657</v>
      </c>
      <c r="G902" s="230">
        <v>25</v>
      </c>
      <c r="H902" s="240">
        <v>26.3</v>
      </c>
      <c r="I902" s="240">
        <f t="shared" si="14"/>
        <v>657.5</v>
      </c>
      <c r="J902" s="231" t="s">
        <v>1311</v>
      </c>
      <c r="K902" s="231" t="s">
        <v>1312</v>
      </c>
      <c r="L902" s="232">
        <v>45170</v>
      </c>
      <c r="M902" s="232">
        <v>45199</v>
      </c>
    </row>
    <row r="903" spans="1:13" ht="18.75" customHeight="1" x14ac:dyDescent="0.2">
      <c r="A903" s="231" t="s">
        <v>1589</v>
      </c>
      <c r="B903" s="230">
        <v>114941</v>
      </c>
      <c r="C903" s="230">
        <v>10758</v>
      </c>
      <c r="D903" s="231" t="s">
        <v>1720</v>
      </c>
      <c r="E903" s="230">
        <v>14491078</v>
      </c>
      <c r="F903" s="230">
        <v>37659</v>
      </c>
      <c r="G903" s="230">
        <v>25</v>
      </c>
      <c r="H903" s="240">
        <v>26.3</v>
      </c>
      <c r="I903" s="240">
        <f t="shared" si="14"/>
        <v>657.5</v>
      </c>
      <c r="J903" s="231" t="s">
        <v>1311</v>
      </c>
      <c r="K903" s="231" t="s">
        <v>1312</v>
      </c>
      <c r="L903" s="232">
        <v>45170</v>
      </c>
      <c r="M903" s="232">
        <v>45199</v>
      </c>
    </row>
    <row r="904" spans="1:13" ht="18.75" customHeight="1" x14ac:dyDescent="0.2">
      <c r="A904" s="231" t="s">
        <v>1589</v>
      </c>
      <c r="B904" s="230">
        <v>114942</v>
      </c>
      <c r="C904" s="230">
        <v>10761</v>
      </c>
      <c r="D904" s="231" t="s">
        <v>1126</v>
      </c>
      <c r="E904" s="230">
        <v>14491078</v>
      </c>
      <c r="F904" s="230">
        <v>37661</v>
      </c>
      <c r="G904" s="230">
        <v>25</v>
      </c>
      <c r="H904" s="240">
        <v>26.3</v>
      </c>
      <c r="I904" s="240">
        <f t="shared" si="14"/>
        <v>657.5</v>
      </c>
      <c r="J904" s="231" t="s">
        <v>1311</v>
      </c>
      <c r="K904" s="231" t="s">
        <v>1312</v>
      </c>
      <c r="L904" s="232">
        <v>45170</v>
      </c>
      <c r="M904" s="232">
        <v>45199</v>
      </c>
    </row>
    <row r="905" spans="1:13" ht="18.75" customHeight="1" x14ac:dyDescent="0.2">
      <c r="A905" s="231" t="s">
        <v>1589</v>
      </c>
      <c r="B905" s="230">
        <v>114943</v>
      </c>
      <c r="C905" s="230">
        <v>10758</v>
      </c>
      <c r="D905" s="231" t="s">
        <v>1127</v>
      </c>
      <c r="E905" s="230">
        <v>14491078</v>
      </c>
      <c r="F905" s="230">
        <v>37663</v>
      </c>
      <c r="G905" s="230">
        <v>25</v>
      </c>
      <c r="H905" s="240">
        <v>26.3</v>
      </c>
      <c r="I905" s="240">
        <f t="shared" si="14"/>
        <v>657.5</v>
      </c>
      <c r="J905" s="231" t="s">
        <v>1311</v>
      </c>
      <c r="K905" s="231" t="s">
        <v>1315</v>
      </c>
      <c r="L905" s="232">
        <v>45170</v>
      </c>
      <c r="M905" s="232">
        <v>45199</v>
      </c>
    </row>
    <row r="906" spans="1:13" ht="18.75" customHeight="1" x14ac:dyDescent="0.2">
      <c r="A906" s="231" t="s">
        <v>1589</v>
      </c>
      <c r="B906" s="230">
        <v>114944</v>
      </c>
      <c r="C906" s="230">
        <v>10757</v>
      </c>
      <c r="D906" s="231" t="s">
        <v>1128</v>
      </c>
      <c r="E906" s="230">
        <v>14491078</v>
      </c>
      <c r="F906" s="230">
        <v>37665</v>
      </c>
      <c r="G906" s="230">
        <v>25</v>
      </c>
      <c r="H906" s="240">
        <v>26.3</v>
      </c>
      <c r="I906" s="240">
        <f t="shared" si="14"/>
        <v>657.5</v>
      </c>
      <c r="J906" s="231" t="s">
        <v>1311</v>
      </c>
      <c r="K906" s="231" t="s">
        <v>1312</v>
      </c>
      <c r="L906" s="232">
        <v>45170</v>
      </c>
      <c r="M906" s="232">
        <v>45199</v>
      </c>
    </row>
    <row r="907" spans="1:13" ht="18.75" customHeight="1" x14ac:dyDescent="0.2">
      <c r="A907" s="231" t="s">
        <v>1589</v>
      </c>
      <c r="B907" s="230">
        <v>114948</v>
      </c>
      <c r="C907" s="230">
        <v>10757</v>
      </c>
      <c r="D907" s="231" t="s">
        <v>1102</v>
      </c>
      <c r="E907" s="230">
        <v>14491078</v>
      </c>
      <c r="F907" s="230">
        <v>37673</v>
      </c>
      <c r="G907" s="230">
        <v>25</v>
      </c>
      <c r="H907" s="240">
        <v>26.3</v>
      </c>
      <c r="I907" s="240">
        <f t="shared" si="14"/>
        <v>657.5</v>
      </c>
      <c r="J907" s="231" t="s">
        <v>1311</v>
      </c>
      <c r="K907" s="231" t="s">
        <v>1312</v>
      </c>
      <c r="L907" s="232">
        <v>45170</v>
      </c>
      <c r="M907" s="232">
        <v>45199</v>
      </c>
    </row>
    <row r="908" spans="1:13" ht="18.75" customHeight="1" x14ac:dyDescent="0.2">
      <c r="A908" s="231" t="s">
        <v>1589</v>
      </c>
      <c r="B908" s="230">
        <v>114949</v>
      </c>
      <c r="C908" s="230">
        <v>10762</v>
      </c>
      <c r="D908" s="231" t="s">
        <v>1103</v>
      </c>
      <c r="E908" s="230">
        <v>14491078</v>
      </c>
      <c r="F908" s="230">
        <v>37675</v>
      </c>
      <c r="G908" s="230">
        <v>25</v>
      </c>
      <c r="H908" s="240">
        <v>26.3</v>
      </c>
      <c r="I908" s="240">
        <f t="shared" si="14"/>
        <v>657.5</v>
      </c>
      <c r="J908" s="231" t="s">
        <v>1311</v>
      </c>
      <c r="K908" s="231" t="s">
        <v>1312</v>
      </c>
      <c r="L908" s="232">
        <v>45170</v>
      </c>
      <c r="M908" s="232">
        <v>45199</v>
      </c>
    </row>
    <row r="909" spans="1:13" ht="18.75" customHeight="1" x14ac:dyDescent="0.2">
      <c r="A909" s="231" t="s">
        <v>1589</v>
      </c>
      <c r="B909" s="230">
        <v>114953</v>
      </c>
      <c r="C909" s="230">
        <v>10768</v>
      </c>
      <c r="D909" s="231" t="s">
        <v>1129</v>
      </c>
      <c r="E909" s="230">
        <v>14491078</v>
      </c>
      <c r="F909" s="230">
        <v>37683</v>
      </c>
      <c r="G909" s="230">
        <v>25</v>
      </c>
      <c r="H909" s="240">
        <v>26.3</v>
      </c>
      <c r="I909" s="240">
        <f t="shared" si="14"/>
        <v>657.5</v>
      </c>
      <c r="J909" s="231" t="s">
        <v>1311</v>
      </c>
      <c r="K909" s="231" t="s">
        <v>1312</v>
      </c>
      <c r="L909" s="232">
        <v>45170</v>
      </c>
      <c r="M909" s="232">
        <v>45199</v>
      </c>
    </row>
    <row r="910" spans="1:13" ht="18.75" customHeight="1" x14ac:dyDescent="0.2">
      <c r="A910" s="231" t="s">
        <v>1589</v>
      </c>
      <c r="B910" s="230">
        <v>114954</v>
      </c>
      <c r="C910" s="230">
        <v>10763</v>
      </c>
      <c r="D910" s="231" t="s">
        <v>1130</v>
      </c>
      <c r="E910" s="230">
        <v>14491078</v>
      </c>
      <c r="F910" s="230">
        <v>37685</v>
      </c>
      <c r="G910" s="230">
        <v>25</v>
      </c>
      <c r="H910" s="240">
        <v>26.3</v>
      </c>
      <c r="I910" s="240">
        <f t="shared" si="14"/>
        <v>657.5</v>
      </c>
      <c r="J910" s="231" t="s">
        <v>1311</v>
      </c>
      <c r="K910" s="231" t="s">
        <v>1312</v>
      </c>
      <c r="L910" s="232">
        <v>45170</v>
      </c>
      <c r="M910" s="232">
        <v>45199</v>
      </c>
    </row>
    <row r="911" spans="1:13" ht="18.75" customHeight="1" x14ac:dyDescent="0.2">
      <c r="A911" s="231" t="s">
        <v>1589</v>
      </c>
      <c r="B911" s="230">
        <v>114955</v>
      </c>
      <c r="C911" s="230">
        <v>10768</v>
      </c>
      <c r="D911" s="231" t="s">
        <v>1131</v>
      </c>
      <c r="E911" s="230">
        <v>14491078</v>
      </c>
      <c r="F911" s="230">
        <v>37687</v>
      </c>
      <c r="G911" s="230">
        <v>25</v>
      </c>
      <c r="H911" s="240">
        <v>26.3</v>
      </c>
      <c r="I911" s="240">
        <f t="shared" si="14"/>
        <v>657.5</v>
      </c>
      <c r="J911" s="231" t="s">
        <v>1311</v>
      </c>
      <c r="K911" s="231" t="s">
        <v>1312</v>
      </c>
      <c r="L911" s="232">
        <v>45170</v>
      </c>
      <c r="M911" s="232">
        <v>45199</v>
      </c>
    </row>
    <row r="912" spans="1:13" ht="18.75" customHeight="1" x14ac:dyDescent="0.2">
      <c r="A912" s="231" t="s">
        <v>1589</v>
      </c>
      <c r="B912" s="230">
        <v>114958</v>
      </c>
      <c r="C912" s="230">
        <v>10768</v>
      </c>
      <c r="D912" s="231" t="s">
        <v>1132</v>
      </c>
      <c r="E912" s="230">
        <v>14491078</v>
      </c>
      <c r="F912" s="230">
        <v>37693</v>
      </c>
      <c r="G912" s="230">
        <v>25</v>
      </c>
      <c r="H912" s="240">
        <v>26.3</v>
      </c>
      <c r="I912" s="240">
        <f t="shared" si="14"/>
        <v>657.5</v>
      </c>
      <c r="J912" s="231" t="s">
        <v>1311</v>
      </c>
      <c r="K912" s="231" t="s">
        <v>1312</v>
      </c>
      <c r="L912" s="232">
        <v>45170</v>
      </c>
      <c r="M912" s="232">
        <v>45199</v>
      </c>
    </row>
    <row r="913" spans="1:13" ht="18.75" customHeight="1" x14ac:dyDescent="0.2">
      <c r="A913" s="231" t="s">
        <v>1589</v>
      </c>
      <c r="B913" s="230">
        <v>114963</v>
      </c>
      <c r="C913" s="230">
        <v>10757</v>
      </c>
      <c r="D913" s="231" t="s">
        <v>1133</v>
      </c>
      <c r="E913" s="230">
        <v>14491078</v>
      </c>
      <c r="F913" s="230">
        <v>37702</v>
      </c>
      <c r="G913" s="230">
        <v>25</v>
      </c>
      <c r="H913" s="240">
        <v>26.3</v>
      </c>
      <c r="I913" s="240">
        <f t="shared" si="14"/>
        <v>657.5</v>
      </c>
      <c r="J913" s="231" t="s">
        <v>1311</v>
      </c>
      <c r="K913" s="231" t="s">
        <v>1312</v>
      </c>
      <c r="L913" s="232">
        <v>45170</v>
      </c>
      <c r="M913" s="232">
        <v>45199</v>
      </c>
    </row>
    <row r="914" spans="1:13" ht="18.75" customHeight="1" x14ac:dyDescent="0.2">
      <c r="A914" s="231" t="s">
        <v>1589</v>
      </c>
      <c r="B914" s="230">
        <v>114966</v>
      </c>
      <c r="C914" s="230">
        <v>10766</v>
      </c>
      <c r="D914" s="231" t="s">
        <v>1134</v>
      </c>
      <c r="E914" s="230">
        <v>14491078</v>
      </c>
      <c r="F914" s="230">
        <v>37708</v>
      </c>
      <c r="G914" s="230">
        <v>25</v>
      </c>
      <c r="H914" s="240">
        <v>26.3</v>
      </c>
      <c r="I914" s="240">
        <f t="shared" si="14"/>
        <v>657.5</v>
      </c>
      <c r="J914" s="231" t="s">
        <v>1311</v>
      </c>
      <c r="K914" s="231" t="s">
        <v>1312</v>
      </c>
      <c r="L914" s="232">
        <v>45170</v>
      </c>
      <c r="M914" s="232">
        <v>45199</v>
      </c>
    </row>
    <row r="915" spans="1:13" ht="18.75" customHeight="1" x14ac:dyDescent="0.2">
      <c r="A915" s="231" t="s">
        <v>1589</v>
      </c>
      <c r="B915" s="230">
        <v>114968</v>
      </c>
      <c r="C915" s="230">
        <v>10758</v>
      </c>
      <c r="D915" s="231" t="s">
        <v>1135</v>
      </c>
      <c r="E915" s="230">
        <v>14491078</v>
      </c>
      <c r="F915" s="230">
        <v>37712</v>
      </c>
      <c r="G915" s="230">
        <v>25</v>
      </c>
      <c r="H915" s="240">
        <v>26.3</v>
      </c>
      <c r="I915" s="240">
        <f t="shared" si="14"/>
        <v>657.5</v>
      </c>
      <c r="J915" s="231" t="s">
        <v>1311</v>
      </c>
      <c r="K915" s="231" t="s">
        <v>1312</v>
      </c>
      <c r="L915" s="232">
        <v>45170</v>
      </c>
      <c r="M915" s="232">
        <v>45199</v>
      </c>
    </row>
    <row r="916" spans="1:13" ht="18.75" customHeight="1" x14ac:dyDescent="0.2">
      <c r="A916" s="231" t="s">
        <v>1589</v>
      </c>
      <c r="B916" s="230">
        <v>114973</v>
      </c>
      <c r="C916" s="230">
        <v>10745</v>
      </c>
      <c r="D916" s="231" t="s">
        <v>1136</v>
      </c>
      <c r="E916" s="230">
        <v>14491078</v>
      </c>
      <c r="F916" s="230">
        <v>37722</v>
      </c>
      <c r="G916" s="230">
        <v>25</v>
      </c>
      <c r="H916" s="240">
        <v>26.3</v>
      </c>
      <c r="I916" s="240">
        <f t="shared" si="14"/>
        <v>657.5</v>
      </c>
      <c r="J916" s="231" t="s">
        <v>1311</v>
      </c>
      <c r="K916" s="231" t="s">
        <v>1312</v>
      </c>
      <c r="L916" s="232">
        <v>45170</v>
      </c>
      <c r="M916" s="232">
        <v>45199</v>
      </c>
    </row>
    <row r="917" spans="1:13" ht="18.75" customHeight="1" x14ac:dyDescent="0.2">
      <c r="A917" s="231" t="s">
        <v>1589</v>
      </c>
      <c r="B917" s="230">
        <v>114976</v>
      </c>
      <c r="C917" s="230">
        <v>10745</v>
      </c>
      <c r="D917" s="231" t="s">
        <v>1137</v>
      </c>
      <c r="E917" s="230">
        <v>14491078</v>
      </c>
      <c r="F917" s="230">
        <v>37728</v>
      </c>
      <c r="G917" s="230">
        <v>25</v>
      </c>
      <c r="H917" s="240">
        <v>26.3</v>
      </c>
      <c r="I917" s="240">
        <f t="shared" si="14"/>
        <v>657.5</v>
      </c>
      <c r="J917" s="231" t="s">
        <v>1311</v>
      </c>
      <c r="K917" s="231" t="s">
        <v>1312</v>
      </c>
      <c r="L917" s="232">
        <v>45170</v>
      </c>
      <c r="M917" s="232">
        <v>45199</v>
      </c>
    </row>
    <row r="918" spans="1:13" ht="18.75" customHeight="1" x14ac:dyDescent="0.2">
      <c r="A918" s="231" t="s">
        <v>1589</v>
      </c>
      <c r="B918" s="230">
        <v>114977</v>
      </c>
      <c r="C918" s="230">
        <v>10757</v>
      </c>
      <c r="D918" s="231" t="s">
        <v>1138</v>
      </c>
      <c r="E918" s="230">
        <v>14491078</v>
      </c>
      <c r="F918" s="230">
        <v>37730</v>
      </c>
      <c r="G918" s="230">
        <v>25</v>
      </c>
      <c r="H918" s="240">
        <v>26.3</v>
      </c>
      <c r="I918" s="240">
        <f t="shared" si="14"/>
        <v>657.5</v>
      </c>
      <c r="J918" s="231" t="s">
        <v>1311</v>
      </c>
      <c r="K918" s="231" t="s">
        <v>1312</v>
      </c>
      <c r="L918" s="232">
        <v>45170</v>
      </c>
      <c r="M918" s="232">
        <v>45199</v>
      </c>
    </row>
    <row r="919" spans="1:13" ht="18.75" customHeight="1" x14ac:dyDescent="0.2">
      <c r="A919" s="231" t="s">
        <v>1589</v>
      </c>
      <c r="B919" s="230">
        <v>114981</v>
      </c>
      <c r="C919" s="230">
        <v>10745</v>
      </c>
      <c r="D919" s="231" t="s">
        <v>1140</v>
      </c>
      <c r="E919" s="230">
        <v>14491078</v>
      </c>
      <c r="F919" s="230">
        <v>37738</v>
      </c>
      <c r="G919" s="230">
        <v>25</v>
      </c>
      <c r="H919" s="240">
        <v>26.3</v>
      </c>
      <c r="I919" s="240">
        <f t="shared" si="14"/>
        <v>657.5</v>
      </c>
      <c r="J919" s="231" t="s">
        <v>1311</v>
      </c>
      <c r="K919" s="231" t="s">
        <v>1312</v>
      </c>
      <c r="L919" s="232">
        <v>45170</v>
      </c>
      <c r="M919" s="232">
        <v>45199</v>
      </c>
    </row>
    <row r="920" spans="1:13" ht="18.75" customHeight="1" x14ac:dyDescent="0.2">
      <c r="A920" s="231" t="s">
        <v>1589</v>
      </c>
      <c r="B920" s="230">
        <v>114988</v>
      </c>
      <c r="C920" s="230">
        <v>10745</v>
      </c>
      <c r="D920" s="231" t="s">
        <v>1141</v>
      </c>
      <c r="E920" s="230">
        <v>14491078</v>
      </c>
      <c r="F920" s="230">
        <v>37751</v>
      </c>
      <c r="G920" s="230">
        <v>25</v>
      </c>
      <c r="H920" s="240">
        <v>26.3</v>
      </c>
      <c r="I920" s="240">
        <f t="shared" si="14"/>
        <v>657.5</v>
      </c>
      <c r="J920" s="231" t="s">
        <v>1311</v>
      </c>
      <c r="K920" s="231" t="s">
        <v>1312</v>
      </c>
      <c r="L920" s="232">
        <v>45170</v>
      </c>
      <c r="M920" s="232">
        <v>45199</v>
      </c>
    </row>
    <row r="921" spans="1:13" ht="18.75" customHeight="1" x14ac:dyDescent="0.2">
      <c r="A921" s="231" t="s">
        <v>1589</v>
      </c>
      <c r="B921" s="230">
        <v>114990</v>
      </c>
      <c r="C921" s="230">
        <v>10745</v>
      </c>
      <c r="D921" s="231" t="s">
        <v>1569</v>
      </c>
      <c r="E921" s="230">
        <v>14491078</v>
      </c>
      <c r="F921" s="230">
        <v>37755</v>
      </c>
      <c r="G921" s="230">
        <v>25</v>
      </c>
      <c r="H921" s="240">
        <v>26.3</v>
      </c>
      <c r="I921" s="240">
        <f t="shared" si="14"/>
        <v>657.5</v>
      </c>
      <c r="J921" s="231" t="s">
        <v>1311</v>
      </c>
      <c r="K921" s="231" t="s">
        <v>1312</v>
      </c>
      <c r="L921" s="232">
        <v>45170</v>
      </c>
      <c r="M921" s="232">
        <v>45199</v>
      </c>
    </row>
    <row r="922" spans="1:13" ht="18.75" customHeight="1" x14ac:dyDescent="0.2">
      <c r="A922" s="231" t="s">
        <v>1589</v>
      </c>
      <c r="B922" s="230">
        <v>114991</v>
      </c>
      <c r="C922" s="230">
        <v>10758</v>
      </c>
      <c r="D922" s="231" t="s">
        <v>1142</v>
      </c>
      <c r="E922" s="230">
        <v>14491078</v>
      </c>
      <c r="F922" s="230">
        <v>37757</v>
      </c>
      <c r="G922" s="230">
        <v>25</v>
      </c>
      <c r="H922" s="240">
        <v>26.3</v>
      </c>
      <c r="I922" s="240">
        <f t="shared" si="14"/>
        <v>657.5</v>
      </c>
      <c r="J922" s="231" t="s">
        <v>1311</v>
      </c>
      <c r="K922" s="231" t="s">
        <v>1312</v>
      </c>
      <c r="L922" s="232">
        <v>45170</v>
      </c>
      <c r="M922" s="232">
        <v>45199</v>
      </c>
    </row>
    <row r="923" spans="1:13" ht="18.75" customHeight="1" x14ac:dyDescent="0.2">
      <c r="A923" s="231" t="s">
        <v>1589</v>
      </c>
      <c r="B923" s="230">
        <v>114922</v>
      </c>
      <c r="C923" s="230">
        <v>10761</v>
      </c>
      <c r="D923" s="231" t="s">
        <v>1113</v>
      </c>
      <c r="E923" s="230">
        <v>14491078</v>
      </c>
      <c r="F923" s="230">
        <v>37759</v>
      </c>
      <c r="G923" s="230">
        <v>25</v>
      </c>
      <c r="H923" s="240">
        <v>26.3</v>
      </c>
      <c r="I923" s="240">
        <f t="shared" si="14"/>
        <v>657.5</v>
      </c>
      <c r="J923" s="231" t="s">
        <v>1311</v>
      </c>
      <c r="K923" s="231" t="s">
        <v>1312</v>
      </c>
      <c r="L923" s="232">
        <v>45170</v>
      </c>
      <c r="M923" s="232">
        <v>45199</v>
      </c>
    </row>
    <row r="924" spans="1:13" ht="18.75" customHeight="1" x14ac:dyDescent="0.2">
      <c r="A924" s="231" t="s">
        <v>1589</v>
      </c>
      <c r="B924" s="230">
        <v>114924</v>
      </c>
      <c r="C924" s="230">
        <v>10766</v>
      </c>
      <c r="D924" s="231" t="s">
        <v>593</v>
      </c>
      <c r="E924" s="230">
        <v>14491078</v>
      </c>
      <c r="F924" s="230">
        <v>37761</v>
      </c>
      <c r="G924" s="230">
        <v>25</v>
      </c>
      <c r="H924" s="240">
        <v>26.3</v>
      </c>
      <c r="I924" s="240">
        <f t="shared" si="14"/>
        <v>657.5</v>
      </c>
      <c r="J924" s="231" t="s">
        <v>1311</v>
      </c>
      <c r="K924" s="231" t="s">
        <v>1312</v>
      </c>
      <c r="L924" s="232">
        <v>45170</v>
      </c>
      <c r="M924" s="232">
        <v>45199</v>
      </c>
    </row>
    <row r="925" spans="1:13" ht="18.75" customHeight="1" x14ac:dyDescent="0.2">
      <c r="A925" s="231" t="s">
        <v>1589</v>
      </c>
      <c r="B925" s="230">
        <v>114940</v>
      </c>
      <c r="C925" s="230">
        <v>10757</v>
      </c>
      <c r="D925" s="231" t="s">
        <v>1125</v>
      </c>
      <c r="E925" s="230">
        <v>14491078</v>
      </c>
      <c r="F925" s="230">
        <v>37763</v>
      </c>
      <c r="G925" s="230">
        <v>25</v>
      </c>
      <c r="H925" s="240">
        <v>26.3</v>
      </c>
      <c r="I925" s="240">
        <f t="shared" si="14"/>
        <v>657.5</v>
      </c>
      <c r="J925" s="231" t="s">
        <v>1311</v>
      </c>
      <c r="K925" s="231" t="s">
        <v>1312</v>
      </c>
      <c r="L925" s="232">
        <v>45170</v>
      </c>
      <c r="M925" s="232">
        <v>45199</v>
      </c>
    </row>
    <row r="926" spans="1:13" ht="18.75" customHeight="1" x14ac:dyDescent="0.2">
      <c r="A926" s="231" t="s">
        <v>1589</v>
      </c>
      <c r="B926" s="230">
        <v>115012</v>
      </c>
      <c r="C926" s="230">
        <v>10758</v>
      </c>
      <c r="D926" s="231" t="s">
        <v>1144</v>
      </c>
      <c r="E926" s="230">
        <v>14491078</v>
      </c>
      <c r="F926" s="230">
        <v>37809</v>
      </c>
      <c r="G926" s="230">
        <v>20</v>
      </c>
      <c r="H926" s="240">
        <v>26.3</v>
      </c>
      <c r="I926" s="240">
        <f t="shared" si="14"/>
        <v>526</v>
      </c>
      <c r="J926" s="231" t="s">
        <v>1311</v>
      </c>
      <c r="K926" s="231" t="s">
        <v>1312</v>
      </c>
      <c r="L926" s="232">
        <v>45170</v>
      </c>
      <c r="M926" s="232">
        <v>45199</v>
      </c>
    </row>
    <row r="927" spans="1:13" ht="18.75" customHeight="1" x14ac:dyDescent="0.2">
      <c r="A927" s="231" t="s">
        <v>1589</v>
      </c>
      <c r="B927" s="230">
        <v>115229</v>
      </c>
      <c r="C927" s="230">
        <v>10743</v>
      </c>
      <c r="D927" s="231" t="s">
        <v>1151</v>
      </c>
      <c r="E927" s="230">
        <v>14491078</v>
      </c>
      <c r="F927" s="230">
        <v>38513</v>
      </c>
      <c r="G927" s="230">
        <v>25</v>
      </c>
      <c r="H927" s="240">
        <v>26.3</v>
      </c>
      <c r="I927" s="240">
        <f t="shared" si="14"/>
        <v>657.5</v>
      </c>
      <c r="J927" s="231" t="s">
        <v>1311</v>
      </c>
      <c r="K927" s="231" t="s">
        <v>1312</v>
      </c>
      <c r="L927" s="232">
        <v>45170</v>
      </c>
      <c r="M927" s="232">
        <v>45199</v>
      </c>
    </row>
    <row r="928" spans="1:13" ht="18.75" customHeight="1" x14ac:dyDescent="0.2">
      <c r="A928" s="231" t="s">
        <v>1589</v>
      </c>
      <c r="B928" s="230">
        <v>115231</v>
      </c>
      <c r="C928" s="230">
        <v>10757</v>
      </c>
      <c r="D928" s="231" t="s">
        <v>1152</v>
      </c>
      <c r="E928" s="230">
        <v>14491078</v>
      </c>
      <c r="F928" s="230">
        <v>38518</v>
      </c>
      <c r="G928" s="230">
        <v>25</v>
      </c>
      <c r="H928" s="240">
        <v>26.3</v>
      </c>
      <c r="I928" s="240">
        <f t="shared" si="14"/>
        <v>657.5</v>
      </c>
      <c r="J928" s="231" t="s">
        <v>1311</v>
      </c>
      <c r="K928" s="231" t="s">
        <v>1312</v>
      </c>
      <c r="L928" s="232">
        <v>45170</v>
      </c>
      <c r="M928" s="232">
        <v>45199</v>
      </c>
    </row>
    <row r="929" spans="1:13" ht="18.75" customHeight="1" x14ac:dyDescent="0.2">
      <c r="A929" s="231" t="s">
        <v>1589</v>
      </c>
      <c r="B929" s="230">
        <v>115397</v>
      </c>
      <c r="C929" s="230">
        <v>10757</v>
      </c>
      <c r="D929" s="231" t="s">
        <v>1155</v>
      </c>
      <c r="E929" s="230">
        <v>14491078</v>
      </c>
      <c r="F929" s="230">
        <v>39001</v>
      </c>
      <c r="G929" s="230">
        <v>25</v>
      </c>
      <c r="H929" s="240">
        <v>26.3</v>
      </c>
      <c r="I929" s="240">
        <f t="shared" si="14"/>
        <v>657.5</v>
      </c>
      <c r="J929" s="231" t="s">
        <v>1311</v>
      </c>
      <c r="K929" s="231" t="s">
        <v>1312</v>
      </c>
      <c r="L929" s="232">
        <v>45170</v>
      </c>
      <c r="M929" s="232">
        <v>45199</v>
      </c>
    </row>
    <row r="930" spans="1:13" ht="18.75" customHeight="1" x14ac:dyDescent="0.2">
      <c r="A930" s="231" t="s">
        <v>1589</v>
      </c>
      <c r="B930" s="230">
        <v>115796</v>
      </c>
      <c r="C930" s="230">
        <v>10743</v>
      </c>
      <c r="D930" s="231" t="s">
        <v>1358</v>
      </c>
      <c r="E930" s="230">
        <v>14491078</v>
      </c>
      <c r="F930" s="230">
        <v>40251</v>
      </c>
      <c r="G930" s="230">
        <v>25</v>
      </c>
      <c r="H930" s="240">
        <v>26.3</v>
      </c>
      <c r="I930" s="240">
        <f t="shared" si="14"/>
        <v>657.5</v>
      </c>
      <c r="J930" s="231" t="s">
        <v>1311</v>
      </c>
      <c r="K930" s="231" t="s">
        <v>1315</v>
      </c>
      <c r="L930" s="232">
        <v>45170</v>
      </c>
      <c r="M930" s="232">
        <v>45199</v>
      </c>
    </row>
    <row r="931" spans="1:13" ht="18.75" customHeight="1" x14ac:dyDescent="0.2">
      <c r="A931" s="231" t="s">
        <v>1589</v>
      </c>
      <c r="B931" s="230">
        <v>116072</v>
      </c>
      <c r="C931" s="230">
        <v>10743</v>
      </c>
      <c r="D931" s="231" t="s">
        <v>1183</v>
      </c>
      <c r="E931" s="230">
        <v>14491078</v>
      </c>
      <c r="F931" s="230">
        <v>41063</v>
      </c>
      <c r="G931" s="230">
        <v>25</v>
      </c>
      <c r="H931" s="240">
        <v>26.3</v>
      </c>
      <c r="I931" s="240">
        <f t="shared" si="14"/>
        <v>657.5</v>
      </c>
      <c r="J931" s="231" t="s">
        <v>1311</v>
      </c>
      <c r="K931" s="231" t="s">
        <v>1312</v>
      </c>
      <c r="L931" s="232">
        <v>45170</v>
      </c>
      <c r="M931" s="232">
        <v>45199</v>
      </c>
    </row>
    <row r="932" spans="1:13" ht="18.75" customHeight="1" x14ac:dyDescent="0.2">
      <c r="A932" s="231" t="s">
        <v>1589</v>
      </c>
      <c r="B932" s="230">
        <v>116076</v>
      </c>
      <c r="C932" s="230">
        <v>10771</v>
      </c>
      <c r="D932" s="231" t="s">
        <v>1184</v>
      </c>
      <c r="E932" s="230">
        <v>14491078</v>
      </c>
      <c r="F932" s="230">
        <v>41073</v>
      </c>
      <c r="G932" s="230">
        <v>25</v>
      </c>
      <c r="H932" s="240">
        <v>26.3</v>
      </c>
      <c r="I932" s="240">
        <f t="shared" si="14"/>
        <v>657.5</v>
      </c>
      <c r="J932" s="231" t="s">
        <v>1311</v>
      </c>
      <c r="K932" s="231" t="s">
        <v>1312</v>
      </c>
      <c r="L932" s="232">
        <v>45170</v>
      </c>
      <c r="M932" s="232">
        <v>45199</v>
      </c>
    </row>
    <row r="933" spans="1:13" ht="18.75" customHeight="1" x14ac:dyDescent="0.2">
      <c r="A933" s="231" t="s">
        <v>1589</v>
      </c>
      <c r="B933" s="230">
        <v>116085</v>
      </c>
      <c r="C933" s="230">
        <v>10756</v>
      </c>
      <c r="D933" s="231" t="s">
        <v>1185</v>
      </c>
      <c r="E933" s="230">
        <v>14491078</v>
      </c>
      <c r="F933" s="230">
        <v>41098</v>
      </c>
      <c r="G933" s="230">
        <v>25</v>
      </c>
      <c r="H933" s="240">
        <v>26.3</v>
      </c>
      <c r="I933" s="240">
        <f t="shared" si="14"/>
        <v>657.5</v>
      </c>
      <c r="J933" s="231" t="s">
        <v>1311</v>
      </c>
      <c r="K933" s="231" t="s">
        <v>1312</v>
      </c>
      <c r="L933" s="232">
        <v>45170</v>
      </c>
      <c r="M933" s="232">
        <v>45199</v>
      </c>
    </row>
    <row r="934" spans="1:13" ht="18.75" customHeight="1" x14ac:dyDescent="0.2">
      <c r="A934" s="231" t="s">
        <v>1589</v>
      </c>
      <c r="B934" s="230">
        <v>116087</v>
      </c>
      <c r="C934" s="230">
        <v>10757</v>
      </c>
      <c r="D934" s="231" t="s">
        <v>1186</v>
      </c>
      <c r="E934" s="230">
        <v>14491078</v>
      </c>
      <c r="F934" s="230">
        <v>41102</v>
      </c>
      <c r="G934" s="230">
        <v>25</v>
      </c>
      <c r="H934" s="240">
        <v>26.3</v>
      </c>
      <c r="I934" s="240">
        <f t="shared" si="14"/>
        <v>657.5</v>
      </c>
      <c r="J934" s="231" t="s">
        <v>1311</v>
      </c>
      <c r="K934" s="231" t="s">
        <v>1312</v>
      </c>
      <c r="L934" s="232">
        <v>45170</v>
      </c>
      <c r="M934" s="232">
        <v>45199</v>
      </c>
    </row>
    <row r="935" spans="1:13" ht="18.75" customHeight="1" x14ac:dyDescent="0.2">
      <c r="A935" s="231" t="s">
        <v>1589</v>
      </c>
      <c r="B935" s="230">
        <v>116109</v>
      </c>
      <c r="C935" s="230">
        <v>10763</v>
      </c>
      <c r="D935" s="231" t="s">
        <v>1187</v>
      </c>
      <c r="E935" s="230">
        <v>14491078</v>
      </c>
      <c r="F935" s="230">
        <v>41156</v>
      </c>
      <c r="G935" s="230">
        <v>25</v>
      </c>
      <c r="H935" s="240">
        <v>26.3</v>
      </c>
      <c r="I935" s="240">
        <f t="shared" si="14"/>
        <v>657.5</v>
      </c>
      <c r="J935" s="231" t="s">
        <v>1311</v>
      </c>
      <c r="K935" s="231" t="s">
        <v>1312</v>
      </c>
      <c r="L935" s="232">
        <v>45170</v>
      </c>
      <c r="M935" s="232">
        <v>45199</v>
      </c>
    </row>
    <row r="936" spans="1:13" ht="18.75" customHeight="1" x14ac:dyDescent="0.2">
      <c r="A936" s="231" t="s">
        <v>1589</v>
      </c>
      <c r="B936" s="230">
        <v>116110</v>
      </c>
      <c r="C936" s="230">
        <v>10763</v>
      </c>
      <c r="D936" s="231" t="s">
        <v>1188</v>
      </c>
      <c r="E936" s="230">
        <v>14491078</v>
      </c>
      <c r="F936" s="230">
        <v>41158</v>
      </c>
      <c r="G936" s="230">
        <v>25</v>
      </c>
      <c r="H936" s="240">
        <v>26.3</v>
      </c>
      <c r="I936" s="240">
        <f t="shared" si="14"/>
        <v>657.5</v>
      </c>
      <c r="J936" s="231" t="s">
        <v>1311</v>
      </c>
      <c r="K936" s="231" t="s">
        <v>1312</v>
      </c>
      <c r="L936" s="232">
        <v>45170</v>
      </c>
      <c r="M936" s="232">
        <v>45199</v>
      </c>
    </row>
    <row r="937" spans="1:13" ht="18.75" customHeight="1" x14ac:dyDescent="0.2">
      <c r="A937" s="231" t="s">
        <v>1589</v>
      </c>
      <c r="B937" s="230">
        <v>116111</v>
      </c>
      <c r="C937" s="230">
        <v>10768</v>
      </c>
      <c r="D937" s="231" t="s">
        <v>1189</v>
      </c>
      <c r="E937" s="230">
        <v>14491078</v>
      </c>
      <c r="F937" s="230">
        <v>41160</v>
      </c>
      <c r="G937" s="230">
        <v>25</v>
      </c>
      <c r="H937" s="240">
        <v>26.3</v>
      </c>
      <c r="I937" s="240">
        <f t="shared" si="14"/>
        <v>657.5</v>
      </c>
      <c r="J937" s="231" t="s">
        <v>1311</v>
      </c>
      <c r="K937" s="231" t="s">
        <v>1312</v>
      </c>
      <c r="L937" s="232">
        <v>45170</v>
      </c>
      <c r="M937" s="232">
        <v>45199</v>
      </c>
    </row>
    <row r="938" spans="1:13" ht="18.75" customHeight="1" x14ac:dyDescent="0.2">
      <c r="A938" s="231" t="s">
        <v>1589</v>
      </c>
      <c r="B938" s="230">
        <v>116112</v>
      </c>
      <c r="C938" s="230">
        <v>10745</v>
      </c>
      <c r="D938" s="231" t="s">
        <v>1190</v>
      </c>
      <c r="E938" s="230">
        <v>14491078</v>
      </c>
      <c r="F938" s="230">
        <v>41162</v>
      </c>
      <c r="G938" s="230">
        <v>25</v>
      </c>
      <c r="H938" s="240">
        <v>26.3</v>
      </c>
      <c r="I938" s="240">
        <f t="shared" si="14"/>
        <v>657.5</v>
      </c>
      <c r="J938" s="231" t="s">
        <v>1311</v>
      </c>
      <c r="K938" s="231" t="s">
        <v>1312</v>
      </c>
      <c r="L938" s="232">
        <v>45170</v>
      </c>
      <c r="M938" s="232">
        <v>45199</v>
      </c>
    </row>
    <row r="939" spans="1:13" ht="18.75" customHeight="1" x14ac:dyDescent="0.2">
      <c r="A939" s="231" t="s">
        <v>1589</v>
      </c>
      <c r="B939" s="230">
        <v>116132</v>
      </c>
      <c r="C939" s="230">
        <v>10761</v>
      </c>
      <c r="D939" s="231" t="s">
        <v>1191</v>
      </c>
      <c r="E939" s="230">
        <v>14491078</v>
      </c>
      <c r="F939" s="230">
        <v>41267</v>
      </c>
      <c r="G939" s="230">
        <v>25</v>
      </c>
      <c r="H939" s="240">
        <v>26.3</v>
      </c>
      <c r="I939" s="240">
        <f t="shared" si="14"/>
        <v>657.5</v>
      </c>
      <c r="J939" s="231" t="s">
        <v>1311</v>
      </c>
      <c r="K939" s="231" t="s">
        <v>1312</v>
      </c>
      <c r="L939" s="232">
        <v>45170</v>
      </c>
      <c r="M939" s="232">
        <v>45199</v>
      </c>
    </row>
    <row r="940" spans="1:13" ht="18.75" customHeight="1" x14ac:dyDescent="0.2">
      <c r="A940" s="231" t="s">
        <v>1589</v>
      </c>
      <c r="B940" s="230">
        <v>116133</v>
      </c>
      <c r="C940" s="230">
        <v>10743</v>
      </c>
      <c r="D940" s="231" t="s">
        <v>1192</v>
      </c>
      <c r="E940" s="230">
        <v>14491078</v>
      </c>
      <c r="F940" s="230">
        <v>41269</v>
      </c>
      <c r="G940" s="230">
        <v>25</v>
      </c>
      <c r="H940" s="240">
        <v>26.3</v>
      </c>
      <c r="I940" s="240">
        <f t="shared" si="14"/>
        <v>657.5</v>
      </c>
      <c r="J940" s="231" t="s">
        <v>1311</v>
      </c>
      <c r="K940" s="231" t="s">
        <v>1312</v>
      </c>
      <c r="L940" s="232">
        <v>45170</v>
      </c>
      <c r="M940" s="232">
        <v>45199</v>
      </c>
    </row>
    <row r="941" spans="1:13" ht="18.75" customHeight="1" x14ac:dyDescent="0.2">
      <c r="A941" s="231" t="s">
        <v>1589</v>
      </c>
      <c r="B941" s="230">
        <v>116386</v>
      </c>
      <c r="C941" s="230">
        <v>10766</v>
      </c>
      <c r="D941" s="231" t="s">
        <v>1215</v>
      </c>
      <c r="E941" s="230">
        <v>14491078</v>
      </c>
      <c r="F941" s="230">
        <v>42043</v>
      </c>
      <c r="G941" s="230">
        <v>25</v>
      </c>
      <c r="H941" s="240">
        <v>26.3</v>
      </c>
      <c r="I941" s="240">
        <f t="shared" si="14"/>
        <v>657.5</v>
      </c>
      <c r="J941" s="231" t="s">
        <v>1311</v>
      </c>
      <c r="K941" s="231" t="s">
        <v>1312</v>
      </c>
      <c r="L941" s="232">
        <v>45170</v>
      </c>
      <c r="M941" s="232">
        <v>45199</v>
      </c>
    </row>
    <row r="942" spans="1:13" ht="18.75" customHeight="1" x14ac:dyDescent="0.2">
      <c r="A942" s="231" t="s">
        <v>1589</v>
      </c>
      <c r="B942" s="230">
        <v>116388</v>
      </c>
      <c r="C942" s="230">
        <v>10768</v>
      </c>
      <c r="D942" s="231" t="s">
        <v>1216</v>
      </c>
      <c r="E942" s="230">
        <v>14491078</v>
      </c>
      <c r="F942" s="230">
        <v>42045</v>
      </c>
      <c r="G942" s="230">
        <v>25</v>
      </c>
      <c r="H942" s="240">
        <v>26.3</v>
      </c>
      <c r="I942" s="240">
        <f t="shared" si="14"/>
        <v>657.5</v>
      </c>
      <c r="J942" s="231" t="s">
        <v>1311</v>
      </c>
      <c r="K942" s="231" t="s">
        <v>1312</v>
      </c>
      <c r="L942" s="232">
        <v>45170</v>
      </c>
      <c r="M942" s="232">
        <v>45199</v>
      </c>
    </row>
    <row r="943" spans="1:13" ht="18.75" customHeight="1" x14ac:dyDescent="0.2">
      <c r="A943" s="231" t="s">
        <v>1589</v>
      </c>
      <c r="B943" s="230">
        <v>116729</v>
      </c>
      <c r="C943" s="230">
        <v>10762</v>
      </c>
      <c r="D943" s="231" t="s">
        <v>1225</v>
      </c>
      <c r="E943" s="230">
        <v>14491078</v>
      </c>
      <c r="F943" s="230">
        <v>42846</v>
      </c>
      <c r="G943" s="230">
        <v>25</v>
      </c>
      <c r="H943" s="240">
        <v>26.3</v>
      </c>
      <c r="I943" s="240">
        <f t="shared" si="14"/>
        <v>657.5</v>
      </c>
      <c r="J943" s="231" t="s">
        <v>1311</v>
      </c>
      <c r="K943" s="231" t="s">
        <v>1312</v>
      </c>
      <c r="L943" s="232">
        <v>45170</v>
      </c>
      <c r="M943" s="232">
        <v>45199</v>
      </c>
    </row>
    <row r="944" spans="1:13" ht="18.75" customHeight="1" x14ac:dyDescent="0.2">
      <c r="A944" s="231" t="s">
        <v>1589</v>
      </c>
      <c r="B944" s="230">
        <v>116730</v>
      </c>
      <c r="C944" s="230">
        <v>10768</v>
      </c>
      <c r="D944" s="231" t="s">
        <v>1226</v>
      </c>
      <c r="E944" s="230">
        <v>14491078</v>
      </c>
      <c r="F944" s="230">
        <v>42848</v>
      </c>
      <c r="G944" s="230">
        <v>25</v>
      </c>
      <c r="H944" s="240">
        <v>26.3</v>
      </c>
      <c r="I944" s="240">
        <f t="shared" si="14"/>
        <v>657.5</v>
      </c>
      <c r="J944" s="231" t="s">
        <v>1311</v>
      </c>
      <c r="K944" s="231" t="s">
        <v>1312</v>
      </c>
      <c r="L944" s="232">
        <v>45170</v>
      </c>
      <c r="M944" s="232">
        <v>45199</v>
      </c>
    </row>
    <row r="945" spans="1:13" ht="18.75" customHeight="1" x14ac:dyDescent="0.2">
      <c r="A945" s="231" t="s">
        <v>1589</v>
      </c>
      <c r="B945" s="230">
        <v>116731</v>
      </c>
      <c r="C945" s="230">
        <v>10757</v>
      </c>
      <c r="D945" s="231" t="s">
        <v>1227</v>
      </c>
      <c r="E945" s="230">
        <v>14491078</v>
      </c>
      <c r="F945" s="230">
        <v>42850</v>
      </c>
      <c r="G945" s="230">
        <v>25</v>
      </c>
      <c r="H945" s="240">
        <v>26.3</v>
      </c>
      <c r="I945" s="240">
        <f t="shared" si="14"/>
        <v>657.5</v>
      </c>
      <c r="J945" s="231" t="s">
        <v>1311</v>
      </c>
      <c r="K945" s="231" t="s">
        <v>1312</v>
      </c>
      <c r="L945" s="232">
        <v>45170</v>
      </c>
      <c r="M945" s="232">
        <v>45199</v>
      </c>
    </row>
    <row r="946" spans="1:13" ht="18.75" customHeight="1" x14ac:dyDescent="0.2">
      <c r="A946" s="231" t="s">
        <v>1589</v>
      </c>
      <c r="B946" s="230">
        <v>116738</v>
      </c>
      <c r="C946" s="230">
        <v>10743</v>
      </c>
      <c r="D946" s="231" t="s">
        <v>1342</v>
      </c>
      <c r="E946" s="230">
        <v>14491078</v>
      </c>
      <c r="F946" s="230">
        <v>42865</v>
      </c>
      <c r="G946" s="230">
        <v>25</v>
      </c>
      <c r="H946" s="240">
        <v>26.3</v>
      </c>
      <c r="I946" s="240">
        <f t="shared" si="14"/>
        <v>657.5</v>
      </c>
      <c r="J946" s="231" t="s">
        <v>1311</v>
      </c>
      <c r="K946" s="231" t="s">
        <v>1315</v>
      </c>
      <c r="L946" s="232">
        <v>45170</v>
      </c>
      <c r="M946" s="232">
        <v>45199</v>
      </c>
    </row>
    <row r="947" spans="1:13" ht="18.75" customHeight="1" x14ac:dyDescent="0.2">
      <c r="A947" s="231" t="s">
        <v>1589</v>
      </c>
      <c r="B947" s="230">
        <v>116804</v>
      </c>
      <c r="C947" s="230">
        <v>10771</v>
      </c>
      <c r="D947" s="231" t="s">
        <v>1229</v>
      </c>
      <c r="E947" s="230">
        <v>14491078</v>
      </c>
      <c r="F947" s="230">
        <v>43072</v>
      </c>
      <c r="G947" s="230">
        <v>24</v>
      </c>
      <c r="H947" s="240">
        <v>26.3</v>
      </c>
      <c r="I947" s="240">
        <f t="shared" si="14"/>
        <v>631.20000000000005</v>
      </c>
      <c r="J947" s="231" t="s">
        <v>1311</v>
      </c>
      <c r="K947" s="231" t="s">
        <v>1315</v>
      </c>
      <c r="L947" s="232">
        <v>45170</v>
      </c>
      <c r="M947" s="232">
        <v>45199</v>
      </c>
    </row>
    <row r="948" spans="1:13" ht="18.75" customHeight="1" x14ac:dyDescent="0.2">
      <c r="A948" s="231" t="s">
        <v>1589</v>
      </c>
      <c r="B948" s="230">
        <v>116977</v>
      </c>
      <c r="C948" s="230">
        <v>10757</v>
      </c>
      <c r="D948" s="231" t="s">
        <v>1245</v>
      </c>
      <c r="E948" s="230">
        <v>14491078</v>
      </c>
      <c r="F948" s="230">
        <v>43465</v>
      </c>
      <c r="G948" s="230">
        <v>25</v>
      </c>
      <c r="H948" s="240">
        <v>26.3</v>
      </c>
      <c r="I948" s="240">
        <f t="shared" si="14"/>
        <v>657.5</v>
      </c>
      <c r="J948" s="231" t="s">
        <v>1311</v>
      </c>
      <c r="K948" s="231" t="s">
        <v>1312</v>
      </c>
      <c r="L948" s="232">
        <v>45170</v>
      </c>
      <c r="M948" s="232">
        <v>45199</v>
      </c>
    </row>
    <row r="949" spans="1:13" ht="18.75" customHeight="1" x14ac:dyDescent="0.2">
      <c r="A949" s="231" t="s">
        <v>1589</v>
      </c>
      <c r="B949" s="230">
        <v>116980</v>
      </c>
      <c r="C949" s="230">
        <v>10757</v>
      </c>
      <c r="D949" s="231" t="s">
        <v>1247</v>
      </c>
      <c r="E949" s="230">
        <v>14491078</v>
      </c>
      <c r="F949" s="230">
        <v>43471</v>
      </c>
      <c r="G949" s="230">
        <v>25</v>
      </c>
      <c r="H949" s="240">
        <v>26.3</v>
      </c>
      <c r="I949" s="240">
        <f t="shared" si="14"/>
        <v>657.5</v>
      </c>
      <c r="J949" s="231" t="s">
        <v>1311</v>
      </c>
      <c r="K949" s="231" t="s">
        <v>1312</v>
      </c>
      <c r="L949" s="232">
        <v>45170</v>
      </c>
      <c r="M949" s="232">
        <v>45199</v>
      </c>
    </row>
    <row r="950" spans="1:13" ht="18.75" customHeight="1" x14ac:dyDescent="0.2">
      <c r="A950" s="231" t="s">
        <v>1589</v>
      </c>
      <c r="B950" s="230">
        <v>117238</v>
      </c>
      <c r="C950" s="230">
        <v>10755</v>
      </c>
      <c r="D950" s="231" t="s">
        <v>1260</v>
      </c>
      <c r="E950" s="230">
        <v>14491078</v>
      </c>
      <c r="F950" s="230">
        <v>44093</v>
      </c>
      <c r="G950" s="230">
        <v>25</v>
      </c>
      <c r="H950" s="240">
        <v>26.3</v>
      </c>
      <c r="I950" s="240">
        <f t="shared" si="14"/>
        <v>657.5</v>
      </c>
      <c r="J950" s="231" t="s">
        <v>1311</v>
      </c>
      <c r="K950" s="231" t="s">
        <v>1312</v>
      </c>
      <c r="L950" s="232">
        <v>45170</v>
      </c>
      <c r="M950" s="232">
        <v>45199</v>
      </c>
    </row>
    <row r="951" spans="1:13" ht="18.75" customHeight="1" x14ac:dyDescent="0.2">
      <c r="A951" s="231" t="s">
        <v>1589</v>
      </c>
      <c r="B951" s="230">
        <v>117245</v>
      </c>
      <c r="C951" s="230">
        <v>10748</v>
      </c>
      <c r="D951" s="231" t="s">
        <v>1080</v>
      </c>
      <c r="E951" s="230">
        <v>14491078</v>
      </c>
      <c r="F951" s="230">
        <v>44107</v>
      </c>
      <c r="G951" s="230">
        <v>25</v>
      </c>
      <c r="H951" s="240">
        <v>26.3</v>
      </c>
      <c r="I951" s="240">
        <f t="shared" si="14"/>
        <v>657.5</v>
      </c>
      <c r="J951" s="231" t="s">
        <v>1311</v>
      </c>
      <c r="K951" s="231" t="s">
        <v>1312</v>
      </c>
      <c r="L951" s="232">
        <v>45170</v>
      </c>
      <c r="M951" s="232">
        <v>45199</v>
      </c>
    </row>
    <row r="952" spans="1:13" ht="18.75" customHeight="1" x14ac:dyDescent="0.2">
      <c r="A952" s="231" t="s">
        <v>1589</v>
      </c>
      <c r="B952" s="230">
        <v>117290</v>
      </c>
      <c r="C952" s="230">
        <v>10771</v>
      </c>
      <c r="D952" s="231" t="s">
        <v>1266</v>
      </c>
      <c r="E952" s="230">
        <v>14491078</v>
      </c>
      <c r="F952" s="230">
        <v>44212</v>
      </c>
      <c r="G952" s="230">
        <v>25</v>
      </c>
      <c r="H952" s="240">
        <v>26.3</v>
      </c>
      <c r="I952" s="240">
        <f t="shared" si="14"/>
        <v>657.5</v>
      </c>
      <c r="J952" s="231" t="s">
        <v>1311</v>
      </c>
      <c r="K952" s="231" t="s">
        <v>1315</v>
      </c>
      <c r="L952" s="232">
        <v>45170</v>
      </c>
      <c r="M952" s="232">
        <v>45199</v>
      </c>
    </row>
    <row r="953" spans="1:13" ht="18.75" customHeight="1" x14ac:dyDescent="0.2">
      <c r="A953" s="231" t="s">
        <v>1589</v>
      </c>
      <c r="B953" s="230">
        <v>117358</v>
      </c>
      <c r="C953" s="230">
        <v>10768</v>
      </c>
      <c r="D953" s="231" t="s">
        <v>1268</v>
      </c>
      <c r="E953" s="230">
        <v>14491078</v>
      </c>
      <c r="F953" s="230">
        <v>44389</v>
      </c>
      <c r="G953" s="230">
        <v>25</v>
      </c>
      <c r="H953" s="240">
        <v>26.3</v>
      </c>
      <c r="I953" s="240">
        <f t="shared" si="14"/>
        <v>657.5</v>
      </c>
      <c r="J953" s="231" t="s">
        <v>1311</v>
      </c>
      <c r="K953" s="231" t="s">
        <v>1312</v>
      </c>
      <c r="L953" s="232">
        <v>45170</v>
      </c>
      <c r="M953" s="232">
        <v>45199</v>
      </c>
    </row>
    <row r="954" spans="1:13" ht="18.75" customHeight="1" x14ac:dyDescent="0.2">
      <c r="A954" s="231" t="s">
        <v>1589</v>
      </c>
      <c r="B954" s="230">
        <v>117359</v>
      </c>
      <c r="C954" s="230">
        <v>10768</v>
      </c>
      <c r="D954" s="231" t="s">
        <v>1269</v>
      </c>
      <c r="E954" s="230">
        <v>14491078</v>
      </c>
      <c r="F954" s="230">
        <v>44391</v>
      </c>
      <c r="G954" s="230">
        <v>25</v>
      </c>
      <c r="H954" s="240">
        <v>26.3</v>
      </c>
      <c r="I954" s="240">
        <f t="shared" si="14"/>
        <v>657.5</v>
      </c>
      <c r="J954" s="231" t="s">
        <v>1311</v>
      </c>
      <c r="K954" s="231" t="s">
        <v>1312</v>
      </c>
      <c r="L954" s="232">
        <v>45170</v>
      </c>
      <c r="M954" s="232">
        <v>45199</v>
      </c>
    </row>
    <row r="955" spans="1:13" ht="18.75" customHeight="1" x14ac:dyDescent="0.2">
      <c r="A955" s="231" t="s">
        <v>1589</v>
      </c>
      <c r="B955" s="230">
        <v>117362</v>
      </c>
      <c r="C955" s="230">
        <v>10745</v>
      </c>
      <c r="D955" s="231" t="s">
        <v>1270</v>
      </c>
      <c r="E955" s="230">
        <v>14491078</v>
      </c>
      <c r="F955" s="230">
        <v>44398</v>
      </c>
      <c r="G955" s="230">
        <v>25</v>
      </c>
      <c r="H955" s="240">
        <v>26.3</v>
      </c>
      <c r="I955" s="240">
        <f t="shared" si="14"/>
        <v>657.5</v>
      </c>
      <c r="J955" s="231" t="s">
        <v>1311</v>
      </c>
      <c r="K955" s="231" t="s">
        <v>1312</v>
      </c>
      <c r="L955" s="232">
        <v>45170</v>
      </c>
      <c r="M955" s="232">
        <v>45199</v>
      </c>
    </row>
    <row r="956" spans="1:13" ht="18.75" customHeight="1" x14ac:dyDescent="0.2">
      <c r="A956" s="231" t="s">
        <v>1589</v>
      </c>
      <c r="B956" s="230">
        <v>117398</v>
      </c>
      <c r="C956" s="230">
        <v>10743</v>
      </c>
      <c r="D956" s="231" t="s">
        <v>1339</v>
      </c>
      <c r="E956" s="230">
        <v>14491078</v>
      </c>
      <c r="F956" s="230">
        <v>44510</v>
      </c>
      <c r="G956" s="230">
        <v>25</v>
      </c>
      <c r="H956" s="240">
        <v>26.3</v>
      </c>
      <c r="I956" s="240">
        <f t="shared" si="14"/>
        <v>657.5</v>
      </c>
      <c r="J956" s="231" t="s">
        <v>1311</v>
      </c>
      <c r="K956" s="231" t="s">
        <v>1315</v>
      </c>
      <c r="L956" s="232">
        <v>45170</v>
      </c>
      <c r="M956" s="232">
        <v>45199</v>
      </c>
    </row>
    <row r="957" spans="1:13" ht="18.75" customHeight="1" x14ac:dyDescent="0.2">
      <c r="A957" s="231" t="s">
        <v>1589</v>
      </c>
      <c r="B957" s="230">
        <v>117410</v>
      </c>
      <c r="C957" s="230">
        <v>10743</v>
      </c>
      <c r="D957" s="231" t="s">
        <v>1278</v>
      </c>
      <c r="E957" s="230">
        <v>14491078</v>
      </c>
      <c r="F957" s="230">
        <v>44523</v>
      </c>
      <c r="G957" s="230">
        <v>25</v>
      </c>
      <c r="H957" s="240">
        <v>26.3</v>
      </c>
      <c r="I957" s="240">
        <f t="shared" si="14"/>
        <v>657.5</v>
      </c>
      <c r="J957" s="231" t="s">
        <v>1311</v>
      </c>
      <c r="K957" s="231" t="s">
        <v>1312</v>
      </c>
      <c r="L957" s="232">
        <v>45170</v>
      </c>
      <c r="M957" s="232">
        <v>45199</v>
      </c>
    </row>
    <row r="958" spans="1:13" ht="18.75" customHeight="1" x14ac:dyDescent="0.2">
      <c r="A958" s="231" t="s">
        <v>1589</v>
      </c>
      <c r="B958" s="230">
        <v>118642</v>
      </c>
      <c r="C958" s="230">
        <v>10771</v>
      </c>
      <c r="D958" s="231" t="s">
        <v>1415</v>
      </c>
      <c r="E958" s="230">
        <v>14491078</v>
      </c>
      <c r="F958" s="230">
        <v>47180</v>
      </c>
      <c r="G958" s="230">
        <v>25</v>
      </c>
      <c r="H958" s="240">
        <v>26.3</v>
      </c>
      <c r="I958" s="240">
        <f t="shared" si="14"/>
        <v>657.5</v>
      </c>
      <c r="J958" s="231" t="s">
        <v>1311</v>
      </c>
      <c r="K958" s="231" t="s">
        <v>1312</v>
      </c>
      <c r="L958" s="232">
        <v>45170</v>
      </c>
      <c r="M958" s="232">
        <v>45199</v>
      </c>
    </row>
    <row r="959" spans="1:13" ht="18.75" customHeight="1" x14ac:dyDescent="0.2">
      <c r="A959" s="231" t="s">
        <v>1589</v>
      </c>
      <c r="B959" s="230">
        <v>118649</v>
      </c>
      <c r="C959" s="230">
        <v>10761</v>
      </c>
      <c r="D959" s="231" t="s">
        <v>1409</v>
      </c>
      <c r="E959" s="230">
        <v>14491078</v>
      </c>
      <c r="F959" s="230">
        <v>47192</v>
      </c>
      <c r="G959" s="230">
        <v>25</v>
      </c>
      <c r="H959" s="240">
        <v>26.3</v>
      </c>
      <c r="I959" s="240">
        <f t="shared" si="14"/>
        <v>657.5</v>
      </c>
      <c r="J959" s="231" t="s">
        <v>1311</v>
      </c>
      <c r="K959" s="231" t="s">
        <v>1312</v>
      </c>
      <c r="L959" s="232">
        <v>45170</v>
      </c>
      <c r="M959" s="232">
        <v>45199</v>
      </c>
    </row>
    <row r="960" spans="1:13" ht="18.75" customHeight="1" x14ac:dyDescent="0.2">
      <c r="A960" s="231" t="s">
        <v>1589</v>
      </c>
      <c r="B960" s="230">
        <v>118650</v>
      </c>
      <c r="C960" s="230">
        <v>10761</v>
      </c>
      <c r="D960" s="231" t="s">
        <v>1402</v>
      </c>
      <c r="E960" s="230">
        <v>14491078</v>
      </c>
      <c r="F960" s="230">
        <v>47194</v>
      </c>
      <c r="G960" s="230">
        <v>25</v>
      </c>
      <c r="H960" s="240">
        <v>26.3</v>
      </c>
      <c r="I960" s="240">
        <f t="shared" si="14"/>
        <v>657.5</v>
      </c>
      <c r="J960" s="231" t="s">
        <v>1311</v>
      </c>
      <c r="K960" s="231" t="s">
        <v>1312</v>
      </c>
      <c r="L960" s="232">
        <v>45170</v>
      </c>
      <c r="M960" s="232">
        <v>45199</v>
      </c>
    </row>
    <row r="961" spans="1:13" ht="18.75" customHeight="1" x14ac:dyDescent="0.2">
      <c r="A961" s="231" t="s">
        <v>1589</v>
      </c>
      <c r="B961" s="230">
        <v>118993</v>
      </c>
      <c r="C961" s="230">
        <v>10771</v>
      </c>
      <c r="D961" s="231" t="s">
        <v>1433</v>
      </c>
      <c r="E961" s="230">
        <v>14491078</v>
      </c>
      <c r="F961" s="230">
        <v>47940</v>
      </c>
      <c r="G961" s="230">
        <v>25</v>
      </c>
      <c r="H961" s="240">
        <v>26.3</v>
      </c>
      <c r="I961" s="240">
        <f t="shared" si="14"/>
        <v>657.5</v>
      </c>
      <c r="J961" s="231" t="s">
        <v>1311</v>
      </c>
      <c r="K961" s="231" t="s">
        <v>1312</v>
      </c>
      <c r="L961" s="232">
        <v>45170</v>
      </c>
      <c r="M961" s="232">
        <v>45199</v>
      </c>
    </row>
    <row r="962" spans="1:13" ht="18.75" customHeight="1" x14ac:dyDescent="0.2">
      <c r="A962" s="231" t="s">
        <v>1589</v>
      </c>
      <c r="B962" s="230">
        <v>118994</v>
      </c>
      <c r="C962" s="230">
        <v>10767</v>
      </c>
      <c r="D962" s="231" t="s">
        <v>1435</v>
      </c>
      <c r="E962" s="230">
        <v>14491078</v>
      </c>
      <c r="F962" s="230">
        <v>47942</v>
      </c>
      <c r="G962" s="230">
        <v>25</v>
      </c>
      <c r="H962" s="240">
        <v>26.3</v>
      </c>
      <c r="I962" s="240">
        <f t="shared" si="14"/>
        <v>657.5</v>
      </c>
      <c r="J962" s="231" t="s">
        <v>1311</v>
      </c>
      <c r="K962" s="231" t="s">
        <v>1312</v>
      </c>
      <c r="L962" s="232">
        <v>45170</v>
      </c>
      <c r="M962" s="232">
        <v>45199</v>
      </c>
    </row>
    <row r="963" spans="1:13" ht="18.75" customHeight="1" x14ac:dyDescent="0.2">
      <c r="A963" s="231" t="s">
        <v>1589</v>
      </c>
      <c r="B963" s="230">
        <v>118995</v>
      </c>
      <c r="C963" s="230">
        <v>10761</v>
      </c>
      <c r="D963" s="231" t="s">
        <v>1434</v>
      </c>
      <c r="E963" s="230">
        <v>14491078</v>
      </c>
      <c r="F963" s="230">
        <v>47944</v>
      </c>
      <c r="G963" s="230">
        <v>25</v>
      </c>
      <c r="H963" s="240">
        <v>26.3</v>
      </c>
      <c r="I963" s="240">
        <f t="shared" ref="I963:I1026" si="15">G963*H963</f>
        <v>657.5</v>
      </c>
      <c r="J963" s="231" t="s">
        <v>1311</v>
      </c>
      <c r="K963" s="231" t="s">
        <v>1312</v>
      </c>
      <c r="L963" s="232">
        <v>45170</v>
      </c>
      <c r="M963" s="232">
        <v>45199</v>
      </c>
    </row>
    <row r="964" spans="1:13" ht="18.75" customHeight="1" x14ac:dyDescent="0.2">
      <c r="A964" s="231" t="s">
        <v>1589</v>
      </c>
      <c r="B964" s="230">
        <v>119109</v>
      </c>
      <c r="C964" s="230">
        <v>10757</v>
      </c>
      <c r="D964" s="231" t="s">
        <v>1440</v>
      </c>
      <c r="E964" s="230">
        <v>14491078</v>
      </c>
      <c r="F964" s="230">
        <v>48241</v>
      </c>
      <c r="G964" s="230">
        <v>25</v>
      </c>
      <c r="H964" s="240">
        <v>26.3</v>
      </c>
      <c r="I964" s="240">
        <f t="shared" si="15"/>
        <v>657.5</v>
      </c>
      <c r="J964" s="231" t="s">
        <v>1311</v>
      </c>
      <c r="K964" s="231" t="s">
        <v>1312</v>
      </c>
      <c r="L964" s="232">
        <v>45170</v>
      </c>
      <c r="M964" s="232">
        <v>45199</v>
      </c>
    </row>
    <row r="965" spans="1:13" ht="18.75" customHeight="1" x14ac:dyDescent="0.2">
      <c r="A965" s="231" t="s">
        <v>1589</v>
      </c>
      <c r="B965" s="230">
        <v>119111</v>
      </c>
      <c r="C965" s="230">
        <v>10771</v>
      </c>
      <c r="D965" s="231" t="s">
        <v>1442</v>
      </c>
      <c r="E965" s="230">
        <v>14491078</v>
      </c>
      <c r="F965" s="230">
        <v>48245</v>
      </c>
      <c r="G965" s="230">
        <v>25</v>
      </c>
      <c r="H965" s="240">
        <v>26.3</v>
      </c>
      <c r="I965" s="240">
        <f t="shared" si="15"/>
        <v>657.5</v>
      </c>
      <c r="J965" s="231" t="s">
        <v>1311</v>
      </c>
      <c r="K965" s="231" t="s">
        <v>1312</v>
      </c>
      <c r="L965" s="232">
        <v>45170</v>
      </c>
      <c r="M965" s="232">
        <v>45199</v>
      </c>
    </row>
    <row r="966" spans="1:13" ht="18.75" customHeight="1" x14ac:dyDescent="0.2">
      <c r="A966" s="231" t="s">
        <v>1589</v>
      </c>
      <c r="B966" s="230">
        <v>119113</v>
      </c>
      <c r="C966" s="230">
        <v>10758</v>
      </c>
      <c r="D966" s="231" t="s">
        <v>1441</v>
      </c>
      <c r="E966" s="230">
        <v>14491078</v>
      </c>
      <c r="F966" s="230">
        <v>48249</v>
      </c>
      <c r="G966" s="230">
        <v>25</v>
      </c>
      <c r="H966" s="240">
        <v>26.3</v>
      </c>
      <c r="I966" s="240">
        <f t="shared" si="15"/>
        <v>657.5</v>
      </c>
      <c r="J966" s="231" t="s">
        <v>1311</v>
      </c>
      <c r="K966" s="231" t="s">
        <v>1312</v>
      </c>
      <c r="L966" s="232">
        <v>45170</v>
      </c>
      <c r="M966" s="232">
        <v>45199</v>
      </c>
    </row>
    <row r="967" spans="1:13" ht="18.75" customHeight="1" x14ac:dyDescent="0.2">
      <c r="A967" s="231" t="s">
        <v>1589</v>
      </c>
      <c r="B967" s="230">
        <v>119124</v>
      </c>
      <c r="C967" s="230">
        <v>10761</v>
      </c>
      <c r="D967" s="231" t="s">
        <v>1445</v>
      </c>
      <c r="E967" s="230">
        <v>14491078</v>
      </c>
      <c r="F967" s="230">
        <v>48275</v>
      </c>
      <c r="G967" s="230">
        <v>25</v>
      </c>
      <c r="H967" s="240">
        <v>26.3</v>
      </c>
      <c r="I967" s="240">
        <f t="shared" si="15"/>
        <v>657.5</v>
      </c>
      <c r="J967" s="231" t="s">
        <v>1311</v>
      </c>
      <c r="K967" s="231" t="s">
        <v>1315</v>
      </c>
      <c r="L967" s="232">
        <v>45170</v>
      </c>
      <c r="M967" s="232">
        <v>45199</v>
      </c>
    </row>
    <row r="968" spans="1:13" ht="18.75" customHeight="1" x14ac:dyDescent="0.2">
      <c r="A968" s="231" t="s">
        <v>1589</v>
      </c>
      <c r="B968" s="230">
        <v>119125</v>
      </c>
      <c r="C968" s="230">
        <v>10761</v>
      </c>
      <c r="D968" s="231" t="s">
        <v>1448</v>
      </c>
      <c r="E968" s="230">
        <v>14491078</v>
      </c>
      <c r="F968" s="230">
        <v>48277</v>
      </c>
      <c r="G968" s="230">
        <v>25</v>
      </c>
      <c r="H968" s="240">
        <v>26.3</v>
      </c>
      <c r="I968" s="240">
        <f t="shared" si="15"/>
        <v>657.5</v>
      </c>
      <c r="J968" s="231" t="s">
        <v>1311</v>
      </c>
      <c r="K968" s="231" t="s">
        <v>1315</v>
      </c>
      <c r="L968" s="232">
        <v>45170</v>
      </c>
      <c r="M968" s="232">
        <v>45199</v>
      </c>
    </row>
    <row r="969" spans="1:13" ht="18.75" customHeight="1" x14ac:dyDescent="0.2">
      <c r="A969" s="231" t="s">
        <v>1589</v>
      </c>
      <c r="B969" s="230">
        <v>119126</v>
      </c>
      <c r="C969" s="230">
        <v>10757</v>
      </c>
      <c r="D969" s="231" t="s">
        <v>1446</v>
      </c>
      <c r="E969" s="230">
        <v>14491078</v>
      </c>
      <c r="F969" s="230">
        <v>48279</v>
      </c>
      <c r="G969" s="230">
        <v>25</v>
      </c>
      <c r="H969" s="240">
        <v>26.3</v>
      </c>
      <c r="I969" s="240">
        <f t="shared" si="15"/>
        <v>657.5</v>
      </c>
      <c r="J969" s="231" t="s">
        <v>1311</v>
      </c>
      <c r="K969" s="231" t="s">
        <v>1312</v>
      </c>
      <c r="L969" s="232">
        <v>45170</v>
      </c>
      <c r="M969" s="232">
        <v>45199</v>
      </c>
    </row>
    <row r="970" spans="1:13" ht="18.75" customHeight="1" x14ac:dyDescent="0.2">
      <c r="A970" s="231" t="s">
        <v>1589</v>
      </c>
      <c r="B970" s="230">
        <v>119342</v>
      </c>
      <c r="C970" s="230">
        <v>10743</v>
      </c>
      <c r="D970" s="231" t="s">
        <v>1459</v>
      </c>
      <c r="E970" s="230">
        <v>14491078</v>
      </c>
      <c r="F970" s="230">
        <v>48825</v>
      </c>
      <c r="G970" s="230">
        <v>25</v>
      </c>
      <c r="H970" s="240">
        <v>26.3</v>
      </c>
      <c r="I970" s="240">
        <f t="shared" si="15"/>
        <v>657.5</v>
      </c>
      <c r="J970" s="231" t="s">
        <v>1311</v>
      </c>
      <c r="K970" s="231" t="s">
        <v>1315</v>
      </c>
      <c r="L970" s="232">
        <v>45170</v>
      </c>
      <c r="M970" s="232">
        <v>45199</v>
      </c>
    </row>
    <row r="971" spans="1:13" ht="18.75" customHeight="1" x14ac:dyDescent="0.2">
      <c r="A971" s="231" t="s">
        <v>1589</v>
      </c>
      <c r="B971" s="230">
        <v>119632</v>
      </c>
      <c r="C971" s="230">
        <v>10757</v>
      </c>
      <c r="D971" s="231" t="s">
        <v>1471</v>
      </c>
      <c r="E971" s="230">
        <v>14491078</v>
      </c>
      <c r="F971" s="230">
        <v>49573</v>
      </c>
      <c r="G971" s="230">
        <v>25</v>
      </c>
      <c r="H971" s="240">
        <v>26.3</v>
      </c>
      <c r="I971" s="240">
        <f t="shared" si="15"/>
        <v>657.5</v>
      </c>
      <c r="J971" s="231" t="s">
        <v>1311</v>
      </c>
      <c r="K971" s="231" t="s">
        <v>1312</v>
      </c>
      <c r="L971" s="232">
        <v>45170</v>
      </c>
      <c r="M971" s="232">
        <v>45199</v>
      </c>
    </row>
    <row r="972" spans="1:13" ht="18.75" customHeight="1" x14ac:dyDescent="0.2">
      <c r="A972" s="231" t="s">
        <v>1589</v>
      </c>
      <c r="B972" s="230">
        <v>119647</v>
      </c>
      <c r="C972" s="230">
        <v>10743</v>
      </c>
      <c r="D972" s="231" t="s">
        <v>1474</v>
      </c>
      <c r="E972" s="230">
        <v>14491078</v>
      </c>
      <c r="F972" s="230">
        <v>49610</v>
      </c>
      <c r="G972" s="230">
        <v>25</v>
      </c>
      <c r="H972" s="240">
        <v>26.3</v>
      </c>
      <c r="I972" s="240">
        <f t="shared" si="15"/>
        <v>657.5</v>
      </c>
      <c r="J972" s="231" t="s">
        <v>1311</v>
      </c>
      <c r="K972" s="231" t="s">
        <v>1315</v>
      </c>
      <c r="L972" s="232">
        <v>45170</v>
      </c>
      <c r="M972" s="232">
        <v>45199</v>
      </c>
    </row>
    <row r="973" spans="1:13" ht="18.75" customHeight="1" x14ac:dyDescent="0.2">
      <c r="A973" s="231" t="s">
        <v>1589</v>
      </c>
      <c r="B973" s="230">
        <v>119662</v>
      </c>
      <c r="C973" s="230">
        <v>10748</v>
      </c>
      <c r="D973" s="231" t="s">
        <v>1466</v>
      </c>
      <c r="E973" s="230">
        <v>14491078</v>
      </c>
      <c r="F973" s="230">
        <v>49650</v>
      </c>
      <c r="G973" s="230">
        <v>25</v>
      </c>
      <c r="H973" s="240">
        <v>26.3</v>
      </c>
      <c r="I973" s="240">
        <f t="shared" si="15"/>
        <v>657.5</v>
      </c>
      <c r="J973" s="231" t="s">
        <v>1311</v>
      </c>
      <c r="K973" s="231" t="s">
        <v>1312</v>
      </c>
      <c r="L973" s="232">
        <v>45170</v>
      </c>
      <c r="M973" s="232">
        <v>45199</v>
      </c>
    </row>
    <row r="974" spans="1:13" ht="18.75" customHeight="1" x14ac:dyDescent="0.2">
      <c r="A974" s="231" t="s">
        <v>1589</v>
      </c>
      <c r="B974" s="230">
        <v>119675</v>
      </c>
      <c r="C974" s="230">
        <v>10757</v>
      </c>
      <c r="D974" s="231" t="s">
        <v>1479</v>
      </c>
      <c r="E974" s="230">
        <v>14491078</v>
      </c>
      <c r="F974" s="230">
        <v>49680</v>
      </c>
      <c r="G974" s="230">
        <v>25</v>
      </c>
      <c r="H974" s="240">
        <v>26.3</v>
      </c>
      <c r="I974" s="240">
        <f t="shared" si="15"/>
        <v>657.5</v>
      </c>
      <c r="J974" s="231" t="s">
        <v>1311</v>
      </c>
      <c r="K974" s="231" t="s">
        <v>1312</v>
      </c>
      <c r="L974" s="232">
        <v>45170</v>
      </c>
      <c r="M974" s="232">
        <v>45199</v>
      </c>
    </row>
    <row r="975" spans="1:13" ht="18.75" customHeight="1" x14ac:dyDescent="0.2">
      <c r="A975" s="231" t="s">
        <v>1589</v>
      </c>
      <c r="B975" s="230">
        <v>119742</v>
      </c>
      <c r="C975" s="230">
        <v>10771</v>
      </c>
      <c r="D975" s="231" t="s">
        <v>1166</v>
      </c>
      <c r="E975" s="230">
        <v>14491078</v>
      </c>
      <c r="F975" s="230">
        <v>49828</v>
      </c>
      <c r="G975" s="230">
        <v>25</v>
      </c>
      <c r="H975" s="240">
        <v>26.3</v>
      </c>
      <c r="I975" s="240">
        <f t="shared" si="15"/>
        <v>657.5</v>
      </c>
      <c r="J975" s="231" t="s">
        <v>1311</v>
      </c>
      <c r="K975" s="231" t="s">
        <v>1315</v>
      </c>
      <c r="L975" s="232">
        <v>45170</v>
      </c>
      <c r="M975" s="232">
        <v>45199</v>
      </c>
    </row>
    <row r="976" spans="1:13" ht="18.75" customHeight="1" x14ac:dyDescent="0.2">
      <c r="A976" s="231" t="s">
        <v>1589</v>
      </c>
      <c r="B976" s="230">
        <v>119920</v>
      </c>
      <c r="C976" s="230">
        <v>10761</v>
      </c>
      <c r="D976" s="231" t="s">
        <v>1495</v>
      </c>
      <c r="E976" s="230">
        <v>14491078</v>
      </c>
      <c r="F976" s="230">
        <v>50246</v>
      </c>
      <c r="G976" s="230">
        <v>25</v>
      </c>
      <c r="H976" s="240">
        <v>26.3</v>
      </c>
      <c r="I976" s="240">
        <f t="shared" si="15"/>
        <v>657.5</v>
      </c>
      <c r="J976" s="231" t="s">
        <v>1311</v>
      </c>
      <c r="K976" s="231" t="s">
        <v>1312</v>
      </c>
      <c r="L976" s="232">
        <v>45170</v>
      </c>
      <c r="M976" s="232">
        <v>45199</v>
      </c>
    </row>
    <row r="977" spans="1:13" ht="18.75" customHeight="1" x14ac:dyDescent="0.2">
      <c r="A977" s="231" t="s">
        <v>1589</v>
      </c>
      <c r="B977" s="230">
        <v>119922</v>
      </c>
      <c r="C977" s="230">
        <v>10766</v>
      </c>
      <c r="D977" s="231" t="s">
        <v>1487</v>
      </c>
      <c r="E977" s="230">
        <v>14491078</v>
      </c>
      <c r="F977" s="230">
        <v>50250</v>
      </c>
      <c r="G977" s="230">
        <v>24</v>
      </c>
      <c r="H977" s="240">
        <v>26.3</v>
      </c>
      <c r="I977" s="240">
        <f t="shared" si="15"/>
        <v>631.20000000000005</v>
      </c>
      <c r="J977" s="231" t="s">
        <v>1311</v>
      </c>
      <c r="K977" s="231" t="s">
        <v>1312</v>
      </c>
      <c r="L977" s="232">
        <v>45170</v>
      </c>
      <c r="M977" s="232">
        <v>45199</v>
      </c>
    </row>
    <row r="978" spans="1:13" ht="18.75" customHeight="1" x14ac:dyDescent="0.2">
      <c r="A978" s="231" t="s">
        <v>1589</v>
      </c>
      <c r="B978" s="230">
        <v>119924</v>
      </c>
      <c r="C978" s="230">
        <v>10766</v>
      </c>
      <c r="D978" s="231" t="s">
        <v>1488</v>
      </c>
      <c r="E978" s="230">
        <v>14491078</v>
      </c>
      <c r="F978" s="230">
        <v>50253</v>
      </c>
      <c r="G978" s="230">
        <v>24</v>
      </c>
      <c r="H978" s="240">
        <v>26.3</v>
      </c>
      <c r="I978" s="240">
        <f t="shared" si="15"/>
        <v>631.20000000000005</v>
      </c>
      <c r="J978" s="231" t="s">
        <v>1311</v>
      </c>
      <c r="K978" s="231" t="s">
        <v>1315</v>
      </c>
      <c r="L978" s="232">
        <v>45170</v>
      </c>
      <c r="M978" s="232">
        <v>45199</v>
      </c>
    </row>
    <row r="979" spans="1:13" ht="18.75" customHeight="1" x14ac:dyDescent="0.2">
      <c r="A979" s="231" t="s">
        <v>1589</v>
      </c>
      <c r="B979" s="230">
        <v>119925</v>
      </c>
      <c r="C979" s="230">
        <v>10766</v>
      </c>
      <c r="D979" s="231" t="s">
        <v>1496</v>
      </c>
      <c r="E979" s="230">
        <v>14491078</v>
      </c>
      <c r="F979" s="230">
        <v>50255</v>
      </c>
      <c r="G979" s="230">
        <v>25</v>
      </c>
      <c r="H979" s="240">
        <v>26.3</v>
      </c>
      <c r="I979" s="240">
        <f t="shared" si="15"/>
        <v>657.5</v>
      </c>
      <c r="J979" s="231" t="s">
        <v>1311</v>
      </c>
      <c r="K979" s="231" t="s">
        <v>1315</v>
      </c>
      <c r="L979" s="232">
        <v>45170</v>
      </c>
      <c r="M979" s="232">
        <v>45199</v>
      </c>
    </row>
    <row r="980" spans="1:13" ht="18.75" customHeight="1" x14ac:dyDescent="0.2">
      <c r="A980" s="231" t="s">
        <v>1589</v>
      </c>
      <c r="B980" s="230">
        <v>119928</v>
      </c>
      <c r="C980" s="230">
        <v>10766</v>
      </c>
      <c r="D980" s="231" t="s">
        <v>1491</v>
      </c>
      <c r="E980" s="230">
        <v>14491078</v>
      </c>
      <c r="F980" s="230">
        <v>50259</v>
      </c>
      <c r="G980" s="230">
        <v>25</v>
      </c>
      <c r="H980" s="240">
        <v>26.3</v>
      </c>
      <c r="I980" s="240">
        <f t="shared" si="15"/>
        <v>657.5</v>
      </c>
      <c r="J980" s="231" t="s">
        <v>1311</v>
      </c>
      <c r="K980" s="231" t="s">
        <v>1312</v>
      </c>
      <c r="L980" s="232">
        <v>45170</v>
      </c>
      <c r="M980" s="232">
        <v>45199</v>
      </c>
    </row>
    <row r="981" spans="1:13" ht="18.75" customHeight="1" x14ac:dyDescent="0.2">
      <c r="A981" s="231" t="s">
        <v>1589</v>
      </c>
      <c r="B981" s="230">
        <v>120178</v>
      </c>
      <c r="C981" s="230">
        <v>10760</v>
      </c>
      <c r="D981" s="231" t="s">
        <v>1505</v>
      </c>
      <c r="E981" s="230">
        <v>14491078</v>
      </c>
      <c r="F981" s="230">
        <v>50903</v>
      </c>
      <c r="G981" s="230">
        <v>25</v>
      </c>
      <c r="H981" s="240">
        <v>26.3</v>
      </c>
      <c r="I981" s="240">
        <f t="shared" si="15"/>
        <v>657.5</v>
      </c>
      <c r="J981" s="231" t="s">
        <v>1311</v>
      </c>
      <c r="K981" s="231" t="s">
        <v>1312</v>
      </c>
      <c r="L981" s="232">
        <v>45170</v>
      </c>
      <c r="M981" s="232">
        <v>45199</v>
      </c>
    </row>
    <row r="982" spans="1:13" ht="18.75" customHeight="1" x14ac:dyDescent="0.2">
      <c r="A982" s="231" t="s">
        <v>1589</v>
      </c>
      <c r="B982" s="230">
        <v>120180</v>
      </c>
      <c r="C982" s="230">
        <v>10771</v>
      </c>
      <c r="D982" s="231" t="s">
        <v>1503</v>
      </c>
      <c r="E982" s="230">
        <v>14491078</v>
      </c>
      <c r="F982" s="230">
        <v>50908</v>
      </c>
      <c r="G982" s="230">
        <v>25</v>
      </c>
      <c r="H982" s="240">
        <v>26.3</v>
      </c>
      <c r="I982" s="240">
        <f t="shared" si="15"/>
        <v>657.5</v>
      </c>
      <c r="J982" s="231" t="s">
        <v>1311</v>
      </c>
      <c r="K982" s="231" t="s">
        <v>1312</v>
      </c>
      <c r="L982" s="232">
        <v>45170</v>
      </c>
      <c r="M982" s="232">
        <v>45199</v>
      </c>
    </row>
    <row r="983" spans="1:13" ht="18.75" customHeight="1" x14ac:dyDescent="0.2">
      <c r="A983" s="231" t="s">
        <v>1589</v>
      </c>
      <c r="B983" s="230">
        <v>120186</v>
      </c>
      <c r="C983" s="230">
        <v>10762</v>
      </c>
      <c r="D983" s="231" t="s">
        <v>1497</v>
      </c>
      <c r="E983" s="230">
        <v>14491078</v>
      </c>
      <c r="F983" s="230">
        <v>50924</v>
      </c>
      <c r="G983" s="230">
        <v>25</v>
      </c>
      <c r="H983" s="240">
        <v>26.3</v>
      </c>
      <c r="I983" s="240">
        <f t="shared" si="15"/>
        <v>657.5</v>
      </c>
      <c r="J983" s="231" t="s">
        <v>1311</v>
      </c>
      <c r="K983" s="231" t="s">
        <v>1312</v>
      </c>
      <c r="L983" s="232">
        <v>45170</v>
      </c>
      <c r="M983" s="232">
        <v>45199</v>
      </c>
    </row>
    <row r="984" spans="1:13" ht="18.75" customHeight="1" x14ac:dyDescent="0.2">
      <c r="A984" s="231" t="s">
        <v>1589</v>
      </c>
      <c r="B984" s="230">
        <v>120187</v>
      </c>
      <c r="C984" s="230">
        <v>10766</v>
      </c>
      <c r="D984" s="231" t="s">
        <v>1498</v>
      </c>
      <c r="E984" s="230">
        <v>14491078</v>
      </c>
      <c r="F984" s="230">
        <v>50926</v>
      </c>
      <c r="G984" s="230">
        <v>25</v>
      </c>
      <c r="H984" s="240">
        <v>26.3</v>
      </c>
      <c r="I984" s="240">
        <f t="shared" si="15"/>
        <v>657.5</v>
      </c>
      <c r="J984" s="231" t="s">
        <v>1311</v>
      </c>
      <c r="K984" s="231" t="s">
        <v>1312</v>
      </c>
      <c r="L984" s="232">
        <v>45170</v>
      </c>
      <c r="M984" s="232">
        <v>45199</v>
      </c>
    </row>
    <row r="985" spans="1:13" ht="18.75" customHeight="1" x14ac:dyDescent="0.2">
      <c r="A985" s="231" t="s">
        <v>1589</v>
      </c>
      <c r="B985" s="230">
        <v>120191</v>
      </c>
      <c r="C985" s="230">
        <v>10745</v>
      </c>
      <c r="D985" s="231" t="s">
        <v>1502</v>
      </c>
      <c r="E985" s="230">
        <v>14491078</v>
      </c>
      <c r="F985" s="230">
        <v>50934</v>
      </c>
      <c r="G985" s="230">
        <v>25</v>
      </c>
      <c r="H985" s="240">
        <v>26.3</v>
      </c>
      <c r="I985" s="240">
        <f t="shared" si="15"/>
        <v>657.5</v>
      </c>
      <c r="J985" s="231" t="s">
        <v>1311</v>
      </c>
      <c r="K985" s="231" t="s">
        <v>1312</v>
      </c>
      <c r="L985" s="232">
        <v>45170</v>
      </c>
      <c r="M985" s="232">
        <v>45199</v>
      </c>
    </row>
    <row r="986" spans="1:13" ht="18.75" customHeight="1" x14ac:dyDescent="0.2">
      <c r="A986" s="231" t="s">
        <v>1589</v>
      </c>
      <c r="B986" s="230">
        <v>120623</v>
      </c>
      <c r="C986" s="230">
        <v>10743</v>
      </c>
      <c r="D986" s="231" t="s">
        <v>1517</v>
      </c>
      <c r="E986" s="230">
        <v>14491078</v>
      </c>
      <c r="F986" s="230">
        <v>51613</v>
      </c>
      <c r="G986" s="230">
        <v>25</v>
      </c>
      <c r="H986" s="240">
        <v>26.3</v>
      </c>
      <c r="I986" s="240">
        <f t="shared" si="15"/>
        <v>657.5</v>
      </c>
      <c r="J986" s="231" t="s">
        <v>1311</v>
      </c>
      <c r="K986" s="231" t="s">
        <v>1315</v>
      </c>
      <c r="L986" s="232">
        <v>45170</v>
      </c>
      <c r="M986" s="232">
        <v>45199</v>
      </c>
    </row>
    <row r="987" spans="1:13" ht="18.75" customHeight="1" x14ac:dyDescent="0.2">
      <c r="A987" s="231" t="s">
        <v>1589</v>
      </c>
      <c r="B987" s="230">
        <v>121322</v>
      </c>
      <c r="C987" s="230">
        <v>10760</v>
      </c>
      <c r="D987" s="231" t="s">
        <v>1535</v>
      </c>
      <c r="E987" s="230">
        <v>14491078</v>
      </c>
      <c r="F987" s="230">
        <v>53499</v>
      </c>
      <c r="G987" s="230">
        <v>24</v>
      </c>
      <c r="H987" s="240">
        <v>26.3</v>
      </c>
      <c r="I987" s="240">
        <f t="shared" si="15"/>
        <v>631.20000000000005</v>
      </c>
      <c r="J987" s="231" t="s">
        <v>1311</v>
      </c>
      <c r="K987" s="231" t="s">
        <v>1312</v>
      </c>
      <c r="L987" s="232">
        <v>45170</v>
      </c>
      <c r="M987" s="232">
        <v>45199</v>
      </c>
    </row>
    <row r="988" spans="1:13" ht="18.75" customHeight="1" x14ac:dyDescent="0.2">
      <c r="A988" s="231" t="s">
        <v>1589</v>
      </c>
      <c r="B988" s="230">
        <v>121323</v>
      </c>
      <c r="C988" s="230">
        <v>10760</v>
      </c>
      <c r="D988" s="231" t="s">
        <v>1536</v>
      </c>
      <c r="E988" s="230">
        <v>14491078</v>
      </c>
      <c r="F988" s="230">
        <v>53501</v>
      </c>
      <c r="G988" s="230">
        <v>25</v>
      </c>
      <c r="H988" s="240">
        <v>26.3</v>
      </c>
      <c r="I988" s="240">
        <f t="shared" si="15"/>
        <v>657.5</v>
      </c>
      <c r="J988" s="231" t="s">
        <v>1311</v>
      </c>
      <c r="K988" s="231" t="s">
        <v>1312</v>
      </c>
      <c r="L988" s="232">
        <v>45170</v>
      </c>
      <c r="M988" s="232">
        <v>45199</v>
      </c>
    </row>
    <row r="989" spans="1:13" ht="18.75" customHeight="1" x14ac:dyDescent="0.2">
      <c r="A989" s="231" t="s">
        <v>1589</v>
      </c>
      <c r="B989" s="230">
        <v>121403</v>
      </c>
      <c r="C989" s="230">
        <v>10755</v>
      </c>
      <c r="D989" s="231" t="s">
        <v>1553</v>
      </c>
      <c r="E989" s="230">
        <v>14491078</v>
      </c>
      <c r="F989" s="230">
        <v>53687</v>
      </c>
      <c r="G989" s="230">
        <v>25</v>
      </c>
      <c r="H989" s="240">
        <v>26.3</v>
      </c>
      <c r="I989" s="240">
        <f t="shared" si="15"/>
        <v>657.5</v>
      </c>
      <c r="J989" s="231" t="s">
        <v>1311</v>
      </c>
      <c r="K989" s="231" t="s">
        <v>1312</v>
      </c>
      <c r="L989" s="232">
        <v>45170</v>
      </c>
      <c r="M989" s="232">
        <v>45199</v>
      </c>
    </row>
    <row r="990" spans="1:13" ht="18.75" customHeight="1" x14ac:dyDescent="0.2">
      <c r="A990" s="231" t="s">
        <v>1589</v>
      </c>
      <c r="B990" s="230">
        <v>121404</v>
      </c>
      <c r="C990" s="230">
        <v>10755</v>
      </c>
      <c r="D990" s="231" t="s">
        <v>1567</v>
      </c>
      <c r="E990" s="230">
        <v>14491078</v>
      </c>
      <c r="F990" s="230">
        <v>53689</v>
      </c>
      <c r="G990" s="230">
        <v>25</v>
      </c>
      <c r="H990" s="240">
        <v>26.3</v>
      </c>
      <c r="I990" s="240">
        <f t="shared" si="15"/>
        <v>657.5</v>
      </c>
      <c r="J990" s="231" t="s">
        <v>1311</v>
      </c>
      <c r="K990" s="231" t="s">
        <v>1312</v>
      </c>
      <c r="L990" s="232">
        <v>45170</v>
      </c>
      <c r="M990" s="232">
        <v>45199</v>
      </c>
    </row>
    <row r="991" spans="1:13" ht="18.75" customHeight="1" x14ac:dyDescent="0.2">
      <c r="A991" s="231" t="s">
        <v>1589</v>
      </c>
      <c r="B991" s="230">
        <v>121428</v>
      </c>
      <c r="C991" s="230">
        <v>10755</v>
      </c>
      <c r="D991" s="231" t="s">
        <v>1566</v>
      </c>
      <c r="E991" s="230">
        <v>14491078</v>
      </c>
      <c r="F991" s="230">
        <v>53737</v>
      </c>
      <c r="G991" s="230">
        <v>25</v>
      </c>
      <c r="H991" s="240">
        <v>26.3</v>
      </c>
      <c r="I991" s="240">
        <f t="shared" si="15"/>
        <v>657.5</v>
      </c>
      <c r="J991" s="231" t="s">
        <v>1311</v>
      </c>
      <c r="K991" s="231" t="s">
        <v>1312</v>
      </c>
      <c r="L991" s="232">
        <v>45170</v>
      </c>
      <c r="M991" s="232">
        <v>45199</v>
      </c>
    </row>
    <row r="992" spans="1:13" ht="18.75" customHeight="1" x14ac:dyDescent="0.2">
      <c r="A992" s="231" t="s">
        <v>1589</v>
      </c>
      <c r="B992" s="230">
        <v>121436</v>
      </c>
      <c r="C992" s="230">
        <v>10755</v>
      </c>
      <c r="D992" s="231" t="s">
        <v>1560</v>
      </c>
      <c r="E992" s="230">
        <v>14491078</v>
      </c>
      <c r="F992" s="230">
        <v>53753</v>
      </c>
      <c r="G992" s="230">
        <v>25</v>
      </c>
      <c r="H992" s="240">
        <v>26.3</v>
      </c>
      <c r="I992" s="240">
        <f t="shared" si="15"/>
        <v>657.5</v>
      </c>
      <c r="J992" s="231" t="s">
        <v>1311</v>
      </c>
      <c r="K992" s="231" t="s">
        <v>1312</v>
      </c>
      <c r="L992" s="232">
        <v>45170</v>
      </c>
      <c r="M992" s="232">
        <v>45199</v>
      </c>
    </row>
    <row r="993" spans="1:13" ht="18.75" customHeight="1" x14ac:dyDescent="0.2">
      <c r="A993" s="231" t="s">
        <v>1589</v>
      </c>
      <c r="B993" s="230">
        <v>121449</v>
      </c>
      <c r="C993" s="230">
        <v>10755</v>
      </c>
      <c r="D993" s="231" t="s">
        <v>1558</v>
      </c>
      <c r="E993" s="230">
        <v>14491078</v>
      </c>
      <c r="F993" s="230">
        <v>53779</v>
      </c>
      <c r="G993" s="230">
        <v>25</v>
      </c>
      <c r="H993" s="240">
        <v>26.3</v>
      </c>
      <c r="I993" s="240">
        <f t="shared" si="15"/>
        <v>657.5</v>
      </c>
      <c r="J993" s="231" t="s">
        <v>1311</v>
      </c>
      <c r="K993" s="231" t="s">
        <v>1312</v>
      </c>
      <c r="L993" s="232">
        <v>45170</v>
      </c>
      <c r="M993" s="232">
        <v>45199</v>
      </c>
    </row>
    <row r="994" spans="1:13" ht="18.75" customHeight="1" x14ac:dyDescent="0.2">
      <c r="A994" s="231" t="s">
        <v>1589</v>
      </c>
      <c r="B994" s="230">
        <v>121476</v>
      </c>
      <c r="C994" s="230">
        <v>10755</v>
      </c>
      <c r="D994" s="231" t="s">
        <v>1584</v>
      </c>
      <c r="E994" s="230">
        <v>14491078</v>
      </c>
      <c r="F994" s="230">
        <v>53833</v>
      </c>
      <c r="G994" s="230">
        <v>25</v>
      </c>
      <c r="H994" s="240">
        <v>26.3</v>
      </c>
      <c r="I994" s="240">
        <f t="shared" si="15"/>
        <v>657.5</v>
      </c>
      <c r="J994" s="231" t="s">
        <v>1311</v>
      </c>
      <c r="K994" s="231" t="s">
        <v>1312</v>
      </c>
      <c r="L994" s="232">
        <v>45170</v>
      </c>
      <c r="M994" s="232">
        <v>45199</v>
      </c>
    </row>
    <row r="995" spans="1:13" ht="18.75" customHeight="1" x14ac:dyDescent="0.2">
      <c r="A995" s="231" t="s">
        <v>1589</v>
      </c>
      <c r="B995" s="230">
        <v>121482</v>
      </c>
      <c r="C995" s="230">
        <v>10755</v>
      </c>
      <c r="D995" s="231" t="s">
        <v>1583</v>
      </c>
      <c r="E995" s="230">
        <v>14491078</v>
      </c>
      <c r="F995" s="230">
        <v>53848</v>
      </c>
      <c r="G995" s="230">
        <v>25</v>
      </c>
      <c r="H995" s="240">
        <v>26.3</v>
      </c>
      <c r="I995" s="240">
        <f t="shared" si="15"/>
        <v>657.5</v>
      </c>
      <c r="J995" s="231" t="s">
        <v>1311</v>
      </c>
      <c r="K995" s="231" t="s">
        <v>1312</v>
      </c>
      <c r="L995" s="232">
        <v>45170</v>
      </c>
      <c r="M995" s="232">
        <v>45199</v>
      </c>
    </row>
    <row r="996" spans="1:13" ht="18.75" customHeight="1" x14ac:dyDescent="0.2">
      <c r="A996" s="231" t="s">
        <v>1589</v>
      </c>
      <c r="B996" s="230">
        <v>121486</v>
      </c>
      <c r="C996" s="230">
        <v>10755</v>
      </c>
      <c r="D996" s="231" t="s">
        <v>1564</v>
      </c>
      <c r="E996" s="230">
        <v>14491078</v>
      </c>
      <c r="F996" s="230">
        <v>53857</v>
      </c>
      <c r="G996" s="230">
        <v>25</v>
      </c>
      <c r="H996" s="240">
        <v>26.3</v>
      </c>
      <c r="I996" s="240">
        <f t="shared" si="15"/>
        <v>657.5</v>
      </c>
      <c r="J996" s="231" t="s">
        <v>1311</v>
      </c>
      <c r="K996" s="231" t="s">
        <v>1312</v>
      </c>
      <c r="L996" s="232">
        <v>45170</v>
      </c>
      <c r="M996" s="232">
        <v>45199</v>
      </c>
    </row>
    <row r="997" spans="1:13" ht="18.75" customHeight="1" x14ac:dyDescent="0.2">
      <c r="A997" s="231" t="s">
        <v>1589</v>
      </c>
      <c r="B997" s="230">
        <v>121531</v>
      </c>
      <c r="C997" s="230">
        <v>10763</v>
      </c>
      <c r="D997" s="231" t="s">
        <v>1554</v>
      </c>
      <c r="E997" s="230">
        <v>14491078</v>
      </c>
      <c r="F997" s="230">
        <v>53961</v>
      </c>
      <c r="G997" s="230">
        <v>25</v>
      </c>
      <c r="H997" s="240">
        <v>26.3</v>
      </c>
      <c r="I997" s="240">
        <f t="shared" si="15"/>
        <v>657.5</v>
      </c>
      <c r="J997" s="231" t="s">
        <v>1311</v>
      </c>
      <c r="K997" s="231" t="s">
        <v>1312</v>
      </c>
      <c r="L997" s="232">
        <v>45170</v>
      </c>
      <c r="M997" s="232">
        <v>45199</v>
      </c>
    </row>
    <row r="998" spans="1:13" ht="18.75" customHeight="1" x14ac:dyDescent="0.2">
      <c r="A998" s="231" t="s">
        <v>1589</v>
      </c>
      <c r="B998" s="230">
        <v>121674</v>
      </c>
      <c r="C998" s="230">
        <v>10755</v>
      </c>
      <c r="D998" s="231" t="s">
        <v>1595</v>
      </c>
      <c r="E998" s="230">
        <v>14491078</v>
      </c>
      <c r="F998" s="230">
        <v>54313</v>
      </c>
      <c r="G998" s="230">
        <v>25</v>
      </c>
      <c r="H998" s="240">
        <v>26.3</v>
      </c>
      <c r="I998" s="240">
        <f t="shared" si="15"/>
        <v>657.5</v>
      </c>
      <c r="J998" s="231" t="s">
        <v>1311</v>
      </c>
      <c r="K998" s="231" t="s">
        <v>1312</v>
      </c>
      <c r="L998" s="232">
        <v>45170</v>
      </c>
      <c r="M998" s="232">
        <v>45199</v>
      </c>
    </row>
    <row r="999" spans="1:13" ht="18.75" customHeight="1" x14ac:dyDescent="0.2">
      <c r="A999" s="231" t="s">
        <v>1589</v>
      </c>
      <c r="B999" s="230">
        <v>121684</v>
      </c>
      <c r="C999" s="230">
        <v>10743</v>
      </c>
      <c r="D999" s="231" t="s">
        <v>1603</v>
      </c>
      <c r="E999" s="230">
        <v>14491078</v>
      </c>
      <c r="F999" s="230">
        <v>54334</v>
      </c>
      <c r="G999" s="230">
        <v>25</v>
      </c>
      <c r="H999" s="240">
        <v>26.3</v>
      </c>
      <c r="I999" s="240">
        <f t="shared" si="15"/>
        <v>657.5</v>
      </c>
      <c r="J999" s="231" t="s">
        <v>1311</v>
      </c>
      <c r="K999" s="231" t="s">
        <v>1312</v>
      </c>
      <c r="L999" s="232">
        <v>45170</v>
      </c>
      <c r="M999" s="232">
        <v>45199</v>
      </c>
    </row>
    <row r="1000" spans="1:13" ht="18.75" customHeight="1" x14ac:dyDescent="0.2">
      <c r="A1000" s="231" t="s">
        <v>1589</v>
      </c>
      <c r="B1000" s="230">
        <v>121954</v>
      </c>
      <c r="C1000" s="230">
        <v>10761</v>
      </c>
      <c r="D1000" s="231" t="s">
        <v>1612</v>
      </c>
      <c r="E1000" s="230">
        <v>14491078</v>
      </c>
      <c r="F1000" s="230">
        <v>54964</v>
      </c>
      <c r="G1000" s="230">
        <v>23</v>
      </c>
      <c r="H1000" s="240">
        <v>26.3</v>
      </c>
      <c r="I1000" s="240">
        <f t="shared" si="15"/>
        <v>604.9</v>
      </c>
      <c r="J1000" s="231" t="s">
        <v>1311</v>
      </c>
      <c r="K1000" s="231" t="s">
        <v>1312</v>
      </c>
      <c r="L1000" s="232">
        <v>45170</v>
      </c>
      <c r="M1000" s="232">
        <v>45199</v>
      </c>
    </row>
    <row r="1001" spans="1:13" ht="18.75" customHeight="1" x14ac:dyDescent="0.2">
      <c r="A1001" s="231" t="s">
        <v>1589</v>
      </c>
      <c r="B1001" s="230">
        <v>122028</v>
      </c>
      <c r="C1001" s="230">
        <v>10771</v>
      </c>
      <c r="D1001" s="231" t="s">
        <v>1636</v>
      </c>
      <c r="E1001" s="230">
        <v>14491078</v>
      </c>
      <c r="F1001" s="230">
        <v>55143</v>
      </c>
      <c r="G1001" s="230">
        <v>25</v>
      </c>
      <c r="H1001" s="240">
        <v>26.3</v>
      </c>
      <c r="I1001" s="240">
        <f t="shared" si="15"/>
        <v>657.5</v>
      </c>
      <c r="J1001" s="231" t="s">
        <v>1311</v>
      </c>
      <c r="K1001" s="231" t="s">
        <v>1312</v>
      </c>
      <c r="L1001" s="232">
        <v>45170</v>
      </c>
      <c r="M1001" s="232">
        <v>45199</v>
      </c>
    </row>
    <row r="1002" spans="1:13" ht="18.75" customHeight="1" x14ac:dyDescent="0.2">
      <c r="A1002" s="231" t="s">
        <v>1589</v>
      </c>
      <c r="B1002" s="230">
        <v>122030</v>
      </c>
      <c r="C1002" s="230">
        <v>10743</v>
      </c>
      <c r="D1002" s="231" t="s">
        <v>1585</v>
      </c>
      <c r="E1002" s="230">
        <v>14491078</v>
      </c>
      <c r="F1002" s="230">
        <v>55145</v>
      </c>
      <c r="G1002" s="230">
        <v>25</v>
      </c>
      <c r="H1002" s="240">
        <v>26.3</v>
      </c>
      <c r="I1002" s="240">
        <f t="shared" si="15"/>
        <v>657.5</v>
      </c>
      <c r="J1002" s="231" t="s">
        <v>1311</v>
      </c>
      <c r="K1002" s="231" t="s">
        <v>1315</v>
      </c>
      <c r="L1002" s="232">
        <v>45170</v>
      </c>
      <c r="M1002" s="232">
        <v>45199</v>
      </c>
    </row>
    <row r="1003" spans="1:13" ht="18.75" customHeight="1" x14ac:dyDescent="0.2">
      <c r="A1003" s="231" t="s">
        <v>1589</v>
      </c>
      <c r="B1003" s="230">
        <v>122086</v>
      </c>
      <c r="C1003" s="230">
        <v>10755</v>
      </c>
      <c r="D1003" s="231" t="s">
        <v>1645</v>
      </c>
      <c r="E1003" s="230">
        <v>14491078</v>
      </c>
      <c r="F1003" s="230">
        <v>55289</v>
      </c>
      <c r="G1003" s="230">
        <v>25</v>
      </c>
      <c r="H1003" s="240">
        <v>26.3</v>
      </c>
      <c r="I1003" s="240">
        <f t="shared" si="15"/>
        <v>657.5</v>
      </c>
      <c r="J1003" s="231" t="s">
        <v>1311</v>
      </c>
      <c r="K1003" s="231" t="s">
        <v>1312</v>
      </c>
      <c r="L1003" s="232">
        <v>45170</v>
      </c>
      <c r="M1003" s="232">
        <v>45199</v>
      </c>
    </row>
    <row r="1004" spans="1:13" ht="18.75" customHeight="1" x14ac:dyDescent="0.2">
      <c r="A1004" s="231" t="s">
        <v>1589</v>
      </c>
      <c r="B1004" s="230">
        <v>122088</v>
      </c>
      <c r="C1004" s="230">
        <v>10760</v>
      </c>
      <c r="D1004" s="231" t="s">
        <v>1642</v>
      </c>
      <c r="E1004" s="230">
        <v>14491078</v>
      </c>
      <c r="F1004" s="230">
        <v>55291</v>
      </c>
      <c r="G1004" s="230">
        <v>25</v>
      </c>
      <c r="H1004" s="240">
        <v>26.3</v>
      </c>
      <c r="I1004" s="240">
        <f t="shared" si="15"/>
        <v>657.5</v>
      </c>
      <c r="J1004" s="231" t="s">
        <v>1311</v>
      </c>
      <c r="K1004" s="231" t="s">
        <v>1312</v>
      </c>
      <c r="L1004" s="232">
        <v>45170</v>
      </c>
      <c r="M1004" s="232">
        <v>45199</v>
      </c>
    </row>
    <row r="1005" spans="1:13" ht="18.75" customHeight="1" x14ac:dyDescent="0.2">
      <c r="A1005" s="231" t="s">
        <v>1589</v>
      </c>
      <c r="B1005" s="230">
        <v>122029</v>
      </c>
      <c r="C1005" s="230">
        <v>10771</v>
      </c>
      <c r="D1005" s="231" t="s">
        <v>1648</v>
      </c>
      <c r="E1005" s="230">
        <v>14491078</v>
      </c>
      <c r="F1005" s="230">
        <v>55371</v>
      </c>
      <c r="G1005" s="230">
        <v>25</v>
      </c>
      <c r="H1005" s="240">
        <v>26.3</v>
      </c>
      <c r="I1005" s="240">
        <f t="shared" si="15"/>
        <v>657.5</v>
      </c>
      <c r="J1005" s="231" t="s">
        <v>1311</v>
      </c>
      <c r="K1005" s="231" t="s">
        <v>1312</v>
      </c>
      <c r="L1005" s="232">
        <v>45170</v>
      </c>
      <c r="M1005" s="232">
        <v>45199</v>
      </c>
    </row>
    <row r="1006" spans="1:13" ht="18.75" customHeight="1" x14ac:dyDescent="0.2">
      <c r="A1006" s="231" t="s">
        <v>1589</v>
      </c>
      <c r="B1006" s="230">
        <v>122234</v>
      </c>
      <c r="C1006" s="230">
        <v>10762</v>
      </c>
      <c r="D1006" s="231" t="s">
        <v>1676</v>
      </c>
      <c r="E1006" s="230">
        <v>14491078</v>
      </c>
      <c r="F1006" s="230">
        <v>55711</v>
      </c>
      <c r="G1006" s="230">
        <v>25</v>
      </c>
      <c r="H1006" s="240">
        <v>26.3</v>
      </c>
      <c r="I1006" s="240">
        <f t="shared" si="15"/>
        <v>657.5</v>
      </c>
      <c r="J1006" s="231" t="s">
        <v>1311</v>
      </c>
      <c r="K1006" s="231" t="s">
        <v>1312</v>
      </c>
      <c r="L1006" s="232">
        <v>45170</v>
      </c>
      <c r="M1006" s="232">
        <v>45199</v>
      </c>
    </row>
    <row r="1007" spans="1:13" ht="18.75" customHeight="1" x14ac:dyDescent="0.2">
      <c r="A1007" s="231" t="s">
        <v>1589</v>
      </c>
      <c r="B1007" s="230">
        <v>122235</v>
      </c>
      <c r="C1007" s="230">
        <v>10767</v>
      </c>
      <c r="D1007" s="231" t="s">
        <v>1669</v>
      </c>
      <c r="E1007" s="230">
        <v>14491078</v>
      </c>
      <c r="F1007" s="230">
        <v>55713</v>
      </c>
      <c r="G1007" s="230">
        <v>25</v>
      </c>
      <c r="H1007" s="240">
        <v>26.3</v>
      </c>
      <c r="I1007" s="240">
        <f t="shared" si="15"/>
        <v>657.5</v>
      </c>
      <c r="J1007" s="231" t="s">
        <v>1311</v>
      </c>
      <c r="K1007" s="231" t="s">
        <v>1312</v>
      </c>
      <c r="L1007" s="232">
        <v>45170</v>
      </c>
      <c r="M1007" s="232">
        <v>45199</v>
      </c>
    </row>
    <row r="1008" spans="1:13" ht="18.75" customHeight="1" x14ac:dyDescent="0.2">
      <c r="A1008" s="231" t="s">
        <v>1589</v>
      </c>
      <c r="B1008" s="230">
        <v>122240</v>
      </c>
      <c r="C1008" s="230">
        <v>10761</v>
      </c>
      <c r="D1008" s="231" t="s">
        <v>1674</v>
      </c>
      <c r="E1008" s="230">
        <v>14491078</v>
      </c>
      <c r="F1008" s="230">
        <v>55723</v>
      </c>
      <c r="G1008" s="230">
        <v>25</v>
      </c>
      <c r="H1008" s="240">
        <v>26.3</v>
      </c>
      <c r="I1008" s="240">
        <f t="shared" si="15"/>
        <v>657.5</v>
      </c>
      <c r="J1008" s="231" t="s">
        <v>1311</v>
      </c>
      <c r="K1008" s="231" t="s">
        <v>1312</v>
      </c>
      <c r="L1008" s="232">
        <v>45170</v>
      </c>
      <c r="M1008" s="232">
        <v>45199</v>
      </c>
    </row>
    <row r="1009" spans="1:13" ht="18.75" customHeight="1" x14ac:dyDescent="0.2">
      <c r="A1009" s="231" t="s">
        <v>1589</v>
      </c>
      <c r="B1009" s="230">
        <v>122250</v>
      </c>
      <c r="C1009" s="230">
        <v>10760</v>
      </c>
      <c r="D1009" s="231" t="s">
        <v>1671</v>
      </c>
      <c r="E1009" s="230">
        <v>14491078</v>
      </c>
      <c r="F1009" s="230">
        <v>55743</v>
      </c>
      <c r="G1009" s="230">
        <v>15</v>
      </c>
      <c r="H1009" s="240">
        <v>26.3</v>
      </c>
      <c r="I1009" s="240">
        <f t="shared" si="15"/>
        <v>394.5</v>
      </c>
      <c r="J1009" s="231" t="s">
        <v>1311</v>
      </c>
      <c r="K1009" s="231" t="s">
        <v>1315</v>
      </c>
      <c r="L1009" s="232">
        <v>45170</v>
      </c>
      <c r="M1009" s="232">
        <v>45199</v>
      </c>
    </row>
    <row r="1010" spans="1:13" ht="18.75" customHeight="1" x14ac:dyDescent="0.2">
      <c r="A1010" s="231" t="s">
        <v>1589</v>
      </c>
      <c r="B1010" s="230">
        <v>122252</v>
      </c>
      <c r="C1010" s="230">
        <v>10757</v>
      </c>
      <c r="D1010" s="231" t="s">
        <v>1667</v>
      </c>
      <c r="E1010" s="230">
        <v>14491078</v>
      </c>
      <c r="F1010" s="230">
        <v>55747</v>
      </c>
      <c r="G1010" s="230">
        <v>25</v>
      </c>
      <c r="H1010" s="240">
        <v>26.3</v>
      </c>
      <c r="I1010" s="240">
        <f t="shared" si="15"/>
        <v>657.5</v>
      </c>
      <c r="J1010" s="231" t="s">
        <v>1311</v>
      </c>
      <c r="K1010" s="231" t="s">
        <v>1312</v>
      </c>
      <c r="L1010" s="232">
        <v>45170</v>
      </c>
      <c r="M1010" s="232">
        <v>45199</v>
      </c>
    </row>
    <row r="1011" spans="1:13" ht="18.75" customHeight="1" x14ac:dyDescent="0.2">
      <c r="A1011" s="231" t="s">
        <v>1589</v>
      </c>
      <c r="B1011" s="230">
        <v>122254</v>
      </c>
      <c r="C1011" s="230">
        <v>10743</v>
      </c>
      <c r="D1011" s="231" t="s">
        <v>1680</v>
      </c>
      <c r="E1011" s="230">
        <v>14491078</v>
      </c>
      <c r="F1011" s="230">
        <v>55752</v>
      </c>
      <c r="G1011" s="230">
        <v>25</v>
      </c>
      <c r="H1011" s="240">
        <v>26.3</v>
      </c>
      <c r="I1011" s="240">
        <f t="shared" si="15"/>
        <v>657.5</v>
      </c>
      <c r="J1011" s="231" t="s">
        <v>1311</v>
      </c>
      <c r="K1011" s="231" t="s">
        <v>1315</v>
      </c>
      <c r="L1011" s="232">
        <v>45170</v>
      </c>
      <c r="M1011" s="232">
        <v>45199</v>
      </c>
    </row>
    <row r="1012" spans="1:13" ht="18.75" customHeight="1" x14ac:dyDescent="0.2">
      <c r="A1012" s="231" t="s">
        <v>1589</v>
      </c>
      <c r="B1012" s="230">
        <v>122334</v>
      </c>
      <c r="C1012" s="230">
        <v>10766</v>
      </c>
      <c r="D1012" s="231" t="s">
        <v>1665</v>
      </c>
      <c r="E1012" s="230">
        <v>14491078</v>
      </c>
      <c r="F1012" s="230">
        <v>55963</v>
      </c>
      <c r="G1012" s="230">
        <v>25</v>
      </c>
      <c r="H1012" s="240">
        <v>26.3</v>
      </c>
      <c r="I1012" s="240">
        <f t="shared" si="15"/>
        <v>657.5</v>
      </c>
      <c r="J1012" s="231" t="s">
        <v>1311</v>
      </c>
      <c r="K1012" s="231" t="s">
        <v>1315</v>
      </c>
      <c r="L1012" s="232">
        <v>45170</v>
      </c>
      <c r="M1012" s="232">
        <v>45199</v>
      </c>
    </row>
    <row r="1013" spans="1:13" ht="18.75" customHeight="1" x14ac:dyDescent="0.2">
      <c r="A1013" s="231" t="s">
        <v>1589</v>
      </c>
      <c r="B1013" s="230">
        <v>122403</v>
      </c>
      <c r="C1013" s="230">
        <v>10758</v>
      </c>
      <c r="D1013" s="231" t="s">
        <v>1713</v>
      </c>
      <c r="E1013" s="230">
        <v>14491078</v>
      </c>
      <c r="F1013" s="230">
        <v>56125</v>
      </c>
      <c r="G1013" s="230">
        <v>25</v>
      </c>
      <c r="H1013" s="240">
        <v>26.3</v>
      </c>
      <c r="I1013" s="240">
        <f t="shared" si="15"/>
        <v>657.5</v>
      </c>
      <c r="J1013" s="231" t="s">
        <v>1311</v>
      </c>
      <c r="K1013" s="231" t="s">
        <v>1312</v>
      </c>
      <c r="L1013" s="232">
        <v>45170</v>
      </c>
      <c r="M1013" s="232">
        <v>45199</v>
      </c>
    </row>
    <row r="1014" spans="1:13" ht="18.75" customHeight="1" x14ac:dyDescent="0.2">
      <c r="A1014" s="231" t="s">
        <v>1589</v>
      </c>
      <c r="B1014" s="230">
        <v>122404</v>
      </c>
      <c r="C1014" s="230">
        <v>10755</v>
      </c>
      <c r="D1014" s="231" t="s">
        <v>1690</v>
      </c>
      <c r="E1014" s="230">
        <v>14491078</v>
      </c>
      <c r="F1014" s="230">
        <v>56127</v>
      </c>
      <c r="G1014" s="230">
        <v>25</v>
      </c>
      <c r="H1014" s="240">
        <v>26.3</v>
      </c>
      <c r="I1014" s="240">
        <f t="shared" si="15"/>
        <v>657.5</v>
      </c>
      <c r="J1014" s="231" t="s">
        <v>1311</v>
      </c>
      <c r="K1014" s="231" t="s">
        <v>1312</v>
      </c>
      <c r="L1014" s="232">
        <v>45170</v>
      </c>
      <c r="M1014" s="232">
        <v>45199</v>
      </c>
    </row>
    <row r="1015" spans="1:13" ht="18.75" customHeight="1" x14ac:dyDescent="0.2">
      <c r="A1015" s="231" t="s">
        <v>1589</v>
      </c>
      <c r="B1015" s="230">
        <v>122405</v>
      </c>
      <c r="C1015" s="230">
        <v>10768</v>
      </c>
      <c r="D1015" s="231" t="s">
        <v>1706</v>
      </c>
      <c r="E1015" s="230">
        <v>14491078</v>
      </c>
      <c r="F1015" s="230">
        <v>56129</v>
      </c>
      <c r="G1015" s="230">
        <v>25</v>
      </c>
      <c r="H1015" s="240">
        <v>26.3</v>
      </c>
      <c r="I1015" s="240">
        <f t="shared" si="15"/>
        <v>657.5</v>
      </c>
      <c r="J1015" s="231" t="s">
        <v>1311</v>
      </c>
      <c r="K1015" s="231" t="s">
        <v>1315</v>
      </c>
      <c r="L1015" s="232">
        <v>45170</v>
      </c>
      <c r="M1015" s="232">
        <v>45199</v>
      </c>
    </row>
    <row r="1016" spans="1:13" ht="18.75" customHeight="1" x14ac:dyDescent="0.2">
      <c r="A1016" s="231" t="s">
        <v>1589</v>
      </c>
      <c r="B1016" s="230">
        <v>122406</v>
      </c>
      <c r="C1016" s="230">
        <v>10755</v>
      </c>
      <c r="D1016" s="231" t="s">
        <v>1714</v>
      </c>
      <c r="E1016" s="230">
        <v>14491078</v>
      </c>
      <c r="F1016" s="230">
        <v>56131</v>
      </c>
      <c r="G1016" s="230">
        <v>25</v>
      </c>
      <c r="H1016" s="240">
        <v>26.3</v>
      </c>
      <c r="I1016" s="240">
        <f t="shared" si="15"/>
        <v>657.5</v>
      </c>
      <c r="J1016" s="231" t="s">
        <v>1311</v>
      </c>
      <c r="K1016" s="231" t="s">
        <v>1312</v>
      </c>
      <c r="L1016" s="232">
        <v>45170</v>
      </c>
      <c r="M1016" s="232">
        <v>45199</v>
      </c>
    </row>
    <row r="1017" spans="1:13" ht="18.75" customHeight="1" x14ac:dyDescent="0.2">
      <c r="A1017" s="231" t="s">
        <v>1589</v>
      </c>
      <c r="B1017" s="230">
        <v>122409</v>
      </c>
      <c r="C1017" s="230">
        <v>10755</v>
      </c>
      <c r="D1017" s="231" t="s">
        <v>1705</v>
      </c>
      <c r="E1017" s="230">
        <v>14491078</v>
      </c>
      <c r="F1017" s="230">
        <v>56139</v>
      </c>
      <c r="G1017" s="230">
        <v>25</v>
      </c>
      <c r="H1017" s="240">
        <v>26.3</v>
      </c>
      <c r="I1017" s="240">
        <f t="shared" si="15"/>
        <v>657.5</v>
      </c>
      <c r="J1017" s="231" t="s">
        <v>1311</v>
      </c>
      <c r="K1017" s="231" t="s">
        <v>1312</v>
      </c>
      <c r="L1017" s="232">
        <v>45170</v>
      </c>
      <c r="M1017" s="232">
        <v>45199</v>
      </c>
    </row>
    <row r="1018" spans="1:13" ht="18.75" customHeight="1" x14ac:dyDescent="0.2">
      <c r="A1018" s="231" t="s">
        <v>1589</v>
      </c>
      <c r="B1018" s="230">
        <v>122410</v>
      </c>
      <c r="C1018" s="230">
        <v>10757</v>
      </c>
      <c r="D1018" s="231" t="s">
        <v>1695</v>
      </c>
      <c r="E1018" s="230">
        <v>14491078</v>
      </c>
      <c r="F1018" s="230">
        <v>56141</v>
      </c>
      <c r="G1018" s="230">
        <v>25</v>
      </c>
      <c r="H1018" s="240">
        <v>26.3</v>
      </c>
      <c r="I1018" s="240">
        <f t="shared" si="15"/>
        <v>657.5</v>
      </c>
      <c r="J1018" s="231" t="s">
        <v>1311</v>
      </c>
      <c r="K1018" s="231" t="s">
        <v>1312</v>
      </c>
      <c r="L1018" s="232">
        <v>45170</v>
      </c>
      <c r="M1018" s="232">
        <v>45199</v>
      </c>
    </row>
    <row r="1019" spans="1:13" ht="18.75" customHeight="1" x14ac:dyDescent="0.2">
      <c r="A1019" s="231" t="s">
        <v>1589</v>
      </c>
      <c r="B1019" s="230">
        <v>122411</v>
      </c>
      <c r="C1019" s="230">
        <v>10758</v>
      </c>
      <c r="D1019" s="231" t="s">
        <v>1691</v>
      </c>
      <c r="E1019" s="230">
        <v>14491078</v>
      </c>
      <c r="F1019" s="230">
        <v>56143</v>
      </c>
      <c r="G1019" s="230">
        <v>25</v>
      </c>
      <c r="H1019" s="240">
        <v>26.3</v>
      </c>
      <c r="I1019" s="240">
        <f t="shared" si="15"/>
        <v>657.5</v>
      </c>
      <c r="J1019" s="231" t="s">
        <v>1311</v>
      </c>
      <c r="K1019" s="231" t="s">
        <v>1312</v>
      </c>
      <c r="L1019" s="232">
        <v>45170</v>
      </c>
      <c r="M1019" s="232">
        <v>45199</v>
      </c>
    </row>
    <row r="1020" spans="1:13" ht="18.75" customHeight="1" x14ac:dyDescent="0.2">
      <c r="A1020" s="231" t="s">
        <v>1589</v>
      </c>
      <c r="B1020" s="230">
        <v>122415</v>
      </c>
      <c r="C1020" s="230">
        <v>10755</v>
      </c>
      <c r="D1020" s="231" t="s">
        <v>1698</v>
      </c>
      <c r="E1020" s="230">
        <v>14491078</v>
      </c>
      <c r="F1020" s="230">
        <v>56151</v>
      </c>
      <c r="G1020" s="230">
        <v>25</v>
      </c>
      <c r="H1020" s="240">
        <v>26.3</v>
      </c>
      <c r="I1020" s="240">
        <f t="shared" si="15"/>
        <v>657.5</v>
      </c>
      <c r="J1020" s="231" t="s">
        <v>1311</v>
      </c>
      <c r="K1020" s="231" t="s">
        <v>1312</v>
      </c>
      <c r="L1020" s="232">
        <v>45170</v>
      </c>
      <c r="M1020" s="232">
        <v>45199</v>
      </c>
    </row>
    <row r="1021" spans="1:13" ht="18.75" customHeight="1" x14ac:dyDescent="0.2">
      <c r="A1021" s="231" t="s">
        <v>1589</v>
      </c>
      <c r="B1021" s="230">
        <v>122418</v>
      </c>
      <c r="C1021" s="230">
        <v>10755</v>
      </c>
      <c r="D1021" s="231" t="s">
        <v>1710</v>
      </c>
      <c r="E1021" s="230">
        <v>14491078</v>
      </c>
      <c r="F1021" s="230">
        <v>56157</v>
      </c>
      <c r="G1021" s="230">
        <v>25</v>
      </c>
      <c r="H1021" s="240">
        <v>26.3</v>
      </c>
      <c r="I1021" s="240">
        <f t="shared" si="15"/>
        <v>657.5</v>
      </c>
      <c r="J1021" s="231" t="s">
        <v>1311</v>
      </c>
      <c r="K1021" s="231" t="s">
        <v>1315</v>
      </c>
      <c r="L1021" s="232">
        <v>45170</v>
      </c>
      <c r="M1021" s="232">
        <v>45199</v>
      </c>
    </row>
    <row r="1022" spans="1:13" ht="18.75" customHeight="1" x14ac:dyDescent="0.2">
      <c r="A1022" s="231" t="s">
        <v>1589</v>
      </c>
      <c r="B1022" s="230">
        <v>122424</v>
      </c>
      <c r="C1022" s="230">
        <v>10755</v>
      </c>
      <c r="D1022" s="231" t="s">
        <v>1712</v>
      </c>
      <c r="E1022" s="230">
        <v>14491078</v>
      </c>
      <c r="F1022" s="230">
        <v>56169</v>
      </c>
      <c r="G1022" s="230">
        <v>22</v>
      </c>
      <c r="H1022" s="240">
        <v>26.3</v>
      </c>
      <c r="I1022" s="240">
        <f t="shared" si="15"/>
        <v>578.6</v>
      </c>
      <c r="J1022" s="231" t="s">
        <v>1311</v>
      </c>
      <c r="K1022" s="231" t="s">
        <v>1312</v>
      </c>
      <c r="L1022" s="232">
        <v>45170</v>
      </c>
      <c r="M1022" s="232">
        <v>45199</v>
      </c>
    </row>
    <row r="1023" spans="1:13" ht="18.75" customHeight="1" x14ac:dyDescent="0.2">
      <c r="A1023" s="231" t="s">
        <v>1589</v>
      </c>
      <c r="B1023" s="230">
        <v>122425</v>
      </c>
      <c r="C1023" s="230">
        <v>10766</v>
      </c>
      <c r="D1023" s="231" t="s">
        <v>1700</v>
      </c>
      <c r="E1023" s="230">
        <v>14491078</v>
      </c>
      <c r="F1023" s="230">
        <v>56171</v>
      </c>
      <c r="G1023" s="230">
        <v>25</v>
      </c>
      <c r="H1023" s="240">
        <v>26.3</v>
      </c>
      <c r="I1023" s="240">
        <f t="shared" si="15"/>
        <v>657.5</v>
      </c>
      <c r="J1023" s="231" t="s">
        <v>1311</v>
      </c>
      <c r="K1023" s="231" t="s">
        <v>1312</v>
      </c>
      <c r="L1023" s="232">
        <v>45170</v>
      </c>
      <c r="M1023" s="232">
        <v>45199</v>
      </c>
    </row>
    <row r="1024" spans="1:13" ht="18.75" customHeight="1" x14ac:dyDescent="0.2">
      <c r="A1024" s="231" t="s">
        <v>1589</v>
      </c>
      <c r="B1024" s="230">
        <v>122437</v>
      </c>
      <c r="C1024" s="230">
        <v>10757</v>
      </c>
      <c r="D1024" s="231" t="s">
        <v>1692</v>
      </c>
      <c r="E1024" s="230">
        <v>14491078</v>
      </c>
      <c r="F1024" s="230">
        <v>56195</v>
      </c>
      <c r="G1024" s="230">
        <v>25</v>
      </c>
      <c r="H1024" s="240">
        <v>26.3</v>
      </c>
      <c r="I1024" s="240">
        <f t="shared" si="15"/>
        <v>657.5</v>
      </c>
      <c r="J1024" s="231" t="s">
        <v>1311</v>
      </c>
      <c r="K1024" s="231" t="s">
        <v>1312</v>
      </c>
      <c r="L1024" s="232">
        <v>45170</v>
      </c>
      <c r="M1024" s="232">
        <v>45199</v>
      </c>
    </row>
    <row r="1025" spans="1:13" ht="18.75" customHeight="1" x14ac:dyDescent="0.2">
      <c r="A1025" s="231" t="s">
        <v>1589</v>
      </c>
      <c r="B1025" s="230">
        <v>122438</v>
      </c>
      <c r="C1025" s="230">
        <v>10758</v>
      </c>
      <c r="D1025" s="231" t="s">
        <v>1694</v>
      </c>
      <c r="E1025" s="230">
        <v>14491078</v>
      </c>
      <c r="F1025" s="230">
        <v>56197</v>
      </c>
      <c r="G1025" s="230">
        <v>25</v>
      </c>
      <c r="H1025" s="240">
        <v>26.3</v>
      </c>
      <c r="I1025" s="240">
        <f t="shared" si="15"/>
        <v>657.5</v>
      </c>
      <c r="J1025" s="231" t="s">
        <v>1311</v>
      </c>
      <c r="K1025" s="231" t="s">
        <v>1312</v>
      </c>
      <c r="L1025" s="232">
        <v>45170</v>
      </c>
      <c r="M1025" s="232">
        <v>45199</v>
      </c>
    </row>
    <row r="1026" spans="1:13" ht="18.75" customHeight="1" x14ac:dyDescent="0.2">
      <c r="A1026" s="231" t="s">
        <v>1589</v>
      </c>
      <c r="B1026" s="230">
        <v>122439</v>
      </c>
      <c r="C1026" s="230">
        <v>10758</v>
      </c>
      <c r="D1026" s="231" t="s">
        <v>1702</v>
      </c>
      <c r="E1026" s="230">
        <v>14491078</v>
      </c>
      <c r="F1026" s="230">
        <v>56199</v>
      </c>
      <c r="G1026" s="230">
        <v>25</v>
      </c>
      <c r="H1026" s="240">
        <v>26.3</v>
      </c>
      <c r="I1026" s="240">
        <f t="shared" si="15"/>
        <v>657.5</v>
      </c>
      <c r="J1026" s="231" t="s">
        <v>1311</v>
      </c>
      <c r="K1026" s="231" t="s">
        <v>1315</v>
      </c>
      <c r="L1026" s="232">
        <v>45170</v>
      </c>
      <c r="M1026" s="232">
        <v>45199</v>
      </c>
    </row>
    <row r="1027" spans="1:13" ht="18.75" customHeight="1" x14ac:dyDescent="0.2">
      <c r="A1027" s="231" t="s">
        <v>1589</v>
      </c>
      <c r="B1027" s="230">
        <v>122440</v>
      </c>
      <c r="C1027" s="230">
        <v>10755</v>
      </c>
      <c r="D1027" s="231" t="s">
        <v>1693</v>
      </c>
      <c r="E1027" s="230">
        <v>14491078</v>
      </c>
      <c r="F1027" s="230">
        <v>56201</v>
      </c>
      <c r="G1027" s="230">
        <v>25</v>
      </c>
      <c r="H1027" s="240">
        <v>26.3</v>
      </c>
      <c r="I1027" s="240">
        <f t="shared" ref="I1027:I1090" si="16">G1027*H1027</f>
        <v>657.5</v>
      </c>
      <c r="J1027" s="231" t="s">
        <v>1311</v>
      </c>
      <c r="K1027" s="231" t="s">
        <v>1312</v>
      </c>
      <c r="L1027" s="232">
        <v>45170</v>
      </c>
      <c r="M1027" s="232">
        <v>45199</v>
      </c>
    </row>
    <row r="1028" spans="1:13" ht="18.75" customHeight="1" x14ac:dyDescent="0.2">
      <c r="A1028" s="231" t="s">
        <v>1589</v>
      </c>
      <c r="B1028" s="230">
        <v>122570</v>
      </c>
      <c r="C1028" s="230">
        <v>10761</v>
      </c>
      <c r="D1028" s="231" t="s">
        <v>1699</v>
      </c>
      <c r="E1028" s="230">
        <v>14491078</v>
      </c>
      <c r="F1028" s="230">
        <v>56532</v>
      </c>
      <c r="G1028" s="230">
        <v>25</v>
      </c>
      <c r="H1028" s="240">
        <v>26.3</v>
      </c>
      <c r="I1028" s="240">
        <f t="shared" si="16"/>
        <v>657.5</v>
      </c>
      <c r="J1028" s="231" t="s">
        <v>1311</v>
      </c>
      <c r="K1028" s="231" t="s">
        <v>1312</v>
      </c>
      <c r="L1028" s="232">
        <v>45170</v>
      </c>
      <c r="M1028" s="232">
        <v>45199</v>
      </c>
    </row>
    <row r="1029" spans="1:13" ht="18.75" customHeight="1" x14ac:dyDescent="0.2">
      <c r="A1029" s="231" t="s">
        <v>1589</v>
      </c>
      <c r="B1029" s="230">
        <v>122571</v>
      </c>
      <c r="C1029" s="230">
        <v>10761</v>
      </c>
      <c r="D1029" s="231" t="s">
        <v>1709</v>
      </c>
      <c r="E1029" s="230">
        <v>14491078</v>
      </c>
      <c r="F1029" s="230">
        <v>56534</v>
      </c>
      <c r="G1029" s="230">
        <v>25</v>
      </c>
      <c r="H1029" s="240">
        <v>26.3</v>
      </c>
      <c r="I1029" s="240">
        <f t="shared" si="16"/>
        <v>657.5</v>
      </c>
      <c r="J1029" s="231" t="s">
        <v>1311</v>
      </c>
      <c r="K1029" s="231" t="s">
        <v>1312</v>
      </c>
      <c r="L1029" s="232">
        <v>45170</v>
      </c>
      <c r="M1029" s="232">
        <v>45199</v>
      </c>
    </row>
    <row r="1030" spans="1:13" ht="18.75" customHeight="1" x14ac:dyDescent="0.2">
      <c r="A1030" s="231" t="s">
        <v>1589</v>
      </c>
      <c r="B1030" s="230">
        <v>122573</v>
      </c>
      <c r="C1030" s="230">
        <v>10761</v>
      </c>
      <c r="D1030" s="231" t="s">
        <v>1696</v>
      </c>
      <c r="E1030" s="230">
        <v>14491078</v>
      </c>
      <c r="F1030" s="230">
        <v>56538</v>
      </c>
      <c r="G1030" s="230">
        <v>25</v>
      </c>
      <c r="H1030" s="240">
        <v>26.3</v>
      </c>
      <c r="I1030" s="240">
        <f t="shared" si="16"/>
        <v>657.5</v>
      </c>
      <c r="J1030" s="231" t="s">
        <v>1311</v>
      </c>
      <c r="K1030" s="231" t="s">
        <v>1312</v>
      </c>
      <c r="L1030" s="232">
        <v>45170</v>
      </c>
      <c r="M1030" s="232">
        <v>45199</v>
      </c>
    </row>
    <row r="1031" spans="1:13" ht="18.75" customHeight="1" x14ac:dyDescent="0.2">
      <c r="A1031" s="231" t="s">
        <v>1589</v>
      </c>
      <c r="B1031" s="230">
        <v>122574</v>
      </c>
      <c r="C1031" s="230">
        <v>10761</v>
      </c>
      <c r="D1031" s="231" t="s">
        <v>1697</v>
      </c>
      <c r="E1031" s="230">
        <v>14491078</v>
      </c>
      <c r="F1031" s="230">
        <v>56540</v>
      </c>
      <c r="G1031" s="230">
        <v>25</v>
      </c>
      <c r="H1031" s="240">
        <v>26.3</v>
      </c>
      <c r="I1031" s="240">
        <f t="shared" si="16"/>
        <v>657.5</v>
      </c>
      <c r="J1031" s="231" t="s">
        <v>1311</v>
      </c>
      <c r="K1031" s="231" t="s">
        <v>1312</v>
      </c>
      <c r="L1031" s="232">
        <v>45170</v>
      </c>
      <c r="M1031" s="232">
        <v>45199</v>
      </c>
    </row>
    <row r="1032" spans="1:13" ht="18.75" customHeight="1" x14ac:dyDescent="0.2">
      <c r="A1032" s="231" t="s">
        <v>1589</v>
      </c>
      <c r="B1032" s="230">
        <v>122632</v>
      </c>
      <c r="C1032" s="230">
        <v>10757</v>
      </c>
      <c r="D1032" s="231" t="s">
        <v>1726</v>
      </c>
      <c r="E1032" s="230">
        <v>14491078</v>
      </c>
      <c r="F1032" s="230">
        <v>56693</v>
      </c>
      <c r="G1032" s="230">
        <v>25</v>
      </c>
      <c r="H1032" s="240">
        <v>26.3</v>
      </c>
      <c r="I1032" s="240">
        <f t="shared" si="16"/>
        <v>657.5</v>
      </c>
      <c r="J1032" s="231" t="s">
        <v>1311</v>
      </c>
      <c r="K1032" s="231" t="s">
        <v>1315</v>
      </c>
      <c r="L1032" s="232">
        <v>45170</v>
      </c>
      <c r="M1032" s="232">
        <v>45199</v>
      </c>
    </row>
    <row r="1033" spans="1:13" ht="18.75" customHeight="1" x14ac:dyDescent="0.2">
      <c r="A1033" s="231" t="s">
        <v>32</v>
      </c>
      <c r="B1033" s="230">
        <v>112189</v>
      </c>
      <c r="C1033" s="230">
        <v>10750</v>
      </c>
      <c r="D1033" s="231" t="s">
        <v>24</v>
      </c>
      <c r="E1033" s="230">
        <v>14491078</v>
      </c>
      <c r="F1033" s="230">
        <v>28813</v>
      </c>
      <c r="G1033" s="230">
        <v>25</v>
      </c>
      <c r="H1033" s="240">
        <v>26.3</v>
      </c>
      <c r="I1033" s="240">
        <f t="shared" si="16"/>
        <v>657.5</v>
      </c>
      <c r="J1033" s="231" t="s">
        <v>1311</v>
      </c>
      <c r="K1033" s="231" t="s">
        <v>1312</v>
      </c>
      <c r="L1033" s="232">
        <v>45170</v>
      </c>
      <c r="M1033" s="232">
        <v>45199</v>
      </c>
    </row>
    <row r="1034" spans="1:13" ht="18.75" customHeight="1" x14ac:dyDescent="0.2">
      <c r="A1034" s="231" t="s">
        <v>32</v>
      </c>
      <c r="B1034" s="230">
        <v>112271</v>
      </c>
      <c r="C1034" s="230">
        <v>10766</v>
      </c>
      <c r="D1034" s="231" t="s">
        <v>78</v>
      </c>
      <c r="E1034" s="230">
        <v>14491078</v>
      </c>
      <c r="F1034" s="230">
        <v>28977</v>
      </c>
      <c r="G1034" s="230">
        <v>25</v>
      </c>
      <c r="H1034" s="240">
        <v>26.3</v>
      </c>
      <c r="I1034" s="240">
        <f t="shared" si="16"/>
        <v>657.5</v>
      </c>
      <c r="J1034" s="231" t="s">
        <v>1311</v>
      </c>
      <c r="K1034" s="231" t="s">
        <v>1312</v>
      </c>
      <c r="L1034" s="232">
        <v>45170</v>
      </c>
      <c r="M1034" s="232">
        <v>45199</v>
      </c>
    </row>
    <row r="1035" spans="1:13" ht="18.75" customHeight="1" x14ac:dyDescent="0.2">
      <c r="A1035" s="231" t="s">
        <v>32</v>
      </c>
      <c r="B1035" s="230">
        <v>112273</v>
      </c>
      <c r="C1035" s="230">
        <v>10755</v>
      </c>
      <c r="D1035" s="231" t="s">
        <v>79</v>
      </c>
      <c r="E1035" s="230">
        <v>14491078</v>
      </c>
      <c r="F1035" s="230">
        <v>28981</v>
      </c>
      <c r="G1035" s="230">
        <v>25</v>
      </c>
      <c r="H1035" s="240">
        <v>26.3</v>
      </c>
      <c r="I1035" s="240">
        <f t="shared" si="16"/>
        <v>657.5</v>
      </c>
      <c r="J1035" s="231" t="s">
        <v>1311</v>
      </c>
      <c r="K1035" s="231" t="s">
        <v>1312</v>
      </c>
      <c r="L1035" s="232">
        <v>45170</v>
      </c>
      <c r="M1035" s="232">
        <v>45199</v>
      </c>
    </row>
    <row r="1036" spans="1:13" ht="18.75" customHeight="1" x14ac:dyDescent="0.2">
      <c r="A1036" s="231" t="s">
        <v>32</v>
      </c>
      <c r="B1036" s="230">
        <v>112353</v>
      </c>
      <c r="C1036" s="230">
        <v>10750</v>
      </c>
      <c r="D1036" s="231" t="s">
        <v>127</v>
      </c>
      <c r="E1036" s="230">
        <v>14491078</v>
      </c>
      <c r="F1036" s="230">
        <v>29141</v>
      </c>
      <c r="G1036" s="230">
        <v>25</v>
      </c>
      <c r="H1036" s="240">
        <v>26.3</v>
      </c>
      <c r="I1036" s="240">
        <f t="shared" si="16"/>
        <v>657.5</v>
      </c>
      <c r="J1036" s="231" t="s">
        <v>1311</v>
      </c>
      <c r="K1036" s="231" t="s">
        <v>1312</v>
      </c>
      <c r="L1036" s="232">
        <v>45170</v>
      </c>
      <c r="M1036" s="232">
        <v>45199</v>
      </c>
    </row>
    <row r="1037" spans="1:13" ht="18.75" customHeight="1" x14ac:dyDescent="0.2">
      <c r="A1037" s="231" t="s">
        <v>32</v>
      </c>
      <c r="B1037" s="230">
        <v>112440</v>
      </c>
      <c r="C1037" s="230">
        <v>10771</v>
      </c>
      <c r="D1037" s="231" t="s">
        <v>181</v>
      </c>
      <c r="E1037" s="230">
        <v>14491078</v>
      </c>
      <c r="F1037" s="230">
        <v>29315</v>
      </c>
      <c r="G1037" s="230">
        <v>25</v>
      </c>
      <c r="H1037" s="240">
        <v>26.3</v>
      </c>
      <c r="I1037" s="240">
        <f t="shared" si="16"/>
        <v>657.5</v>
      </c>
      <c r="J1037" s="231" t="s">
        <v>1311</v>
      </c>
      <c r="K1037" s="231" t="s">
        <v>1312</v>
      </c>
      <c r="L1037" s="232">
        <v>45170</v>
      </c>
      <c r="M1037" s="232">
        <v>45199</v>
      </c>
    </row>
    <row r="1038" spans="1:13" ht="18.75" customHeight="1" x14ac:dyDescent="0.2">
      <c r="A1038" s="231" t="s">
        <v>32</v>
      </c>
      <c r="B1038" s="230">
        <v>112481</v>
      </c>
      <c r="C1038" s="230">
        <v>10756</v>
      </c>
      <c r="D1038" s="231" t="s">
        <v>207</v>
      </c>
      <c r="E1038" s="230">
        <v>14491078</v>
      </c>
      <c r="F1038" s="230">
        <v>29397</v>
      </c>
      <c r="G1038" s="230">
        <v>25</v>
      </c>
      <c r="H1038" s="240">
        <v>26.3</v>
      </c>
      <c r="I1038" s="240">
        <f t="shared" si="16"/>
        <v>657.5</v>
      </c>
      <c r="J1038" s="231" t="s">
        <v>1311</v>
      </c>
      <c r="K1038" s="231" t="s">
        <v>1312</v>
      </c>
      <c r="L1038" s="232">
        <v>45170</v>
      </c>
      <c r="M1038" s="232">
        <v>45199</v>
      </c>
    </row>
    <row r="1039" spans="1:13" ht="18.75" customHeight="1" x14ac:dyDescent="0.2">
      <c r="A1039" s="231" t="s">
        <v>32</v>
      </c>
      <c r="B1039" s="230">
        <v>112489</v>
      </c>
      <c r="C1039" s="230">
        <v>10750</v>
      </c>
      <c r="D1039" s="231" t="s">
        <v>1551</v>
      </c>
      <c r="E1039" s="230">
        <v>14491078</v>
      </c>
      <c r="F1039" s="230">
        <v>29413</v>
      </c>
      <c r="G1039" s="230">
        <v>25</v>
      </c>
      <c r="H1039" s="240">
        <v>26.3</v>
      </c>
      <c r="I1039" s="240">
        <f t="shared" si="16"/>
        <v>657.5</v>
      </c>
      <c r="J1039" s="231" t="s">
        <v>1311</v>
      </c>
      <c r="K1039" s="231" t="s">
        <v>1312</v>
      </c>
      <c r="L1039" s="232">
        <v>45170</v>
      </c>
      <c r="M1039" s="232">
        <v>45199</v>
      </c>
    </row>
    <row r="1040" spans="1:13" ht="18.75" customHeight="1" x14ac:dyDescent="0.2">
      <c r="A1040" s="231" t="s">
        <v>32</v>
      </c>
      <c r="B1040" s="230">
        <v>112495</v>
      </c>
      <c r="C1040" s="230">
        <v>10766</v>
      </c>
      <c r="D1040" s="231" t="s">
        <v>215</v>
      </c>
      <c r="E1040" s="230">
        <v>14491078</v>
      </c>
      <c r="F1040" s="230">
        <v>29425</v>
      </c>
      <c r="G1040" s="230">
        <v>25</v>
      </c>
      <c r="H1040" s="240">
        <v>26.3</v>
      </c>
      <c r="I1040" s="240">
        <f t="shared" si="16"/>
        <v>657.5</v>
      </c>
      <c r="J1040" s="231" t="s">
        <v>1311</v>
      </c>
      <c r="K1040" s="231" t="s">
        <v>1312</v>
      </c>
      <c r="L1040" s="232">
        <v>45170</v>
      </c>
      <c r="M1040" s="232">
        <v>45199</v>
      </c>
    </row>
    <row r="1041" spans="1:13" ht="18.75" customHeight="1" x14ac:dyDescent="0.2">
      <c r="A1041" s="231" t="s">
        <v>32</v>
      </c>
      <c r="B1041" s="230">
        <v>112499</v>
      </c>
      <c r="C1041" s="230">
        <v>10756</v>
      </c>
      <c r="D1041" s="231" t="s">
        <v>218</v>
      </c>
      <c r="E1041" s="230">
        <v>14491078</v>
      </c>
      <c r="F1041" s="230">
        <v>29433</v>
      </c>
      <c r="G1041" s="230">
        <v>25</v>
      </c>
      <c r="H1041" s="240">
        <v>26.3</v>
      </c>
      <c r="I1041" s="240">
        <f t="shared" si="16"/>
        <v>657.5</v>
      </c>
      <c r="J1041" s="231" t="s">
        <v>1311</v>
      </c>
      <c r="K1041" s="231" t="s">
        <v>1312</v>
      </c>
      <c r="L1041" s="232">
        <v>45170</v>
      </c>
      <c r="M1041" s="232">
        <v>45199</v>
      </c>
    </row>
    <row r="1042" spans="1:13" ht="18.75" customHeight="1" x14ac:dyDescent="0.2">
      <c r="A1042" s="231" t="s">
        <v>32</v>
      </c>
      <c r="B1042" s="230">
        <v>112505</v>
      </c>
      <c r="C1042" s="230">
        <v>10756</v>
      </c>
      <c r="D1042" s="231" t="s">
        <v>223</v>
      </c>
      <c r="E1042" s="230">
        <v>14491078</v>
      </c>
      <c r="F1042" s="230">
        <v>29445</v>
      </c>
      <c r="G1042" s="230">
        <v>25</v>
      </c>
      <c r="H1042" s="240">
        <v>26.3</v>
      </c>
      <c r="I1042" s="240">
        <f t="shared" si="16"/>
        <v>657.5</v>
      </c>
      <c r="J1042" s="231" t="s">
        <v>1311</v>
      </c>
      <c r="K1042" s="231" t="s">
        <v>1312</v>
      </c>
      <c r="L1042" s="232">
        <v>45170</v>
      </c>
      <c r="M1042" s="232">
        <v>45199</v>
      </c>
    </row>
    <row r="1043" spans="1:13" ht="18.75" customHeight="1" x14ac:dyDescent="0.2">
      <c r="A1043" s="231" t="s">
        <v>32</v>
      </c>
      <c r="B1043" s="230">
        <v>112531</v>
      </c>
      <c r="C1043" s="230">
        <v>10750</v>
      </c>
      <c r="D1043" s="231" t="s">
        <v>243</v>
      </c>
      <c r="E1043" s="230">
        <v>14491078</v>
      </c>
      <c r="F1043" s="230">
        <v>29497</v>
      </c>
      <c r="G1043" s="230">
        <v>25</v>
      </c>
      <c r="H1043" s="240">
        <v>26.3</v>
      </c>
      <c r="I1043" s="240">
        <f t="shared" si="16"/>
        <v>657.5</v>
      </c>
      <c r="J1043" s="231" t="s">
        <v>1311</v>
      </c>
      <c r="K1043" s="231" t="s">
        <v>1312</v>
      </c>
      <c r="L1043" s="232">
        <v>45170</v>
      </c>
      <c r="M1043" s="232">
        <v>45199</v>
      </c>
    </row>
    <row r="1044" spans="1:13" ht="18.75" customHeight="1" x14ac:dyDescent="0.2">
      <c r="A1044" s="231" t="s">
        <v>32</v>
      </c>
      <c r="B1044" s="230">
        <v>112548</v>
      </c>
      <c r="C1044" s="230">
        <v>10756</v>
      </c>
      <c r="D1044" s="231" t="s">
        <v>258</v>
      </c>
      <c r="E1044" s="230">
        <v>14491078</v>
      </c>
      <c r="F1044" s="230">
        <v>29531</v>
      </c>
      <c r="G1044" s="230">
        <v>25</v>
      </c>
      <c r="H1044" s="240">
        <v>26.3</v>
      </c>
      <c r="I1044" s="240">
        <f t="shared" si="16"/>
        <v>657.5</v>
      </c>
      <c r="J1044" s="231" t="s">
        <v>1311</v>
      </c>
      <c r="K1044" s="231" t="s">
        <v>1312</v>
      </c>
      <c r="L1044" s="232">
        <v>45170</v>
      </c>
      <c r="M1044" s="232">
        <v>45199</v>
      </c>
    </row>
    <row r="1045" spans="1:13" ht="18.75" customHeight="1" x14ac:dyDescent="0.2">
      <c r="A1045" s="231" t="s">
        <v>32</v>
      </c>
      <c r="B1045" s="230">
        <v>112573</v>
      </c>
      <c r="C1045" s="230">
        <v>10757</v>
      </c>
      <c r="D1045" s="231" t="s">
        <v>272</v>
      </c>
      <c r="E1045" s="230">
        <v>14491078</v>
      </c>
      <c r="F1045" s="230">
        <v>29581</v>
      </c>
      <c r="G1045" s="230">
        <v>25</v>
      </c>
      <c r="H1045" s="240">
        <v>26.3</v>
      </c>
      <c r="I1045" s="240">
        <f t="shared" si="16"/>
        <v>657.5</v>
      </c>
      <c r="J1045" s="231" t="s">
        <v>1311</v>
      </c>
      <c r="K1045" s="231" t="s">
        <v>1312</v>
      </c>
      <c r="L1045" s="232">
        <v>45170</v>
      </c>
      <c r="M1045" s="232">
        <v>45199</v>
      </c>
    </row>
    <row r="1046" spans="1:13" ht="18.75" customHeight="1" x14ac:dyDescent="0.2">
      <c r="A1046" s="231" t="s">
        <v>32</v>
      </c>
      <c r="B1046" s="230">
        <v>112594</v>
      </c>
      <c r="C1046" s="230">
        <v>10751</v>
      </c>
      <c r="D1046" s="231" t="s">
        <v>284</v>
      </c>
      <c r="E1046" s="230">
        <v>14491078</v>
      </c>
      <c r="F1046" s="230">
        <v>29623</v>
      </c>
      <c r="G1046" s="230">
        <v>25</v>
      </c>
      <c r="H1046" s="240">
        <v>26.3</v>
      </c>
      <c r="I1046" s="240">
        <f t="shared" si="16"/>
        <v>657.5</v>
      </c>
      <c r="J1046" s="231" t="s">
        <v>1311</v>
      </c>
      <c r="K1046" s="231" t="s">
        <v>1312</v>
      </c>
      <c r="L1046" s="232">
        <v>45170</v>
      </c>
      <c r="M1046" s="232">
        <v>45199</v>
      </c>
    </row>
    <row r="1047" spans="1:13" ht="18.75" customHeight="1" x14ac:dyDescent="0.2">
      <c r="A1047" s="231" t="s">
        <v>32</v>
      </c>
      <c r="B1047" s="230">
        <v>112643</v>
      </c>
      <c r="C1047" s="230">
        <v>10771</v>
      </c>
      <c r="D1047" s="231" t="s">
        <v>317</v>
      </c>
      <c r="E1047" s="230">
        <v>14491078</v>
      </c>
      <c r="F1047" s="230">
        <v>29721</v>
      </c>
      <c r="G1047" s="230">
        <v>25</v>
      </c>
      <c r="H1047" s="240">
        <v>26.3</v>
      </c>
      <c r="I1047" s="240">
        <f t="shared" si="16"/>
        <v>657.5</v>
      </c>
      <c r="J1047" s="231" t="s">
        <v>1311</v>
      </c>
      <c r="K1047" s="231" t="s">
        <v>1312</v>
      </c>
      <c r="L1047" s="232">
        <v>45170</v>
      </c>
      <c r="M1047" s="232">
        <v>45199</v>
      </c>
    </row>
    <row r="1048" spans="1:13" ht="18.75" customHeight="1" x14ac:dyDescent="0.2">
      <c r="A1048" s="231" t="s">
        <v>32</v>
      </c>
      <c r="B1048" s="230">
        <v>112652</v>
      </c>
      <c r="C1048" s="230">
        <v>10757</v>
      </c>
      <c r="D1048" s="231" t="s">
        <v>321</v>
      </c>
      <c r="E1048" s="230">
        <v>14491078</v>
      </c>
      <c r="F1048" s="230">
        <v>29739</v>
      </c>
      <c r="G1048" s="230">
        <v>25</v>
      </c>
      <c r="H1048" s="240">
        <v>26.3</v>
      </c>
      <c r="I1048" s="240">
        <f t="shared" si="16"/>
        <v>657.5</v>
      </c>
      <c r="J1048" s="231" t="s">
        <v>1311</v>
      </c>
      <c r="K1048" s="231" t="s">
        <v>1312</v>
      </c>
      <c r="L1048" s="232">
        <v>45170</v>
      </c>
      <c r="M1048" s="232">
        <v>45199</v>
      </c>
    </row>
    <row r="1049" spans="1:13" ht="18.75" customHeight="1" x14ac:dyDescent="0.2">
      <c r="A1049" s="231" t="s">
        <v>32</v>
      </c>
      <c r="B1049" s="230">
        <v>112692</v>
      </c>
      <c r="C1049" s="230">
        <v>10750</v>
      </c>
      <c r="D1049" s="231" t="s">
        <v>345</v>
      </c>
      <c r="E1049" s="230">
        <v>14491078</v>
      </c>
      <c r="F1049" s="230">
        <v>29819</v>
      </c>
      <c r="G1049" s="230">
        <v>25</v>
      </c>
      <c r="H1049" s="240">
        <v>26.3</v>
      </c>
      <c r="I1049" s="240">
        <f t="shared" si="16"/>
        <v>657.5</v>
      </c>
      <c r="J1049" s="231" t="s">
        <v>1311</v>
      </c>
      <c r="K1049" s="231" t="s">
        <v>1312</v>
      </c>
      <c r="L1049" s="232">
        <v>45170</v>
      </c>
      <c r="M1049" s="232">
        <v>45199</v>
      </c>
    </row>
    <row r="1050" spans="1:13" ht="18.75" customHeight="1" x14ac:dyDescent="0.2">
      <c r="A1050" s="231" t="s">
        <v>32</v>
      </c>
      <c r="B1050" s="230">
        <v>112724</v>
      </c>
      <c r="C1050" s="230">
        <v>10766</v>
      </c>
      <c r="D1050" s="231" t="s">
        <v>366</v>
      </c>
      <c r="E1050" s="230">
        <v>14491078</v>
      </c>
      <c r="F1050" s="230">
        <v>29883</v>
      </c>
      <c r="G1050" s="230">
        <v>25</v>
      </c>
      <c r="H1050" s="240">
        <v>26.3</v>
      </c>
      <c r="I1050" s="240">
        <f t="shared" si="16"/>
        <v>657.5</v>
      </c>
      <c r="J1050" s="231" t="s">
        <v>1311</v>
      </c>
      <c r="K1050" s="231" t="s">
        <v>1312</v>
      </c>
      <c r="L1050" s="232">
        <v>45170</v>
      </c>
      <c r="M1050" s="232">
        <v>45199</v>
      </c>
    </row>
    <row r="1051" spans="1:13" ht="18.75" customHeight="1" x14ac:dyDescent="0.2">
      <c r="A1051" s="231" t="s">
        <v>32</v>
      </c>
      <c r="B1051" s="230">
        <v>112799</v>
      </c>
      <c r="C1051" s="230">
        <v>10760</v>
      </c>
      <c r="D1051" s="231" t="s">
        <v>419</v>
      </c>
      <c r="E1051" s="230">
        <v>14491078</v>
      </c>
      <c r="F1051" s="230">
        <v>30033</v>
      </c>
      <c r="G1051" s="230">
        <v>25</v>
      </c>
      <c r="H1051" s="240">
        <v>26.3</v>
      </c>
      <c r="I1051" s="240">
        <f t="shared" si="16"/>
        <v>657.5</v>
      </c>
      <c r="J1051" s="231" t="s">
        <v>1311</v>
      </c>
      <c r="K1051" s="231" t="s">
        <v>1312</v>
      </c>
      <c r="L1051" s="232">
        <v>45170</v>
      </c>
      <c r="M1051" s="232">
        <v>45199</v>
      </c>
    </row>
    <row r="1052" spans="1:13" ht="18.75" customHeight="1" x14ac:dyDescent="0.2">
      <c r="A1052" s="231" t="s">
        <v>32</v>
      </c>
      <c r="B1052" s="230">
        <v>112804</v>
      </c>
      <c r="C1052" s="230">
        <v>10750</v>
      </c>
      <c r="D1052" s="231" t="s">
        <v>423</v>
      </c>
      <c r="E1052" s="230">
        <v>14491078</v>
      </c>
      <c r="F1052" s="230">
        <v>30043</v>
      </c>
      <c r="G1052" s="230">
        <v>25</v>
      </c>
      <c r="H1052" s="240">
        <v>26.3</v>
      </c>
      <c r="I1052" s="240">
        <f t="shared" si="16"/>
        <v>657.5</v>
      </c>
      <c r="J1052" s="231" t="s">
        <v>1311</v>
      </c>
      <c r="K1052" s="231" t="s">
        <v>1312</v>
      </c>
      <c r="L1052" s="232">
        <v>45170</v>
      </c>
      <c r="M1052" s="232">
        <v>45199</v>
      </c>
    </row>
    <row r="1053" spans="1:13" ht="18.75" customHeight="1" x14ac:dyDescent="0.2">
      <c r="A1053" s="231" t="s">
        <v>32</v>
      </c>
      <c r="B1053" s="230">
        <v>112823</v>
      </c>
      <c r="C1053" s="230">
        <v>10751</v>
      </c>
      <c r="D1053" s="231" t="s">
        <v>1510</v>
      </c>
      <c r="E1053" s="230">
        <v>14491078</v>
      </c>
      <c r="F1053" s="230">
        <v>30081</v>
      </c>
      <c r="G1053" s="230">
        <v>25</v>
      </c>
      <c r="H1053" s="240">
        <v>26.3</v>
      </c>
      <c r="I1053" s="240">
        <f t="shared" si="16"/>
        <v>657.5</v>
      </c>
      <c r="J1053" s="231" t="s">
        <v>1311</v>
      </c>
      <c r="K1053" s="231" t="s">
        <v>1312</v>
      </c>
      <c r="L1053" s="232">
        <v>45170</v>
      </c>
      <c r="M1053" s="232">
        <v>45199</v>
      </c>
    </row>
    <row r="1054" spans="1:13" ht="18.75" customHeight="1" x14ac:dyDescent="0.2">
      <c r="A1054" s="231" t="s">
        <v>32</v>
      </c>
      <c r="B1054" s="230">
        <v>112967</v>
      </c>
      <c r="C1054" s="230">
        <v>10755</v>
      </c>
      <c r="D1054" s="231" t="s">
        <v>526</v>
      </c>
      <c r="E1054" s="230">
        <v>14491078</v>
      </c>
      <c r="F1054" s="230">
        <v>30369</v>
      </c>
      <c r="G1054" s="230">
        <v>25</v>
      </c>
      <c r="H1054" s="240">
        <v>26.3</v>
      </c>
      <c r="I1054" s="240">
        <f t="shared" si="16"/>
        <v>657.5</v>
      </c>
      <c r="J1054" s="231" t="s">
        <v>1311</v>
      </c>
      <c r="K1054" s="231" t="s">
        <v>1312</v>
      </c>
      <c r="L1054" s="232">
        <v>45170</v>
      </c>
      <c r="M1054" s="232">
        <v>45199</v>
      </c>
    </row>
    <row r="1055" spans="1:13" ht="18.75" customHeight="1" x14ac:dyDescent="0.2">
      <c r="A1055" s="231" t="s">
        <v>32</v>
      </c>
      <c r="B1055" s="230">
        <v>113117</v>
      </c>
      <c r="C1055" s="230">
        <v>10757</v>
      </c>
      <c r="D1055" s="231" t="s">
        <v>595</v>
      </c>
      <c r="E1055" s="230">
        <v>14491078</v>
      </c>
      <c r="F1055" s="230">
        <v>30669</v>
      </c>
      <c r="G1055" s="230">
        <v>25</v>
      </c>
      <c r="H1055" s="240">
        <v>26.3</v>
      </c>
      <c r="I1055" s="240">
        <f t="shared" si="16"/>
        <v>657.5</v>
      </c>
      <c r="J1055" s="231" t="s">
        <v>1311</v>
      </c>
      <c r="K1055" s="231" t="s">
        <v>1312</v>
      </c>
      <c r="L1055" s="232">
        <v>45170</v>
      </c>
      <c r="M1055" s="232">
        <v>45199</v>
      </c>
    </row>
    <row r="1056" spans="1:13" ht="18.75" customHeight="1" x14ac:dyDescent="0.2">
      <c r="A1056" s="231" t="s">
        <v>32</v>
      </c>
      <c r="B1056" s="230">
        <v>113151</v>
      </c>
      <c r="C1056" s="230">
        <v>10755</v>
      </c>
      <c r="D1056" s="231" t="s">
        <v>615</v>
      </c>
      <c r="E1056" s="230">
        <v>14491078</v>
      </c>
      <c r="F1056" s="230">
        <v>30737</v>
      </c>
      <c r="G1056" s="230">
        <v>25</v>
      </c>
      <c r="H1056" s="240">
        <v>26.3</v>
      </c>
      <c r="I1056" s="240">
        <f t="shared" si="16"/>
        <v>657.5</v>
      </c>
      <c r="J1056" s="231" t="s">
        <v>1311</v>
      </c>
      <c r="K1056" s="231" t="s">
        <v>1312</v>
      </c>
      <c r="L1056" s="232">
        <v>45170</v>
      </c>
      <c r="M1056" s="232">
        <v>45199</v>
      </c>
    </row>
    <row r="1057" spans="1:13" ht="18.75" customHeight="1" x14ac:dyDescent="0.2">
      <c r="A1057" s="231" t="s">
        <v>32</v>
      </c>
      <c r="B1057" s="230">
        <v>113157</v>
      </c>
      <c r="C1057" s="230">
        <v>10750</v>
      </c>
      <c r="D1057" s="231" t="s">
        <v>618</v>
      </c>
      <c r="E1057" s="230">
        <v>14491078</v>
      </c>
      <c r="F1057" s="230">
        <v>30749</v>
      </c>
      <c r="G1057" s="230">
        <v>25</v>
      </c>
      <c r="H1057" s="240">
        <v>26.3</v>
      </c>
      <c r="I1057" s="240">
        <f t="shared" si="16"/>
        <v>657.5</v>
      </c>
      <c r="J1057" s="231" t="s">
        <v>1311</v>
      </c>
      <c r="K1057" s="231" t="s">
        <v>1312</v>
      </c>
      <c r="L1057" s="232">
        <v>45170</v>
      </c>
      <c r="M1057" s="232">
        <v>45199</v>
      </c>
    </row>
    <row r="1058" spans="1:13" ht="18.75" customHeight="1" x14ac:dyDescent="0.2">
      <c r="A1058" s="231" t="s">
        <v>32</v>
      </c>
      <c r="B1058" s="230">
        <v>113202</v>
      </c>
      <c r="C1058" s="230">
        <v>10755</v>
      </c>
      <c r="D1058" s="231" t="s">
        <v>644</v>
      </c>
      <c r="E1058" s="230">
        <v>14491078</v>
      </c>
      <c r="F1058" s="230">
        <v>30839</v>
      </c>
      <c r="G1058" s="230">
        <v>25</v>
      </c>
      <c r="H1058" s="240">
        <v>26.3</v>
      </c>
      <c r="I1058" s="240">
        <f t="shared" si="16"/>
        <v>657.5</v>
      </c>
      <c r="J1058" s="231" t="s">
        <v>1311</v>
      </c>
      <c r="K1058" s="231" t="s">
        <v>1312</v>
      </c>
      <c r="L1058" s="232">
        <v>45170</v>
      </c>
      <c r="M1058" s="232">
        <v>45199</v>
      </c>
    </row>
    <row r="1059" spans="1:13" ht="18.75" customHeight="1" x14ac:dyDescent="0.2">
      <c r="A1059" s="231" t="s">
        <v>32</v>
      </c>
      <c r="B1059" s="230">
        <v>113329</v>
      </c>
      <c r="C1059" s="230">
        <v>10750</v>
      </c>
      <c r="D1059" s="231" t="s">
        <v>712</v>
      </c>
      <c r="E1059" s="230">
        <v>14491078</v>
      </c>
      <c r="F1059" s="230">
        <v>31093</v>
      </c>
      <c r="G1059" s="230">
        <v>25</v>
      </c>
      <c r="H1059" s="240">
        <v>26.3</v>
      </c>
      <c r="I1059" s="240">
        <f t="shared" si="16"/>
        <v>657.5</v>
      </c>
      <c r="J1059" s="231" t="s">
        <v>1311</v>
      </c>
      <c r="K1059" s="231" t="s">
        <v>1312</v>
      </c>
      <c r="L1059" s="232">
        <v>45170</v>
      </c>
      <c r="M1059" s="232">
        <v>45199</v>
      </c>
    </row>
    <row r="1060" spans="1:13" ht="18.75" customHeight="1" x14ac:dyDescent="0.2">
      <c r="A1060" s="231" t="s">
        <v>32</v>
      </c>
      <c r="B1060" s="230">
        <v>113357</v>
      </c>
      <c r="C1060" s="230">
        <v>10750</v>
      </c>
      <c r="D1060" s="231" t="s">
        <v>726</v>
      </c>
      <c r="E1060" s="230">
        <v>14491078</v>
      </c>
      <c r="F1060" s="230">
        <v>31149</v>
      </c>
      <c r="G1060" s="230">
        <v>25</v>
      </c>
      <c r="H1060" s="240">
        <v>26.3</v>
      </c>
      <c r="I1060" s="240">
        <f t="shared" si="16"/>
        <v>657.5</v>
      </c>
      <c r="J1060" s="231" t="s">
        <v>1311</v>
      </c>
      <c r="K1060" s="231" t="s">
        <v>1312</v>
      </c>
      <c r="L1060" s="232">
        <v>45170</v>
      </c>
      <c r="M1060" s="232">
        <v>45199</v>
      </c>
    </row>
    <row r="1061" spans="1:13" ht="18.75" customHeight="1" x14ac:dyDescent="0.2">
      <c r="A1061" s="231" t="s">
        <v>32</v>
      </c>
      <c r="B1061" s="230">
        <v>113457</v>
      </c>
      <c r="C1061" s="230">
        <v>10750</v>
      </c>
      <c r="D1061" s="231" t="s">
        <v>790</v>
      </c>
      <c r="E1061" s="230">
        <v>14491078</v>
      </c>
      <c r="F1061" s="230">
        <v>31349</v>
      </c>
      <c r="G1061" s="230">
        <v>25</v>
      </c>
      <c r="H1061" s="240">
        <v>26.3</v>
      </c>
      <c r="I1061" s="240">
        <f t="shared" si="16"/>
        <v>657.5</v>
      </c>
      <c r="J1061" s="231" t="s">
        <v>1311</v>
      </c>
      <c r="K1061" s="231" t="s">
        <v>1312</v>
      </c>
      <c r="L1061" s="232">
        <v>45170</v>
      </c>
      <c r="M1061" s="232">
        <v>45199</v>
      </c>
    </row>
    <row r="1062" spans="1:13" ht="18.75" customHeight="1" x14ac:dyDescent="0.2">
      <c r="A1062" s="231" t="s">
        <v>32</v>
      </c>
      <c r="B1062" s="230">
        <v>113459</v>
      </c>
      <c r="C1062" s="230">
        <v>10757</v>
      </c>
      <c r="D1062" s="231" t="s">
        <v>792</v>
      </c>
      <c r="E1062" s="230">
        <v>14491078</v>
      </c>
      <c r="F1062" s="230">
        <v>31353</v>
      </c>
      <c r="G1062" s="230">
        <v>25</v>
      </c>
      <c r="H1062" s="240">
        <v>26.3</v>
      </c>
      <c r="I1062" s="240">
        <f t="shared" si="16"/>
        <v>657.5</v>
      </c>
      <c r="J1062" s="231" t="s">
        <v>1311</v>
      </c>
      <c r="K1062" s="231" t="s">
        <v>1312</v>
      </c>
      <c r="L1062" s="232">
        <v>45170</v>
      </c>
      <c r="M1062" s="232">
        <v>45199</v>
      </c>
    </row>
    <row r="1063" spans="1:13" ht="18.75" customHeight="1" x14ac:dyDescent="0.2">
      <c r="A1063" s="231" t="s">
        <v>32</v>
      </c>
      <c r="B1063" s="230">
        <v>113463</v>
      </c>
      <c r="C1063" s="230">
        <v>10750</v>
      </c>
      <c r="D1063" s="231" t="s">
        <v>795</v>
      </c>
      <c r="E1063" s="230">
        <v>14491078</v>
      </c>
      <c r="F1063" s="230">
        <v>31361</v>
      </c>
      <c r="G1063" s="230">
        <v>25</v>
      </c>
      <c r="H1063" s="240">
        <v>26.3</v>
      </c>
      <c r="I1063" s="240">
        <f t="shared" si="16"/>
        <v>657.5</v>
      </c>
      <c r="J1063" s="231" t="s">
        <v>1311</v>
      </c>
      <c r="K1063" s="231" t="s">
        <v>1312</v>
      </c>
      <c r="L1063" s="232">
        <v>45170</v>
      </c>
      <c r="M1063" s="232">
        <v>45199</v>
      </c>
    </row>
    <row r="1064" spans="1:13" ht="18.75" customHeight="1" x14ac:dyDescent="0.2">
      <c r="A1064" s="231" t="s">
        <v>32</v>
      </c>
      <c r="B1064" s="230">
        <v>113491</v>
      </c>
      <c r="C1064" s="230">
        <v>10766</v>
      </c>
      <c r="D1064" s="231" t="s">
        <v>810</v>
      </c>
      <c r="E1064" s="230">
        <v>14491078</v>
      </c>
      <c r="F1064" s="230">
        <v>31417</v>
      </c>
      <c r="G1064" s="230">
        <v>25</v>
      </c>
      <c r="H1064" s="240">
        <v>26.3</v>
      </c>
      <c r="I1064" s="240">
        <f t="shared" si="16"/>
        <v>657.5</v>
      </c>
      <c r="J1064" s="231" t="s">
        <v>1311</v>
      </c>
      <c r="K1064" s="231" t="s">
        <v>1312</v>
      </c>
      <c r="L1064" s="232">
        <v>45170</v>
      </c>
      <c r="M1064" s="232">
        <v>45199</v>
      </c>
    </row>
    <row r="1065" spans="1:13" ht="18.75" customHeight="1" x14ac:dyDescent="0.2">
      <c r="A1065" s="231" t="s">
        <v>32</v>
      </c>
      <c r="B1065" s="230">
        <v>113520</v>
      </c>
      <c r="C1065" s="230">
        <v>10771</v>
      </c>
      <c r="D1065" s="231" t="s">
        <v>824</v>
      </c>
      <c r="E1065" s="230">
        <v>14491078</v>
      </c>
      <c r="F1065" s="230">
        <v>31475</v>
      </c>
      <c r="G1065" s="230">
        <v>25</v>
      </c>
      <c r="H1065" s="240">
        <v>26.3</v>
      </c>
      <c r="I1065" s="240">
        <f t="shared" si="16"/>
        <v>657.5</v>
      </c>
      <c r="J1065" s="231" t="s">
        <v>1311</v>
      </c>
      <c r="K1065" s="231" t="s">
        <v>1312</v>
      </c>
      <c r="L1065" s="232">
        <v>45170</v>
      </c>
      <c r="M1065" s="232">
        <v>45199</v>
      </c>
    </row>
    <row r="1066" spans="1:13" ht="18.75" customHeight="1" x14ac:dyDescent="0.2">
      <c r="A1066" s="231" t="s">
        <v>32</v>
      </c>
      <c r="B1066" s="230">
        <v>113557</v>
      </c>
      <c r="C1066" s="230">
        <v>10750</v>
      </c>
      <c r="D1066" s="231" t="s">
        <v>848</v>
      </c>
      <c r="E1066" s="230">
        <v>14491078</v>
      </c>
      <c r="F1066" s="230">
        <v>31549</v>
      </c>
      <c r="G1066" s="230">
        <v>25</v>
      </c>
      <c r="H1066" s="240">
        <v>26.3</v>
      </c>
      <c r="I1066" s="240">
        <f t="shared" si="16"/>
        <v>657.5</v>
      </c>
      <c r="J1066" s="231" t="s">
        <v>1311</v>
      </c>
      <c r="K1066" s="231" t="s">
        <v>1312</v>
      </c>
      <c r="L1066" s="232">
        <v>45170</v>
      </c>
      <c r="M1066" s="232">
        <v>45199</v>
      </c>
    </row>
    <row r="1067" spans="1:13" ht="18.75" customHeight="1" x14ac:dyDescent="0.2">
      <c r="A1067" s="231" t="s">
        <v>32</v>
      </c>
      <c r="B1067" s="230">
        <v>113587</v>
      </c>
      <c r="C1067" s="230">
        <v>10750</v>
      </c>
      <c r="D1067" s="231" t="s">
        <v>863</v>
      </c>
      <c r="E1067" s="230">
        <v>14491078</v>
      </c>
      <c r="F1067" s="230">
        <v>31609</v>
      </c>
      <c r="G1067" s="230">
        <v>25</v>
      </c>
      <c r="H1067" s="240">
        <v>26.3</v>
      </c>
      <c r="I1067" s="240">
        <f t="shared" si="16"/>
        <v>657.5</v>
      </c>
      <c r="J1067" s="231" t="s">
        <v>1311</v>
      </c>
      <c r="K1067" s="231" t="s">
        <v>1312</v>
      </c>
      <c r="L1067" s="232">
        <v>45170</v>
      </c>
      <c r="M1067" s="232">
        <v>45199</v>
      </c>
    </row>
    <row r="1068" spans="1:13" ht="18.75" customHeight="1" x14ac:dyDescent="0.2">
      <c r="A1068" s="231" t="s">
        <v>32</v>
      </c>
      <c r="B1068" s="230">
        <v>113630</v>
      </c>
      <c r="C1068" s="230">
        <v>10751</v>
      </c>
      <c r="D1068" s="231" t="s">
        <v>885</v>
      </c>
      <c r="E1068" s="230">
        <v>14491078</v>
      </c>
      <c r="F1068" s="230">
        <v>31695</v>
      </c>
      <c r="G1068" s="230">
        <v>25</v>
      </c>
      <c r="H1068" s="240">
        <v>26.3</v>
      </c>
      <c r="I1068" s="240">
        <f t="shared" si="16"/>
        <v>657.5</v>
      </c>
      <c r="J1068" s="231" t="s">
        <v>1311</v>
      </c>
      <c r="K1068" s="231" t="s">
        <v>1312</v>
      </c>
      <c r="L1068" s="232">
        <v>45170</v>
      </c>
      <c r="M1068" s="232">
        <v>45199</v>
      </c>
    </row>
    <row r="1069" spans="1:13" ht="18.75" customHeight="1" x14ac:dyDescent="0.2">
      <c r="A1069" s="231" t="s">
        <v>32</v>
      </c>
      <c r="B1069" s="230">
        <v>113646</v>
      </c>
      <c r="C1069" s="230">
        <v>10751</v>
      </c>
      <c r="D1069" s="231" t="s">
        <v>895</v>
      </c>
      <c r="E1069" s="230">
        <v>14491078</v>
      </c>
      <c r="F1069" s="230">
        <v>31727</v>
      </c>
      <c r="G1069" s="230">
        <v>25</v>
      </c>
      <c r="H1069" s="240">
        <v>26.3</v>
      </c>
      <c r="I1069" s="240">
        <f t="shared" si="16"/>
        <v>657.5</v>
      </c>
      <c r="J1069" s="231" t="s">
        <v>1311</v>
      </c>
      <c r="K1069" s="231" t="s">
        <v>1312</v>
      </c>
      <c r="L1069" s="232">
        <v>45170</v>
      </c>
      <c r="M1069" s="232">
        <v>45199</v>
      </c>
    </row>
    <row r="1070" spans="1:13" ht="18.75" customHeight="1" x14ac:dyDescent="0.2">
      <c r="A1070" s="231" t="s">
        <v>32</v>
      </c>
      <c r="B1070" s="230">
        <v>113686</v>
      </c>
      <c r="C1070" s="230">
        <v>10751</v>
      </c>
      <c r="D1070" s="231" t="s">
        <v>1322</v>
      </c>
      <c r="E1070" s="230">
        <v>14491078</v>
      </c>
      <c r="F1070" s="230">
        <v>31807</v>
      </c>
      <c r="G1070" s="230">
        <v>25</v>
      </c>
      <c r="H1070" s="240">
        <v>26.3</v>
      </c>
      <c r="I1070" s="240">
        <f t="shared" si="16"/>
        <v>657.5</v>
      </c>
      <c r="J1070" s="231" t="s">
        <v>1311</v>
      </c>
      <c r="K1070" s="231" t="s">
        <v>1312</v>
      </c>
      <c r="L1070" s="232">
        <v>45170</v>
      </c>
      <c r="M1070" s="232">
        <v>45199</v>
      </c>
    </row>
    <row r="1071" spans="1:13" ht="18.75" customHeight="1" x14ac:dyDescent="0.2">
      <c r="A1071" s="231" t="s">
        <v>32</v>
      </c>
      <c r="B1071" s="230">
        <v>113708</v>
      </c>
      <c r="C1071" s="230">
        <v>10757</v>
      </c>
      <c r="D1071" s="231" t="s">
        <v>928</v>
      </c>
      <c r="E1071" s="230">
        <v>14491078</v>
      </c>
      <c r="F1071" s="230">
        <v>31851</v>
      </c>
      <c r="G1071" s="230">
        <v>25</v>
      </c>
      <c r="H1071" s="240">
        <v>26.3</v>
      </c>
      <c r="I1071" s="240">
        <f t="shared" si="16"/>
        <v>657.5</v>
      </c>
      <c r="J1071" s="231" t="s">
        <v>1311</v>
      </c>
      <c r="K1071" s="231" t="s">
        <v>1312</v>
      </c>
      <c r="L1071" s="232">
        <v>45170</v>
      </c>
      <c r="M1071" s="232">
        <v>45199</v>
      </c>
    </row>
    <row r="1072" spans="1:13" ht="18.75" customHeight="1" x14ac:dyDescent="0.2">
      <c r="A1072" s="231" t="s">
        <v>32</v>
      </c>
      <c r="B1072" s="230">
        <v>113921</v>
      </c>
      <c r="C1072" s="230">
        <v>10771</v>
      </c>
      <c r="D1072" s="231" t="s">
        <v>991</v>
      </c>
      <c r="E1072" s="230">
        <v>14491078</v>
      </c>
      <c r="F1072" s="230">
        <v>33813</v>
      </c>
      <c r="G1072" s="230">
        <v>25</v>
      </c>
      <c r="H1072" s="240">
        <v>26.3</v>
      </c>
      <c r="I1072" s="240">
        <f t="shared" si="16"/>
        <v>657.5</v>
      </c>
      <c r="J1072" s="231" t="s">
        <v>1311</v>
      </c>
      <c r="K1072" s="231" t="s">
        <v>1312</v>
      </c>
      <c r="L1072" s="232">
        <v>45170</v>
      </c>
      <c r="M1072" s="232">
        <v>45199</v>
      </c>
    </row>
    <row r="1073" spans="1:13" ht="18.75" customHeight="1" x14ac:dyDescent="0.2">
      <c r="A1073" s="231" t="s">
        <v>32</v>
      </c>
      <c r="B1073" s="230">
        <v>114239</v>
      </c>
      <c r="C1073" s="230">
        <v>10771</v>
      </c>
      <c r="D1073" s="231" t="s">
        <v>1020</v>
      </c>
      <c r="E1073" s="230">
        <v>14491078</v>
      </c>
      <c r="F1073" s="230">
        <v>35751</v>
      </c>
      <c r="G1073" s="230">
        <v>25</v>
      </c>
      <c r="H1073" s="240">
        <v>26.3</v>
      </c>
      <c r="I1073" s="240">
        <f t="shared" si="16"/>
        <v>657.5</v>
      </c>
      <c r="J1073" s="231" t="s">
        <v>1311</v>
      </c>
      <c r="K1073" s="231" t="s">
        <v>1312</v>
      </c>
      <c r="L1073" s="232">
        <v>45170</v>
      </c>
      <c r="M1073" s="232">
        <v>45199</v>
      </c>
    </row>
    <row r="1074" spans="1:13" ht="18.75" customHeight="1" x14ac:dyDescent="0.2">
      <c r="A1074" s="231" t="s">
        <v>32</v>
      </c>
      <c r="B1074" s="230">
        <v>114259</v>
      </c>
      <c r="C1074" s="230">
        <v>10757</v>
      </c>
      <c r="D1074" s="231" t="s">
        <v>1026</v>
      </c>
      <c r="E1074" s="230">
        <v>14491078</v>
      </c>
      <c r="F1074" s="230">
        <v>35798</v>
      </c>
      <c r="G1074" s="230">
        <v>25</v>
      </c>
      <c r="H1074" s="240">
        <v>26.3</v>
      </c>
      <c r="I1074" s="240">
        <f t="shared" si="16"/>
        <v>657.5</v>
      </c>
      <c r="J1074" s="231" t="s">
        <v>1311</v>
      </c>
      <c r="K1074" s="231" t="s">
        <v>1312</v>
      </c>
      <c r="L1074" s="232">
        <v>45170</v>
      </c>
      <c r="M1074" s="232">
        <v>45199</v>
      </c>
    </row>
    <row r="1075" spans="1:13" ht="18.75" customHeight="1" x14ac:dyDescent="0.2">
      <c r="A1075" s="231" t="s">
        <v>32</v>
      </c>
      <c r="B1075" s="230">
        <v>114697</v>
      </c>
      <c r="C1075" s="230">
        <v>10756</v>
      </c>
      <c r="D1075" s="231" t="s">
        <v>1075</v>
      </c>
      <c r="E1075" s="230">
        <v>14491078</v>
      </c>
      <c r="F1075" s="230">
        <v>36843</v>
      </c>
      <c r="G1075" s="230">
        <v>25</v>
      </c>
      <c r="H1075" s="240">
        <v>26.3</v>
      </c>
      <c r="I1075" s="240">
        <f t="shared" si="16"/>
        <v>657.5</v>
      </c>
      <c r="J1075" s="231" t="s">
        <v>1311</v>
      </c>
      <c r="K1075" s="231" t="s">
        <v>1312</v>
      </c>
      <c r="L1075" s="232">
        <v>45170</v>
      </c>
      <c r="M1075" s="232">
        <v>45199</v>
      </c>
    </row>
    <row r="1076" spans="1:13" ht="18.75" customHeight="1" x14ac:dyDescent="0.2">
      <c r="A1076" s="231" t="s">
        <v>32</v>
      </c>
      <c r="B1076" s="230">
        <v>114733</v>
      </c>
      <c r="C1076" s="230">
        <v>10758</v>
      </c>
      <c r="D1076" s="231" t="s">
        <v>1087</v>
      </c>
      <c r="E1076" s="230">
        <v>14491078</v>
      </c>
      <c r="F1076" s="230">
        <v>36915</v>
      </c>
      <c r="G1076" s="230">
        <v>24</v>
      </c>
      <c r="H1076" s="240">
        <v>26.3</v>
      </c>
      <c r="I1076" s="240">
        <f t="shared" si="16"/>
        <v>631.20000000000005</v>
      </c>
      <c r="J1076" s="231" t="s">
        <v>1311</v>
      </c>
      <c r="K1076" s="231" t="s">
        <v>1312</v>
      </c>
      <c r="L1076" s="232">
        <v>45170</v>
      </c>
      <c r="M1076" s="232">
        <v>45199</v>
      </c>
    </row>
    <row r="1077" spans="1:13" ht="18.75" customHeight="1" x14ac:dyDescent="0.2">
      <c r="A1077" s="231" t="s">
        <v>32</v>
      </c>
      <c r="B1077" s="230">
        <v>114736</v>
      </c>
      <c r="C1077" s="230">
        <v>10758</v>
      </c>
      <c r="D1077" s="231" t="s">
        <v>1089</v>
      </c>
      <c r="E1077" s="230">
        <v>14491078</v>
      </c>
      <c r="F1077" s="230">
        <v>36921</v>
      </c>
      <c r="G1077" s="230">
        <v>24</v>
      </c>
      <c r="H1077" s="240">
        <v>26.3</v>
      </c>
      <c r="I1077" s="240">
        <f t="shared" si="16"/>
        <v>631.20000000000005</v>
      </c>
      <c r="J1077" s="231" t="s">
        <v>1311</v>
      </c>
      <c r="K1077" s="231" t="s">
        <v>1315</v>
      </c>
      <c r="L1077" s="232">
        <v>45170</v>
      </c>
      <c r="M1077" s="232">
        <v>45199</v>
      </c>
    </row>
    <row r="1078" spans="1:13" ht="18.75" customHeight="1" x14ac:dyDescent="0.2">
      <c r="A1078" s="231" t="s">
        <v>32</v>
      </c>
      <c r="B1078" s="230">
        <v>114774</v>
      </c>
      <c r="C1078" s="230">
        <v>10758</v>
      </c>
      <c r="D1078" s="231" t="s">
        <v>1105</v>
      </c>
      <c r="E1078" s="230">
        <v>14491078</v>
      </c>
      <c r="F1078" s="230">
        <v>36997</v>
      </c>
      <c r="G1078" s="230">
        <v>25</v>
      </c>
      <c r="H1078" s="240">
        <v>26.3</v>
      </c>
      <c r="I1078" s="240">
        <f t="shared" si="16"/>
        <v>657.5</v>
      </c>
      <c r="J1078" s="231" t="s">
        <v>1311</v>
      </c>
      <c r="K1078" s="231" t="s">
        <v>1312</v>
      </c>
      <c r="L1078" s="232">
        <v>45170</v>
      </c>
      <c r="M1078" s="232">
        <v>45199</v>
      </c>
    </row>
    <row r="1079" spans="1:13" ht="18.75" customHeight="1" x14ac:dyDescent="0.2">
      <c r="A1079" s="231" t="s">
        <v>32</v>
      </c>
      <c r="B1079" s="230">
        <v>115379</v>
      </c>
      <c r="C1079" s="230">
        <v>10758</v>
      </c>
      <c r="D1079" s="231" t="s">
        <v>1272</v>
      </c>
      <c r="E1079" s="230">
        <v>14491078</v>
      </c>
      <c r="F1079" s="230">
        <v>38951</v>
      </c>
      <c r="G1079" s="230">
        <v>25</v>
      </c>
      <c r="H1079" s="240">
        <v>26.3</v>
      </c>
      <c r="I1079" s="240">
        <f t="shared" si="16"/>
        <v>657.5</v>
      </c>
      <c r="J1079" s="231" t="s">
        <v>1311</v>
      </c>
      <c r="K1079" s="231" t="s">
        <v>1312</v>
      </c>
      <c r="L1079" s="232">
        <v>45170</v>
      </c>
      <c r="M1079" s="232">
        <v>45199</v>
      </c>
    </row>
    <row r="1080" spans="1:13" ht="18.75" customHeight="1" x14ac:dyDescent="0.2">
      <c r="A1080" s="231" t="s">
        <v>32</v>
      </c>
      <c r="B1080" s="230">
        <v>116315</v>
      </c>
      <c r="C1080" s="230">
        <v>10760</v>
      </c>
      <c r="D1080" s="231" t="s">
        <v>1327</v>
      </c>
      <c r="E1080" s="230">
        <v>14491078</v>
      </c>
      <c r="F1080" s="230">
        <v>41882</v>
      </c>
      <c r="G1080" s="230">
        <v>25</v>
      </c>
      <c r="H1080" s="240">
        <v>26.3</v>
      </c>
      <c r="I1080" s="240">
        <f t="shared" si="16"/>
        <v>657.5</v>
      </c>
      <c r="J1080" s="231" t="s">
        <v>1311</v>
      </c>
      <c r="K1080" s="231" t="s">
        <v>1312</v>
      </c>
      <c r="L1080" s="232">
        <v>45170</v>
      </c>
      <c r="M1080" s="232">
        <v>45199</v>
      </c>
    </row>
    <row r="1081" spans="1:13" ht="18.75" customHeight="1" x14ac:dyDescent="0.2">
      <c r="A1081" s="231" t="s">
        <v>32</v>
      </c>
      <c r="B1081" s="230">
        <v>116385</v>
      </c>
      <c r="C1081" s="230">
        <v>10757</v>
      </c>
      <c r="D1081" s="231" t="s">
        <v>1214</v>
      </c>
      <c r="E1081" s="230">
        <v>14491078</v>
      </c>
      <c r="F1081" s="230">
        <v>42041</v>
      </c>
      <c r="G1081" s="230">
        <v>25</v>
      </c>
      <c r="H1081" s="240">
        <v>26.3</v>
      </c>
      <c r="I1081" s="240">
        <f t="shared" si="16"/>
        <v>657.5</v>
      </c>
      <c r="J1081" s="231" t="s">
        <v>1311</v>
      </c>
      <c r="K1081" s="231" t="s">
        <v>1312</v>
      </c>
      <c r="L1081" s="232">
        <v>45170</v>
      </c>
      <c r="M1081" s="232">
        <v>45199</v>
      </c>
    </row>
    <row r="1082" spans="1:13" ht="18.75" customHeight="1" x14ac:dyDescent="0.2">
      <c r="A1082" s="231" t="s">
        <v>32</v>
      </c>
      <c r="B1082" s="230">
        <v>116970</v>
      </c>
      <c r="C1082" s="230">
        <v>10760</v>
      </c>
      <c r="D1082" s="231" t="s">
        <v>1240</v>
      </c>
      <c r="E1082" s="230">
        <v>14491078</v>
      </c>
      <c r="F1082" s="230">
        <v>43451</v>
      </c>
      <c r="G1082" s="230">
        <v>25</v>
      </c>
      <c r="H1082" s="240">
        <v>26.3</v>
      </c>
      <c r="I1082" s="240">
        <f t="shared" si="16"/>
        <v>657.5</v>
      </c>
      <c r="J1082" s="231" t="s">
        <v>1311</v>
      </c>
      <c r="K1082" s="231" t="s">
        <v>1312</v>
      </c>
      <c r="L1082" s="232">
        <v>45170</v>
      </c>
      <c r="M1082" s="232">
        <v>45199</v>
      </c>
    </row>
    <row r="1083" spans="1:13" ht="18.75" customHeight="1" x14ac:dyDescent="0.2">
      <c r="A1083" s="231" t="s">
        <v>32</v>
      </c>
      <c r="B1083" s="230">
        <v>119118</v>
      </c>
      <c r="C1083" s="230">
        <v>10758</v>
      </c>
      <c r="D1083" s="231" t="s">
        <v>1451</v>
      </c>
      <c r="E1083" s="230">
        <v>14491078</v>
      </c>
      <c r="F1083" s="230">
        <v>48259</v>
      </c>
      <c r="G1083" s="230">
        <v>25</v>
      </c>
      <c r="H1083" s="240">
        <v>26.3</v>
      </c>
      <c r="I1083" s="240">
        <f t="shared" si="16"/>
        <v>657.5</v>
      </c>
      <c r="J1083" s="231" t="s">
        <v>1311</v>
      </c>
      <c r="K1083" s="231" t="s">
        <v>1312</v>
      </c>
      <c r="L1083" s="232">
        <v>45170</v>
      </c>
      <c r="M1083" s="232">
        <v>45199</v>
      </c>
    </row>
    <row r="1084" spans="1:13" ht="18.75" customHeight="1" x14ac:dyDescent="0.2">
      <c r="A1084" s="231" t="s">
        <v>32</v>
      </c>
      <c r="B1084" s="230">
        <v>119933</v>
      </c>
      <c r="C1084" s="230">
        <v>10757</v>
      </c>
      <c r="D1084" s="231" t="s">
        <v>1492</v>
      </c>
      <c r="E1084" s="230">
        <v>14491078</v>
      </c>
      <c r="F1084" s="230">
        <v>50340</v>
      </c>
      <c r="G1084" s="230">
        <v>25</v>
      </c>
      <c r="H1084" s="240">
        <v>26.3</v>
      </c>
      <c r="I1084" s="240">
        <f t="shared" si="16"/>
        <v>657.5</v>
      </c>
      <c r="J1084" s="231" t="s">
        <v>1311</v>
      </c>
      <c r="K1084" s="231" t="s">
        <v>1312</v>
      </c>
      <c r="L1084" s="232">
        <v>45170</v>
      </c>
      <c r="M1084" s="232">
        <v>45199</v>
      </c>
    </row>
    <row r="1085" spans="1:13" ht="18.75" customHeight="1" x14ac:dyDescent="0.2">
      <c r="A1085" s="231" t="s">
        <v>32</v>
      </c>
      <c r="B1085" s="230">
        <v>120176</v>
      </c>
      <c r="C1085" s="230">
        <v>10766</v>
      </c>
      <c r="D1085" s="231" t="s">
        <v>1504</v>
      </c>
      <c r="E1085" s="230">
        <v>14491078</v>
      </c>
      <c r="F1085" s="230">
        <v>50951</v>
      </c>
      <c r="G1085" s="230">
        <v>25</v>
      </c>
      <c r="H1085" s="240">
        <v>26.3</v>
      </c>
      <c r="I1085" s="240">
        <f t="shared" si="16"/>
        <v>657.5</v>
      </c>
      <c r="J1085" s="231" t="s">
        <v>1311</v>
      </c>
      <c r="K1085" s="231" t="s">
        <v>1312</v>
      </c>
      <c r="L1085" s="232">
        <v>45170</v>
      </c>
      <c r="M1085" s="232">
        <v>45199</v>
      </c>
    </row>
    <row r="1086" spans="1:13" ht="18.75" customHeight="1" x14ac:dyDescent="0.2">
      <c r="A1086" s="231" t="s">
        <v>32</v>
      </c>
      <c r="B1086" s="230">
        <v>120356</v>
      </c>
      <c r="C1086" s="230">
        <v>10757</v>
      </c>
      <c r="D1086" s="231" t="s">
        <v>1515</v>
      </c>
      <c r="E1086" s="230">
        <v>14491078</v>
      </c>
      <c r="F1086" s="230">
        <v>51544</v>
      </c>
      <c r="G1086" s="230">
        <v>25</v>
      </c>
      <c r="H1086" s="240">
        <v>26.3</v>
      </c>
      <c r="I1086" s="240">
        <f t="shared" si="16"/>
        <v>657.5</v>
      </c>
      <c r="J1086" s="231" t="s">
        <v>1311</v>
      </c>
      <c r="K1086" s="231" t="s">
        <v>1312</v>
      </c>
      <c r="L1086" s="232">
        <v>45170</v>
      </c>
      <c r="M1086" s="232">
        <v>45199</v>
      </c>
    </row>
    <row r="1087" spans="1:13" ht="18.75" customHeight="1" x14ac:dyDescent="0.2">
      <c r="A1087" s="231" t="s">
        <v>32</v>
      </c>
      <c r="B1087" s="230">
        <v>121028</v>
      </c>
      <c r="C1087" s="230">
        <v>10750</v>
      </c>
      <c r="D1087" s="231" t="s">
        <v>1530</v>
      </c>
      <c r="E1087" s="230">
        <v>14491078</v>
      </c>
      <c r="F1087" s="230">
        <v>53103</v>
      </c>
      <c r="G1087" s="230">
        <v>25</v>
      </c>
      <c r="H1087" s="240">
        <v>26.3</v>
      </c>
      <c r="I1087" s="240">
        <f t="shared" si="16"/>
        <v>657.5</v>
      </c>
      <c r="J1087" s="231" t="s">
        <v>1311</v>
      </c>
      <c r="K1087" s="231" t="s">
        <v>1315</v>
      </c>
      <c r="L1087" s="232">
        <v>45170</v>
      </c>
      <c r="M1087" s="232">
        <v>45199</v>
      </c>
    </row>
    <row r="1088" spans="1:13" ht="18.75" customHeight="1" x14ac:dyDescent="0.2">
      <c r="A1088" s="231" t="s">
        <v>32</v>
      </c>
      <c r="B1088" s="230">
        <v>121326</v>
      </c>
      <c r="C1088" s="230">
        <v>10757</v>
      </c>
      <c r="D1088" s="231" t="s">
        <v>1538</v>
      </c>
      <c r="E1088" s="230">
        <v>14491078</v>
      </c>
      <c r="F1088" s="230">
        <v>53535</v>
      </c>
      <c r="G1088" s="230">
        <v>25</v>
      </c>
      <c r="H1088" s="240">
        <v>26.3</v>
      </c>
      <c r="I1088" s="240">
        <f t="shared" si="16"/>
        <v>657.5</v>
      </c>
      <c r="J1088" s="231" t="s">
        <v>1311</v>
      </c>
      <c r="K1088" s="231" t="s">
        <v>1312</v>
      </c>
      <c r="L1088" s="232">
        <v>45170</v>
      </c>
      <c r="M1088" s="232">
        <v>45199</v>
      </c>
    </row>
    <row r="1089" spans="1:13" ht="18.75" customHeight="1" x14ac:dyDescent="0.2">
      <c r="A1089" s="231" t="s">
        <v>32</v>
      </c>
      <c r="B1089" s="230">
        <v>121325</v>
      </c>
      <c r="C1089" s="230">
        <v>10750</v>
      </c>
      <c r="D1089" s="231" t="s">
        <v>1545</v>
      </c>
      <c r="E1089" s="230">
        <v>14491078</v>
      </c>
      <c r="F1089" s="230">
        <v>53537</v>
      </c>
      <c r="G1089" s="230">
        <v>24</v>
      </c>
      <c r="H1089" s="240">
        <v>26.3</v>
      </c>
      <c r="I1089" s="240">
        <f t="shared" si="16"/>
        <v>631.20000000000005</v>
      </c>
      <c r="J1089" s="231" t="s">
        <v>1311</v>
      </c>
      <c r="K1089" s="231" t="s">
        <v>1315</v>
      </c>
      <c r="L1089" s="232">
        <v>45170</v>
      </c>
      <c r="M1089" s="232">
        <v>45199</v>
      </c>
    </row>
    <row r="1090" spans="1:13" ht="18.75" customHeight="1" x14ac:dyDescent="0.2">
      <c r="A1090" s="231" t="s">
        <v>32</v>
      </c>
      <c r="B1090" s="230">
        <v>121672</v>
      </c>
      <c r="C1090" s="230">
        <v>10757</v>
      </c>
      <c r="D1090" s="231" t="s">
        <v>1593</v>
      </c>
      <c r="E1090" s="230">
        <v>14491078</v>
      </c>
      <c r="F1090" s="230">
        <v>54454</v>
      </c>
      <c r="G1090" s="230">
        <v>25</v>
      </c>
      <c r="H1090" s="240">
        <v>26.3</v>
      </c>
      <c r="I1090" s="240">
        <f t="shared" si="16"/>
        <v>657.5</v>
      </c>
      <c r="J1090" s="231" t="s">
        <v>1311</v>
      </c>
      <c r="K1090" s="231" t="s">
        <v>1312</v>
      </c>
      <c r="L1090" s="232">
        <v>45170</v>
      </c>
      <c r="M1090" s="232">
        <v>45199</v>
      </c>
    </row>
    <row r="1091" spans="1:13" ht="18.75" customHeight="1" x14ac:dyDescent="0.2">
      <c r="A1091" s="231" t="s">
        <v>32</v>
      </c>
      <c r="B1091" s="230">
        <v>121689</v>
      </c>
      <c r="C1091" s="230">
        <v>10757</v>
      </c>
      <c r="D1091" s="231" t="s">
        <v>1598</v>
      </c>
      <c r="E1091" s="230">
        <v>14491078</v>
      </c>
      <c r="F1091" s="230">
        <v>54456</v>
      </c>
      <c r="G1091" s="230">
        <v>25</v>
      </c>
      <c r="H1091" s="240">
        <v>26.3</v>
      </c>
      <c r="I1091" s="240">
        <f t="shared" ref="I1091:I1154" si="17">G1091*H1091</f>
        <v>657.5</v>
      </c>
      <c r="J1091" s="231" t="s">
        <v>1311</v>
      </c>
      <c r="K1091" s="231" t="s">
        <v>1315</v>
      </c>
      <c r="L1091" s="232">
        <v>45170</v>
      </c>
      <c r="M1091" s="232">
        <v>45199</v>
      </c>
    </row>
    <row r="1092" spans="1:13" ht="18.75" customHeight="1" x14ac:dyDescent="0.2">
      <c r="A1092" s="231" t="s">
        <v>32</v>
      </c>
      <c r="B1092" s="230">
        <v>121847</v>
      </c>
      <c r="C1092" s="230">
        <v>10757</v>
      </c>
      <c r="D1092" s="231" t="s">
        <v>1629</v>
      </c>
      <c r="E1092" s="230">
        <v>14491078</v>
      </c>
      <c r="F1092" s="230">
        <v>55061</v>
      </c>
      <c r="G1092" s="230">
        <v>25</v>
      </c>
      <c r="H1092" s="240">
        <v>26.3</v>
      </c>
      <c r="I1092" s="240">
        <f t="shared" si="17"/>
        <v>657.5</v>
      </c>
      <c r="J1092" s="231" t="s">
        <v>1311</v>
      </c>
      <c r="K1092" s="231" t="s">
        <v>1312</v>
      </c>
      <c r="L1092" s="232">
        <v>45170</v>
      </c>
      <c r="M1092" s="232">
        <v>45199</v>
      </c>
    </row>
    <row r="1093" spans="1:13" ht="18.75" customHeight="1" x14ac:dyDescent="0.2">
      <c r="A1093" s="231" t="s">
        <v>32</v>
      </c>
      <c r="B1093" s="230">
        <v>122087</v>
      </c>
      <c r="C1093" s="230">
        <v>10757</v>
      </c>
      <c r="D1093" s="231" t="s">
        <v>1653</v>
      </c>
      <c r="E1093" s="230">
        <v>14491078</v>
      </c>
      <c r="F1093" s="230">
        <v>55375</v>
      </c>
      <c r="G1093" s="230">
        <v>25</v>
      </c>
      <c r="H1093" s="240">
        <v>26.3</v>
      </c>
      <c r="I1093" s="240">
        <f t="shared" si="17"/>
        <v>657.5</v>
      </c>
      <c r="J1093" s="231" t="s">
        <v>1311</v>
      </c>
      <c r="K1093" s="231" t="s">
        <v>1312</v>
      </c>
      <c r="L1093" s="232">
        <v>45170</v>
      </c>
      <c r="M1093" s="232">
        <v>45199</v>
      </c>
    </row>
    <row r="1094" spans="1:13" ht="18.75" customHeight="1" x14ac:dyDescent="0.2">
      <c r="A1094" s="231" t="s">
        <v>32</v>
      </c>
      <c r="B1094" s="230">
        <v>122559</v>
      </c>
      <c r="C1094" s="230">
        <v>10757</v>
      </c>
      <c r="D1094" s="231" t="s">
        <v>1701</v>
      </c>
      <c r="E1094" s="230">
        <v>14491078</v>
      </c>
      <c r="F1094" s="230">
        <v>56553</v>
      </c>
      <c r="G1094" s="230">
        <v>25</v>
      </c>
      <c r="H1094" s="240">
        <v>26.3</v>
      </c>
      <c r="I1094" s="240">
        <f t="shared" si="17"/>
        <v>657.5</v>
      </c>
      <c r="J1094" s="231" t="s">
        <v>1311</v>
      </c>
      <c r="K1094" s="231" t="s">
        <v>1312</v>
      </c>
      <c r="L1094" s="232">
        <v>45170</v>
      </c>
      <c r="M1094" s="232">
        <v>45199</v>
      </c>
    </row>
    <row r="1095" spans="1:13" ht="18.75" customHeight="1" x14ac:dyDescent="0.2">
      <c r="A1095" s="231" t="s">
        <v>32</v>
      </c>
      <c r="B1095" s="230">
        <v>122561</v>
      </c>
      <c r="C1095" s="230">
        <v>10757</v>
      </c>
      <c r="D1095" s="231" t="s">
        <v>1704</v>
      </c>
      <c r="E1095" s="230">
        <v>14491078</v>
      </c>
      <c r="F1095" s="230">
        <v>56555</v>
      </c>
      <c r="G1095" s="230">
        <v>25</v>
      </c>
      <c r="H1095" s="240">
        <v>26.3</v>
      </c>
      <c r="I1095" s="240">
        <f t="shared" si="17"/>
        <v>657.5</v>
      </c>
      <c r="J1095" s="231" t="s">
        <v>1311</v>
      </c>
      <c r="K1095" s="231" t="s">
        <v>1312</v>
      </c>
      <c r="L1095" s="232">
        <v>45170</v>
      </c>
      <c r="M1095" s="232">
        <v>45199</v>
      </c>
    </row>
    <row r="1096" spans="1:13" ht="18.75" customHeight="1" x14ac:dyDescent="0.2">
      <c r="A1096" s="231" t="s">
        <v>32</v>
      </c>
      <c r="B1096" s="230">
        <v>122560</v>
      </c>
      <c r="C1096" s="230">
        <v>10766</v>
      </c>
      <c r="D1096" s="231" t="s">
        <v>1708</v>
      </c>
      <c r="E1096" s="230">
        <v>14491078</v>
      </c>
      <c r="F1096" s="230">
        <v>56557</v>
      </c>
      <c r="G1096" s="230">
        <v>24</v>
      </c>
      <c r="H1096" s="240">
        <v>26.3</v>
      </c>
      <c r="I1096" s="240">
        <f t="shared" si="17"/>
        <v>631.20000000000005</v>
      </c>
      <c r="J1096" s="231" t="s">
        <v>1311</v>
      </c>
      <c r="K1096" s="231" t="s">
        <v>1312</v>
      </c>
      <c r="L1096" s="232">
        <v>45170</v>
      </c>
      <c r="M1096" s="232">
        <v>45199</v>
      </c>
    </row>
    <row r="1097" spans="1:13" ht="18.75" customHeight="1" x14ac:dyDescent="0.2">
      <c r="A1097" s="231" t="s">
        <v>1252</v>
      </c>
      <c r="B1097" s="230">
        <v>113883</v>
      </c>
      <c r="C1097" s="230">
        <v>10773</v>
      </c>
      <c r="D1097" s="231" t="s">
        <v>1253</v>
      </c>
      <c r="E1097" s="230">
        <v>14491078</v>
      </c>
      <c r="F1097" s="230">
        <v>33718</v>
      </c>
      <c r="G1097" s="230">
        <v>20</v>
      </c>
      <c r="H1097" s="240">
        <v>60</v>
      </c>
      <c r="I1097" s="240">
        <f t="shared" si="17"/>
        <v>1200</v>
      </c>
      <c r="J1097" s="231" t="s">
        <v>1311</v>
      </c>
      <c r="K1097" s="231" t="s">
        <v>1392</v>
      </c>
      <c r="L1097" s="232">
        <v>45170</v>
      </c>
      <c r="M1097" s="232">
        <v>45199</v>
      </c>
    </row>
    <row r="1098" spans="1:13" ht="18.75" customHeight="1" x14ac:dyDescent="0.2">
      <c r="A1098" s="231" t="s">
        <v>1252</v>
      </c>
      <c r="B1098" s="230">
        <v>116652</v>
      </c>
      <c r="C1098" s="230">
        <v>10773</v>
      </c>
      <c r="D1098" s="231" t="s">
        <v>955</v>
      </c>
      <c r="E1098" s="230">
        <v>14491078</v>
      </c>
      <c r="F1098" s="230">
        <v>42632</v>
      </c>
      <c r="G1098" s="230">
        <v>25</v>
      </c>
      <c r="H1098" s="240">
        <v>26.3</v>
      </c>
      <c r="I1098" s="240">
        <f t="shared" si="17"/>
        <v>657.5</v>
      </c>
      <c r="J1098" s="231" t="s">
        <v>1311</v>
      </c>
      <c r="K1098" s="231" t="s">
        <v>1315</v>
      </c>
      <c r="L1098" s="232">
        <v>45170</v>
      </c>
      <c r="M1098" s="232">
        <v>45199</v>
      </c>
    </row>
    <row r="1099" spans="1:13" ht="18.75" customHeight="1" x14ac:dyDescent="0.2">
      <c r="A1099" s="231" t="s">
        <v>1252</v>
      </c>
      <c r="B1099" s="230">
        <v>116653</v>
      </c>
      <c r="C1099" s="230">
        <v>10773</v>
      </c>
      <c r="D1099" s="231" t="s">
        <v>957</v>
      </c>
      <c r="E1099" s="230">
        <v>14491078</v>
      </c>
      <c r="F1099" s="230">
        <v>42635</v>
      </c>
      <c r="G1099" s="230">
        <v>25</v>
      </c>
      <c r="H1099" s="240">
        <v>26.3</v>
      </c>
      <c r="I1099" s="240">
        <f t="shared" si="17"/>
        <v>657.5</v>
      </c>
      <c r="J1099" s="231" t="s">
        <v>1311</v>
      </c>
      <c r="K1099" s="231" t="s">
        <v>1315</v>
      </c>
      <c r="L1099" s="232">
        <v>45170</v>
      </c>
      <c r="M1099" s="232">
        <v>45199</v>
      </c>
    </row>
    <row r="1100" spans="1:13" ht="18.75" customHeight="1" x14ac:dyDescent="0.2">
      <c r="A1100" s="231" t="s">
        <v>1252</v>
      </c>
      <c r="B1100" s="230">
        <v>116654</v>
      </c>
      <c r="C1100" s="230">
        <v>10773</v>
      </c>
      <c r="D1100" s="231" t="s">
        <v>959</v>
      </c>
      <c r="E1100" s="230">
        <v>14491078</v>
      </c>
      <c r="F1100" s="230">
        <v>42636</v>
      </c>
      <c r="G1100" s="230">
        <v>25</v>
      </c>
      <c r="H1100" s="240">
        <v>26.3</v>
      </c>
      <c r="I1100" s="240">
        <f t="shared" si="17"/>
        <v>657.5</v>
      </c>
      <c r="J1100" s="231" t="s">
        <v>1311</v>
      </c>
      <c r="K1100" s="231" t="s">
        <v>1312</v>
      </c>
      <c r="L1100" s="232">
        <v>45170</v>
      </c>
      <c r="M1100" s="232">
        <v>45199</v>
      </c>
    </row>
    <row r="1101" spans="1:13" ht="18.75" customHeight="1" x14ac:dyDescent="0.2">
      <c r="A1101" s="231" t="s">
        <v>0</v>
      </c>
      <c r="B1101" s="230">
        <v>112169</v>
      </c>
      <c r="C1101" s="230">
        <v>10750</v>
      </c>
      <c r="D1101" s="231" t="s">
        <v>1</v>
      </c>
      <c r="E1101" s="230">
        <v>14491078</v>
      </c>
      <c r="F1101" s="230">
        <v>28773</v>
      </c>
      <c r="G1101" s="230">
        <v>25</v>
      </c>
      <c r="H1101" s="240">
        <v>26.3</v>
      </c>
      <c r="I1101" s="240">
        <f t="shared" si="17"/>
        <v>657.5</v>
      </c>
      <c r="J1101" s="231" t="s">
        <v>1311</v>
      </c>
      <c r="K1101" s="231" t="s">
        <v>1312</v>
      </c>
      <c r="L1101" s="232">
        <v>45170</v>
      </c>
      <c r="M1101" s="232">
        <v>45199</v>
      </c>
    </row>
    <row r="1102" spans="1:13" ht="18.75" customHeight="1" x14ac:dyDescent="0.2">
      <c r="A1102" s="231" t="s">
        <v>0</v>
      </c>
      <c r="B1102" s="230">
        <v>112170</v>
      </c>
      <c r="C1102" s="230">
        <v>10752</v>
      </c>
      <c r="D1102" s="231" t="s">
        <v>3</v>
      </c>
      <c r="E1102" s="230">
        <v>14491078</v>
      </c>
      <c r="F1102" s="230">
        <v>28775</v>
      </c>
      <c r="G1102" s="230">
        <v>25</v>
      </c>
      <c r="H1102" s="240">
        <v>26.3</v>
      </c>
      <c r="I1102" s="240">
        <f t="shared" si="17"/>
        <v>657.5</v>
      </c>
      <c r="J1102" s="231" t="s">
        <v>1311</v>
      </c>
      <c r="K1102" s="231" t="s">
        <v>1312</v>
      </c>
      <c r="L1102" s="232">
        <v>45170</v>
      </c>
      <c r="M1102" s="232">
        <v>45199</v>
      </c>
    </row>
    <row r="1103" spans="1:13" ht="18.75" customHeight="1" x14ac:dyDescent="0.2">
      <c r="A1103" s="231" t="s">
        <v>0</v>
      </c>
      <c r="B1103" s="230">
        <v>112171</v>
      </c>
      <c r="C1103" s="230">
        <v>10757</v>
      </c>
      <c r="D1103" s="231" t="s">
        <v>4</v>
      </c>
      <c r="E1103" s="230">
        <v>14491078</v>
      </c>
      <c r="F1103" s="230">
        <v>28777</v>
      </c>
      <c r="G1103" s="230">
        <v>24</v>
      </c>
      <c r="H1103" s="240">
        <v>26.3</v>
      </c>
      <c r="I1103" s="240">
        <f t="shared" si="17"/>
        <v>631.20000000000005</v>
      </c>
      <c r="J1103" s="231" t="s">
        <v>1311</v>
      </c>
      <c r="K1103" s="231" t="s">
        <v>1312</v>
      </c>
      <c r="L1103" s="232">
        <v>45170</v>
      </c>
      <c r="M1103" s="232">
        <v>45199</v>
      </c>
    </row>
    <row r="1104" spans="1:13" ht="18.75" customHeight="1" x14ac:dyDescent="0.2">
      <c r="A1104" s="231" t="s">
        <v>0</v>
      </c>
      <c r="B1104" s="230">
        <v>112198</v>
      </c>
      <c r="C1104" s="230">
        <v>10752</v>
      </c>
      <c r="D1104" s="231" t="s">
        <v>1313</v>
      </c>
      <c r="E1104" s="230">
        <v>14491078</v>
      </c>
      <c r="F1104" s="230">
        <v>28831</v>
      </c>
      <c r="G1104" s="230">
        <v>25</v>
      </c>
      <c r="H1104" s="240">
        <v>26.3</v>
      </c>
      <c r="I1104" s="240">
        <f t="shared" si="17"/>
        <v>657.5</v>
      </c>
      <c r="J1104" s="231" t="s">
        <v>1311</v>
      </c>
      <c r="K1104" s="231" t="s">
        <v>1312</v>
      </c>
      <c r="L1104" s="232">
        <v>45170</v>
      </c>
      <c r="M1104" s="232">
        <v>45199</v>
      </c>
    </row>
    <row r="1105" spans="1:13" ht="18.75" customHeight="1" x14ac:dyDescent="0.2">
      <c r="A1105" s="231" t="s">
        <v>0</v>
      </c>
      <c r="B1105" s="230">
        <v>112205</v>
      </c>
      <c r="C1105" s="230">
        <v>10750</v>
      </c>
      <c r="D1105" s="231" t="s">
        <v>34</v>
      </c>
      <c r="E1105" s="230">
        <v>14491078</v>
      </c>
      <c r="F1105" s="230">
        <v>28845</v>
      </c>
      <c r="G1105" s="230">
        <v>25</v>
      </c>
      <c r="H1105" s="240">
        <v>26.3</v>
      </c>
      <c r="I1105" s="240">
        <f t="shared" si="17"/>
        <v>657.5</v>
      </c>
      <c r="J1105" s="231" t="s">
        <v>1311</v>
      </c>
      <c r="K1105" s="231" t="s">
        <v>1312</v>
      </c>
      <c r="L1105" s="232">
        <v>45170</v>
      </c>
      <c r="M1105" s="232">
        <v>45199</v>
      </c>
    </row>
    <row r="1106" spans="1:13" ht="18.75" customHeight="1" x14ac:dyDescent="0.2">
      <c r="A1106" s="231" t="s">
        <v>0</v>
      </c>
      <c r="B1106" s="230">
        <v>112218</v>
      </c>
      <c r="C1106" s="230">
        <v>10763</v>
      </c>
      <c r="D1106" s="231" t="s">
        <v>1540</v>
      </c>
      <c r="E1106" s="230">
        <v>14491078</v>
      </c>
      <c r="F1106" s="230">
        <v>28871</v>
      </c>
      <c r="G1106" s="230">
        <v>25</v>
      </c>
      <c r="H1106" s="240">
        <v>26.3</v>
      </c>
      <c r="I1106" s="240">
        <f t="shared" si="17"/>
        <v>657.5</v>
      </c>
      <c r="J1106" s="231" t="s">
        <v>1311</v>
      </c>
      <c r="K1106" s="231" t="s">
        <v>1312</v>
      </c>
      <c r="L1106" s="232">
        <v>45170</v>
      </c>
      <c r="M1106" s="232">
        <v>45199</v>
      </c>
    </row>
    <row r="1107" spans="1:13" ht="18.75" customHeight="1" x14ac:dyDescent="0.2">
      <c r="A1107" s="231" t="s">
        <v>0</v>
      </c>
      <c r="B1107" s="230">
        <v>112221</v>
      </c>
      <c r="C1107" s="230">
        <v>10758</v>
      </c>
      <c r="D1107" s="231" t="s">
        <v>42</v>
      </c>
      <c r="E1107" s="230">
        <v>14491078</v>
      </c>
      <c r="F1107" s="230">
        <v>28877</v>
      </c>
      <c r="G1107" s="230">
        <v>25</v>
      </c>
      <c r="H1107" s="240">
        <v>26.3</v>
      </c>
      <c r="I1107" s="240">
        <f t="shared" si="17"/>
        <v>657.5</v>
      </c>
      <c r="J1107" s="231" t="s">
        <v>1311</v>
      </c>
      <c r="K1107" s="231" t="s">
        <v>1312</v>
      </c>
      <c r="L1107" s="232">
        <v>45170</v>
      </c>
      <c r="M1107" s="232">
        <v>45199</v>
      </c>
    </row>
    <row r="1108" spans="1:13" ht="18.75" customHeight="1" x14ac:dyDescent="0.2">
      <c r="A1108" s="231" t="s">
        <v>0</v>
      </c>
      <c r="B1108" s="230">
        <v>112223</v>
      </c>
      <c r="C1108" s="230">
        <v>10750</v>
      </c>
      <c r="D1108" s="231" t="s">
        <v>45</v>
      </c>
      <c r="E1108" s="230">
        <v>14491078</v>
      </c>
      <c r="F1108" s="230">
        <v>28881</v>
      </c>
      <c r="G1108" s="230">
        <v>25</v>
      </c>
      <c r="H1108" s="240">
        <v>26.3</v>
      </c>
      <c r="I1108" s="240">
        <f t="shared" si="17"/>
        <v>657.5</v>
      </c>
      <c r="J1108" s="231" t="s">
        <v>1311</v>
      </c>
      <c r="K1108" s="231" t="s">
        <v>1312</v>
      </c>
      <c r="L1108" s="232">
        <v>45170</v>
      </c>
      <c r="M1108" s="232">
        <v>45199</v>
      </c>
    </row>
    <row r="1109" spans="1:13" ht="18.75" customHeight="1" x14ac:dyDescent="0.2">
      <c r="A1109" s="231" t="s">
        <v>0</v>
      </c>
      <c r="B1109" s="230">
        <v>112227</v>
      </c>
      <c r="C1109" s="230">
        <v>10757</v>
      </c>
      <c r="D1109" s="231" t="s">
        <v>49</v>
      </c>
      <c r="E1109" s="230">
        <v>14491078</v>
      </c>
      <c r="F1109" s="230">
        <v>28889</v>
      </c>
      <c r="G1109" s="230">
        <v>25</v>
      </c>
      <c r="H1109" s="240">
        <v>26.3</v>
      </c>
      <c r="I1109" s="240">
        <f t="shared" si="17"/>
        <v>657.5</v>
      </c>
      <c r="J1109" s="231" t="s">
        <v>1311</v>
      </c>
      <c r="K1109" s="231" t="s">
        <v>1312</v>
      </c>
      <c r="L1109" s="232">
        <v>45170</v>
      </c>
      <c r="M1109" s="232">
        <v>45199</v>
      </c>
    </row>
    <row r="1110" spans="1:13" ht="18.75" customHeight="1" x14ac:dyDescent="0.2">
      <c r="A1110" s="231" t="s">
        <v>0</v>
      </c>
      <c r="B1110" s="230">
        <v>112230</v>
      </c>
      <c r="C1110" s="230">
        <v>10750</v>
      </c>
      <c r="D1110" s="231" t="s">
        <v>1377</v>
      </c>
      <c r="E1110" s="230">
        <v>14491078</v>
      </c>
      <c r="F1110" s="230">
        <v>28895</v>
      </c>
      <c r="G1110" s="230">
        <v>25</v>
      </c>
      <c r="H1110" s="240">
        <v>26.3</v>
      </c>
      <c r="I1110" s="240">
        <f t="shared" si="17"/>
        <v>657.5</v>
      </c>
      <c r="J1110" s="231" t="s">
        <v>1311</v>
      </c>
      <c r="K1110" s="231" t="s">
        <v>1312</v>
      </c>
      <c r="L1110" s="232">
        <v>45170</v>
      </c>
      <c r="M1110" s="232">
        <v>45199</v>
      </c>
    </row>
    <row r="1111" spans="1:13" ht="18.75" customHeight="1" x14ac:dyDescent="0.2">
      <c r="A1111" s="231" t="s">
        <v>0</v>
      </c>
      <c r="B1111" s="230">
        <v>112240</v>
      </c>
      <c r="C1111" s="230">
        <v>10750</v>
      </c>
      <c r="D1111" s="231" t="s">
        <v>58</v>
      </c>
      <c r="E1111" s="230">
        <v>14491078</v>
      </c>
      <c r="F1111" s="230">
        <v>28915</v>
      </c>
      <c r="G1111" s="230">
        <v>25</v>
      </c>
      <c r="H1111" s="240">
        <v>26.3</v>
      </c>
      <c r="I1111" s="240">
        <f t="shared" si="17"/>
        <v>657.5</v>
      </c>
      <c r="J1111" s="231" t="s">
        <v>1311</v>
      </c>
      <c r="K1111" s="231" t="s">
        <v>1312</v>
      </c>
      <c r="L1111" s="232">
        <v>45170</v>
      </c>
      <c r="M1111" s="232">
        <v>45199</v>
      </c>
    </row>
    <row r="1112" spans="1:13" ht="18.75" customHeight="1" x14ac:dyDescent="0.2">
      <c r="A1112" s="231" t="s">
        <v>0</v>
      </c>
      <c r="B1112" s="230">
        <v>112262</v>
      </c>
      <c r="C1112" s="230">
        <v>10745</v>
      </c>
      <c r="D1112" s="231" t="s">
        <v>72</v>
      </c>
      <c r="E1112" s="230">
        <v>14491078</v>
      </c>
      <c r="F1112" s="230">
        <v>28959</v>
      </c>
      <c r="G1112" s="230">
        <v>25</v>
      </c>
      <c r="H1112" s="240">
        <v>26.3</v>
      </c>
      <c r="I1112" s="240">
        <f t="shared" si="17"/>
        <v>657.5</v>
      </c>
      <c r="J1112" s="231" t="s">
        <v>1311</v>
      </c>
      <c r="K1112" s="231" t="s">
        <v>1312</v>
      </c>
      <c r="L1112" s="232">
        <v>45170</v>
      </c>
      <c r="M1112" s="232">
        <v>45199</v>
      </c>
    </row>
    <row r="1113" spans="1:13" ht="18.75" customHeight="1" x14ac:dyDescent="0.2">
      <c r="A1113" s="231" t="s">
        <v>0</v>
      </c>
      <c r="B1113" s="230">
        <v>112279</v>
      </c>
      <c r="C1113" s="230">
        <v>10752</v>
      </c>
      <c r="D1113" s="231" t="s">
        <v>84</v>
      </c>
      <c r="E1113" s="230">
        <v>14491078</v>
      </c>
      <c r="F1113" s="230">
        <v>28993</v>
      </c>
      <c r="G1113" s="230">
        <v>25</v>
      </c>
      <c r="H1113" s="240">
        <v>26.3</v>
      </c>
      <c r="I1113" s="240">
        <f t="shared" si="17"/>
        <v>657.5</v>
      </c>
      <c r="J1113" s="231" t="s">
        <v>1311</v>
      </c>
      <c r="K1113" s="231" t="s">
        <v>1312</v>
      </c>
      <c r="L1113" s="232">
        <v>45170</v>
      </c>
      <c r="M1113" s="232">
        <v>45199</v>
      </c>
    </row>
    <row r="1114" spans="1:13" ht="18.75" customHeight="1" x14ac:dyDescent="0.2">
      <c r="A1114" s="231" t="s">
        <v>0</v>
      </c>
      <c r="B1114" s="230">
        <v>112296</v>
      </c>
      <c r="C1114" s="230">
        <v>10745</v>
      </c>
      <c r="D1114" s="231" t="s">
        <v>94</v>
      </c>
      <c r="E1114" s="230">
        <v>14491078</v>
      </c>
      <c r="F1114" s="230">
        <v>29027</v>
      </c>
      <c r="G1114" s="230">
        <v>25</v>
      </c>
      <c r="H1114" s="240">
        <v>26.3</v>
      </c>
      <c r="I1114" s="240">
        <f t="shared" si="17"/>
        <v>657.5</v>
      </c>
      <c r="J1114" s="231" t="s">
        <v>1311</v>
      </c>
      <c r="K1114" s="231" t="s">
        <v>1312</v>
      </c>
      <c r="L1114" s="232">
        <v>45170</v>
      </c>
      <c r="M1114" s="232">
        <v>45199</v>
      </c>
    </row>
    <row r="1115" spans="1:13" ht="18.75" customHeight="1" x14ac:dyDescent="0.2">
      <c r="A1115" s="231" t="s">
        <v>0</v>
      </c>
      <c r="B1115" s="230">
        <v>112322</v>
      </c>
      <c r="C1115" s="230">
        <v>10756</v>
      </c>
      <c r="D1115" s="231" t="s">
        <v>106</v>
      </c>
      <c r="E1115" s="230">
        <v>14491078</v>
      </c>
      <c r="F1115" s="230">
        <v>29079</v>
      </c>
      <c r="G1115" s="230">
        <v>25</v>
      </c>
      <c r="H1115" s="240">
        <v>26.3</v>
      </c>
      <c r="I1115" s="240">
        <f t="shared" si="17"/>
        <v>657.5</v>
      </c>
      <c r="J1115" s="231" t="s">
        <v>1311</v>
      </c>
      <c r="K1115" s="231" t="s">
        <v>1312</v>
      </c>
      <c r="L1115" s="232">
        <v>45170</v>
      </c>
      <c r="M1115" s="232">
        <v>45199</v>
      </c>
    </row>
    <row r="1116" spans="1:13" ht="18.75" customHeight="1" x14ac:dyDescent="0.2">
      <c r="A1116" s="231" t="s">
        <v>0</v>
      </c>
      <c r="B1116" s="230">
        <v>112324</v>
      </c>
      <c r="C1116" s="230">
        <v>10752</v>
      </c>
      <c r="D1116" s="231" t="s">
        <v>107</v>
      </c>
      <c r="E1116" s="230">
        <v>14491078</v>
      </c>
      <c r="F1116" s="230">
        <v>29083</v>
      </c>
      <c r="G1116" s="230">
        <v>25</v>
      </c>
      <c r="H1116" s="240">
        <v>26.3</v>
      </c>
      <c r="I1116" s="240">
        <f t="shared" si="17"/>
        <v>657.5</v>
      </c>
      <c r="J1116" s="231" t="s">
        <v>1311</v>
      </c>
      <c r="K1116" s="231" t="s">
        <v>1312</v>
      </c>
      <c r="L1116" s="232">
        <v>45170</v>
      </c>
      <c r="M1116" s="232">
        <v>45199</v>
      </c>
    </row>
    <row r="1117" spans="1:13" ht="18.75" customHeight="1" x14ac:dyDescent="0.2">
      <c r="A1117" s="231" t="s">
        <v>0</v>
      </c>
      <c r="B1117" s="230">
        <v>112340</v>
      </c>
      <c r="C1117" s="230">
        <v>10771</v>
      </c>
      <c r="D1117" s="231" t="s">
        <v>119</v>
      </c>
      <c r="E1117" s="230">
        <v>14491078</v>
      </c>
      <c r="F1117" s="230">
        <v>29115</v>
      </c>
      <c r="G1117" s="230">
        <v>25</v>
      </c>
      <c r="H1117" s="240">
        <v>26.3</v>
      </c>
      <c r="I1117" s="240">
        <f t="shared" si="17"/>
        <v>657.5</v>
      </c>
      <c r="J1117" s="231" t="s">
        <v>1311</v>
      </c>
      <c r="K1117" s="231" t="s">
        <v>1312</v>
      </c>
      <c r="L1117" s="232">
        <v>45170</v>
      </c>
      <c r="M1117" s="232">
        <v>45199</v>
      </c>
    </row>
    <row r="1118" spans="1:13" ht="18.75" customHeight="1" x14ac:dyDescent="0.2">
      <c r="A1118" s="231" t="s">
        <v>0</v>
      </c>
      <c r="B1118" s="230">
        <v>112359</v>
      </c>
      <c r="C1118" s="230">
        <v>10751</v>
      </c>
      <c r="D1118" s="231" t="s">
        <v>130</v>
      </c>
      <c r="E1118" s="230">
        <v>14491078</v>
      </c>
      <c r="F1118" s="230">
        <v>29153</v>
      </c>
      <c r="G1118" s="230">
        <v>25</v>
      </c>
      <c r="H1118" s="240">
        <v>26.3</v>
      </c>
      <c r="I1118" s="240">
        <f t="shared" si="17"/>
        <v>657.5</v>
      </c>
      <c r="J1118" s="231" t="s">
        <v>1311</v>
      </c>
      <c r="K1118" s="231" t="s">
        <v>1312</v>
      </c>
      <c r="L1118" s="232">
        <v>45170</v>
      </c>
      <c r="M1118" s="232">
        <v>45199</v>
      </c>
    </row>
    <row r="1119" spans="1:13" ht="18.75" customHeight="1" x14ac:dyDescent="0.2">
      <c r="A1119" s="231" t="s">
        <v>0</v>
      </c>
      <c r="B1119" s="230">
        <v>112364</v>
      </c>
      <c r="C1119" s="230">
        <v>10745</v>
      </c>
      <c r="D1119" s="231" t="s">
        <v>132</v>
      </c>
      <c r="E1119" s="230">
        <v>14491078</v>
      </c>
      <c r="F1119" s="230">
        <v>29163</v>
      </c>
      <c r="G1119" s="230">
        <v>24</v>
      </c>
      <c r="H1119" s="240">
        <v>26.3</v>
      </c>
      <c r="I1119" s="240">
        <f t="shared" si="17"/>
        <v>631.20000000000005</v>
      </c>
      <c r="J1119" s="231" t="s">
        <v>1311</v>
      </c>
      <c r="K1119" s="231" t="s">
        <v>1312</v>
      </c>
      <c r="L1119" s="232">
        <v>45170</v>
      </c>
      <c r="M1119" s="232">
        <v>45199</v>
      </c>
    </row>
    <row r="1120" spans="1:13" ht="18.75" customHeight="1" x14ac:dyDescent="0.2">
      <c r="A1120" s="231" t="s">
        <v>0</v>
      </c>
      <c r="B1120" s="230">
        <v>112372</v>
      </c>
      <c r="C1120" s="230">
        <v>10751</v>
      </c>
      <c r="D1120" s="231" t="s">
        <v>136</v>
      </c>
      <c r="E1120" s="230">
        <v>14491078</v>
      </c>
      <c r="F1120" s="230">
        <v>29179</v>
      </c>
      <c r="G1120" s="230">
        <v>25</v>
      </c>
      <c r="H1120" s="240">
        <v>26.3</v>
      </c>
      <c r="I1120" s="240">
        <f t="shared" si="17"/>
        <v>657.5</v>
      </c>
      <c r="J1120" s="231" t="s">
        <v>1311</v>
      </c>
      <c r="K1120" s="231" t="s">
        <v>1312</v>
      </c>
      <c r="L1120" s="232">
        <v>45170</v>
      </c>
      <c r="M1120" s="232">
        <v>45199</v>
      </c>
    </row>
    <row r="1121" spans="1:13" ht="18.75" customHeight="1" x14ac:dyDescent="0.2">
      <c r="A1121" s="231" t="s">
        <v>0</v>
      </c>
      <c r="B1121" s="230">
        <v>112373</v>
      </c>
      <c r="C1121" s="230">
        <v>10757</v>
      </c>
      <c r="D1121" s="231" t="s">
        <v>137</v>
      </c>
      <c r="E1121" s="230">
        <v>14491078</v>
      </c>
      <c r="F1121" s="230">
        <v>29181</v>
      </c>
      <c r="G1121" s="230">
        <v>25</v>
      </c>
      <c r="H1121" s="240">
        <v>26.3</v>
      </c>
      <c r="I1121" s="240">
        <f t="shared" si="17"/>
        <v>657.5</v>
      </c>
      <c r="J1121" s="231" t="s">
        <v>1311</v>
      </c>
      <c r="K1121" s="231" t="s">
        <v>1312</v>
      </c>
      <c r="L1121" s="232">
        <v>45170</v>
      </c>
      <c r="M1121" s="232">
        <v>45199</v>
      </c>
    </row>
    <row r="1122" spans="1:13" ht="18.75" customHeight="1" x14ac:dyDescent="0.2">
      <c r="A1122" s="231" t="s">
        <v>0</v>
      </c>
      <c r="B1122" s="230">
        <v>112378</v>
      </c>
      <c r="C1122" s="230">
        <v>10750</v>
      </c>
      <c r="D1122" s="231" t="s">
        <v>141</v>
      </c>
      <c r="E1122" s="230">
        <v>14491078</v>
      </c>
      <c r="F1122" s="230">
        <v>29191</v>
      </c>
      <c r="G1122" s="230">
        <v>25</v>
      </c>
      <c r="H1122" s="240">
        <v>26.3</v>
      </c>
      <c r="I1122" s="240">
        <f t="shared" si="17"/>
        <v>657.5</v>
      </c>
      <c r="J1122" s="231" t="s">
        <v>1311</v>
      </c>
      <c r="K1122" s="231" t="s">
        <v>1312</v>
      </c>
      <c r="L1122" s="232">
        <v>45170</v>
      </c>
      <c r="M1122" s="232">
        <v>45199</v>
      </c>
    </row>
    <row r="1123" spans="1:13" ht="18.75" customHeight="1" x14ac:dyDescent="0.2">
      <c r="A1123" s="231" t="s">
        <v>0</v>
      </c>
      <c r="B1123" s="230">
        <v>112380</v>
      </c>
      <c r="C1123" s="230">
        <v>10750</v>
      </c>
      <c r="D1123" s="231" t="s">
        <v>143</v>
      </c>
      <c r="E1123" s="230">
        <v>14491078</v>
      </c>
      <c r="F1123" s="230">
        <v>29195</v>
      </c>
      <c r="G1123" s="230">
        <v>25</v>
      </c>
      <c r="H1123" s="240">
        <v>26.3</v>
      </c>
      <c r="I1123" s="240">
        <f t="shared" si="17"/>
        <v>657.5</v>
      </c>
      <c r="J1123" s="231" t="s">
        <v>1311</v>
      </c>
      <c r="K1123" s="231" t="s">
        <v>1312</v>
      </c>
      <c r="L1123" s="232">
        <v>45170</v>
      </c>
      <c r="M1123" s="232">
        <v>45199</v>
      </c>
    </row>
    <row r="1124" spans="1:13" ht="18.75" customHeight="1" x14ac:dyDescent="0.2">
      <c r="A1124" s="231" t="s">
        <v>0</v>
      </c>
      <c r="B1124" s="230">
        <v>112392</v>
      </c>
      <c r="C1124" s="230">
        <v>10750</v>
      </c>
      <c r="D1124" s="231" t="s">
        <v>150</v>
      </c>
      <c r="E1124" s="230">
        <v>14491078</v>
      </c>
      <c r="F1124" s="230">
        <v>29219</v>
      </c>
      <c r="G1124" s="230">
        <v>25</v>
      </c>
      <c r="H1124" s="240">
        <v>26.3</v>
      </c>
      <c r="I1124" s="240">
        <f t="shared" si="17"/>
        <v>657.5</v>
      </c>
      <c r="J1124" s="231" t="s">
        <v>1311</v>
      </c>
      <c r="K1124" s="231" t="s">
        <v>1312</v>
      </c>
      <c r="L1124" s="232">
        <v>45170</v>
      </c>
      <c r="M1124" s="232">
        <v>45199</v>
      </c>
    </row>
    <row r="1125" spans="1:13" ht="18.75" customHeight="1" x14ac:dyDescent="0.2">
      <c r="A1125" s="231" t="s">
        <v>0</v>
      </c>
      <c r="B1125" s="230">
        <v>112394</v>
      </c>
      <c r="C1125" s="230">
        <v>10750</v>
      </c>
      <c r="D1125" s="231" t="s">
        <v>152</v>
      </c>
      <c r="E1125" s="230">
        <v>14491078</v>
      </c>
      <c r="F1125" s="230">
        <v>29223</v>
      </c>
      <c r="G1125" s="230">
        <v>25</v>
      </c>
      <c r="H1125" s="240">
        <v>26.3</v>
      </c>
      <c r="I1125" s="240">
        <f t="shared" si="17"/>
        <v>657.5</v>
      </c>
      <c r="J1125" s="231" t="s">
        <v>1311</v>
      </c>
      <c r="K1125" s="231" t="s">
        <v>1312</v>
      </c>
      <c r="L1125" s="232">
        <v>45170</v>
      </c>
      <c r="M1125" s="232">
        <v>45199</v>
      </c>
    </row>
    <row r="1126" spans="1:13" ht="18.75" customHeight="1" x14ac:dyDescent="0.2">
      <c r="A1126" s="231" t="s">
        <v>0</v>
      </c>
      <c r="B1126" s="230">
        <v>112402</v>
      </c>
      <c r="C1126" s="230">
        <v>10757</v>
      </c>
      <c r="D1126" s="231" t="s">
        <v>158</v>
      </c>
      <c r="E1126" s="230">
        <v>14491078</v>
      </c>
      <c r="F1126" s="230">
        <v>29239</v>
      </c>
      <c r="G1126" s="230">
        <v>25</v>
      </c>
      <c r="H1126" s="240">
        <v>26.3</v>
      </c>
      <c r="I1126" s="240">
        <f t="shared" si="17"/>
        <v>657.5</v>
      </c>
      <c r="J1126" s="231" t="s">
        <v>1311</v>
      </c>
      <c r="K1126" s="231" t="s">
        <v>1312</v>
      </c>
      <c r="L1126" s="232">
        <v>45170</v>
      </c>
      <c r="M1126" s="232">
        <v>45199</v>
      </c>
    </row>
    <row r="1127" spans="1:13" ht="18.75" customHeight="1" x14ac:dyDescent="0.2">
      <c r="A1127" s="231" t="s">
        <v>0</v>
      </c>
      <c r="B1127" s="230">
        <v>112403</v>
      </c>
      <c r="C1127" s="230">
        <v>10750</v>
      </c>
      <c r="D1127" s="231" t="s">
        <v>159</v>
      </c>
      <c r="E1127" s="230">
        <v>14491078</v>
      </c>
      <c r="F1127" s="230">
        <v>29241</v>
      </c>
      <c r="G1127" s="230">
        <v>25</v>
      </c>
      <c r="H1127" s="240">
        <v>26.3</v>
      </c>
      <c r="I1127" s="240">
        <f t="shared" si="17"/>
        <v>657.5</v>
      </c>
      <c r="J1127" s="231" t="s">
        <v>1311</v>
      </c>
      <c r="K1127" s="231" t="s">
        <v>1312</v>
      </c>
      <c r="L1127" s="232">
        <v>45170</v>
      </c>
      <c r="M1127" s="232">
        <v>45199</v>
      </c>
    </row>
    <row r="1128" spans="1:13" ht="18.75" customHeight="1" x14ac:dyDescent="0.2">
      <c r="A1128" s="231" t="s">
        <v>0</v>
      </c>
      <c r="B1128" s="230">
        <v>112417</v>
      </c>
      <c r="C1128" s="230">
        <v>10751</v>
      </c>
      <c r="D1128" s="231" t="s">
        <v>167</v>
      </c>
      <c r="E1128" s="230">
        <v>14491078</v>
      </c>
      <c r="F1128" s="230">
        <v>29269</v>
      </c>
      <c r="G1128" s="230">
        <v>25</v>
      </c>
      <c r="H1128" s="240">
        <v>26.3</v>
      </c>
      <c r="I1128" s="240">
        <f t="shared" si="17"/>
        <v>657.5</v>
      </c>
      <c r="J1128" s="231" t="s">
        <v>1311</v>
      </c>
      <c r="K1128" s="231" t="s">
        <v>1312</v>
      </c>
      <c r="L1128" s="232">
        <v>45170</v>
      </c>
      <c r="M1128" s="232">
        <v>45199</v>
      </c>
    </row>
    <row r="1129" spans="1:13" ht="18.75" customHeight="1" x14ac:dyDescent="0.2">
      <c r="A1129" s="231" t="s">
        <v>0</v>
      </c>
      <c r="B1129" s="230">
        <v>112418</v>
      </c>
      <c r="C1129" s="230">
        <v>10750</v>
      </c>
      <c r="D1129" s="231" t="s">
        <v>168</v>
      </c>
      <c r="E1129" s="230">
        <v>14491078</v>
      </c>
      <c r="F1129" s="230">
        <v>29271</v>
      </c>
      <c r="G1129" s="230">
        <v>25</v>
      </c>
      <c r="H1129" s="240">
        <v>26.3</v>
      </c>
      <c r="I1129" s="240">
        <f t="shared" si="17"/>
        <v>657.5</v>
      </c>
      <c r="J1129" s="231" t="s">
        <v>1311</v>
      </c>
      <c r="K1129" s="231" t="s">
        <v>1312</v>
      </c>
      <c r="L1129" s="232">
        <v>45170</v>
      </c>
      <c r="M1129" s="232">
        <v>45199</v>
      </c>
    </row>
    <row r="1130" spans="1:13" ht="18.75" customHeight="1" x14ac:dyDescent="0.2">
      <c r="A1130" s="231" t="s">
        <v>0</v>
      </c>
      <c r="B1130" s="230">
        <v>112449</v>
      </c>
      <c r="C1130" s="230">
        <v>10750</v>
      </c>
      <c r="D1130" s="231" t="s">
        <v>188</v>
      </c>
      <c r="E1130" s="230">
        <v>14491078</v>
      </c>
      <c r="F1130" s="230">
        <v>29333</v>
      </c>
      <c r="G1130" s="230">
        <v>25</v>
      </c>
      <c r="H1130" s="240">
        <v>26.3</v>
      </c>
      <c r="I1130" s="240">
        <f t="shared" si="17"/>
        <v>657.5</v>
      </c>
      <c r="J1130" s="231" t="s">
        <v>1311</v>
      </c>
      <c r="K1130" s="231" t="s">
        <v>1312</v>
      </c>
      <c r="L1130" s="232">
        <v>45170</v>
      </c>
      <c r="M1130" s="232">
        <v>45199</v>
      </c>
    </row>
    <row r="1131" spans="1:13" ht="18.75" customHeight="1" x14ac:dyDescent="0.2">
      <c r="A1131" s="231" t="s">
        <v>0</v>
      </c>
      <c r="B1131" s="230">
        <v>112458</v>
      </c>
      <c r="C1131" s="230">
        <v>10763</v>
      </c>
      <c r="D1131" s="231" t="s">
        <v>194</v>
      </c>
      <c r="E1131" s="230">
        <v>14491078</v>
      </c>
      <c r="F1131" s="230">
        <v>29351</v>
      </c>
      <c r="G1131" s="230">
        <v>25</v>
      </c>
      <c r="H1131" s="240">
        <v>26.3</v>
      </c>
      <c r="I1131" s="240">
        <f t="shared" si="17"/>
        <v>657.5</v>
      </c>
      <c r="J1131" s="231" t="s">
        <v>1311</v>
      </c>
      <c r="K1131" s="231" t="s">
        <v>1312</v>
      </c>
      <c r="L1131" s="232">
        <v>45170</v>
      </c>
      <c r="M1131" s="232">
        <v>45199</v>
      </c>
    </row>
    <row r="1132" spans="1:13" ht="18.75" customHeight="1" x14ac:dyDescent="0.2">
      <c r="A1132" s="231" t="s">
        <v>0</v>
      </c>
      <c r="B1132" s="230">
        <v>112470</v>
      </c>
      <c r="C1132" s="230">
        <v>10763</v>
      </c>
      <c r="D1132" s="231" t="s">
        <v>199</v>
      </c>
      <c r="E1132" s="230">
        <v>14491078</v>
      </c>
      <c r="F1132" s="230">
        <v>29375</v>
      </c>
      <c r="G1132" s="230">
        <v>25</v>
      </c>
      <c r="H1132" s="240">
        <v>26.3</v>
      </c>
      <c r="I1132" s="240">
        <f t="shared" si="17"/>
        <v>657.5</v>
      </c>
      <c r="J1132" s="231" t="s">
        <v>1311</v>
      </c>
      <c r="K1132" s="231" t="s">
        <v>1312</v>
      </c>
      <c r="L1132" s="232">
        <v>45170</v>
      </c>
      <c r="M1132" s="232">
        <v>45199</v>
      </c>
    </row>
    <row r="1133" spans="1:13" ht="18.75" customHeight="1" x14ac:dyDescent="0.2">
      <c r="A1133" s="231" t="s">
        <v>0</v>
      </c>
      <c r="B1133" s="230">
        <v>112473</v>
      </c>
      <c r="C1133" s="230">
        <v>10750</v>
      </c>
      <c r="D1133" s="231" t="s">
        <v>202</v>
      </c>
      <c r="E1133" s="230">
        <v>14491078</v>
      </c>
      <c r="F1133" s="230">
        <v>29381</v>
      </c>
      <c r="G1133" s="230">
        <v>25</v>
      </c>
      <c r="H1133" s="240">
        <v>26.3</v>
      </c>
      <c r="I1133" s="240">
        <f t="shared" si="17"/>
        <v>657.5</v>
      </c>
      <c r="J1133" s="231" t="s">
        <v>1311</v>
      </c>
      <c r="K1133" s="231" t="s">
        <v>1312</v>
      </c>
      <c r="L1133" s="232">
        <v>45170</v>
      </c>
      <c r="M1133" s="232">
        <v>45199</v>
      </c>
    </row>
    <row r="1134" spans="1:13" ht="18.75" customHeight="1" x14ac:dyDescent="0.2">
      <c r="A1134" s="231" t="s">
        <v>0</v>
      </c>
      <c r="B1134" s="230">
        <v>112494</v>
      </c>
      <c r="C1134" s="230">
        <v>10756</v>
      </c>
      <c r="D1134" s="231" t="s">
        <v>214</v>
      </c>
      <c r="E1134" s="230">
        <v>14491078</v>
      </c>
      <c r="F1134" s="230">
        <v>29423</v>
      </c>
      <c r="G1134" s="230">
        <v>25</v>
      </c>
      <c r="H1134" s="240">
        <v>26.3</v>
      </c>
      <c r="I1134" s="240">
        <f t="shared" si="17"/>
        <v>657.5</v>
      </c>
      <c r="J1134" s="231" t="s">
        <v>1311</v>
      </c>
      <c r="K1134" s="231" t="s">
        <v>1312</v>
      </c>
      <c r="L1134" s="232">
        <v>45170</v>
      </c>
      <c r="M1134" s="232">
        <v>45199</v>
      </c>
    </row>
    <row r="1135" spans="1:13" ht="18.75" customHeight="1" x14ac:dyDescent="0.2">
      <c r="A1135" s="231" t="s">
        <v>0</v>
      </c>
      <c r="B1135" s="230">
        <v>112520</v>
      </c>
      <c r="C1135" s="230">
        <v>10750</v>
      </c>
      <c r="D1135" s="231" t="s">
        <v>235</v>
      </c>
      <c r="E1135" s="230">
        <v>14491078</v>
      </c>
      <c r="F1135" s="230">
        <v>29475</v>
      </c>
      <c r="G1135" s="230">
        <v>25</v>
      </c>
      <c r="H1135" s="240">
        <v>26.3</v>
      </c>
      <c r="I1135" s="240">
        <f t="shared" si="17"/>
        <v>657.5</v>
      </c>
      <c r="J1135" s="231" t="s">
        <v>1311</v>
      </c>
      <c r="K1135" s="231" t="s">
        <v>1312</v>
      </c>
      <c r="L1135" s="232">
        <v>45170</v>
      </c>
      <c r="M1135" s="232">
        <v>45199</v>
      </c>
    </row>
    <row r="1136" spans="1:13" ht="18.75" customHeight="1" x14ac:dyDescent="0.2">
      <c r="A1136" s="231" t="s">
        <v>0</v>
      </c>
      <c r="B1136" s="230">
        <v>112533</v>
      </c>
      <c r="C1136" s="230">
        <v>10754</v>
      </c>
      <c r="D1136" s="231" t="s">
        <v>245</v>
      </c>
      <c r="E1136" s="230">
        <v>14491078</v>
      </c>
      <c r="F1136" s="230">
        <v>29501</v>
      </c>
      <c r="G1136" s="230">
        <v>25</v>
      </c>
      <c r="H1136" s="240">
        <v>26.3</v>
      </c>
      <c r="I1136" s="240">
        <f t="shared" si="17"/>
        <v>657.5</v>
      </c>
      <c r="J1136" s="231" t="s">
        <v>1311</v>
      </c>
      <c r="K1136" s="231" t="s">
        <v>1312</v>
      </c>
      <c r="L1136" s="232">
        <v>45170</v>
      </c>
      <c r="M1136" s="232">
        <v>45199</v>
      </c>
    </row>
    <row r="1137" spans="1:13" ht="18.75" customHeight="1" x14ac:dyDescent="0.2">
      <c r="A1137" s="231" t="s">
        <v>0</v>
      </c>
      <c r="B1137" s="230">
        <v>112539</v>
      </c>
      <c r="C1137" s="230">
        <v>10750</v>
      </c>
      <c r="D1137" s="231" t="s">
        <v>250</v>
      </c>
      <c r="E1137" s="230">
        <v>14491078</v>
      </c>
      <c r="F1137" s="230">
        <v>29513</v>
      </c>
      <c r="G1137" s="230">
        <v>25</v>
      </c>
      <c r="H1137" s="240">
        <v>26.3</v>
      </c>
      <c r="I1137" s="240">
        <f t="shared" si="17"/>
        <v>657.5</v>
      </c>
      <c r="J1137" s="231" t="s">
        <v>1311</v>
      </c>
      <c r="K1137" s="231" t="s">
        <v>1312</v>
      </c>
      <c r="L1137" s="232">
        <v>45170</v>
      </c>
      <c r="M1137" s="232">
        <v>45199</v>
      </c>
    </row>
    <row r="1138" spans="1:13" ht="18.75" customHeight="1" x14ac:dyDescent="0.2">
      <c r="A1138" s="231" t="s">
        <v>0</v>
      </c>
      <c r="B1138" s="230">
        <v>112540</v>
      </c>
      <c r="C1138" s="230">
        <v>10766</v>
      </c>
      <c r="D1138" s="231" t="s">
        <v>251</v>
      </c>
      <c r="E1138" s="230">
        <v>14491078</v>
      </c>
      <c r="F1138" s="230">
        <v>29515</v>
      </c>
      <c r="G1138" s="230">
        <v>25</v>
      </c>
      <c r="H1138" s="240">
        <v>26.3</v>
      </c>
      <c r="I1138" s="240">
        <f t="shared" si="17"/>
        <v>657.5</v>
      </c>
      <c r="J1138" s="231" t="s">
        <v>1311</v>
      </c>
      <c r="K1138" s="231" t="s">
        <v>1312</v>
      </c>
      <c r="L1138" s="232">
        <v>45170</v>
      </c>
      <c r="M1138" s="232">
        <v>45199</v>
      </c>
    </row>
    <row r="1139" spans="1:13" ht="18.75" customHeight="1" x14ac:dyDescent="0.2">
      <c r="A1139" s="231" t="s">
        <v>0</v>
      </c>
      <c r="B1139" s="230">
        <v>112542</v>
      </c>
      <c r="C1139" s="230">
        <v>10763</v>
      </c>
      <c r="D1139" s="231" t="s">
        <v>252</v>
      </c>
      <c r="E1139" s="230">
        <v>14491078</v>
      </c>
      <c r="F1139" s="230">
        <v>29519</v>
      </c>
      <c r="G1139" s="230">
        <v>24</v>
      </c>
      <c r="H1139" s="240">
        <v>26.3</v>
      </c>
      <c r="I1139" s="240">
        <f t="shared" si="17"/>
        <v>631.20000000000005</v>
      </c>
      <c r="J1139" s="231" t="s">
        <v>1311</v>
      </c>
      <c r="K1139" s="231" t="s">
        <v>1312</v>
      </c>
      <c r="L1139" s="232">
        <v>45170</v>
      </c>
      <c r="M1139" s="232">
        <v>45199</v>
      </c>
    </row>
    <row r="1140" spans="1:13" ht="18.75" customHeight="1" x14ac:dyDescent="0.2">
      <c r="A1140" s="231" t="s">
        <v>0</v>
      </c>
      <c r="B1140" s="230">
        <v>112545</v>
      </c>
      <c r="C1140" s="230">
        <v>10750</v>
      </c>
      <c r="D1140" s="231" t="s">
        <v>253</v>
      </c>
      <c r="E1140" s="230">
        <v>14491078</v>
      </c>
      <c r="F1140" s="230">
        <v>29525</v>
      </c>
      <c r="G1140" s="230">
        <v>25</v>
      </c>
      <c r="H1140" s="240">
        <v>26.3</v>
      </c>
      <c r="I1140" s="240">
        <f t="shared" si="17"/>
        <v>657.5</v>
      </c>
      <c r="J1140" s="231" t="s">
        <v>1311</v>
      </c>
      <c r="K1140" s="231" t="s">
        <v>1312</v>
      </c>
      <c r="L1140" s="232">
        <v>45170</v>
      </c>
      <c r="M1140" s="232">
        <v>45199</v>
      </c>
    </row>
    <row r="1141" spans="1:13" ht="18.75" customHeight="1" x14ac:dyDescent="0.2">
      <c r="A1141" s="231" t="s">
        <v>0</v>
      </c>
      <c r="B1141" s="230">
        <v>112558</v>
      </c>
      <c r="C1141" s="230">
        <v>10771</v>
      </c>
      <c r="D1141" s="231" t="s">
        <v>264</v>
      </c>
      <c r="E1141" s="230">
        <v>14491078</v>
      </c>
      <c r="F1141" s="230">
        <v>29551</v>
      </c>
      <c r="G1141" s="230">
        <v>25</v>
      </c>
      <c r="H1141" s="240">
        <v>26.3</v>
      </c>
      <c r="I1141" s="240">
        <f t="shared" si="17"/>
        <v>657.5</v>
      </c>
      <c r="J1141" s="231" t="s">
        <v>1311</v>
      </c>
      <c r="K1141" s="231" t="s">
        <v>1312</v>
      </c>
      <c r="L1141" s="232">
        <v>45170</v>
      </c>
      <c r="M1141" s="232">
        <v>45199</v>
      </c>
    </row>
    <row r="1142" spans="1:13" ht="18.75" customHeight="1" x14ac:dyDescent="0.2">
      <c r="A1142" s="231" t="s">
        <v>0</v>
      </c>
      <c r="B1142" s="230">
        <v>112559</v>
      </c>
      <c r="C1142" s="230">
        <v>10752</v>
      </c>
      <c r="D1142" s="231" t="s">
        <v>265</v>
      </c>
      <c r="E1142" s="230">
        <v>14491078</v>
      </c>
      <c r="F1142" s="230">
        <v>29553</v>
      </c>
      <c r="G1142" s="230">
        <v>25</v>
      </c>
      <c r="H1142" s="240">
        <v>26.3</v>
      </c>
      <c r="I1142" s="240">
        <f t="shared" si="17"/>
        <v>657.5</v>
      </c>
      <c r="J1142" s="231" t="s">
        <v>1311</v>
      </c>
      <c r="K1142" s="231" t="s">
        <v>1312</v>
      </c>
      <c r="L1142" s="232">
        <v>45170</v>
      </c>
      <c r="M1142" s="232">
        <v>45199</v>
      </c>
    </row>
    <row r="1143" spans="1:13" ht="18.75" customHeight="1" x14ac:dyDescent="0.2">
      <c r="A1143" s="231" t="s">
        <v>0</v>
      </c>
      <c r="B1143" s="230">
        <v>112563</v>
      </c>
      <c r="C1143" s="230">
        <v>10752</v>
      </c>
      <c r="D1143" s="231" t="s">
        <v>267</v>
      </c>
      <c r="E1143" s="230">
        <v>14491078</v>
      </c>
      <c r="F1143" s="230">
        <v>29561</v>
      </c>
      <c r="G1143" s="230">
        <v>25</v>
      </c>
      <c r="H1143" s="240">
        <v>26.3</v>
      </c>
      <c r="I1143" s="240">
        <f t="shared" si="17"/>
        <v>657.5</v>
      </c>
      <c r="J1143" s="231" t="s">
        <v>1311</v>
      </c>
      <c r="K1143" s="231" t="s">
        <v>1312</v>
      </c>
      <c r="L1143" s="232">
        <v>45170</v>
      </c>
      <c r="M1143" s="232">
        <v>45199</v>
      </c>
    </row>
    <row r="1144" spans="1:13" ht="18.75" customHeight="1" x14ac:dyDescent="0.2">
      <c r="A1144" s="231" t="s">
        <v>0</v>
      </c>
      <c r="B1144" s="230">
        <v>112577</v>
      </c>
      <c r="C1144" s="230">
        <v>10750</v>
      </c>
      <c r="D1144" s="231" t="s">
        <v>274</v>
      </c>
      <c r="E1144" s="230">
        <v>14491078</v>
      </c>
      <c r="F1144" s="230">
        <v>29589</v>
      </c>
      <c r="G1144" s="230">
        <v>25</v>
      </c>
      <c r="H1144" s="240">
        <v>26.3</v>
      </c>
      <c r="I1144" s="240">
        <f t="shared" si="17"/>
        <v>657.5</v>
      </c>
      <c r="J1144" s="231" t="s">
        <v>1311</v>
      </c>
      <c r="K1144" s="231" t="s">
        <v>1312</v>
      </c>
      <c r="L1144" s="232">
        <v>45170</v>
      </c>
      <c r="M1144" s="232">
        <v>45199</v>
      </c>
    </row>
    <row r="1145" spans="1:13" ht="18.75" customHeight="1" x14ac:dyDescent="0.2">
      <c r="A1145" s="231" t="s">
        <v>0</v>
      </c>
      <c r="B1145" s="230">
        <v>112587</v>
      </c>
      <c r="C1145" s="230">
        <v>10752</v>
      </c>
      <c r="D1145" s="231" t="s">
        <v>280</v>
      </c>
      <c r="E1145" s="230">
        <v>14491078</v>
      </c>
      <c r="F1145" s="230">
        <v>29609</v>
      </c>
      <c r="G1145" s="230">
        <v>25</v>
      </c>
      <c r="H1145" s="240">
        <v>26.3</v>
      </c>
      <c r="I1145" s="240">
        <f t="shared" si="17"/>
        <v>657.5</v>
      </c>
      <c r="J1145" s="231" t="s">
        <v>1311</v>
      </c>
      <c r="K1145" s="231" t="s">
        <v>1312</v>
      </c>
      <c r="L1145" s="232">
        <v>45170</v>
      </c>
      <c r="M1145" s="232">
        <v>45199</v>
      </c>
    </row>
    <row r="1146" spans="1:13" ht="18.75" customHeight="1" x14ac:dyDescent="0.2">
      <c r="A1146" s="231" t="s">
        <v>0</v>
      </c>
      <c r="B1146" s="230">
        <v>112596</v>
      </c>
      <c r="C1146" s="230">
        <v>10750</v>
      </c>
      <c r="D1146" s="231" t="s">
        <v>285</v>
      </c>
      <c r="E1146" s="230">
        <v>14491078</v>
      </c>
      <c r="F1146" s="230">
        <v>29627</v>
      </c>
      <c r="G1146" s="230">
        <v>25</v>
      </c>
      <c r="H1146" s="240">
        <v>26.3</v>
      </c>
      <c r="I1146" s="240">
        <f t="shared" si="17"/>
        <v>657.5</v>
      </c>
      <c r="J1146" s="231" t="s">
        <v>1311</v>
      </c>
      <c r="K1146" s="231" t="s">
        <v>1312</v>
      </c>
      <c r="L1146" s="232">
        <v>45170</v>
      </c>
      <c r="M1146" s="232">
        <v>45199</v>
      </c>
    </row>
    <row r="1147" spans="1:13" ht="18.75" customHeight="1" x14ac:dyDescent="0.2">
      <c r="A1147" s="231" t="s">
        <v>0</v>
      </c>
      <c r="B1147" s="230">
        <v>112629</v>
      </c>
      <c r="C1147" s="230">
        <v>10750</v>
      </c>
      <c r="D1147" s="231" t="s">
        <v>309</v>
      </c>
      <c r="E1147" s="230">
        <v>14491078</v>
      </c>
      <c r="F1147" s="230">
        <v>29693</v>
      </c>
      <c r="G1147" s="230">
        <v>25</v>
      </c>
      <c r="H1147" s="240">
        <v>26.3</v>
      </c>
      <c r="I1147" s="240">
        <f t="shared" si="17"/>
        <v>657.5</v>
      </c>
      <c r="J1147" s="231" t="s">
        <v>1311</v>
      </c>
      <c r="K1147" s="231" t="s">
        <v>1312</v>
      </c>
      <c r="L1147" s="232">
        <v>45170</v>
      </c>
      <c r="M1147" s="232">
        <v>45199</v>
      </c>
    </row>
    <row r="1148" spans="1:13" ht="18.75" customHeight="1" x14ac:dyDescent="0.2">
      <c r="A1148" s="231" t="s">
        <v>0</v>
      </c>
      <c r="B1148" s="230">
        <v>112630</v>
      </c>
      <c r="C1148" s="230">
        <v>10757</v>
      </c>
      <c r="D1148" s="231" t="s">
        <v>310</v>
      </c>
      <c r="E1148" s="230">
        <v>14491078</v>
      </c>
      <c r="F1148" s="230">
        <v>29695</v>
      </c>
      <c r="G1148" s="230">
        <v>25</v>
      </c>
      <c r="H1148" s="240">
        <v>26.3</v>
      </c>
      <c r="I1148" s="240">
        <f t="shared" si="17"/>
        <v>657.5</v>
      </c>
      <c r="J1148" s="231" t="s">
        <v>1311</v>
      </c>
      <c r="K1148" s="231" t="s">
        <v>1312</v>
      </c>
      <c r="L1148" s="232">
        <v>45170</v>
      </c>
      <c r="M1148" s="232">
        <v>45199</v>
      </c>
    </row>
    <row r="1149" spans="1:13" ht="18.75" customHeight="1" x14ac:dyDescent="0.2">
      <c r="A1149" s="231" t="s">
        <v>0</v>
      </c>
      <c r="B1149" s="230">
        <v>112634</v>
      </c>
      <c r="C1149" s="230">
        <v>10752</v>
      </c>
      <c r="D1149" s="231" t="s">
        <v>312</v>
      </c>
      <c r="E1149" s="230">
        <v>14491078</v>
      </c>
      <c r="F1149" s="230">
        <v>29703</v>
      </c>
      <c r="G1149" s="230">
        <v>25</v>
      </c>
      <c r="H1149" s="240">
        <v>26.3</v>
      </c>
      <c r="I1149" s="240">
        <f t="shared" si="17"/>
        <v>657.5</v>
      </c>
      <c r="J1149" s="231" t="s">
        <v>1311</v>
      </c>
      <c r="K1149" s="231" t="s">
        <v>1312</v>
      </c>
      <c r="L1149" s="232">
        <v>45170</v>
      </c>
      <c r="M1149" s="232">
        <v>45199</v>
      </c>
    </row>
    <row r="1150" spans="1:13" ht="18.75" customHeight="1" x14ac:dyDescent="0.2">
      <c r="A1150" s="231" t="s">
        <v>0</v>
      </c>
      <c r="B1150" s="230">
        <v>112639</v>
      </c>
      <c r="C1150" s="230">
        <v>10750</v>
      </c>
      <c r="D1150" s="231" t="s">
        <v>210</v>
      </c>
      <c r="E1150" s="230">
        <v>14491078</v>
      </c>
      <c r="F1150" s="230">
        <v>29713</v>
      </c>
      <c r="G1150" s="230">
        <v>25</v>
      </c>
      <c r="H1150" s="240">
        <v>26.3</v>
      </c>
      <c r="I1150" s="240">
        <f t="shared" si="17"/>
        <v>657.5</v>
      </c>
      <c r="J1150" s="231" t="s">
        <v>1311</v>
      </c>
      <c r="K1150" s="231" t="s">
        <v>1312</v>
      </c>
      <c r="L1150" s="232">
        <v>45170</v>
      </c>
      <c r="M1150" s="232">
        <v>45199</v>
      </c>
    </row>
    <row r="1151" spans="1:13" ht="18.75" customHeight="1" x14ac:dyDescent="0.2">
      <c r="A1151" s="231" t="s">
        <v>0</v>
      </c>
      <c r="B1151" s="230">
        <v>112664</v>
      </c>
      <c r="C1151" s="230">
        <v>10752</v>
      </c>
      <c r="D1151" s="231" t="s">
        <v>327</v>
      </c>
      <c r="E1151" s="230">
        <v>14491078</v>
      </c>
      <c r="F1151" s="230">
        <v>29763</v>
      </c>
      <c r="G1151" s="230">
        <v>24</v>
      </c>
      <c r="H1151" s="240">
        <v>26.3</v>
      </c>
      <c r="I1151" s="240">
        <f t="shared" si="17"/>
        <v>631.20000000000005</v>
      </c>
      <c r="J1151" s="231" t="s">
        <v>1311</v>
      </c>
      <c r="K1151" s="231" t="s">
        <v>1312</v>
      </c>
      <c r="L1151" s="232">
        <v>45170</v>
      </c>
      <c r="M1151" s="232">
        <v>45199</v>
      </c>
    </row>
    <row r="1152" spans="1:13" ht="18.75" customHeight="1" x14ac:dyDescent="0.2">
      <c r="A1152" s="231" t="s">
        <v>0</v>
      </c>
      <c r="B1152" s="230">
        <v>112669</v>
      </c>
      <c r="C1152" s="230">
        <v>10750</v>
      </c>
      <c r="D1152" s="231" t="s">
        <v>1380</v>
      </c>
      <c r="E1152" s="230">
        <v>14491078</v>
      </c>
      <c r="F1152" s="230">
        <v>29773</v>
      </c>
      <c r="G1152" s="230">
        <v>25</v>
      </c>
      <c r="H1152" s="240">
        <v>26.3</v>
      </c>
      <c r="I1152" s="240">
        <f t="shared" si="17"/>
        <v>657.5</v>
      </c>
      <c r="J1152" s="231" t="s">
        <v>1311</v>
      </c>
      <c r="K1152" s="231" t="s">
        <v>1312</v>
      </c>
      <c r="L1152" s="232">
        <v>45170</v>
      </c>
      <c r="M1152" s="232">
        <v>45199</v>
      </c>
    </row>
    <row r="1153" spans="1:13" ht="18.75" customHeight="1" x14ac:dyDescent="0.2">
      <c r="A1153" s="231" t="s">
        <v>0</v>
      </c>
      <c r="B1153" s="230">
        <v>112674</v>
      </c>
      <c r="C1153" s="230">
        <v>10750</v>
      </c>
      <c r="D1153" s="231" t="s">
        <v>332</v>
      </c>
      <c r="E1153" s="230">
        <v>14491078</v>
      </c>
      <c r="F1153" s="230">
        <v>29783</v>
      </c>
      <c r="G1153" s="230">
        <v>25</v>
      </c>
      <c r="H1153" s="240">
        <v>26.3</v>
      </c>
      <c r="I1153" s="240">
        <f t="shared" si="17"/>
        <v>657.5</v>
      </c>
      <c r="J1153" s="231" t="s">
        <v>1311</v>
      </c>
      <c r="K1153" s="231" t="s">
        <v>1312</v>
      </c>
      <c r="L1153" s="232">
        <v>45170</v>
      </c>
      <c r="M1153" s="232">
        <v>45199</v>
      </c>
    </row>
    <row r="1154" spans="1:13" ht="18.75" customHeight="1" x14ac:dyDescent="0.2">
      <c r="A1154" s="231" t="s">
        <v>0</v>
      </c>
      <c r="B1154" s="230">
        <v>112678</v>
      </c>
      <c r="C1154" s="230">
        <v>10763</v>
      </c>
      <c r="D1154" s="231" t="s">
        <v>335</v>
      </c>
      <c r="E1154" s="230">
        <v>14491078</v>
      </c>
      <c r="F1154" s="230">
        <v>29791</v>
      </c>
      <c r="G1154" s="230">
        <v>25</v>
      </c>
      <c r="H1154" s="240">
        <v>26.3</v>
      </c>
      <c r="I1154" s="240">
        <f t="shared" si="17"/>
        <v>657.5</v>
      </c>
      <c r="J1154" s="231" t="s">
        <v>1311</v>
      </c>
      <c r="K1154" s="231" t="s">
        <v>1312</v>
      </c>
      <c r="L1154" s="232">
        <v>45170</v>
      </c>
      <c r="M1154" s="232">
        <v>45199</v>
      </c>
    </row>
    <row r="1155" spans="1:13" ht="18.75" customHeight="1" x14ac:dyDescent="0.2">
      <c r="A1155" s="231" t="s">
        <v>0</v>
      </c>
      <c r="B1155" s="230">
        <v>112680</v>
      </c>
      <c r="C1155" s="230">
        <v>10771</v>
      </c>
      <c r="D1155" s="231" t="s">
        <v>336</v>
      </c>
      <c r="E1155" s="230">
        <v>14491078</v>
      </c>
      <c r="F1155" s="230">
        <v>29795</v>
      </c>
      <c r="G1155" s="230">
        <v>25</v>
      </c>
      <c r="H1155" s="240">
        <v>26.3</v>
      </c>
      <c r="I1155" s="240">
        <f t="shared" ref="I1155:I1218" si="18">G1155*H1155</f>
        <v>657.5</v>
      </c>
      <c r="J1155" s="231" t="s">
        <v>1311</v>
      </c>
      <c r="K1155" s="231" t="s">
        <v>1312</v>
      </c>
      <c r="L1155" s="232">
        <v>45170</v>
      </c>
      <c r="M1155" s="232">
        <v>45199</v>
      </c>
    </row>
    <row r="1156" spans="1:13" ht="18.75" customHeight="1" x14ac:dyDescent="0.2">
      <c r="A1156" s="231" t="s">
        <v>0</v>
      </c>
      <c r="B1156" s="230">
        <v>112683</v>
      </c>
      <c r="C1156" s="230">
        <v>10757</v>
      </c>
      <c r="D1156" s="231" t="s">
        <v>339</v>
      </c>
      <c r="E1156" s="230">
        <v>14491078</v>
      </c>
      <c r="F1156" s="230">
        <v>29801</v>
      </c>
      <c r="G1156" s="230">
        <v>25</v>
      </c>
      <c r="H1156" s="240">
        <v>26.3</v>
      </c>
      <c r="I1156" s="240">
        <f t="shared" si="18"/>
        <v>657.5</v>
      </c>
      <c r="J1156" s="231" t="s">
        <v>1311</v>
      </c>
      <c r="K1156" s="231" t="s">
        <v>1312</v>
      </c>
      <c r="L1156" s="232">
        <v>45170</v>
      </c>
      <c r="M1156" s="232">
        <v>45199</v>
      </c>
    </row>
    <row r="1157" spans="1:13" ht="18.75" customHeight="1" x14ac:dyDescent="0.2">
      <c r="A1157" s="231" t="s">
        <v>0</v>
      </c>
      <c r="B1157" s="230">
        <v>112687</v>
      </c>
      <c r="C1157" s="230">
        <v>10750</v>
      </c>
      <c r="D1157" s="231" t="s">
        <v>343</v>
      </c>
      <c r="E1157" s="230">
        <v>14491078</v>
      </c>
      <c r="F1157" s="230">
        <v>29809</v>
      </c>
      <c r="G1157" s="230">
        <v>25</v>
      </c>
      <c r="H1157" s="240">
        <v>26.3</v>
      </c>
      <c r="I1157" s="240">
        <f t="shared" si="18"/>
        <v>657.5</v>
      </c>
      <c r="J1157" s="231" t="s">
        <v>1311</v>
      </c>
      <c r="K1157" s="231" t="s">
        <v>1312</v>
      </c>
      <c r="L1157" s="232">
        <v>45170</v>
      </c>
      <c r="M1157" s="232">
        <v>45199</v>
      </c>
    </row>
    <row r="1158" spans="1:13" ht="18.75" customHeight="1" x14ac:dyDescent="0.2">
      <c r="A1158" s="231" t="s">
        <v>0</v>
      </c>
      <c r="B1158" s="230">
        <v>112698</v>
      </c>
      <c r="C1158" s="230">
        <v>10751</v>
      </c>
      <c r="D1158" s="231" t="s">
        <v>349</v>
      </c>
      <c r="E1158" s="230">
        <v>14491078</v>
      </c>
      <c r="F1158" s="230">
        <v>29831</v>
      </c>
      <c r="G1158" s="230">
        <v>25</v>
      </c>
      <c r="H1158" s="240">
        <v>26.3</v>
      </c>
      <c r="I1158" s="240">
        <f t="shared" si="18"/>
        <v>657.5</v>
      </c>
      <c r="J1158" s="231" t="s">
        <v>1311</v>
      </c>
      <c r="K1158" s="231" t="s">
        <v>1312</v>
      </c>
      <c r="L1158" s="232">
        <v>45170</v>
      </c>
      <c r="M1158" s="232">
        <v>45199</v>
      </c>
    </row>
    <row r="1159" spans="1:13" ht="18.75" customHeight="1" x14ac:dyDescent="0.2">
      <c r="A1159" s="231" t="s">
        <v>0</v>
      </c>
      <c r="B1159" s="230">
        <v>112699</v>
      </c>
      <c r="C1159" s="230">
        <v>10750</v>
      </c>
      <c r="D1159" s="231" t="s">
        <v>351</v>
      </c>
      <c r="E1159" s="230">
        <v>14491078</v>
      </c>
      <c r="F1159" s="230">
        <v>29833</v>
      </c>
      <c r="G1159" s="230">
        <v>25</v>
      </c>
      <c r="H1159" s="240">
        <v>26.3</v>
      </c>
      <c r="I1159" s="240">
        <f t="shared" si="18"/>
        <v>657.5</v>
      </c>
      <c r="J1159" s="231" t="s">
        <v>1311</v>
      </c>
      <c r="K1159" s="231" t="s">
        <v>1312</v>
      </c>
      <c r="L1159" s="232">
        <v>45170</v>
      </c>
      <c r="M1159" s="232">
        <v>45199</v>
      </c>
    </row>
    <row r="1160" spans="1:13" ht="18.75" customHeight="1" x14ac:dyDescent="0.2">
      <c r="A1160" s="231" t="s">
        <v>0</v>
      </c>
      <c r="B1160" s="230">
        <v>112706</v>
      </c>
      <c r="C1160" s="230">
        <v>10751</v>
      </c>
      <c r="D1160" s="231" t="s">
        <v>355</v>
      </c>
      <c r="E1160" s="230">
        <v>14491078</v>
      </c>
      <c r="F1160" s="230">
        <v>29847</v>
      </c>
      <c r="G1160" s="230">
        <v>25</v>
      </c>
      <c r="H1160" s="240">
        <v>26.3</v>
      </c>
      <c r="I1160" s="240">
        <f t="shared" si="18"/>
        <v>657.5</v>
      </c>
      <c r="J1160" s="231" t="s">
        <v>1311</v>
      </c>
      <c r="K1160" s="231" t="s">
        <v>1312</v>
      </c>
      <c r="L1160" s="232">
        <v>45170</v>
      </c>
      <c r="M1160" s="232">
        <v>45199</v>
      </c>
    </row>
    <row r="1161" spans="1:13" ht="18.75" customHeight="1" x14ac:dyDescent="0.2">
      <c r="A1161" s="231" t="s">
        <v>0</v>
      </c>
      <c r="B1161" s="230">
        <v>112714</v>
      </c>
      <c r="C1161" s="230">
        <v>10751</v>
      </c>
      <c r="D1161" s="231" t="s">
        <v>359</v>
      </c>
      <c r="E1161" s="230">
        <v>14491078</v>
      </c>
      <c r="F1161" s="230">
        <v>29863</v>
      </c>
      <c r="G1161" s="230">
        <v>25</v>
      </c>
      <c r="H1161" s="240">
        <v>26.3</v>
      </c>
      <c r="I1161" s="240">
        <f t="shared" si="18"/>
        <v>657.5</v>
      </c>
      <c r="J1161" s="231" t="s">
        <v>1311</v>
      </c>
      <c r="K1161" s="231" t="s">
        <v>1312</v>
      </c>
      <c r="L1161" s="232">
        <v>45170</v>
      </c>
      <c r="M1161" s="232">
        <v>45199</v>
      </c>
    </row>
    <row r="1162" spans="1:13" ht="18.75" customHeight="1" x14ac:dyDescent="0.2">
      <c r="A1162" s="231" t="s">
        <v>0</v>
      </c>
      <c r="B1162" s="230">
        <v>112720</v>
      </c>
      <c r="C1162" s="230">
        <v>10751</v>
      </c>
      <c r="D1162" s="231" t="s">
        <v>364</v>
      </c>
      <c r="E1162" s="230">
        <v>14491078</v>
      </c>
      <c r="F1162" s="230">
        <v>29875</v>
      </c>
      <c r="G1162" s="230">
        <v>25</v>
      </c>
      <c r="H1162" s="240">
        <v>26.3</v>
      </c>
      <c r="I1162" s="240">
        <f t="shared" si="18"/>
        <v>657.5</v>
      </c>
      <c r="J1162" s="231" t="s">
        <v>1311</v>
      </c>
      <c r="K1162" s="231" t="s">
        <v>1312</v>
      </c>
      <c r="L1162" s="232">
        <v>45170</v>
      </c>
      <c r="M1162" s="232">
        <v>45199</v>
      </c>
    </row>
    <row r="1163" spans="1:13" ht="18.75" customHeight="1" x14ac:dyDescent="0.2">
      <c r="A1163" s="231" t="s">
        <v>0</v>
      </c>
      <c r="B1163" s="230">
        <v>112725</v>
      </c>
      <c r="C1163" s="230">
        <v>10756</v>
      </c>
      <c r="D1163" s="231" t="s">
        <v>367</v>
      </c>
      <c r="E1163" s="230">
        <v>14491078</v>
      </c>
      <c r="F1163" s="230">
        <v>29885</v>
      </c>
      <c r="G1163" s="230">
        <v>25</v>
      </c>
      <c r="H1163" s="240">
        <v>26.3</v>
      </c>
      <c r="I1163" s="240">
        <f t="shared" si="18"/>
        <v>657.5</v>
      </c>
      <c r="J1163" s="231" t="s">
        <v>1311</v>
      </c>
      <c r="K1163" s="231" t="s">
        <v>1312</v>
      </c>
      <c r="L1163" s="232">
        <v>45170</v>
      </c>
      <c r="M1163" s="232">
        <v>45199</v>
      </c>
    </row>
    <row r="1164" spans="1:13" ht="18.75" customHeight="1" x14ac:dyDescent="0.2">
      <c r="A1164" s="231" t="s">
        <v>0</v>
      </c>
      <c r="B1164" s="230">
        <v>112727</v>
      </c>
      <c r="C1164" s="230">
        <v>10750</v>
      </c>
      <c r="D1164" s="231" t="s">
        <v>369</v>
      </c>
      <c r="E1164" s="230">
        <v>14491078</v>
      </c>
      <c r="F1164" s="230">
        <v>29889</v>
      </c>
      <c r="G1164" s="230">
        <v>25</v>
      </c>
      <c r="H1164" s="240">
        <v>26.3</v>
      </c>
      <c r="I1164" s="240">
        <f t="shared" si="18"/>
        <v>657.5</v>
      </c>
      <c r="J1164" s="231" t="s">
        <v>1311</v>
      </c>
      <c r="K1164" s="231" t="s">
        <v>1312</v>
      </c>
      <c r="L1164" s="232">
        <v>45170</v>
      </c>
      <c r="M1164" s="232">
        <v>45199</v>
      </c>
    </row>
    <row r="1165" spans="1:13" ht="18.75" customHeight="1" x14ac:dyDescent="0.2">
      <c r="A1165" s="231" t="s">
        <v>0</v>
      </c>
      <c r="B1165" s="230">
        <v>112730</v>
      </c>
      <c r="C1165" s="230">
        <v>10757</v>
      </c>
      <c r="D1165" s="231" t="s">
        <v>370</v>
      </c>
      <c r="E1165" s="230">
        <v>14491078</v>
      </c>
      <c r="F1165" s="230">
        <v>29895</v>
      </c>
      <c r="G1165" s="230">
        <v>25</v>
      </c>
      <c r="H1165" s="240">
        <v>26.3</v>
      </c>
      <c r="I1165" s="240">
        <f t="shared" si="18"/>
        <v>657.5</v>
      </c>
      <c r="J1165" s="231" t="s">
        <v>1311</v>
      </c>
      <c r="K1165" s="231" t="s">
        <v>1312</v>
      </c>
      <c r="L1165" s="232">
        <v>45170</v>
      </c>
      <c r="M1165" s="232">
        <v>45199</v>
      </c>
    </row>
    <row r="1166" spans="1:13" ht="18.75" customHeight="1" x14ac:dyDescent="0.2">
      <c r="A1166" s="231" t="s">
        <v>0</v>
      </c>
      <c r="B1166" s="230">
        <v>112732</v>
      </c>
      <c r="C1166" s="230">
        <v>10758</v>
      </c>
      <c r="D1166" s="231" t="s">
        <v>372</v>
      </c>
      <c r="E1166" s="230">
        <v>14491078</v>
      </c>
      <c r="F1166" s="230">
        <v>29899</v>
      </c>
      <c r="G1166" s="230">
        <v>25</v>
      </c>
      <c r="H1166" s="240">
        <v>26.3</v>
      </c>
      <c r="I1166" s="240">
        <f t="shared" si="18"/>
        <v>657.5</v>
      </c>
      <c r="J1166" s="231" t="s">
        <v>1311</v>
      </c>
      <c r="K1166" s="231" t="s">
        <v>1312</v>
      </c>
      <c r="L1166" s="232">
        <v>45170</v>
      </c>
      <c r="M1166" s="232">
        <v>45199</v>
      </c>
    </row>
    <row r="1167" spans="1:13" ht="18.75" customHeight="1" x14ac:dyDescent="0.2">
      <c r="A1167" s="231" t="s">
        <v>0</v>
      </c>
      <c r="B1167" s="230">
        <v>112737</v>
      </c>
      <c r="C1167" s="230">
        <v>10750</v>
      </c>
      <c r="D1167" s="231" t="s">
        <v>375</v>
      </c>
      <c r="E1167" s="230">
        <v>14491078</v>
      </c>
      <c r="F1167" s="230">
        <v>29909</v>
      </c>
      <c r="G1167" s="230">
        <v>25</v>
      </c>
      <c r="H1167" s="240">
        <v>26.3</v>
      </c>
      <c r="I1167" s="240">
        <f t="shared" si="18"/>
        <v>657.5</v>
      </c>
      <c r="J1167" s="231" t="s">
        <v>1311</v>
      </c>
      <c r="K1167" s="231" t="s">
        <v>1312</v>
      </c>
      <c r="L1167" s="232">
        <v>45170</v>
      </c>
      <c r="M1167" s="232">
        <v>45199</v>
      </c>
    </row>
    <row r="1168" spans="1:13" ht="18.75" customHeight="1" x14ac:dyDescent="0.2">
      <c r="A1168" s="231" t="s">
        <v>0</v>
      </c>
      <c r="B1168" s="230">
        <v>112749</v>
      </c>
      <c r="C1168" s="230">
        <v>10750</v>
      </c>
      <c r="D1168" s="231" t="s">
        <v>383</v>
      </c>
      <c r="E1168" s="230">
        <v>14491078</v>
      </c>
      <c r="F1168" s="230">
        <v>29933</v>
      </c>
      <c r="G1168" s="230">
        <v>25</v>
      </c>
      <c r="H1168" s="240">
        <v>26.3</v>
      </c>
      <c r="I1168" s="240">
        <f t="shared" si="18"/>
        <v>657.5</v>
      </c>
      <c r="J1168" s="231" t="s">
        <v>1311</v>
      </c>
      <c r="K1168" s="231" t="s">
        <v>1312</v>
      </c>
      <c r="L1168" s="232">
        <v>45170</v>
      </c>
      <c r="M1168" s="232">
        <v>45199</v>
      </c>
    </row>
    <row r="1169" spans="1:13" ht="18.75" customHeight="1" x14ac:dyDescent="0.2">
      <c r="A1169" s="231" t="s">
        <v>0</v>
      </c>
      <c r="B1169" s="230">
        <v>112765</v>
      </c>
      <c r="C1169" s="230">
        <v>10750</v>
      </c>
      <c r="D1169" s="231" t="s">
        <v>392</v>
      </c>
      <c r="E1169" s="230">
        <v>14491078</v>
      </c>
      <c r="F1169" s="230">
        <v>29965</v>
      </c>
      <c r="G1169" s="230">
        <v>25</v>
      </c>
      <c r="H1169" s="240">
        <v>26.3</v>
      </c>
      <c r="I1169" s="240">
        <f t="shared" si="18"/>
        <v>657.5</v>
      </c>
      <c r="J1169" s="231" t="s">
        <v>1311</v>
      </c>
      <c r="K1169" s="231" t="s">
        <v>1312</v>
      </c>
      <c r="L1169" s="232">
        <v>45170</v>
      </c>
      <c r="M1169" s="232">
        <v>45199</v>
      </c>
    </row>
    <row r="1170" spans="1:13" ht="18.75" customHeight="1" x14ac:dyDescent="0.2">
      <c r="A1170" s="231" t="s">
        <v>0</v>
      </c>
      <c r="B1170" s="230">
        <v>112772</v>
      </c>
      <c r="C1170" s="230">
        <v>10750</v>
      </c>
      <c r="D1170" s="231" t="s">
        <v>398</v>
      </c>
      <c r="E1170" s="230">
        <v>14491078</v>
      </c>
      <c r="F1170" s="230">
        <v>29979</v>
      </c>
      <c r="G1170" s="230">
        <v>25</v>
      </c>
      <c r="H1170" s="240">
        <v>26.3</v>
      </c>
      <c r="I1170" s="240">
        <f t="shared" si="18"/>
        <v>657.5</v>
      </c>
      <c r="J1170" s="231" t="s">
        <v>1311</v>
      </c>
      <c r="K1170" s="231" t="s">
        <v>1312</v>
      </c>
      <c r="L1170" s="232">
        <v>45170</v>
      </c>
      <c r="M1170" s="232">
        <v>45199</v>
      </c>
    </row>
    <row r="1171" spans="1:13" ht="18.75" customHeight="1" x14ac:dyDescent="0.2">
      <c r="A1171" s="231" t="s">
        <v>0</v>
      </c>
      <c r="B1171" s="230">
        <v>112775</v>
      </c>
      <c r="C1171" s="230">
        <v>10757</v>
      </c>
      <c r="D1171" s="231" t="s">
        <v>1461</v>
      </c>
      <c r="E1171" s="230">
        <v>14491078</v>
      </c>
      <c r="F1171" s="230">
        <v>29985</v>
      </c>
      <c r="G1171" s="230">
        <v>25</v>
      </c>
      <c r="H1171" s="240">
        <v>26.3</v>
      </c>
      <c r="I1171" s="240">
        <f t="shared" si="18"/>
        <v>657.5</v>
      </c>
      <c r="J1171" s="231" t="s">
        <v>1311</v>
      </c>
      <c r="K1171" s="231" t="s">
        <v>1312</v>
      </c>
      <c r="L1171" s="232">
        <v>45170</v>
      </c>
      <c r="M1171" s="232">
        <v>45199</v>
      </c>
    </row>
    <row r="1172" spans="1:13" ht="18.75" customHeight="1" x14ac:dyDescent="0.2">
      <c r="A1172" s="231" t="s">
        <v>0</v>
      </c>
      <c r="B1172" s="230">
        <v>112776</v>
      </c>
      <c r="C1172" s="230">
        <v>10750</v>
      </c>
      <c r="D1172" s="231" t="s">
        <v>401</v>
      </c>
      <c r="E1172" s="230">
        <v>14491078</v>
      </c>
      <c r="F1172" s="230">
        <v>29987</v>
      </c>
      <c r="G1172" s="230">
        <v>25</v>
      </c>
      <c r="H1172" s="240">
        <v>26.3</v>
      </c>
      <c r="I1172" s="240">
        <f t="shared" si="18"/>
        <v>657.5</v>
      </c>
      <c r="J1172" s="231" t="s">
        <v>1311</v>
      </c>
      <c r="K1172" s="231" t="s">
        <v>1312</v>
      </c>
      <c r="L1172" s="232">
        <v>45170</v>
      </c>
      <c r="M1172" s="232">
        <v>45199</v>
      </c>
    </row>
    <row r="1173" spans="1:13" ht="18.75" customHeight="1" x14ac:dyDescent="0.2">
      <c r="A1173" s="231" t="s">
        <v>0</v>
      </c>
      <c r="B1173" s="230">
        <v>112781</v>
      </c>
      <c r="C1173" s="230">
        <v>10756</v>
      </c>
      <c r="D1173" s="231" t="s">
        <v>405</v>
      </c>
      <c r="E1173" s="230">
        <v>14491078</v>
      </c>
      <c r="F1173" s="230">
        <v>29997</v>
      </c>
      <c r="G1173" s="230">
        <v>25</v>
      </c>
      <c r="H1173" s="240">
        <v>26.3</v>
      </c>
      <c r="I1173" s="240">
        <f t="shared" si="18"/>
        <v>657.5</v>
      </c>
      <c r="J1173" s="231" t="s">
        <v>1311</v>
      </c>
      <c r="K1173" s="231" t="s">
        <v>1312</v>
      </c>
      <c r="L1173" s="232">
        <v>45170</v>
      </c>
      <c r="M1173" s="232">
        <v>45199</v>
      </c>
    </row>
    <row r="1174" spans="1:13" ht="18.75" customHeight="1" x14ac:dyDescent="0.2">
      <c r="A1174" s="231" t="s">
        <v>0</v>
      </c>
      <c r="B1174" s="230">
        <v>112782</v>
      </c>
      <c r="C1174" s="230">
        <v>10757</v>
      </c>
      <c r="D1174" s="231" t="s">
        <v>406</v>
      </c>
      <c r="E1174" s="230">
        <v>14491078</v>
      </c>
      <c r="F1174" s="230">
        <v>29999</v>
      </c>
      <c r="G1174" s="230">
        <v>25</v>
      </c>
      <c r="H1174" s="240">
        <v>26.3</v>
      </c>
      <c r="I1174" s="240">
        <f t="shared" si="18"/>
        <v>657.5</v>
      </c>
      <c r="J1174" s="231" t="s">
        <v>1311</v>
      </c>
      <c r="K1174" s="231" t="s">
        <v>1312</v>
      </c>
      <c r="L1174" s="232">
        <v>45170</v>
      </c>
      <c r="M1174" s="232">
        <v>45199</v>
      </c>
    </row>
    <row r="1175" spans="1:13" ht="18.75" customHeight="1" x14ac:dyDescent="0.2">
      <c r="A1175" s="231" t="s">
        <v>0</v>
      </c>
      <c r="B1175" s="230">
        <v>112786</v>
      </c>
      <c r="C1175" s="230">
        <v>10763</v>
      </c>
      <c r="D1175" s="231" t="s">
        <v>409</v>
      </c>
      <c r="E1175" s="230">
        <v>14491078</v>
      </c>
      <c r="F1175" s="230">
        <v>30007</v>
      </c>
      <c r="G1175" s="230">
        <v>25</v>
      </c>
      <c r="H1175" s="240">
        <v>26.3</v>
      </c>
      <c r="I1175" s="240">
        <f t="shared" si="18"/>
        <v>657.5</v>
      </c>
      <c r="J1175" s="231" t="s">
        <v>1311</v>
      </c>
      <c r="K1175" s="231" t="s">
        <v>1312</v>
      </c>
      <c r="L1175" s="232">
        <v>45170</v>
      </c>
      <c r="M1175" s="232">
        <v>45199</v>
      </c>
    </row>
    <row r="1176" spans="1:13" ht="18.75" customHeight="1" x14ac:dyDescent="0.2">
      <c r="A1176" s="231" t="s">
        <v>0</v>
      </c>
      <c r="B1176" s="230">
        <v>112797</v>
      </c>
      <c r="C1176" s="230">
        <v>10752</v>
      </c>
      <c r="D1176" s="231" t="s">
        <v>417</v>
      </c>
      <c r="E1176" s="230">
        <v>14491078</v>
      </c>
      <c r="F1176" s="230">
        <v>30029</v>
      </c>
      <c r="G1176" s="230">
        <v>25</v>
      </c>
      <c r="H1176" s="240">
        <v>26.3</v>
      </c>
      <c r="I1176" s="240">
        <f t="shared" si="18"/>
        <v>657.5</v>
      </c>
      <c r="J1176" s="231" t="s">
        <v>1311</v>
      </c>
      <c r="K1176" s="231" t="s">
        <v>1312</v>
      </c>
      <c r="L1176" s="232">
        <v>45170</v>
      </c>
      <c r="M1176" s="232">
        <v>45199</v>
      </c>
    </row>
    <row r="1177" spans="1:13" ht="18.75" customHeight="1" x14ac:dyDescent="0.2">
      <c r="A1177" s="231" t="s">
        <v>0</v>
      </c>
      <c r="B1177" s="230">
        <v>112803</v>
      </c>
      <c r="C1177" s="230">
        <v>10750</v>
      </c>
      <c r="D1177" s="231" t="s">
        <v>422</v>
      </c>
      <c r="E1177" s="230">
        <v>14491078</v>
      </c>
      <c r="F1177" s="230">
        <v>30041</v>
      </c>
      <c r="G1177" s="230">
        <v>25</v>
      </c>
      <c r="H1177" s="240">
        <v>26.3</v>
      </c>
      <c r="I1177" s="240">
        <f t="shared" si="18"/>
        <v>657.5</v>
      </c>
      <c r="J1177" s="231" t="s">
        <v>1311</v>
      </c>
      <c r="K1177" s="231" t="s">
        <v>1312</v>
      </c>
      <c r="L1177" s="232">
        <v>45170</v>
      </c>
      <c r="M1177" s="232">
        <v>45199</v>
      </c>
    </row>
    <row r="1178" spans="1:13" ht="18.75" customHeight="1" x14ac:dyDescent="0.2">
      <c r="A1178" s="231" t="s">
        <v>0</v>
      </c>
      <c r="B1178" s="230">
        <v>112810</v>
      </c>
      <c r="C1178" s="230">
        <v>10750</v>
      </c>
      <c r="D1178" s="231" t="s">
        <v>427</v>
      </c>
      <c r="E1178" s="230">
        <v>14491078</v>
      </c>
      <c r="F1178" s="230">
        <v>30055</v>
      </c>
      <c r="G1178" s="230">
        <v>25</v>
      </c>
      <c r="H1178" s="240">
        <v>26.3</v>
      </c>
      <c r="I1178" s="240">
        <f t="shared" si="18"/>
        <v>657.5</v>
      </c>
      <c r="J1178" s="231" t="s">
        <v>1311</v>
      </c>
      <c r="K1178" s="231" t="s">
        <v>1312</v>
      </c>
      <c r="L1178" s="232">
        <v>45170</v>
      </c>
      <c r="M1178" s="232">
        <v>45199</v>
      </c>
    </row>
    <row r="1179" spans="1:13" ht="18.75" customHeight="1" x14ac:dyDescent="0.2">
      <c r="A1179" s="231" t="s">
        <v>0</v>
      </c>
      <c r="B1179" s="230">
        <v>112814</v>
      </c>
      <c r="C1179" s="230">
        <v>10750</v>
      </c>
      <c r="D1179" s="231" t="s">
        <v>430</v>
      </c>
      <c r="E1179" s="230">
        <v>14491078</v>
      </c>
      <c r="F1179" s="230">
        <v>30063</v>
      </c>
      <c r="G1179" s="230">
        <v>25</v>
      </c>
      <c r="H1179" s="240">
        <v>26.3</v>
      </c>
      <c r="I1179" s="240">
        <f t="shared" si="18"/>
        <v>657.5</v>
      </c>
      <c r="J1179" s="231" t="s">
        <v>1311</v>
      </c>
      <c r="K1179" s="231" t="s">
        <v>1312</v>
      </c>
      <c r="L1179" s="232">
        <v>45170</v>
      </c>
      <c r="M1179" s="232">
        <v>45199</v>
      </c>
    </row>
    <row r="1180" spans="1:13" ht="18.75" customHeight="1" x14ac:dyDescent="0.2">
      <c r="A1180" s="231" t="s">
        <v>0</v>
      </c>
      <c r="B1180" s="230">
        <v>112843</v>
      </c>
      <c r="C1180" s="230">
        <v>10757</v>
      </c>
      <c r="D1180" s="231" t="s">
        <v>449</v>
      </c>
      <c r="E1180" s="230">
        <v>14491078</v>
      </c>
      <c r="F1180" s="230">
        <v>30121</v>
      </c>
      <c r="G1180" s="230">
        <v>24</v>
      </c>
      <c r="H1180" s="240">
        <v>26.3</v>
      </c>
      <c r="I1180" s="240">
        <f t="shared" si="18"/>
        <v>631.20000000000005</v>
      </c>
      <c r="J1180" s="231" t="s">
        <v>1311</v>
      </c>
      <c r="K1180" s="231" t="s">
        <v>1312</v>
      </c>
      <c r="L1180" s="232">
        <v>45170</v>
      </c>
      <c r="M1180" s="232">
        <v>45199</v>
      </c>
    </row>
    <row r="1181" spans="1:13" ht="18.75" customHeight="1" x14ac:dyDescent="0.2">
      <c r="A1181" s="231" t="s">
        <v>0</v>
      </c>
      <c r="B1181" s="230">
        <v>112853</v>
      </c>
      <c r="C1181" s="230">
        <v>10750</v>
      </c>
      <c r="D1181" s="231" t="s">
        <v>455</v>
      </c>
      <c r="E1181" s="230">
        <v>14491078</v>
      </c>
      <c r="F1181" s="230">
        <v>30141</v>
      </c>
      <c r="G1181" s="230">
        <v>25</v>
      </c>
      <c r="H1181" s="240">
        <v>26.3</v>
      </c>
      <c r="I1181" s="240">
        <f t="shared" si="18"/>
        <v>657.5</v>
      </c>
      <c r="J1181" s="231" t="s">
        <v>1311</v>
      </c>
      <c r="K1181" s="231" t="s">
        <v>1312</v>
      </c>
      <c r="L1181" s="232">
        <v>45170</v>
      </c>
      <c r="M1181" s="232">
        <v>45199</v>
      </c>
    </row>
    <row r="1182" spans="1:13" ht="18.75" customHeight="1" x14ac:dyDescent="0.2">
      <c r="A1182" s="231" t="s">
        <v>0</v>
      </c>
      <c r="B1182" s="230">
        <v>112855</v>
      </c>
      <c r="C1182" s="230">
        <v>10757</v>
      </c>
      <c r="D1182" s="231" t="s">
        <v>456</v>
      </c>
      <c r="E1182" s="230">
        <v>14491078</v>
      </c>
      <c r="F1182" s="230">
        <v>30145</v>
      </c>
      <c r="G1182" s="230">
        <v>25</v>
      </c>
      <c r="H1182" s="240">
        <v>26.3</v>
      </c>
      <c r="I1182" s="240">
        <f t="shared" si="18"/>
        <v>657.5</v>
      </c>
      <c r="J1182" s="231" t="s">
        <v>1311</v>
      </c>
      <c r="K1182" s="231" t="s">
        <v>1312</v>
      </c>
      <c r="L1182" s="232">
        <v>45170</v>
      </c>
      <c r="M1182" s="232">
        <v>45199</v>
      </c>
    </row>
    <row r="1183" spans="1:13" ht="18.75" customHeight="1" x14ac:dyDescent="0.2">
      <c r="A1183" s="231" t="s">
        <v>0</v>
      </c>
      <c r="B1183" s="230">
        <v>112864</v>
      </c>
      <c r="C1183" s="230">
        <v>10750</v>
      </c>
      <c r="D1183" s="231" t="s">
        <v>1343</v>
      </c>
      <c r="E1183" s="230">
        <v>14491078</v>
      </c>
      <c r="F1183" s="230">
        <v>30163</v>
      </c>
      <c r="G1183" s="230">
        <v>25</v>
      </c>
      <c r="H1183" s="240">
        <v>26.3</v>
      </c>
      <c r="I1183" s="240">
        <f t="shared" si="18"/>
        <v>657.5</v>
      </c>
      <c r="J1183" s="231" t="s">
        <v>1311</v>
      </c>
      <c r="K1183" s="231" t="s">
        <v>1312</v>
      </c>
      <c r="L1183" s="232">
        <v>45170</v>
      </c>
      <c r="M1183" s="232">
        <v>45199</v>
      </c>
    </row>
    <row r="1184" spans="1:13" ht="18.75" customHeight="1" x14ac:dyDescent="0.2">
      <c r="A1184" s="231" t="s">
        <v>0</v>
      </c>
      <c r="B1184" s="230">
        <v>112873</v>
      </c>
      <c r="C1184" s="230">
        <v>10750</v>
      </c>
      <c r="D1184" s="231" t="s">
        <v>466</v>
      </c>
      <c r="E1184" s="230">
        <v>14491078</v>
      </c>
      <c r="F1184" s="230">
        <v>30181</v>
      </c>
      <c r="G1184" s="230">
        <v>25</v>
      </c>
      <c r="H1184" s="240">
        <v>26.3</v>
      </c>
      <c r="I1184" s="240">
        <f t="shared" si="18"/>
        <v>657.5</v>
      </c>
      <c r="J1184" s="231" t="s">
        <v>1311</v>
      </c>
      <c r="K1184" s="231" t="s">
        <v>1312</v>
      </c>
      <c r="L1184" s="232">
        <v>45170</v>
      </c>
      <c r="M1184" s="232">
        <v>45199</v>
      </c>
    </row>
    <row r="1185" spans="1:13" ht="18.75" customHeight="1" x14ac:dyDescent="0.2">
      <c r="A1185" s="231" t="s">
        <v>0</v>
      </c>
      <c r="B1185" s="230">
        <v>112881</v>
      </c>
      <c r="C1185" s="230">
        <v>10751</v>
      </c>
      <c r="D1185" s="231" t="s">
        <v>473</v>
      </c>
      <c r="E1185" s="230">
        <v>14491078</v>
      </c>
      <c r="F1185" s="230">
        <v>30197</v>
      </c>
      <c r="G1185" s="230">
        <v>25</v>
      </c>
      <c r="H1185" s="240">
        <v>26.3</v>
      </c>
      <c r="I1185" s="240">
        <f t="shared" si="18"/>
        <v>657.5</v>
      </c>
      <c r="J1185" s="231" t="s">
        <v>1311</v>
      </c>
      <c r="K1185" s="231" t="s">
        <v>1312</v>
      </c>
      <c r="L1185" s="232">
        <v>45170</v>
      </c>
      <c r="M1185" s="232">
        <v>45199</v>
      </c>
    </row>
    <row r="1186" spans="1:13" ht="18.75" customHeight="1" x14ac:dyDescent="0.2">
      <c r="A1186" s="231" t="s">
        <v>0</v>
      </c>
      <c r="B1186" s="230">
        <v>112882</v>
      </c>
      <c r="C1186" s="230">
        <v>10757</v>
      </c>
      <c r="D1186" s="231" t="s">
        <v>474</v>
      </c>
      <c r="E1186" s="230">
        <v>14491078</v>
      </c>
      <c r="F1186" s="230">
        <v>30199</v>
      </c>
      <c r="G1186" s="230">
        <v>25</v>
      </c>
      <c r="H1186" s="240">
        <v>26.3</v>
      </c>
      <c r="I1186" s="240">
        <f t="shared" si="18"/>
        <v>657.5</v>
      </c>
      <c r="J1186" s="231" t="s">
        <v>1311</v>
      </c>
      <c r="K1186" s="231" t="s">
        <v>1312</v>
      </c>
      <c r="L1186" s="232">
        <v>45170</v>
      </c>
      <c r="M1186" s="232">
        <v>45199</v>
      </c>
    </row>
    <row r="1187" spans="1:13" ht="18.75" customHeight="1" x14ac:dyDescent="0.2">
      <c r="A1187" s="231" t="s">
        <v>0</v>
      </c>
      <c r="B1187" s="230">
        <v>112883</v>
      </c>
      <c r="C1187" s="230">
        <v>10745</v>
      </c>
      <c r="D1187" s="231" t="s">
        <v>475</v>
      </c>
      <c r="E1187" s="230">
        <v>14491078</v>
      </c>
      <c r="F1187" s="230">
        <v>30201</v>
      </c>
      <c r="G1187" s="230">
        <v>25</v>
      </c>
      <c r="H1187" s="240">
        <v>26.3</v>
      </c>
      <c r="I1187" s="240">
        <f t="shared" si="18"/>
        <v>657.5</v>
      </c>
      <c r="J1187" s="231" t="s">
        <v>1311</v>
      </c>
      <c r="K1187" s="231" t="s">
        <v>1312</v>
      </c>
      <c r="L1187" s="232">
        <v>45170</v>
      </c>
      <c r="M1187" s="232">
        <v>45199</v>
      </c>
    </row>
    <row r="1188" spans="1:13" ht="18.75" customHeight="1" x14ac:dyDescent="0.2">
      <c r="A1188" s="231" t="s">
        <v>0</v>
      </c>
      <c r="B1188" s="230">
        <v>112893</v>
      </c>
      <c r="C1188" s="230">
        <v>10771</v>
      </c>
      <c r="D1188" s="231" t="s">
        <v>482</v>
      </c>
      <c r="E1188" s="230">
        <v>14491078</v>
      </c>
      <c r="F1188" s="230">
        <v>30221</v>
      </c>
      <c r="G1188" s="230">
        <v>25</v>
      </c>
      <c r="H1188" s="240">
        <v>26.3</v>
      </c>
      <c r="I1188" s="240">
        <f t="shared" si="18"/>
        <v>657.5</v>
      </c>
      <c r="J1188" s="231" t="s">
        <v>1311</v>
      </c>
      <c r="K1188" s="231" t="s">
        <v>1312</v>
      </c>
      <c r="L1188" s="232">
        <v>45170</v>
      </c>
      <c r="M1188" s="232">
        <v>45199</v>
      </c>
    </row>
    <row r="1189" spans="1:13" ht="18.75" customHeight="1" x14ac:dyDescent="0.2">
      <c r="A1189" s="231" t="s">
        <v>0</v>
      </c>
      <c r="B1189" s="230">
        <v>112905</v>
      </c>
      <c r="C1189" s="230">
        <v>10757</v>
      </c>
      <c r="D1189" s="231" t="s">
        <v>490</v>
      </c>
      <c r="E1189" s="230">
        <v>14491078</v>
      </c>
      <c r="F1189" s="230">
        <v>30245</v>
      </c>
      <c r="G1189" s="230">
        <v>25</v>
      </c>
      <c r="H1189" s="240">
        <v>26.3</v>
      </c>
      <c r="I1189" s="240">
        <f t="shared" si="18"/>
        <v>657.5</v>
      </c>
      <c r="J1189" s="231" t="s">
        <v>1311</v>
      </c>
      <c r="K1189" s="231" t="s">
        <v>1312</v>
      </c>
      <c r="L1189" s="232">
        <v>45170</v>
      </c>
      <c r="M1189" s="232">
        <v>45199</v>
      </c>
    </row>
    <row r="1190" spans="1:13" ht="18.75" customHeight="1" x14ac:dyDescent="0.2">
      <c r="A1190" s="231" t="s">
        <v>0</v>
      </c>
      <c r="B1190" s="230">
        <v>112906</v>
      </c>
      <c r="C1190" s="230">
        <v>10750</v>
      </c>
      <c r="D1190" s="231" t="s">
        <v>1574</v>
      </c>
      <c r="E1190" s="230">
        <v>14491078</v>
      </c>
      <c r="F1190" s="230">
        <v>30247</v>
      </c>
      <c r="G1190" s="230">
        <v>25</v>
      </c>
      <c r="H1190" s="240">
        <v>26.3</v>
      </c>
      <c r="I1190" s="240">
        <f t="shared" si="18"/>
        <v>657.5</v>
      </c>
      <c r="J1190" s="231" t="s">
        <v>1311</v>
      </c>
      <c r="K1190" s="231" t="s">
        <v>1312</v>
      </c>
      <c r="L1190" s="232">
        <v>45170</v>
      </c>
      <c r="M1190" s="232">
        <v>45199</v>
      </c>
    </row>
    <row r="1191" spans="1:13" ht="18.75" customHeight="1" x14ac:dyDescent="0.2">
      <c r="A1191" s="231" t="s">
        <v>0</v>
      </c>
      <c r="B1191" s="230">
        <v>112912</v>
      </c>
      <c r="C1191" s="230">
        <v>10750</v>
      </c>
      <c r="D1191" s="231" t="s">
        <v>1346</v>
      </c>
      <c r="E1191" s="230">
        <v>14491078</v>
      </c>
      <c r="F1191" s="230">
        <v>30259</v>
      </c>
      <c r="G1191" s="230">
        <v>25</v>
      </c>
      <c r="H1191" s="240">
        <v>26.3</v>
      </c>
      <c r="I1191" s="240">
        <f t="shared" si="18"/>
        <v>657.5</v>
      </c>
      <c r="J1191" s="231" t="s">
        <v>1311</v>
      </c>
      <c r="K1191" s="231" t="s">
        <v>1312</v>
      </c>
      <c r="L1191" s="232">
        <v>45170</v>
      </c>
      <c r="M1191" s="232">
        <v>45199</v>
      </c>
    </row>
    <row r="1192" spans="1:13" ht="18.75" customHeight="1" x14ac:dyDescent="0.2">
      <c r="A1192" s="231" t="s">
        <v>0</v>
      </c>
      <c r="B1192" s="230">
        <v>112950</v>
      </c>
      <c r="C1192" s="230">
        <v>10750</v>
      </c>
      <c r="D1192" s="231" t="s">
        <v>516</v>
      </c>
      <c r="E1192" s="230">
        <v>14491078</v>
      </c>
      <c r="F1192" s="230">
        <v>30335</v>
      </c>
      <c r="G1192" s="230">
        <v>25</v>
      </c>
      <c r="H1192" s="240">
        <v>26.3</v>
      </c>
      <c r="I1192" s="240">
        <f t="shared" si="18"/>
        <v>657.5</v>
      </c>
      <c r="J1192" s="231" t="s">
        <v>1311</v>
      </c>
      <c r="K1192" s="231" t="s">
        <v>1312</v>
      </c>
      <c r="L1192" s="232">
        <v>45170</v>
      </c>
      <c r="M1192" s="232">
        <v>45199</v>
      </c>
    </row>
    <row r="1193" spans="1:13" ht="18.75" customHeight="1" x14ac:dyDescent="0.2">
      <c r="A1193" s="231" t="s">
        <v>0</v>
      </c>
      <c r="B1193" s="230">
        <v>112974</v>
      </c>
      <c r="C1193" s="230">
        <v>10750</v>
      </c>
      <c r="D1193" s="231" t="s">
        <v>528</v>
      </c>
      <c r="E1193" s="230">
        <v>14491078</v>
      </c>
      <c r="F1193" s="230">
        <v>30383</v>
      </c>
      <c r="G1193" s="230">
        <v>25</v>
      </c>
      <c r="H1193" s="240">
        <v>26.3</v>
      </c>
      <c r="I1193" s="240">
        <f t="shared" si="18"/>
        <v>657.5</v>
      </c>
      <c r="J1193" s="231" t="s">
        <v>1311</v>
      </c>
      <c r="K1193" s="231" t="s">
        <v>1312</v>
      </c>
      <c r="L1193" s="232">
        <v>45170</v>
      </c>
      <c r="M1193" s="232">
        <v>45199</v>
      </c>
    </row>
    <row r="1194" spans="1:13" ht="18.75" customHeight="1" x14ac:dyDescent="0.2">
      <c r="A1194" s="231" t="s">
        <v>0</v>
      </c>
      <c r="B1194" s="230">
        <v>112978</v>
      </c>
      <c r="C1194" s="230">
        <v>10750</v>
      </c>
      <c r="D1194" s="231" t="s">
        <v>1347</v>
      </c>
      <c r="E1194" s="230">
        <v>14491078</v>
      </c>
      <c r="F1194" s="230">
        <v>30391</v>
      </c>
      <c r="G1194" s="230">
        <v>25</v>
      </c>
      <c r="H1194" s="240">
        <v>26.3</v>
      </c>
      <c r="I1194" s="240">
        <f t="shared" si="18"/>
        <v>657.5</v>
      </c>
      <c r="J1194" s="231" t="s">
        <v>1311</v>
      </c>
      <c r="K1194" s="231" t="s">
        <v>1312</v>
      </c>
      <c r="L1194" s="232">
        <v>45170</v>
      </c>
      <c r="M1194" s="232">
        <v>45199</v>
      </c>
    </row>
    <row r="1195" spans="1:13" ht="18.75" customHeight="1" x14ac:dyDescent="0.2">
      <c r="A1195" s="231" t="s">
        <v>0</v>
      </c>
      <c r="B1195" s="230">
        <v>113002</v>
      </c>
      <c r="C1195" s="230">
        <v>10750</v>
      </c>
      <c r="D1195" s="231" t="s">
        <v>541</v>
      </c>
      <c r="E1195" s="230">
        <v>14491078</v>
      </c>
      <c r="F1195" s="230">
        <v>30439</v>
      </c>
      <c r="G1195" s="230">
        <v>25</v>
      </c>
      <c r="H1195" s="240">
        <v>26.3</v>
      </c>
      <c r="I1195" s="240">
        <f t="shared" si="18"/>
        <v>657.5</v>
      </c>
      <c r="J1195" s="231" t="s">
        <v>1311</v>
      </c>
      <c r="K1195" s="231" t="s">
        <v>1312</v>
      </c>
      <c r="L1195" s="232">
        <v>45170</v>
      </c>
      <c r="M1195" s="232">
        <v>45199</v>
      </c>
    </row>
    <row r="1196" spans="1:13" ht="18.75" customHeight="1" x14ac:dyDescent="0.2">
      <c r="A1196" s="231" t="s">
        <v>0</v>
      </c>
      <c r="B1196" s="230">
        <v>113004</v>
      </c>
      <c r="C1196" s="230">
        <v>10758</v>
      </c>
      <c r="D1196" s="231" t="s">
        <v>543</v>
      </c>
      <c r="E1196" s="230">
        <v>14491078</v>
      </c>
      <c r="F1196" s="230">
        <v>30443</v>
      </c>
      <c r="G1196" s="230">
        <v>25</v>
      </c>
      <c r="H1196" s="240">
        <v>26.3</v>
      </c>
      <c r="I1196" s="240">
        <f t="shared" si="18"/>
        <v>657.5</v>
      </c>
      <c r="J1196" s="231" t="s">
        <v>1311</v>
      </c>
      <c r="K1196" s="231" t="s">
        <v>1312</v>
      </c>
      <c r="L1196" s="232">
        <v>45170</v>
      </c>
      <c r="M1196" s="232">
        <v>45199</v>
      </c>
    </row>
    <row r="1197" spans="1:13" ht="18.75" customHeight="1" x14ac:dyDescent="0.2">
      <c r="A1197" s="231" t="s">
        <v>0</v>
      </c>
      <c r="B1197" s="230">
        <v>113024</v>
      </c>
      <c r="C1197" s="230">
        <v>10756</v>
      </c>
      <c r="D1197" s="231" t="s">
        <v>548</v>
      </c>
      <c r="E1197" s="230">
        <v>14491078</v>
      </c>
      <c r="F1197" s="230">
        <v>30483</v>
      </c>
      <c r="G1197" s="230">
        <v>25</v>
      </c>
      <c r="H1197" s="240">
        <v>26.3</v>
      </c>
      <c r="I1197" s="240">
        <f t="shared" si="18"/>
        <v>657.5</v>
      </c>
      <c r="J1197" s="231" t="s">
        <v>1311</v>
      </c>
      <c r="K1197" s="231" t="s">
        <v>1312</v>
      </c>
      <c r="L1197" s="232">
        <v>45170</v>
      </c>
      <c r="M1197" s="232">
        <v>45199</v>
      </c>
    </row>
    <row r="1198" spans="1:13" ht="18.75" customHeight="1" x14ac:dyDescent="0.2">
      <c r="A1198" s="231" t="s">
        <v>0</v>
      </c>
      <c r="B1198" s="230">
        <v>113032</v>
      </c>
      <c r="C1198" s="230">
        <v>10750</v>
      </c>
      <c r="D1198" s="231" t="s">
        <v>1288</v>
      </c>
      <c r="E1198" s="230">
        <v>14491078</v>
      </c>
      <c r="F1198" s="230">
        <v>30499</v>
      </c>
      <c r="G1198" s="230">
        <v>25</v>
      </c>
      <c r="H1198" s="240">
        <v>26.3</v>
      </c>
      <c r="I1198" s="240">
        <f t="shared" si="18"/>
        <v>657.5</v>
      </c>
      <c r="J1198" s="231" t="s">
        <v>1311</v>
      </c>
      <c r="K1198" s="231" t="s">
        <v>1312</v>
      </c>
      <c r="L1198" s="232">
        <v>45170</v>
      </c>
      <c r="M1198" s="232">
        <v>45199</v>
      </c>
    </row>
    <row r="1199" spans="1:13" ht="18.75" customHeight="1" x14ac:dyDescent="0.2">
      <c r="A1199" s="231" t="s">
        <v>0</v>
      </c>
      <c r="B1199" s="230">
        <v>113042</v>
      </c>
      <c r="C1199" s="230">
        <v>10757</v>
      </c>
      <c r="D1199" s="231" t="s">
        <v>558</v>
      </c>
      <c r="E1199" s="230">
        <v>14491078</v>
      </c>
      <c r="F1199" s="230">
        <v>30519</v>
      </c>
      <c r="G1199" s="230">
        <v>25</v>
      </c>
      <c r="H1199" s="240">
        <v>26.3</v>
      </c>
      <c r="I1199" s="240">
        <f t="shared" si="18"/>
        <v>657.5</v>
      </c>
      <c r="J1199" s="231" t="s">
        <v>1311</v>
      </c>
      <c r="K1199" s="231" t="s">
        <v>1312</v>
      </c>
      <c r="L1199" s="232">
        <v>45170</v>
      </c>
      <c r="M1199" s="232">
        <v>45199</v>
      </c>
    </row>
    <row r="1200" spans="1:13" ht="18.75" customHeight="1" x14ac:dyDescent="0.2">
      <c r="A1200" s="231" t="s">
        <v>0</v>
      </c>
      <c r="B1200" s="230">
        <v>113071</v>
      </c>
      <c r="C1200" s="230">
        <v>10771</v>
      </c>
      <c r="D1200" s="231" t="s">
        <v>570</v>
      </c>
      <c r="E1200" s="230">
        <v>14491078</v>
      </c>
      <c r="F1200" s="230">
        <v>30577</v>
      </c>
      <c r="G1200" s="230">
        <v>25</v>
      </c>
      <c r="H1200" s="240">
        <v>26.3</v>
      </c>
      <c r="I1200" s="240">
        <f t="shared" si="18"/>
        <v>657.5</v>
      </c>
      <c r="J1200" s="231" t="s">
        <v>1311</v>
      </c>
      <c r="K1200" s="231" t="s">
        <v>1312</v>
      </c>
      <c r="L1200" s="232">
        <v>45170</v>
      </c>
      <c r="M1200" s="232">
        <v>45199</v>
      </c>
    </row>
    <row r="1201" spans="1:13" ht="18.75" customHeight="1" x14ac:dyDescent="0.2">
      <c r="A1201" s="231" t="s">
        <v>0</v>
      </c>
      <c r="B1201" s="230">
        <v>113072</v>
      </c>
      <c r="C1201" s="230">
        <v>10757</v>
      </c>
      <c r="D1201" s="231" t="s">
        <v>571</v>
      </c>
      <c r="E1201" s="230">
        <v>14491078</v>
      </c>
      <c r="F1201" s="230">
        <v>30579</v>
      </c>
      <c r="G1201" s="230">
        <v>25</v>
      </c>
      <c r="H1201" s="240">
        <v>26.3</v>
      </c>
      <c r="I1201" s="240">
        <f t="shared" si="18"/>
        <v>657.5</v>
      </c>
      <c r="J1201" s="231" t="s">
        <v>1311</v>
      </c>
      <c r="K1201" s="231" t="s">
        <v>1312</v>
      </c>
      <c r="L1201" s="232">
        <v>45170</v>
      </c>
      <c r="M1201" s="232">
        <v>45199</v>
      </c>
    </row>
    <row r="1202" spans="1:13" ht="18.75" customHeight="1" x14ac:dyDescent="0.2">
      <c r="A1202" s="231" t="s">
        <v>0</v>
      </c>
      <c r="B1202" s="230">
        <v>113073</v>
      </c>
      <c r="C1202" s="230">
        <v>10750</v>
      </c>
      <c r="D1202" s="231" t="s">
        <v>572</v>
      </c>
      <c r="E1202" s="230">
        <v>14491078</v>
      </c>
      <c r="F1202" s="230">
        <v>30581</v>
      </c>
      <c r="G1202" s="230">
        <v>25</v>
      </c>
      <c r="H1202" s="240">
        <v>26.3</v>
      </c>
      <c r="I1202" s="240">
        <f t="shared" si="18"/>
        <v>657.5</v>
      </c>
      <c r="J1202" s="231" t="s">
        <v>1311</v>
      </c>
      <c r="K1202" s="231" t="s">
        <v>1312</v>
      </c>
      <c r="L1202" s="232">
        <v>45170</v>
      </c>
      <c r="M1202" s="232">
        <v>45199</v>
      </c>
    </row>
    <row r="1203" spans="1:13" ht="18.75" customHeight="1" x14ac:dyDescent="0.2">
      <c r="A1203" s="231" t="s">
        <v>0</v>
      </c>
      <c r="B1203" s="230">
        <v>113075</v>
      </c>
      <c r="C1203" s="230">
        <v>10750</v>
      </c>
      <c r="D1203" s="231" t="s">
        <v>574</v>
      </c>
      <c r="E1203" s="230">
        <v>14491078</v>
      </c>
      <c r="F1203" s="230">
        <v>30585</v>
      </c>
      <c r="G1203" s="230">
        <v>25</v>
      </c>
      <c r="H1203" s="240">
        <v>26.3</v>
      </c>
      <c r="I1203" s="240">
        <f t="shared" si="18"/>
        <v>657.5</v>
      </c>
      <c r="J1203" s="231" t="s">
        <v>1311</v>
      </c>
      <c r="K1203" s="231" t="s">
        <v>1312</v>
      </c>
      <c r="L1203" s="232">
        <v>45170</v>
      </c>
      <c r="M1203" s="232">
        <v>45199</v>
      </c>
    </row>
    <row r="1204" spans="1:13" ht="18.75" customHeight="1" x14ac:dyDescent="0.2">
      <c r="A1204" s="231" t="s">
        <v>0</v>
      </c>
      <c r="B1204" s="230">
        <v>113077</v>
      </c>
      <c r="C1204" s="230">
        <v>10757</v>
      </c>
      <c r="D1204" s="231" t="s">
        <v>575</v>
      </c>
      <c r="E1204" s="230">
        <v>14491078</v>
      </c>
      <c r="F1204" s="230">
        <v>30589</v>
      </c>
      <c r="G1204" s="230">
        <v>24</v>
      </c>
      <c r="H1204" s="240">
        <v>26.3</v>
      </c>
      <c r="I1204" s="240">
        <f t="shared" si="18"/>
        <v>631.20000000000005</v>
      </c>
      <c r="J1204" s="231" t="s">
        <v>1311</v>
      </c>
      <c r="K1204" s="231" t="s">
        <v>1312</v>
      </c>
      <c r="L1204" s="232">
        <v>45170</v>
      </c>
      <c r="M1204" s="232">
        <v>45199</v>
      </c>
    </row>
    <row r="1205" spans="1:13" ht="18.75" customHeight="1" x14ac:dyDescent="0.2">
      <c r="A1205" s="231" t="s">
        <v>0</v>
      </c>
      <c r="B1205" s="230">
        <v>113081</v>
      </c>
      <c r="C1205" s="230">
        <v>10757</v>
      </c>
      <c r="D1205" s="231" t="s">
        <v>578</v>
      </c>
      <c r="E1205" s="230">
        <v>14491078</v>
      </c>
      <c r="F1205" s="230">
        <v>30597</v>
      </c>
      <c r="G1205" s="230">
        <v>25</v>
      </c>
      <c r="H1205" s="240">
        <v>26.3</v>
      </c>
      <c r="I1205" s="240">
        <f t="shared" si="18"/>
        <v>657.5</v>
      </c>
      <c r="J1205" s="231" t="s">
        <v>1311</v>
      </c>
      <c r="K1205" s="231" t="s">
        <v>1312</v>
      </c>
      <c r="L1205" s="232">
        <v>45170</v>
      </c>
      <c r="M1205" s="232">
        <v>45199</v>
      </c>
    </row>
    <row r="1206" spans="1:13" ht="18.75" customHeight="1" x14ac:dyDescent="0.2">
      <c r="A1206" s="231" t="s">
        <v>0</v>
      </c>
      <c r="B1206" s="230">
        <v>113083</v>
      </c>
      <c r="C1206" s="230">
        <v>10771</v>
      </c>
      <c r="D1206" s="231" t="s">
        <v>580</v>
      </c>
      <c r="E1206" s="230">
        <v>14491078</v>
      </c>
      <c r="F1206" s="230">
        <v>30601</v>
      </c>
      <c r="G1206" s="230">
        <v>25</v>
      </c>
      <c r="H1206" s="240">
        <v>26.3</v>
      </c>
      <c r="I1206" s="240">
        <f t="shared" si="18"/>
        <v>657.5</v>
      </c>
      <c r="J1206" s="231" t="s">
        <v>1311</v>
      </c>
      <c r="K1206" s="231" t="s">
        <v>1315</v>
      </c>
      <c r="L1206" s="232">
        <v>45170</v>
      </c>
      <c r="M1206" s="232">
        <v>45199</v>
      </c>
    </row>
    <row r="1207" spans="1:13" ht="18.75" customHeight="1" x14ac:dyDescent="0.2">
      <c r="A1207" s="231" t="s">
        <v>0</v>
      </c>
      <c r="B1207" s="230">
        <v>113093</v>
      </c>
      <c r="C1207" s="230">
        <v>10757</v>
      </c>
      <c r="D1207" s="231" t="s">
        <v>583</v>
      </c>
      <c r="E1207" s="230">
        <v>14491078</v>
      </c>
      <c r="F1207" s="230">
        <v>30621</v>
      </c>
      <c r="G1207" s="230">
        <v>25</v>
      </c>
      <c r="H1207" s="240">
        <v>26.3</v>
      </c>
      <c r="I1207" s="240">
        <f t="shared" si="18"/>
        <v>657.5</v>
      </c>
      <c r="J1207" s="231" t="s">
        <v>1311</v>
      </c>
      <c r="K1207" s="231" t="s">
        <v>1312</v>
      </c>
      <c r="L1207" s="232">
        <v>45170</v>
      </c>
      <c r="M1207" s="232">
        <v>45199</v>
      </c>
    </row>
    <row r="1208" spans="1:13" ht="18.75" customHeight="1" x14ac:dyDescent="0.2">
      <c r="A1208" s="231" t="s">
        <v>0</v>
      </c>
      <c r="B1208" s="230">
        <v>113106</v>
      </c>
      <c r="C1208" s="230">
        <v>10750</v>
      </c>
      <c r="D1208" s="231" t="s">
        <v>85</v>
      </c>
      <c r="E1208" s="230">
        <v>14491078</v>
      </c>
      <c r="F1208" s="230">
        <v>30647</v>
      </c>
      <c r="G1208" s="230">
        <v>25</v>
      </c>
      <c r="H1208" s="240">
        <v>26.3</v>
      </c>
      <c r="I1208" s="240">
        <f t="shared" si="18"/>
        <v>657.5</v>
      </c>
      <c r="J1208" s="231" t="s">
        <v>1311</v>
      </c>
      <c r="K1208" s="231" t="s">
        <v>1312</v>
      </c>
      <c r="L1208" s="232">
        <v>45170</v>
      </c>
      <c r="M1208" s="232">
        <v>45199</v>
      </c>
    </row>
    <row r="1209" spans="1:13" ht="18.75" customHeight="1" x14ac:dyDescent="0.2">
      <c r="A1209" s="231" t="s">
        <v>0</v>
      </c>
      <c r="B1209" s="230">
        <v>113111</v>
      </c>
      <c r="C1209" s="230">
        <v>10757</v>
      </c>
      <c r="D1209" s="231" t="s">
        <v>592</v>
      </c>
      <c r="E1209" s="230">
        <v>14491078</v>
      </c>
      <c r="F1209" s="230">
        <v>30657</v>
      </c>
      <c r="G1209" s="230">
        <v>23</v>
      </c>
      <c r="H1209" s="240">
        <v>26.3</v>
      </c>
      <c r="I1209" s="240">
        <f t="shared" si="18"/>
        <v>604.9</v>
      </c>
      <c r="J1209" s="231" t="s">
        <v>1311</v>
      </c>
      <c r="K1209" s="231" t="s">
        <v>1312</v>
      </c>
      <c r="L1209" s="232">
        <v>45170</v>
      </c>
      <c r="M1209" s="232">
        <v>45199</v>
      </c>
    </row>
    <row r="1210" spans="1:13" ht="18.75" customHeight="1" x14ac:dyDescent="0.2">
      <c r="A1210" s="231" t="s">
        <v>0</v>
      </c>
      <c r="B1210" s="230">
        <v>113114</v>
      </c>
      <c r="C1210" s="230">
        <v>10750</v>
      </c>
      <c r="D1210" s="231" t="s">
        <v>593</v>
      </c>
      <c r="E1210" s="230">
        <v>14491078</v>
      </c>
      <c r="F1210" s="230">
        <v>30663</v>
      </c>
      <c r="G1210" s="230">
        <v>25</v>
      </c>
      <c r="H1210" s="240">
        <v>26.3</v>
      </c>
      <c r="I1210" s="240">
        <f t="shared" si="18"/>
        <v>657.5</v>
      </c>
      <c r="J1210" s="231" t="s">
        <v>1311</v>
      </c>
      <c r="K1210" s="231" t="s">
        <v>1312</v>
      </c>
      <c r="L1210" s="232">
        <v>45170</v>
      </c>
      <c r="M1210" s="232">
        <v>45199</v>
      </c>
    </row>
    <row r="1211" spans="1:13" ht="18.75" customHeight="1" x14ac:dyDescent="0.2">
      <c r="A1211" s="231" t="s">
        <v>0</v>
      </c>
      <c r="B1211" s="230">
        <v>113122</v>
      </c>
      <c r="C1211" s="230">
        <v>10750</v>
      </c>
      <c r="D1211" s="231" t="s">
        <v>1524</v>
      </c>
      <c r="E1211" s="230">
        <v>14491078</v>
      </c>
      <c r="F1211" s="230">
        <v>30679</v>
      </c>
      <c r="G1211" s="230">
        <v>25</v>
      </c>
      <c r="H1211" s="240">
        <v>26.3</v>
      </c>
      <c r="I1211" s="240">
        <f t="shared" si="18"/>
        <v>657.5</v>
      </c>
      <c r="J1211" s="231" t="s">
        <v>1311</v>
      </c>
      <c r="K1211" s="231" t="s">
        <v>1312</v>
      </c>
      <c r="L1211" s="232">
        <v>45170</v>
      </c>
      <c r="M1211" s="232">
        <v>45199</v>
      </c>
    </row>
    <row r="1212" spans="1:13" ht="18.75" customHeight="1" x14ac:dyDescent="0.2">
      <c r="A1212" s="231" t="s">
        <v>0</v>
      </c>
      <c r="B1212" s="230">
        <v>113140</v>
      </c>
      <c r="C1212" s="230">
        <v>10750</v>
      </c>
      <c r="D1212" s="231" t="s">
        <v>609</v>
      </c>
      <c r="E1212" s="230">
        <v>14491078</v>
      </c>
      <c r="F1212" s="230">
        <v>30715</v>
      </c>
      <c r="G1212" s="230">
        <v>25</v>
      </c>
      <c r="H1212" s="240">
        <v>26.3</v>
      </c>
      <c r="I1212" s="240">
        <f t="shared" si="18"/>
        <v>657.5</v>
      </c>
      <c r="J1212" s="231" t="s">
        <v>1311</v>
      </c>
      <c r="K1212" s="231" t="s">
        <v>1312</v>
      </c>
      <c r="L1212" s="232">
        <v>45170</v>
      </c>
      <c r="M1212" s="232">
        <v>45199</v>
      </c>
    </row>
    <row r="1213" spans="1:13" ht="18.75" customHeight="1" x14ac:dyDescent="0.2">
      <c r="A1213" s="231" t="s">
        <v>0</v>
      </c>
      <c r="B1213" s="230">
        <v>113167</v>
      </c>
      <c r="C1213" s="230">
        <v>10750</v>
      </c>
      <c r="D1213" s="231" t="s">
        <v>626</v>
      </c>
      <c r="E1213" s="230">
        <v>14491078</v>
      </c>
      <c r="F1213" s="230">
        <v>30769</v>
      </c>
      <c r="G1213" s="230">
        <v>25</v>
      </c>
      <c r="H1213" s="240">
        <v>26.3</v>
      </c>
      <c r="I1213" s="240">
        <f t="shared" si="18"/>
        <v>657.5</v>
      </c>
      <c r="J1213" s="231" t="s">
        <v>1311</v>
      </c>
      <c r="K1213" s="231" t="s">
        <v>1312</v>
      </c>
      <c r="L1213" s="232">
        <v>45170</v>
      </c>
      <c r="M1213" s="232">
        <v>45199</v>
      </c>
    </row>
    <row r="1214" spans="1:13" ht="18.75" customHeight="1" x14ac:dyDescent="0.2">
      <c r="A1214" s="231" t="s">
        <v>0</v>
      </c>
      <c r="B1214" s="230">
        <v>113172</v>
      </c>
      <c r="C1214" s="230">
        <v>10750</v>
      </c>
      <c r="D1214" s="231" t="s">
        <v>629</v>
      </c>
      <c r="E1214" s="230">
        <v>14491078</v>
      </c>
      <c r="F1214" s="230">
        <v>30779</v>
      </c>
      <c r="G1214" s="230">
        <v>25</v>
      </c>
      <c r="H1214" s="240">
        <v>26.3</v>
      </c>
      <c r="I1214" s="240">
        <f t="shared" si="18"/>
        <v>657.5</v>
      </c>
      <c r="J1214" s="231" t="s">
        <v>1311</v>
      </c>
      <c r="K1214" s="231" t="s">
        <v>1312</v>
      </c>
      <c r="L1214" s="232">
        <v>45170</v>
      </c>
      <c r="M1214" s="232">
        <v>45199</v>
      </c>
    </row>
    <row r="1215" spans="1:13" ht="18.75" customHeight="1" x14ac:dyDescent="0.2">
      <c r="A1215" s="231" t="s">
        <v>0</v>
      </c>
      <c r="B1215" s="230">
        <v>113179</v>
      </c>
      <c r="C1215" s="230">
        <v>10760</v>
      </c>
      <c r="D1215" s="231" t="s">
        <v>632</v>
      </c>
      <c r="E1215" s="230">
        <v>14491078</v>
      </c>
      <c r="F1215" s="230">
        <v>30793</v>
      </c>
      <c r="G1215" s="230">
        <v>25</v>
      </c>
      <c r="H1215" s="240">
        <v>26.3</v>
      </c>
      <c r="I1215" s="240">
        <f t="shared" si="18"/>
        <v>657.5</v>
      </c>
      <c r="J1215" s="231" t="s">
        <v>1311</v>
      </c>
      <c r="K1215" s="231" t="s">
        <v>1312</v>
      </c>
      <c r="L1215" s="232">
        <v>45170</v>
      </c>
      <c r="M1215" s="232">
        <v>45199</v>
      </c>
    </row>
    <row r="1216" spans="1:13" ht="18.75" customHeight="1" x14ac:dyDescent="0.2">
      <c r="A1216" s="231" t="s">
        <v>0</v>
      </c>
      <c r="B1216" s="230">
        <v>113181</v>
      </c>
      <c r="C1216" s="230">
        <v>10757</v>
      </c>
      <c r="D1216" s="231" t="s">
        <v>633</v>
      </c>
      <c r="E1216" s="230">
        <v>14491078</v>
      </c>
      <c r="F1216" s="230">
        <v>30797</v>
      </c>
      <c r="G1216" s="230">
        <v>25</v>
      </c>
      <c r="H1216" s="240">
        <v>26.3</v>
      </c>
      <c r="I1216" s="240">
        <f t="shared" si="18"/>
        <v>657.5</v>
      </c>
      <c r="J1216" s="231" t="s">
        <v>1311</v>
      </c>
      <c r="K1216" s="231" t="s">
        <v>1312</v>
      </c>
      <c r="L1216" s="232">
        <v>45170</v>
      </c>
      <c r="M1216" s="232">
        <v>45199</v>
      </c>
    </row>
    <row r="1217" spans="1:13" ht="18.75" customHeight="1" x14ac:dyDescent="0.2">
      <c r="A1217" s="231" t="s">
        <v>0</v>
      </c>
      <c r="B1217" s="230">
        <v>113203</v>
      </c>
      <c r="C1217" s="230">
        <v>10745</v>
      </c>
      <c r="D1217" s="231" t="s">
        <v>645</v>
      </c>
      <c r="E1217" s="230">
        <v>14491078</v>
      </c>
      <c r="F1217" s="230">
        <v>30841</v>
      </c>
      <c r="G1217" s="230">
        <v>25</v>
      </c>
      <c r="H1217" s="240">
        <v>26.3</v>
      </c>
      <c r="I1217" s="240">
        <f t="shared" si="18"/>
        <v>657.5</v>
      </c>
      <c r="J1217" s="231" t="s">
        <v>1311</v>
      </c>
      <c r="K1217" s="231" t="s">
        <v>1312</v>
      </c>
      <c r="L1217" s="232">
        <v>45170</v>
      </c>
      <c r="M1217" s="232">
        <v>45199</v>
      </c>
    </row>
    <row r="1218" spans="1:13" ht="18.75" customHeight="1" x14ac:dyDescent="0.2">
      <c r="A1218" s="231" t="s">
        <v>0</v>
      </c>
      <c r="B1218" s="230">
        <v>113204</v>
      </c>
      <c r="C1218" s="230">
        <v>10757</v>
      </c>
      <c r="D1218" s="231" t="s">
        <v>646</v>
      </c>
      <c r="E1218" s="230">
        <v>14491078</v>
      </c>
      <c r="F1218" s="230">
        <v>30843</v>
      </c>
      <c r="G1218" s="230">
        <v>25</v>
      </c>
      <c r="H1218" s="240">
        <v>26.3</v>
      </c>
      <c r="I1218" s="240">
        <f t="shared" si="18"/>
        <v>657.5</v>
      </c>
      <c r="J1218" s="231" t="s">
        <v>1311</v>
      </c>
      <c r="K1218" s="231" t="s">
        <v>1312</v>
      </c>
      <c r="L1218" s="232">
        <v>45170</v>
      </c>
      <c r="M1218" s="232">
        <v>45199</v>
      </c>
    </row>
    <row r="1219" spans="1:13" ht="18.75" customHeight="1" x14ac:dyDescent="0.2">
      <c r="A1219" s="231" t="s">
        <v>0</v>
      </c>
      <c r="B1219" s="230">
        <v>113205</v>
      </c>
      <c r="C1219" s="230">
        <v>10750</v>
      </c>
      <c r="D1219" s="231" t="s">
        <v>1369</v>
      </c>
      <c r="E1219" s="230">
        <v>14491078</v>
      </c>
      <c r="F1219" s="230">
        <v>30845</v>
      </c>
      <c r="G1219" s="230">
        <v>25</v>
      </c>
      <c r="H1219" s="240">
        <v>26.3</v>
      </c>
      <c r="I1219" s="240">
        <f t="shared" ref="I1219:I1282" si="19">G1219*H1219</f>
        <v>657.5</v>
      </c>
      <c r="J1219" s="231" t="s">
        <v>1311</v>
      </c>
      <c r="K1219" s="231" t="s">
        <v>1312</v>
      </c>
      <c r="L1219" s="232">
        <v>45170</v>
      </c>
      <c r="M1219" s="232">
        <v>45199</v>
      </c>
    </row>
    <row r="1220" spans="1:13" ht="18.75" customHeight="1" x14ac:dyDescent="0.2">
      <c r="A1220" s="231" t="s">
        <v>0</v>
      </c>
      <c r="B1220" s="230">
        <v>113209</v>
      </c>
      <c r="C1220" s="230">
        <v>10750</v>
      </c>
      <c r="D1220" s="231" t="s">
        <v>651</v>
      </c>
      <c r="E1220" s="230">
        <v>14491078</v>
      </c>
      <c r="F1220" s="230">
        <v>30853</v>
      </c>
      <c r="G1220" s="230">
        <v>25</v>
      </c>
      <c r="H1220" s="240">
        <v>26.3</v>
      </c>
      <c r="I1220" s="240">
        <f t="shared" si="19"/>
        <v>657.5</v>
      </c>
      <c r="J1220" s="231" t="s">
        <v>1311</v>
      </c>
      <c r="K1220" s="231" t="s">
        <v>1312</v>
      </c>
      <c r="L1220" s="232">
        <v>45170</v>
      </c>
      <c r="M1220" s="232">
        <v>45199</v>
      </c>
    </row>
    <row r="1221" spans="1:13" ht="18.75" customHeight="1" x14ac:dyDescent="0.2">
      <c r="A1221" s="231" t="s">
        <v>0</v>
      </c>
      <c r="B1221" s="230">
        <v>113224</v>
      </c>
      <c r="C1221" s="230">
        <v>10757</v>
      </c>
      <c r="D1221" s="231" t="s">
        <v>657</v>
      </c>
      <c r="E1221" s="230">
        <v>14491078</v>
      </c>
      <c r="F1221" s="230">
        <v>30883</v>
      </c>
      <c r="G1221" s="230">
        <v>25</v>
      </c>
      <c r="H1221" s="240">
        <v>26.3</v>
      </c>
      <c r="I1221" s="240">
        <f t="shared" si="19"/>
        <v>657.5</v>
      </c>
      <c r="J1221" s="231" t="s">
        <v>1311</v>
      </c>
      <c r="K1221" s="231" t="s">
        <v>1312</v>
      </c>
      <c r="L1221" s="232">
        <v>45170</v>
      </c>
      <c r="M1221" s="232">
        <v>45199</v>
      </c>
    </row>
    <row r="1222" spans="1:13" ht="18.75" customHeight="1" x14ac:dyDescent="0.2">
      <c r="A1222" s="231" t="s">
        <v>0</v>
      </c>
      <c r="B1222" s="230">
        <v>113225</v>
      </c>
      <c r="C1222" s="230">
        <v>10750</v>
      </c>
      <c r="D1222" s="231" t="s">
        <v>658</v>
      </c>
      <c r="E1222" s="230">
        <v>14491078</v>
      </c>
      <c r="F1222" s="230">
        <v>30885</v>
      </c>
      <c r="G1222" s="230">
        <v>25</v>
      </c>
      <c r="H1222" s="240">
        <v>26.3</v>
      </c>
      <c r="I1222" s="240">
        <f t="shared" si="19"/>
        <v>657.5</v>
      </c>
      <c r="J1222" s="231" t="s">
        <v>1311</v>
      </c>
      <c r="K1222" s="231" t="s">
        <v>1312</v>
      </c>
      <c r="L1222" s="232">
        <v>45170</v>
      </c>
      <c r="M1222" s="232">
        <v>45199</v>
      </c>
    </row>
    <row r="1223" spans="1:13" ht="18.75" customHeight="1" x14ac:dyDescent="0.2">
      <c r="A1223" s="231" t="s">
        <v>0</v>
      </c>
      <c r="B1223" s="230">
        <v>113226</v>
      </c>
      <c r="C1223" s="230">
        <v>10750</v>
      </c>
      <c r="D1223" s="231" t="s">
        <v>659</v>
      </c>
      <c r="E1223" s="230">
        <v>14491078</v>
      </c>
      <c r="F1223" s="230">
        <v>30887</v>
      </c>
      <c r="G1223" s="230">
        <v>25</v>
      </c>
      <c r="H1223" s="240">
        <v>26.3</v>
      </c>
      <c r="I1223" s="240">
        <f t="shared" si="19"/>
        <v>657.5</v>
      </c>
      <c r="J1223" s="231" t="s">
        <v>1311</v>
      </c>
      <c r="K1223" s="231" t="s">
        <v>1312</v>
      </c>
      <c r="L1223" s="232">
        <v>45170</v>
      </c>
      <c r="M1223" s="232">
        <v>45199</v>
      </c>
    </row>
    <row r="1224" spans="1:13" ht="18.75" customHeight="1" x14ac:dyDescent="0.2">
      <c r="A1224" s="231" t="s">
        <v>0</v>
      </c>
      <c r="B1224" s="230">
        <v>113233</v>
      </c>
      <c r="C1224" s="230">
        <v>10758</v>
      </c>
      <c r="D1224" s="231" t="s">
        <v>663</v>
      </c>
      <c r="E1224" s="230">
        <v>14491078</v>
      </c>
      <c r="F1224" s="230">
        <v>30901</v>
      </c>
      <c r="G1224" s="230">
        <v>25</v>
      </c>
      <c r="H1224" s="240">
        <v>26.3</v>
      </c>
      <c r="I1224" s="240">
        <f t="shared" si="19"/>
        <v>657.5</v>
      </c>
      <c r="J1224" s="231" t="s">
        <v>1311</v>
      </c>
      <c r="K1224" s="231" t="s">
        <v>1312</v>
      </c>
      <c r="L1224" s="232">
        <v>45170</v>
      </c>
      <c r="M1224" s="232">
        <v>45199</v>
      </c>
    </row>
    <row r="1225" spans="1:13" ht="18.75" customHeight="1" x14ac:dyDescent="0.2">
      <c r="A1225" s="231" t="s">
        <v>0</v>
      </c>
      <c r="B1225" s="230">
        <v>113235</v>
      </c>
      <c r="C1225" s="230">
        <v>10757</v>
      </c>
      <c r="D1225" s="231" t="s">
        <v>664</v>
      </c>
      <c r="E1225" s="230">
        <v>14491078</v>
      </c>
      <c r="F1225" s="230">
        <v>30905</v>
      </c>
      <c r="G1225" s="230">
        <v>25</v>
      </c>
      <c r="H1225" s="240">
        <v>26.3</v>
      </c>
      <c r="I1225" s="240">
        <f t="shared" si="19"/>
        <v>657.5</v>
      </c>
      <c r="J1225" s="231" t="s">
        <v>1311</v>
      </c>
      <c r="K1225" s="231" t="s">
        <v>1312</v>
      </c>
      <c r="L1225" s="232">
        <v>45170</v>
      </c>
      <c r="M1225" s="232">
        <v>45199</v>
      </c>
    </row>
    <row r="1226" spans="1:13" ht="18.75" customHeight="1" x14ac:dyDescent="0.2">
      <c r="A1226" s="231" t="s">
        <v>0</v>
      </c>
      <c r="B1226" s="230">
        <v>113244</v>
      </c>
      <c r="C1226" s="230">
        <v>10750</v>
      </c>
      <c r="D1226" s="231" t="s">
        <v>667</v>
      </c>
      <c r="E1226" s="230">
        <v>14491078</v>
      </c>
      <c r="F1226" s="230">
        <v>30923</v>
      </c>
      <c r="G1226" s="230">
        <v>25</v>
      </c>
      <c r="H1226" s="240">
        <v>26.3</v>
      </c>
      <c r="I1226" s="240">
        <f t="shared" si="19"/>
        <v>657.5</v>
      </c>
      <c r="J1226" s="231" t="s">
        <v>1311</v>
      </c>
      <c r="K1226" s="231" t="s">
        <v>1312</v>
      </c>
      <c r="L1226" s="232">
        <v>45170</v>
      </c>
      <c r="M1226" s="232">
        <v>45199</v>
      </c>
    </row>
    <row r="1227" spans="1:13" ht="18.75" customHeight="1" x14ac:dyDescent="0.2">
      <c r="A1227" s="231" t="s">
        <v>0</v>
      </c>
      <c r="B1227" s="230">
        <v>113272</v>
      </c>
      <c r="C1227" s="230">
        <v>10750</v>
      </c>
      <c r="D1227" s="231" t="s">
        <v>681</v>
      </c>
      <c r="E1227" s="230">
        <v>14491078</v>
      </c>
      <c r="F1227" s="230">
        <v>30979</v>
      </c>
      <c r="G1227" s="230">
        <v>25</v>
      </c>
      <c r="H1227" s="240">
        <v>26.3</v>
      </c>
      <c r="I1227" s="240">
        <f t="shared" si="19"/>
        <v>657.5</v>
      </c>
      <c r="J1227" s="231" t="s">
        <v>1311</v>
      </c>
      <c r="K1227" s="231" t="s">
        <v>1312</v>
      </c>
      <c r="L1227" s="232">
        <v>45170</v>
      </c>
      <c r="M1227" s="232">
        <v>45199</v>
      </c>
    </row>
    <row r="1228" spans="1:13" ht="18.75" customHeight="1" x14ac:dyDescent="0.2">
      <c r="A1228" s="231" t="s">
        <v>0</v>
      </c>
      <c r="B1228" s="230">
        <v>113288</v>
      </c>
      <c r="C1228" s="230">
        <v>10750</v>
      </c>
      <c r="D1228" s="231" t="s">
        <v>691</v>
      </c>
      <c r="E1228" s="230">
        <v>14491078</v>
      </c>
      <c r="F1228" s="230">
        <v>31011</v>
      </c>
      <c r="G1228" s="230">
        <v>25</v>
      </c>
      <c r="H1228" s="240">
        <v>26.3</v>
      </c>
      <c r="I1228" s="240">
        <f t="shared" si="19"/>
        <v>657.5</v>
      </c>
      <c r="J1228" s="231" t="s">
        <v>1311</v>
      </c>
      <c r="K1228" s="231" t="s">
        <v>1312</v>
      </c>
      <c r="L1228" s="232">
        <v>45170</v>
      </c>
      <c r="M1228" s="232">
        <v>45199</v>
      </c>
    </row>
    <row r="1229" spans="1:13" ht="18.75" customHeight="1" x14ac:dyDescent="0.2">
      <c r="A1229" s="231" t="s">
        <v>0</v>
      </c>
      <c r="B1229" s="230">
        <v>113305</v>
      </c>
      <c r="C1229" s="230">
        <v>10752</v>
      </c>
      <c r="D1229" s="231" t="s">
        <v>698</v>
      </c>
      <c r="E1229" s="230">
        <v>14491078</v>
      </c>
      <c r="F1229" s="230">
        <v>31045</v>
      </c>
      <c r="G1229" s="230">
        <v>25</v>
      </c>
      <c r="H1229" s="240">
        <v>26.3</v>
      </c>
      <c r="I1229" s="240">
        <f t="shared" si="19"/>
        <v>657.5</v>
      </c>
      <c r="J1229" s="231" t="s">
        <v>1311</v>
      </c>
      <c r="K1229" s="231" t="s">
        <v>1312</v>
      </c>
      <c r="L1229" s="232">
        <v>45170</v>
      </c>
      <c r="M1229" s="232">
        <v>45199</v>
      </c>
    </row>
    <row r="1230" spans="1:13" ht="18.75" customHeight="1" x14ac:dyDescent="0.2">
      <c r="A1230" s="231" t="s">
        <v>0</v>
      </c>
      <c r="B1230" s="230">
        <v>113309</v>
      </c>
      <c r="C1230" s="230">
        <v>10751</v>
      </c>
      <c r="D1230" s="231" t="s">
        <v>701</v>
      </c>
      <c r="E1230" s="230">
        <v>14491078</v>
      </c>
      <c r="F1230" s="230">
        <v>31053</v>
      </c>
      <c r="G1230" s="230">
        <v>25</v>
      </c>
      <c r="H1230" s="240">
        <v>26.3</v>
      </c>
      <c r="I1230" s="240">
        <f t="shared" si="19"/>
        <v>657.5</v>
      </c>
      <c r="J1230" s="231" t="s">
        <v>1311</v>
      </c>
      <c r="K1230" s="231" t="s">
        <v>1312</v>
      </c>
      <c r="L1230" s="232">
        <v>45170</v>
      </c>
      <c r="M1230" s="232">
        <v>45199</v>
      </c>
    </row>
    <row r="1231" spans="1:13" ht="18.75" customHeight="1" x14ac:dyDescent="0.2">
      <c r="A1231" s="231" t="s">
        <v>0</v>
      </c>
      <c r="B1231" s="230">
        <v>113313</v>
      </c>
      <c r="C1231" s="230">
        <v>10761</v>
      </c>
      <c r="D1231" s="231" t="s">
        <v>703</v>
      </c>
      <c r="E1231" s="230">
        <v>14491078</v>
      </c>
      <c r="F1231" s="230">
        <v>31061</v>
      </c>
      <c r="G1231" s="230">
        <v>24</v>
      </c>
      <c r="H1231" s="240">
        <v>26.3</v>
      </c>
      <c r="I1231" s="240">
        <f t="shared" si="19"/>
        <v>631.20000000000005</v>
      </c>
      <c r="J1231" s="231" t="s">
        <v>1311</v>
      </c>
      <c r="K1231" s="231" t="s">
        <v>1312</v>
      </c>
      <c r="L1231" s="232">
        <v>45170</v>
      </c>
      <c r="M1231" s="232">
        <v>45199</v>
      </c>
    </row>
    <row r="1232" spans="1:13" ht="18.75" customHeight="1" x14ac:dyDescent="0.2">
      <c r="A1232" s="231" t="s">
        <v>0</v>
      </c>
      <c r="B1232" s="230">
        <v>113317</v>
      </c>
      <c r="C1232" s="230">
        <v>10750</v>
      </c>
      <c r="D1232" s="231" t="s">
        <v>704</v>
      </c>
      <c r="E1232" s="230">
        <v>14491078</v>
      </c>
      <c r="F1232" s="230">
        <v>31069</v>
      </c>
      <c r="G1232" s="230">
        <v>25</v>
      </c>
      <c r="H1232" s="240">
        <v>26.3</v>
      </c>
      <c r="I1232" s="240">
        <f t="shared" si="19"/>
        <v>657.5</v>
      </c>
      <c r="J1232" s="231" t="s">
        <v>1311</v>
      </c>
      <c r="K1232" s="231" t="s">
        <v>1312</v>
      </c>
      <c r="L1232" s="232">
        <v>45170</v>
      </c>
      <c r="M1232" s="232">
        <v>45199</v>
      </c>
    </row>
    <row r="1233" spans="1:13" ht="18.75" customHeight="1" x14ac:dyDescent="0.2">
      <c r="A1233" s="231" t="s">
        <v>0</v>
      </c>
      <c r="B1233" s="230">
        <v>113324</v>
      </c>
      <c r="C1233" s="230">
        <v>10750</v>
      </c>
      <c r="D1233" s="231" t="s">
        <v>708</v>
      </c>
      <c r="E1233" s="230">
        <v>14491078</v>
      </c>
      <c r="F1233" s="230">
        <v>31083</v>
      </c>
      <c r="G1233" s="230">
        <v>25</v>
      </c>
      <c r="H1233" s="240">
        <v>26.3</v>
      </c>
      <c r="I1233" s="240">
        <f t="shared" si="19"/>
        <v>657.5</v>
      </c>
      <c r="J1233" s="231" t="s">
        <v>1311</v>
      </c>
      <c r="K1233" s="231" t="s">
        <v>1312</v>
      </c>
      <c r="L1233" s="232">
        <v>45170</v>
      </c>
      <c r="M1233" s="232">
        <v>45199</v>
      </c>
    </row>
    <row r="1234" spans="1:13" ht="18.75" customHeight="1" x14ac:dyDescent="0.2">
      <c r="A1234" s="231" t="s">
        <v>0</v>
      </c>
      <c r="B1234" s="230">
        <v>113350</v>
      </c>
      <c r="C1234" s="230">
        <v>10757</v>
      </c>
      <c r="D1234" s="231" t="s">
        <v>721</v>
      </c>
      <c r="E1234" s="230">
        <v>14491078</v>
      </c>
      <c r="F1234" s="230">
        <v>31135</v>
      </c>
      <c r="G1234" s="230">
        <v>25</v>
      </c>
      <c r="H1234" s="240">
        <v>26.3</v>
      </c>
      <c r="I1234" s="240">
        <f t="shared" si="19"/>
        <v>657.5</v>
      </c>
      <c r="J1234" s="231" t="s">
        <v>1311</v>
      </c>
      <c r="K1234" s="231" t="s">
        <v>1312</v>
      </c>
      <c r="L1234" s="232">
        <v>45170</v>
      </c>
      <c r="M1234" s="232">
        <v>45199</v>
      </c>
    </row>
    <row r="1235" spans="1:13" ht="18.75" customHeight="1" x14ac:dyDescent="0.2">
      <c r="A1235" s="231" t="s">
        <v>0</v>
      </c>
      <c r="B1235" s="230">
        <v>113355</v>
      </c>
      <c r="C1235" s="230">
        <v>10758</v>
      </c>
      <c r="D1235" s="231" t="s">
        <v>1317</v>
      </c>
      <c r="E1235" s="230">
        <v>14491078</v>
      </c>
      <c r="F1235" s="230">
        <v>31145</v>
      </c>
      <c r="G1235" s="230">
        <v>25</v>
      </c>
      <c r="H1235" s="240">
        <v>26.3</v>
      </c>
      <c r="I1235" s="240">
        <f t="shared" si="19"/>
        <v>657.5</v>
      </c>
      <c r="J1235" s="231" t="s">
        <v>1311</v>
      </c>
      <c r="K1235" s="231" t="s">
        <v>1312</v>
      </c>
      <c r="L1235" s="232">
        <v>45170</v>
      </c>
      <c r="M1235" s="232">
        <v>45199</v>
      </c>
    </row>
    <row r="1236" spans="1:13" ht="18.75" customHeight="1" x14ac:dyDescent="0.2">
      <c r="A1236" s="231" t="s">
        <v>0</v>
      </c>
      <c r="B1236" s="230">
        <v>113358</v>
      </c>
      <c r="C1236" s="230">
        <v>10750</v>
      </c>
      <c r="D1236" s="231" t="s">
        <v>727</v>
      </c>
      <c r="E1236" s="230">
        <v>14491078</v>
      </c>
      <c r="F1236" s="230">
        <v>31151</v>
      </c>
      <c r="G1236" s="230">
        <v>25</v>
      </c>
      <c r="H1236" s="240">
        <v>26.3</v>
      </c>
      <c r="I1236" s="240">
        <f t="shared" si="19"/>
        <v>657.5</v>
      </c>
      <c r="J1236" s="231" t="s">
        <v>1311</v>
      </c>
      <c r="K1236" s="231" t="s">
        <v>1312</v>
      </c>
      <c r="L1236" s="232">
        <v>45170</v>
      </c>
      <c r="M1236" s="232">
        <v>45199</v>
      </c>
    </row>
    <row r="1237" spans="1:13" ht="18.75" customHeight="1" x14ac:dyDescent="0.2">
      <c r="A1237" s="231" t="s">
        <v>0</v>
      </c>
      <c r="B1237" s="230">
        <v>113362</v>
      </c>
      <c r="C1237" s="230">
        <v>10754</v>
      </c>
      <c r="D1237" s="231" t="s">
        <v>730</v>
      </c>
      <c r="E1237" s="230">
        <v>14491078</v>
      </c>
      <c r="F1237" s="230">
        <v>31159</v>
      </c>
      <c r="G1237" s="230">
        <v>25</v>
      </c>
      <c r="H1237" s="240">
        <v>26.3</v>
      </c>
      <c r="I1237" s="240">
        <f t="shared" si="19"/>
        <v>657.5</v>
      </c>
      <c r="J1237" s="231" t="s">
        <v>1311</v>
      </c>
      <c r="K1237" s="231" t="s">
        <v>1312</v>
      </c>
      <c r="L1237" s="232">
        <v>45170</v>
      </c>
      <c r="M1237" s="232">
        <v>45199</v>
      </c>
    </row>
    <row r="1238" spans="1:13" ht="18.75" customHeight="1" x14ac:dyDescent="0.2">
      <c r="A1238" s="231" t="s">
        <v>0</v>
      </c>
      <c r="B1238" s="230">
        <v>113363</v>
      </c>
      <c r="C1238" s="230">
        <v>10750</v>
      </c>
      <c r="D1238" s="231" t="s">
        <v>731</v>
      </c>
      <c r="E1238" s="230">
        <v>14491078</v>
      </c>
      <c r="F1238" s="230">
        <v>31161</v>
      </c>
      <c r="G1238" s="230">
        <v>25</v>
      </c>
      <c r="H1238" s="240">
        <v>26.3</v>
      </c>
      <c r="I1238" s="240">
        <f t="shared" si="19"/>
        <v>657.5</v>
      </c>
      <c r="J1238" s="231" t="s">
        <v>1311</v>
      </c>
      <c r="K1238" s="231" t="s">
        <v>1312</v>
      </c>
      <c r="L1238" s="232">
        <v>45170</v>
      </c>
      <c r="M1238" s="232">
        <v>45199</v>
      </c>
    </row>
    <row r="1239" spans="1:13" ht="18.75" customHeight="1" x14ac:dyDescent="0.2">
      <c r="A1239" s="231" t="s">
        <v>0</v>
      </c>
      <c r="B1239" s="230">
        <v>113366</v>
      </c>
      <c r="C1239" s="230">
        <v>10750</v>
      </c>
      <c r="D1239" s="231" t="s">
        <v>733</v>
      </c>
      <c r="E1239" s="230">
        <v>14491078</v>
      </c>
      <c r="F1239" s="230">
        <v>31167</v>
      </c>
      <c r="G1239" s="230">
        <v>25</v>
      </c>
      <c r="H1239" s="240">
        <v>26.3</v>
      </c>
      <c r="I1239" s="240">
        <f t="shared" si="19"/>
        <v>657.5</v>
      </c>
      <c r="J1239" s="231" t="s">
        <v>1311</v>
      </c>
      <c r="K1239" s="231" t="s">
        <v>1312</v>
      </c>
      <c r="L1239" s="232">
        <v>45170</v>
      </c>
      <c r="M1239" s="232">
        <v>45199</v>
      </c>
    </row>
    <row r="1240" spans="1:13" ht="18.75" customHeight="1" x14ac:dyDescent="0.2">
      <c r="A1240" s="231" t="s">
        <v>0</v>
      </c>
      <c r="B1240" s="230">
        <v>113370</v>
      </c>
      <c r="C1240" s="230">
        <v>10750</v>
      </c>
      <c r="D1240" s="231" t="s">
        <v>737</v>
      </c>
      <c r="E1240" s="230">
        <v>14491078</v>
      </c>
      <c r="F1240" s="230">
        <v>31175</v>
      </c>
      <c r="G1240" s="230">
        <v>25</v>
      </c>
      <c r="H1240" s="240">
        <v>26.3</v>
      </c>
      <c r="I1240" s="240">
        <f t="shared" si="19"/>
        <v>657.5</v>
      </c>
      <c r="J1240" s="231" t="s">
        <v>1311</v>
      </c>
      <c r="K1240" s="231" t="s">
        <v>1312</v>
      </c>
      <c r="L1240" s="232">
        <v>45170</v>
      </c>
      <c r="M1240" s="232">
        <v>45199</v>
      </c>
    </row>
    <row r="1241" spans="1:13" ht="18.75" customHeight="1" x14ac:dyDescent="0.2">
      <c r="A1241" s="231" t="s">
        <v>0</v>
      </c>
      <c r="B1241" s="230">
        <v>113373</v>
      </c>
      <c r="C1241" s="230">
        <v>10754</v>
      </c>
      <c r="D1241" s="231" t="s">
        <v>53</v>
      </c>
      <c r="E1241" s="230">
        <v>14491078</v>
      </c>
      <c r="F1241" s="230">
        <v>31181</v>
      </c>
      <c r="G1241" s="230">
        <v>25</v>
      </c>
      <c r="H1241" s="240">
        <v>26.3</v>
      </c>
      <c r="I1241" s="240">
        <f t="shared" si="19"/>
        <v>657.5</v>
      </c>
      <c r="J1241" s="231" t="s">
        <v>1311</v>
      </c>
      <c r="K1241" s="231" t="s">
        <v>1312</v>
      </c>
      <c r="L1241" s="232">
        <v>45170</v>
      </c>
      <c r="M1241" s="232">
        <v>45199</v>
      </c>
    </row>
    <row r="1242" spans="1:13" ht="18.75" customHeight="1" x14ac:dyDescent="0.2">
      <c r="A1242" s="231" t="s">
        <v>0</v>
      </c>
      <c r="B1242" s="230">
        <v>113375</v>
      </c>
      <c r="C1242" s="230">
        <v>10750</v>
      </c>
      <c r="D1242" s="231" t="s">
        <v>739</v>
      </c>
      <c r="E1242" s="230">
        <v>14491078</v>
      </c>
      <c r="F1242" s="230">
        <v>31185</v>
      </c>
      <c r="G1242" s="230">
        <v>25</v>
      </c>
      <c r="H1242" s="240">
        <v>26.3</v>
      </c>
      <c r="I1242" s="240">
        <f t="shared" si="19"/>
        <v>657.5</v>
      </c>
      <c r="J1242" s="231" t="s">
        <v>1311</v>
      </c>
      <c r="K1242" s="231" t="s">
        <v>1312</v>
      </c>
      <c r="L1242" s="232">
        <v>45170</v>
      </c>
      <c r="M1242" s="232">
        <v>45199</v>
      </c>
    </row>
    <row r="1243" spans="1:13" ht="18.75" customHeight="1" x14ac:dyDescent="0.2">
      <c r="A1243" s="231" t="s">
        <v>0</v>
      </c>
      <c r="B1243" s="230">
        <v>113377</v>
      </c>
      <c r="C1243" s="230">
        <v>10754</v>
      </c>
      <c r="D1243" s="231" t="s">
        <v>741</v>
      </c>
      <c r="E1243" s="230">
        <v>14491078</v>
      </c>
      <c r="F1243" s="230">
        <v>31189</v>
      </c>
      <c r="G1243" s="230">
        <v>25</v>
      </c>
      <c r="H1243" s="240">
        <v>26.3</v>
      </c>
      <c r="I1243" s="240">
        <f t="shared" si="19"/>
        <v>657.5</v>
      </c>
      <c r="J1243" s="231" t="s">
        <v>1311</v>
      </c>
      <c r="K1243" s="231" t="s">
        <v>1312</v>
      </c>
      <c r="L1243" s="232">
        <v>45170</v>
      </c>
      <c r="M1243" s="232">
        <v>45199</v>
      </c>
    </row>
    <row r="1244" spans="1:13" ht="18.75" customHeight="1" x14ac:dyDescent="0.2">
      <c r="A1244" s="231" t="s">
        <v>0</v>
      </c>
      <c r="B1244" s="230">
        <v>113381</v>
      </c>
      <c r="C1244" s="230">
        <v>10750</v>
      </c>
      <c r="D1244" s="231" t="s">
        <v>743</v>
      </c>
      <c r="E1244" s="230">
        <v>14491078</v>
      </c>
      <c r="F1244" s="230">
        <v>31197</v>
      </c>
      <c r="G1244" s="230">
        <v>25</v>
      </c>
      <c r="H1244" s="240">
        <v>26.3</v>
      </c>
      <c r="I1244" s="240">
        <f t="shared" si="19"/>
        <v>657.5</v>
      </c>
      <c r="J1244" s="231" t="s">
        <v>1311</v>
      </c>
      <c r="K1244" s="231" t="s">
        <v>1312</v>
      </c>
      <c r="L1244" s="232">
        <v>45170</v>
      </c>
      <c r="M1244" s="232">
        <v>45199</v>
      </c>
    </row>
    <row r="1245" spans="1:13" ht="18.75" customHeight="1" x14ac:dyDescent="0.2">
      <c r="A1245" s="231" t="s">
        <v>0</v>
      </c>
      <c r="B1245" s="230">
        <v>113384</v>
      </c>
      <c r="C1245" s="230">
        <v>10754</v>
      </c>
      <c r="D1245" s="231" t="s">
        <v>744</v>
      </c>
      <c r="E1245" s="230">
        <v>14491078</v>
      </c>
      <c r="F1245" s="230">
        <v>31203</v>
      </c>
      <c r="G1245" s="230">
        <v>25</v>
      </c>
      <c r="H1245" s="240">
        <v>26.3</v>
      </c>
      <c r="I1245" s="240">
        <f t="shared" si="19"/>
        <v>657.5</v>
      </c>
      <c r="J1245" s="231" t="s">
        <v>1311</v>
      </c>
      <c r="K1245" s="231" t="s">
        <v>1312</v>
      </c>
      <c r="L1245" s="232">
        <v>45170</v>
      </c>
      <c r="M1245" s="232">
        <v>45199</v>
      </c>
    </row>
    <row r="1246" spans="1:13" ht="18.75" customHeight="1" x14ac:dyDescent="0.2">
      <c r="A1246" s="231" t="s">
        <v>0</v>
      </c>
      <c r="B1246" s="230">
        <v>113385</v>
      </c>
      <c r="C1246" s="230">
        <v>10750</v>
      </c>
      <c r="D1246" s="231" t="s">
        <v>745</v>
      </c>
      <c r="E1246" s="230">
        <v>14491078</v>
      </c>
      <c r="F1246" s="230">
        <v>31205</v>
      </c>
      <c r="G1246" s="230">
        <v>25</v>
      </c>
      <c r="H1246" s="240">
        <v>26.3</v>
      </c>
      <c r="I1246" s="240">
        <f t="shared" si="19"/>
        <v>657.5</v>
      </c>
      <c r="J1246" s="231" t="s">
        <v>1311</v>
      </c>
      <c r="K1246" s="231" t="s">
        <v>1312</v>
      </c>
      <c r="L1246" s="232">
        <v>45170</v>
      </c>
      <c r="M1246" s="232">
        <v>45199</v>
      </c>
    </row>
    <row r="1247" spans="1:13" ht="18.75" customHeight="1" x14ac:dyDescent="0.2">
      <c r="A1247" s="231" t="s">
        <v>0</v>
      </c>
      <c r="B1247" s="230">
        <v>113387</v>
      </c>
      <c r="C1247" s="230">
        <v>10750</v>
      </c>
      <c r="D1247" s="231" t="s">
        <v>1357</v>
      </c>
      <c r="E1247" s="230">
        <v>14491078</v>
      </c>
      <c r="F1247" s="230">
        <v>31209</v>
      </c>
      <c r="G1247" s="230">
        <v>25</v>
      </c>
      <c r="H1247" s="240">
        <v>26.3</v>
      </c>
      <c r="I1247" s="240">
        <f t="shared" si="19"/>
        <v>657.5</v>
      </c>
      <c r="J1247" s="231" t="s">
        <v>1311</v>
      </c>
      <c r="K1247" s="231" t="s">
        <v>1312</v>
      </c>
      <c r="L1247" s="232">
        <v>45170</v>
      </c>
      <c r="M1247" s="232">
        <v>45199</v>
      </c>
    </row>
    <row r="1248" spans="1:13" ht="18.75" customHeight="1" x14ac:dyDescent="0.2">
      <c r="A1248" s="231" t="s">
        <v>0</v>
      </c>
      <c r="B1248" s="230">
        <v>113388</v>
      </c>
      <c r="C1248" s="230">
        <v>10750</v>
      </c>
      <c r="D1248" s="231" t="s">
        <v>747</v>
      </c>
      <c r="E1248" s="230">
        <v>14491078</v>
      </c>
      <c r="F1248" s="230">
        <v>31211</v>
      </c>
      <c r="G1248" s="230">
        <v>25</v>
      </c>
      <c r="H1248" s="240">
        <v>26.3</v>
      </c>
      <c r="I1248" s="240">
        <f t="shared" si="19"/>
        <v>657.5</v>
      </c>
      <c r="J1248" s="231" t="s">
        <v>1311</v>
      </c>
      <c r="K1248" s="231" t="s">
        <v>1312</v>
      </c>
      <c r="L1248" s="232">
        <v>45170</v>
      </c>
      <c r="M1248" s="232">
        <v>45199</v>
      </c>
    </row>
    <row r="1249" spans="1:13" ht="18.75" customHeight="1" x14ac:dyDescent="0.2">
      <c r="A1249" s="231" t="s">
        <v>0</v>
      </c>
      <c r="B1249" s="230">
        <v>113395</v>
      </c>
      <c r="C1249" s="230">
        <v>10754</v>
      </c>
      <c r="D1249" s="231" t="s">
        <v>754</v>
      </c>
      <c r="E1249" s="230">
        <v>14491078</v>
      </c>
      <c r="F1249" s="230">
        <v>31225</v>
      </c>
      <c r="G1249" s="230">
        <v>25</v>
      </c>
      <c r="H1249" s="240">
        <v>26.3</v>
      </c>
      <c r="I1249" s="240">
        <f t="shared" si="19"/>
        <v>657.5</v>
      </c>
      <c r="J1249" s="231" t="s">
        <v>1311</v>
      </c>
      <c r="K1249" s="231" t="s">
        <v>1312</v>
      </c>
      <c r="L1249" s="232">
        <v>45170</v>
      </c>
      <c r="M1249" s="232">
        <v>45199</v>
      </c>
    </row>
    <row r="1250" spans="1:13" ht="18.75" customHeight="1" x14ac:dyDescent="0.2">
      <c r="A1250" s="231" t="s">
        <v>0</v>
      </c>
      <c r="B1250" s="230">
        <v>113406</v>
      </c>
      <c r="C1250" s="230">
        <v>10750</v>
      </c>
      <c r="D1250" s="231" t="s">
        <v>760</v>
      </c>
      <c r="E1250" s="230">
        <v>14491078</v>
      </c>
      <c r="F1250" s="230">
        <v>31247</v>
      </c>
      <c r="G1250" s="230">
        <v>25</v>
      </c>
      <c r="H1250" s="240">
        <v>26.3</v>
      </c>
      <c r="I1250" s="240">
        <f t="shared" si="19"/>
        <v>657.5</v>
      </c>
      <c r="J1250" s="231" t="s">
        <v>1311</v>
      </c>
      <c r="K1250" s="231" t="s">
        <v>1312</v>
      </c>
      <c r="L1250" s="232">
        <v>45170</v>
      </c>
      <c r="M1250" s="232">
        <v>45199</v>
      </c>
    </row>
    <row r="1251" spans="1:13" ht="18.75" customHeight="1" x14ac:dyDescent="0.2">
      <c r="A1251" s="231" t="s">
        <v>0</v>
      </c>
      <c r="B1251" s="230">
        <v>113410</v>
      </c>
      <c r="C1251" s="230">
        <v>10750</v>
      </c>
      <c r="D1251" s="231" t="s">
        <v>762</v>
      </c>
      <c r="E1251" s="230">
        <v>14491078</v>
      </c>
      <c r="F1251" s="230">
        <v>31255</v>
      </c>
      <c r="G1251" s="230">
        <v>25</v>
      </c>
      <c r="H1251" s="240">
        <v>26.3</v>
      </c>
      <c r="I1251" s="240">
        <f t="shared" si="19"/>
        <v>657.5</v>
      </c>
      <c r="J1251" s="231" t="s">
        <v>1311</v>
      </c>
      <c r="K1251" s="231" t="s">
        <v>1312</v>
      </c>
      <c r="L1251" s="232">
        <v>45170</v>
      </c>
      <c r="M1251" s="232">
        <v>45199</v>
      </c>
    </row>
    <row r="1252" spans="1:13" ht="18.75" customHeight="1" x14ac:dyDescent="0.2">
      <c r="A1252" s="231" t="s">
        <v>0</v>
      </c>
      <c r="B1252" s="230">
        <v>113412</v>
      </c>
      <c r="C1252" s="230">
        <v>10750</v>
      </c>
      <c r="D1252" s="231" t="s">
        <v>763</v>
      </c>
      <c r="E1252" s="230">
        <v>14491078</v>
      </c>
      <c r="F1252" s="230">
        <v>31259</v>
      </c>
      <c r="G1252" s="230">
        <v>25</v>
      </c>
      <c r="H1252" s="240">
        <v>26.3</v>
      </c>
      <c r="I1252" s="240">
        <f t="shared" si="19"/>
        <v>657.5</v>
      </c>
      <c r="J1252" s="231" t="s">
        <v>1311</v>
      </c>
      <c r="K1252" s="231" t="s">
        <v>1312</v>
      </c>
      <c r="L1252" s="232">
        <v>45170</v>
      </c>
      <c r="M1252" s="232">
        <v>45199</v>
      </c>
    </row>
    <row r="1253" spans="1:13" ht="18.75" customHeight="1" x14ac:dyDescent="0.2">
      <c r="A1253" s="231" t="s">
        <v>0</v>
      </c>
      <c r="B1253" s="230">
        <v>113413</v>
      </c>
      <c r="C1253" s="230">
        <v>10750</v>
      </c>
      <c r="D1253" s="231" t="s">
        <v>764</v>
      </c>
      <c r="E1253" s="230">
        <v>14491078</v>
      </c>
      <c r="F1253" s="230">
        <v>31261</v>
      </c>
      <c r="G1253" s="230">
        <v>25</v>
      </c>
      <c r="H1253" s="240">
        <v>26.3</v>
      </c>
      <c r="I1253" s="240">
        <f t="shared" si="19"/>
        <v>657.5</v>
      </c>
      <c r="J1253" s="231" t="s">
        <v>1311</v>
      </c>
      <c r="K1253" s="231" t="s">
        <v>1312</v>
      </c>
      <c r="L1253" s="232">
        <v>45170</v>
      </c>
      <c r="M1253" s="232">
        <v>45199</v>
      </c>
    </row>
    <row r="1254" spans="1:13" ht="18.75" customHeight="1" x14ac:dyDescent="0.2">
      <c r="A1254" s="231" t="s">
        <v>0</v>
      </c>
      <c r="B1254" s="230">
        <v>113414</v>
      </c>
      <c r="C1254" s="230">
        <v>10754</v>
      </c>
      <c r="D1254" s="231" t="s">
        <v>765</v>
      </c>
      <c r="E1254" s="230">
        <v>14491078</v>
      </c>
      <c r="F1254" s="230">
        <v>31263</v>
      </c>
      <c r="G1254" s="230">
        <v>25</v>
      </c>
      <c r="H1254" s="240">
        <v>26.3</v>
      </c>
      <c r="I1254" s="240">
        <f t="shared" si="19"/>
        <v>657.5</v>
      </c>
      <c r="J1254" s="231" t="s">
        <v>1311</v>
      </c>
      <c r="K1254" s="231" t="s">
        <v>1312</v>
      </c>
      <c r="L1254" s="232">
        <v>45170</v>
      </c>
      <c r="M1254" s="232">
        <v>45199</v>
      </c>
    </row>
    <row r="1255" spans="1:13" ht="18.75" customHeight="1" x14ac:dyDescent="0.2">
      <c r="A1255" s="231" t="s">
        <v>0</v>
      </c>
      <c r="B1255" s="230">
        <v>113415</v>
      </c>
      <c r="C1255" s="230">
        <v>10750</v>
      </c>
      <c r="D1255" s="231" t="s">
        <v>766</v>
      </c>
      <c r="E1255" s="230">
        <v>14491078</v>
      </c>
      <c r="F1255" s="230">
        <v>31265</v>
      </c>
      <c r="G1255" s="230">
        <v>25</v>
      </c>
      <c r="H1255" s="240">
        <v>26.3</v>
      </c>
      <c r="I1255" s="240">
        <f t="shared" si="19"/>
        <v>657.5</v>
      </c>
      <c r="J1255" s="231" t="s">
        <v>1311</v>
      </c>
      <c r="K1255" s="231" t="s">
        <v>1312</v>
      </c>
      <c r="L1255" s="232">
        <v>45170</v>
      </c>
      <c r="M1255" s="232">
        <v>45199</v>
      </c>
    </row>
    <row r="1256" spans="1:13" ht="18.75" customHeight="1" x14ac:dyDescent="0.2">
      <c r="A1256" s="231" t="s">
        <v>0</v>
      </c>
      <c r="B1256" s="230">
        <v>113416</v>
      </c>
      <c r="C1256" s="230">
        <v>10750</v>
      </c>
      <c r="D1256" s="231" t="s">
        <v>767</v>
      </c>
      <c r="E1256" s="230">
        <v>14491078</v>
      </c>
      <c r="F1256" s="230">
        <v>31267</v>
      </c>
      <c r="G1256" s="230">
        <v>25</v>
      </c>
      <c r="H1256" s="240">
        <v>26.3</v>
      </c>
      <c r="I1256" s="240">
        <f t="shared" si="19"/>
        <v>657.5</v>
      </c>
      <c r="J1256" s="231" t="s">
        <v>1311</v>
      </c>
      <c r="K1256" s="231" t="s">
        <v>1312</v>
      </c>
      <c r="L1256" s="232">
        <v>45170</v>
      </c>
      <c r="M1256" s="232">
        <v>45199</v>
      </c>
    </row>
    <row r="1257" spans="1:13" ht="18.75" customHeight="1" x14ac:dyDescent="0.2">
      <c r="A1257" s="231" t="s">
        <v>0</v>
      </c>
      <c r="B1257" s="230">
        <v>113417</v>
      </c>
      <c r="C1257" s="230">
        <v>10750</v>
      </c>
      <c r="D1257" s="231" t="s">
        <v>768</v>
      </c>
      <c r="E1257" s="230">
        <v>14491078</v>
      </c>
      <c r="F1257" s="230">
        <v>31269</v>
      </c>
      <c r="G1257" s="230">
        <v>25</v>
      </c>
      <c r="H1257" s="240">
        <v>26.3</v>
      </c>
      <c r="I1257" s="240">
        <f t="shared" si="19"/>
        <v>657.5</v>
      </c>
      <c r="J1257" s="231" t="s">
        <v>1311</v>
      </c>
      <c r="K1257" s="231" t="s">
        <v>1312</v>
      </c>
      <c r="L1257" s="232">
        <v>45170</v>
      </c>
      <c r="M1257" s="232">
        <v>45199</v>
      </c>
    </row>
    <row r="1258" spans="1:13" ht="18.75" customHeight="1" x14ac:dyDescent="0.2">
      <c r="A1258" s="231" t="s">
        <v>0</v>
      </c>
      <c r="B1258" s="230">
        <v>113420</v>
      </c>
      <c r="C1258" s="230">
        <v>10750</v>
      </c>
      <c r="D1258" s="231" t="s">
        <v>53</v>
      </c>
      <c r="E1258" s="230">
        <v>14491078</v>
      </c>
      <c r="F1258" s="230">
        <v>31275</v>
      </c>
      <c r="G1258" s="230">
        <v>25</v>
      </c>
      <c r="H1258" s="240">
        <v>26.3</v>
      </c>
      <c r="I1258" s="240">
        <f t="shared" si="19"/>
        <v>657.5</v>
      </c>
      <c r="J1258" s="231" t="s">
        <v>1311</v>
      </c>
      <c r="K1258" s="231" t="s">
        <v>1312</v>
      </c>
      <c r="L1258" s="232">
        <v>45170</v>
      </c>
      <c r="M1258" s="232">
        <v>45199</v>
      </c>
    </row>
    <row r="1259" spans="1:13" ht="18.75" customHeight="1" x14ac:dyDescent="0.2">
      <c r="A1259" s="231" t="s">
        <v>0</v>
      </c>
      <c r="B1259" s="230">
        <v>113422</v>
      </c>
      <c r="C1259" s="230">
        <v>10750</v>
      </c>
      <c r="D1259" s="231" t="s">
        <v>773</v>
      </c>
      <c r="E1259" s="230">
        <v>14491078</v>
      </c>
      <c r="F1259" s="230">
        <v>31279</v>
      </c>
      <c r="G1259" s="230">
        <v>25</v>
      </c>
      <c r="H1259" s="240">
        <v>26.3</v>
      </c>
      <c r="I1259" s="240">
        <f t="shared" si="19"/>
        <v>657.5</v>
      </c>
      <c r="J1259" s="231" t="s">
        <v>1311</v>
      </c>
      <c r="K1259" s="231" t="s">
        <v>1312</v>
      </c>
      <c r="L1259" s="232">
        <v>45170</v>
      </c>
      <c r="M1259" s="232">
        <v>45199</v>
      </c>
    </row>
    <row r="1260" spans="1:13" ht="18.75" customHeight="1" x14ac:dyDescent="0.2">
      <c r="A1260" s="231" t="s">
        <v>0</v>
      </c>
      <c r="B1260" s="230">
        <v>113426</v>
      </c>
      <c r="C1260" s="230">
        <v>10750</v>
      </c>
      <c r="D1260" s="231" t="s">
        <v>774</v>
      </c>
      <c r="E1260" s="230">
        <v>14491078</v>
      </c>
      <c r="F1260" s="230">
        <v>31287</v>
      </c>
      <c r="G1260" s="230">
        <v>25</v>
      </c>
      <c r="H1260" s="240">
        <v>26.3</v>
      </c>
      <c r="I1260" s="240">
        <f t="shared" si="19"/>
        <v>657.5</v>
      </c>
      <c r="J1260" s="231" t="s">
        <v>1311</v>
      </c>
      <c r="K1260" s="231" t="s">
        <v>1312</v>
      </c>
      <c r="L1260" s="232">
        <v>45170</v>
      </c>
      <c r="M1260" s="232">
        <v>45199</v>
      </c>
    </row>
    <row r="1261" spans="1:13" ht="18.75" customHeight="1" x14ac:dyDescent="0.2">
      <c r="A1261" s="231" t="s">
        <v>0</v>
      </c>
      <c r="B1261" s="230">
        <v>113429</v>
      </c>
      <c r="C1261" s="230">
        <v>10750</v>
      </c>
      <c r="D1261" s="231" t="s">
        <v>775</v>
      </c>
      <c r="E1261" s="230">
        <v>14491078</v>
      </c>
      <c r="F1261" s="230">
        <v>31293</v>
      </c>
      <c r="G1261" s="230">
        <v>25</v>
      </c>
      <c r="H1261" s="240">
        <v>26.3</v>
      </c>
      <c r="I1261" s="240">
        <f t="shared" si="19"/>
        <v>657.5</v>
      </c>
      <c r="J1261" s="231" t="s">
        <v>1311</v>
      </c>
      <c r="K1261" s="231" t="s">
        <v>1312</v>
      </c>
      <c r="L1261" s="232">
        <v>45170</v>
      </c>
      <c r="M1261" s="232">
        <v>45199</v>
      </c>
    </row>
    <row r="1262" spans="1:13" ht="18.75" customHeight="1" x14ac:dyDescent="0.2">
      <c r="A1262" s="231" t="s">
        <v>0</v>
      </c>
      <c r="B1262" s="230">
        <v>113431</v>
      </c>
      <c r="C1262" s="230">
        <v>10750</v>
      </c>
      <c r="D1262" s="231" t="s">
        <v>776</v>
      </c>
      <c r="E1262" s="230">
        <v>14491078</v>
      </c>
      <c r="F1262" s="230">
        <v>31297</v>
      </c>
      <c r="G1262" s="230">
        <v>25</v>
      </c>
      <c r="H1262" s="240">
        <v>26.3</v>
      </c>
      <c r="I1262" s="240">
        <f t="shared" si="19"/>
        <v>657.5</v>
      </c>
      <c r="J1262" s="231" t="s">
        <v>1311</v>
      </c>
      <c r="K1262" s="231" t="s">
        <v>1312</v>
      </c>
      <c r="L1262" s="232">
        <v>45170</v>
      </c>
      <c r="M1262" s="232">
        <v>45199</v>
      </c>
    </row>
    <row r="1263" spans="1:13" ht="18.75" customHeight="1" x14ac:dyDescent="0.2">
      <c r="A1263" s="231" t="s">
        <v>0</v>
      </c>
      <c r="B1263" s="230">
        <v>113432</v>
      </c>
      <c r="C1263" s="230">
        <v>10754</v>
      </c>
      <c r="D1263" s="231" t="s">
        <v>777</v>
      </c>
      <c r="E1263" s="230">
        <v>14491078</v>
      </c>
      <c r="F1263" s="230">
        <v>31299</v>
      </c>
      <c r="G1263" s="230">
        <v>25</v>
      </c>
      <c r="H1263" s="240">
        <v>26.3</v>
      </c>
      <c r="I1263" s="240">
        <f t="shared" si="19"/>
        <v>657.5</v>
      </c>
      <c r="J1263" s="231" t="s">
        <v>1311</v>
      </c>
      <c r="K1263" s="231" t="s">
        <v>1312</v>
      </c>
      <c r="L1263" s="232">
        <v>45170</v>
      </c>
      <c r="M1263" s="232">
        <v>45199</v>
      </c>
    </row>
    <row r="1264" spans="1:13" ht="18.75" customHeight="1" x14ac:dyDescent="0.2">
      <c r="A1264" s="231" t="s">
        <v>0</v>
      </c>
      <c r="B1264" s="230">
        <v>113435</v>
      </c>
      <c r="C1264" s="230">
        <v>10750</v>
      </c>
      <c r="D1264" s="231" t="s">
        <v>779</v>
      </c>
      <c r="E1264" s="230">
        <v>14491078</v>
      </c>
      <c r="F1264" s="230">
        <v>31305</v>
      </c>
      <c r="G1264" s="230">
        <v>25</v>
      </c>
      <c r="H1264" s="240">
        <v>26.3</v>
      </c>
      <c r="I1264" s="240">
        <f t="shared" si="19"/>
        <v>657.5</v>
      </c>
      <c r="J1264" s="231" t="s">
        <v>1311</v>
      </c>
      <c r="K1264" s="231" t="s">
        <v>1312</v>
      </c>
      <c r="L1264" s="232">
        <v>45170</v>
      </c>
      <c r="M1264" s="232">
        <v>45199</v>
      </c>
    </row>
    <row r="1265" spans="1:13" ht="18.75" customHeight="1" x14ac:dyDescent="0.2">
      <c r="A1265" s="231" t="s">
        <v>0</v>
      </c>
      <c r="B1265" s="230">
        <v>113437</v>
      </c>
      <c r="C1265" s="230">
        <v>10754</v>
      </c>
      <c r="D1265" s="231" t="s">
        <v>781</v>
      </c>
      <c r="E1265" s="230">
        <v>14491078</v>
      </c>
      <c r="F1265" s="230">
        <v>31309</v>
      </c>
      <c r="G1265" s="230">
        <v>25</v>
      </c>
      <c r="H1265" s="240">
        <v>26.3</v>
      </c>
      <c r="I1265" s="240">
        <f t="shared" si="19"/>
        <v>657.5</v>
      </c>
      <c r="J1265" s="231" t="s">
        <v>1311</v>
      </c>
      <c r="K1265" s="231" t="s">
        <v>1312</v>
      </c>
      <c r="L1265" s="232">
        <v>45170</v>
      </c>
      <c r="M1265" s="232">
        <v>45199</v>
      </c>
    </row>
    <row r="1266" spans="1:13" ht="18.75" customHeight="1" x14ac:dyDescent="0.2">
      <c r="A1266" s="231" t="s">
        <v>0</v>
      </c>
      <c r="B1266" s="230">
        <v>113442</v>
      </c>
      <c r="C1266" s="230">
        <v>10750</v>
      </c>
      <c r="D1266" s="231" t="s">
        <v>784</v>
      </c>
      <c r="E1266" s="230">
        <v>14491078</v>
      </c>
      <c r="F1266" s="230">
        <v>31319</v>
      </c>
      <c r="G1266" s="230">
        <v>25</v>
      </c>
      <c r="H1266" s="240">
        <v>26.3</v>
      </c>
      <c r="I1266" s="240">
        <f t="shared" si="19"/>
        <v>657.5</v>
      </c>
      <c r="J1266" s="231" t="s">
        <v>1311</v>
      </c>
      <c r="K1266" s="231" t="s">
        <v>1312</v>
      </c>
      <c r="L1266" s="232">
        <v>45170</v>
      </c>
      <c r="M1266" s="232">
        <v>45199</v>
      </c>
    </row>
    <row r="1267" spans="1:13" ht="18.75" customHeight="1" x14ac:dyDescent="0.2">
      <c r="A1267" s="231" t="s">
        <v>0</v>
      </c>
      <c r="B1267" s="230">
        <v>113448</v>
      </c>
      <c r="C1267" s="230">
        <v>10754</v>
      </c>
      <c r="D1267" s="231" t="s">
        <v>787</v>
      </c>
      <c r="E1267" s="230">
        <v>14491078</v>
      </c>
      <c r="F1267" s="230">
        <v>31331</v>
      </c>
      <c r="G1267" s="230">
        <v>25</v>
      </c>
      <c r="H1267" s="240">
        <v>26.3</v>
      </c>
      <c r="I1267" s="240">
        <f t="shared" si="19"/>
        <v>657.5</v>
      </c>
      <c r="J1267" s="231" t="s">
        <v>1311</v>
      </c>
      <c r="K1267" s="231" t="s">
        <v>1312</v>
      </c>
      <c r="L1267" s="232">
        <v>45170</v>
      </c>
      <c r="M1267" s="232">
        <v>45199</v>
      </c>
    </row>
    <row r="1268" spans="1:13" ht="18.75" customHeight="1" x14ac:dyDescent="0.2">
      <c r="A1268" s="231" t="s">
        <v>0</v>
      </c>
      <c r="B1268" s="230">
        <v>113449</v>
      </c>
      <c r="C1268" s="230">
        <v>10757</v>
      </c>
      <c r="D1268" s="231" t="s">
        <v>788</v>
      </c>
      <c r="E1268" s="230">
        <v>14491078</v>
      </c>
      <c r="F1268" s="230">
        <v>31333</v>
      </c>
      <c r="G1268" s="230">
        <v>25</v>
      </c>
      <c r="H1268" s="240">
        <v>26.3</v>
      </c>
      <c r="I1268" s="240">
        <f t="shared" si="19"/>
        <v>657.5</v>
      </c>
      <c r="J1268" s="231" t="s">
        <v>1311</v>
      </c>
      <c r="K1268" s="231" t="s">
        <v>1312</v>
      </c>
      <c r="L1268" s="232">
        <v>45170</v>
      </c>
      <c r="M1268" s="232">
        <v>45199</v>
      </c>
    </row>
    <row r="1269" spans="1:13" ht="18.75" customHeight="1" x14ac:dyDescent="0.2">
      <c r="A1269" s="231" t="s">
        <v>0</v>
      </c>
      <c r="B1269" s="230">
        <v>113458</v>
      </c>
      <c r="C1269" s="230">
        <v>10750</v>
      </c>
      <c r="D1269" s="231" t="s">
        <v>791</v>
      </c>
      <c r="E1269" s="230">
        <v>14491078</v>
      </c>
      <c r="F1269" s="230">
        <v>31351</v>
      </c>
      <c r="G1269" s="230">
        <v>25</v>
      </c>
      <c r="H1269" s="240">
        <v>26.3</v>
      </c>
      <c r="I1269" s="240">
        <f t="shared" si="19"/>
        <v>657.5</v>
      </c>
      <c r="J1269" s="231" t="s">
        <v>1311</v>
      </c>
      <c r="K1269" s="231" t="s">
        <v>1312</v>
      </c>
      <c r="L1269" s="232">
        <v>45170</v>
      </c>
      <c r="M1269" s="232">
        <v>45199</v>
      </c>
    </row>
    <row r="1270" spans="1:13" ht="18.75" customHeight="1" x14ac:dyDescent="0.2">
      <c r="A1270" s="231" t="s">
        <v>0</v>
      </c>
      <c r="B1270" s="230">
        <v>113461</v>
      </c>
      <c r="C1270" s="230">
        <v>10754</v>
      </c>
      <c r="D1270" s="231" t="s">
        <v>794</v>
      </c>
      <c r="E1270" s="230">
        <v>14491078</v>
      </c>
      <c r="F1270" s="230">
        <v>31357</v>
      </c>
      <c r="G1270" s="230">
        <v>25</v>
      </c>
      <c r="H1270" s="240">
        <v>26.3</v>
      </c>
      <c r="I1270" s="240">
        <f t="shared" si="19"/>
        <v>657.5</v>
      </c>
      <c r="J1270" s="231" t="s">
        <v>1311</v>
      </c>
      <c r="K1270" s="231" t="s">
        <v>1312</v>
      </c>
      <c r="L1270" s="232">
        <v>45170</v>
      </c>
      <c r="M1270" s="232">
        <v>45199</v>
      </c>
    </row>
    <row r="1271" spans="1:13" ht="18.75" customHeight="1" x14ac:dyDescent="0.2">
      <c r="A1271" s="231" t="s">
        <v>0</v>
      </c>
      <c r="B1271" s="230">
        <v>113467</v>
      </c>
      <c r="C1271" s="230">
        <v>10750</v>
      </c>
      <c r="D1271" s="231" t="s">
        <v>797</v>
      </c>
      <c r="E1271" s="230">
        <v>14491078</v>
      </c>
      <c r="F1271" s="230">
        <v>31369</v>
      </c>
      <c r="G1271" s="230">
        <v>25</v>
      </c>
      <c r="H1271" s="240">
        <v>26.3</v>
      </c>
      <c r="I1271" s="240">
        <f t="shared" si="19"/>
        <v>657.5</v>
      </c>
      <c r="J1271" s="231" t="s">
        <v>1311</v>
      </c>
      <c r="K1271" s="231" t="s">
        <v>1312</v>
      </c>
      <c r="L1271" s="232">
        <v>45170</v>
      </c>
      <c r="M1271" s="232">
        <v>45199</v>
      </c>
    </row>
    <row r="1272" spans="1:13" ht="18.75" customHeight="1" x14ac:dyDescent="0.2">
      <c r="A1272" s="231" t="s">
        <v>0</v>
      </c>
      <c r="B1272" s="230">
        <v>113469</v>
      </c>
      <c r="C1272" s="230">
        <v>10766</v>
      </c>
      <c r="D1272" s="231" t="s">
        <v>798</v>
      </c>
      <c r="E1272" s="230">
        <v>14491078</v>
      </c>
      <c r="F1272" s="230">
        <v>31373</v>
      </c>
      <c r="G1272" s="230">
        <v>25</v>
      </c>
      <c r="H1272" s="240">
        <v>26.3</v>
      </c>
      <c r="I1272" s="240">
        <f t="shared" si="19"/>
        <v>657.5</v>
      </c>
      <c r="J1272" s="231" t="s">
        <v>1311</v>
      </c>
      <c r="K1272" s="231" t="s">
        <v>1312</v>
      </c>
      <c r="L1272" s="232">
        <v>45170</v>
      </c>
      <c r="M1272" s="232">
        <v>45199</v>
      </c>
    </row>
    <row r="1273" spans="1:13" ht="18.75" customHeight="1" x14ac:dyDescent="0.2">
      <c r="A1273" s="231" t="s">
        <v>0</v>
      </c>
      <c r="B1273" s="230">
        <v>113470</v>
      </c>
      <c r="C1273" s="230">
        <v>10750</v>
      </c>
      <c r="D1273" s="231" t="s">
        <v>799</v>
      </c>
      <c r="E1273" s="230">
        <v>14491078</v>
      </c>
      <c r="F1273" s="230">
        <v>31375</v>
      </c>
      <c r="G1273" s="230">
        <v>25</v>
      </c>
      <c r="H1273" s="240">
        <v>26.3</v>
      </c>
      <c r="I1273" s="240">
        <f t="shared" si="19"/>
        <v>657.5</v>
      </c>
      <c r="J1273" s="231" t="s">
        <v>1311</v>
      </c>
      <c r="K1273" s="231" t="s">
        <v>1312</v>
      </c>
      <c r="L1273" s="232">
        <v>45170</v>
      </c>
      <c r="M1273" s="232">
        <v>45199</v>
      </c>
    </row>
    <row r="1274" spans="1:13" ht="18.75" customHeight="1" x14ac:dyDescent="0.2">
      <c r="A1274" s="231" t="s">
        <v>0</v>
      </c>
      <c r="B1274" s="230">
        <v>113499</v>
      </c>
      <c r="C1274" s="230">
        <v>10750</v>
      </c>
      <c r="D1274" s="231" t="s">
        <v>814</v>
      </c>
      <c r="E1274" s="230">
        <v>14491078</v>
      </c>
      <c r="F1274" s="230">
        <v>31433</v>
      </c>
      <c r="G1274" s="230">
        <v>25</v>
      </c>
      <c r="H1274" s="240">
        <v>26.3</v>
      </c>
      <c r="I1274" s="240">
        <f t="shared" si="19"/>
        <v>657.5</v>
      </c>
      <c r="J1274" s="231" t="s">
        <v>1311</v>
      </c>
      <c r="K1274" s="231" t="s">
        <v>1312</v>
      </c>
      <c r="L1274" s="232">
        <v>45170</v>
      </c>
      <c r="M1274" s="232">
        <v>45199</v>
      </c>
    </row>
    <row r="1275" spans="1:13" ht="18.75" customHeight="1" x14ac:dyDescent="0.2">
      <c r="A1275" s="231" t="s">
        <v>0</v>
      </c>
      <c r="B1275" s="230">
        <v>113505</v>
      </c>
      <c r="C1275" s="230">
        <v>10750</v>
      </c>
      <c r="D1275" s="231" t="s">
        <v>817</v>
      </c>
      <c r="E1275" s="230">
        <v>14491078</v>
      </c>
      <c r="F1275" s="230">
        <v>31445</v>
      </c>
      <c r="G1275" s="230">
        <v>25</v>
      </c>
      <c r="H1275" s="240">
        <v>26.3</v>
      </c>
      <c r="I1275" s="240">
        <f t="shared" si="19"/>
        <v>657.5</v>
      </c>
      <c r="J1275" s="231" t="s">
        <v>1311</v>
      </c>
      <c r="K1275" s="231" t="s">
        <v>1312</v>
      </c>
      <c r="L1275" s="232">
        <v>45170</v>
      </c>
      <c r="M1275" s="232">
        <v>45199</v>
      </c>
    </row>
    <row r="1276" spans="1:13" ht="18.75" customHeight="1" x14ac:dyDescent="0.2">
      <c r="A1276" s="231" t="s">
        <v>0</v>
      </c>
      <c r="B1276" s="230">
        <v>113519</v>
      </c>
      <c r="C1276" s="230">
        <v>10756</v>
      </c>
      <c r="D1276" s="231" t="s">
        <v>823</v>
      </c>
      <c r="E1276" s="230">
        <v>14491078</v>
      </c>
      <c r="F1276" s="230">
        <v>31473</v>
      </c>
      <c r="G1276" s="230">
        <v>25</v>
      </c>
      <c r="H1276" s="240">
        <v>26.3</v>
      </c>
      <c r="I1276" s="240">
        <f t="shared" si="19"/>
        <v>657.5</v>
      </c>
      <c r="J1276" s="231" t="s">
        <v>1311</v>
      </c>
      <c r="K1276" s="231" t="s">
        <v>1312</v>
      </c>
      <c r="L1276" s="232">
        <v>45170</v>
      </c>
      <c r="M1276" s="232">
        <v>45199</v>
      </c>
    </row>
    <row r="1277" spans="1:13" ht="18.75" customHeight="1" x14ac:dyDescent="0.2">
      <c r="A1277" s="231" t="s">
        <v>0</v>
      </c>
      <c r="B1277" s="230">
        <v>113521</v>
      </c>
      <c r="C1277" s="230">
        <v>10751</v>
      </c>
      <c r="D1277" s="231" t="s">
        <v>825</v>
      </c>
      <c r="E1277" s="230">
        <v>14491078</v>
      </c>
      <c r="F1277" s="230">
        <v>31477</v>
      </c>
      <c r="G1277" s="230">
        <v>25</v>
      </c>
      <c r="H1277" s="240">
        <v>26.3</v>
      </c>
      <c r="I1277" s="240">
        <f t="shared" si="19"/>
        <v>657.5</v>
      </c>
      <c r="J1277" s="231" t="s">
        <v>1311</v>
      </c>
      <c r="K1277" s="231" t="s">
        <v>1312</v>
      </c>
      <c r="L1277" s="232">
        <v>45170</v>
      </c>
      <c r="M1277" s="232">
        <v>45199</v>
      </c>
    </row>
    <row r="1278" spans="1:13" ht="18.75" customHeight="1" x14ac:dyDescent="0.2">
      <c r="A1278" s="231" t="s">
        <v>0</v>
      </c>
      <c r="B1278" s="230">
        <v>113530</v>
      </c>
      <c r="C1278" s="230">
        <v>10750</v>
      </c>
      <c r="D1278" s="231" t="s">
        <v>829</v>
      </c>
      <c r="E1278" s="230">
        <v>14491078</v>
      </c>
      <c r="F1278" s="230">
        <v>31495</v>
      </c>
      <c r="G1278" s="230">
        <v>25</v>
      </c>
      <c r="H1278" s="240">
        <v>26.3</v>
      </c>
      <c r="I1278" s="240">
        <f t="shared" si="19"/>
        <v>657.5</v>
      </c>
      <c r="J1278" s="231" t="s">
        <v>1311</v>
      </c>
      <c r="K1278" s="231" t="s">
        <v>1312</v>
      </c>
      <c r="L1278" s="232">
        <v>45170</v>
      </c>
      <c r="M1278" s="232">
        <v>45199</v>
      </c>
    </row>
    <row r="1279" spans="1:13" ht="18.75" customHeight="1" x14ac:dyDescent="0.2">
      <c r="A1279" s="231" t="s">
        <v>0</v>
      </c>
      <c r="B1279" s="230">
        <v>113537</v>
      </c>
      <c r="C1279" s="230">
        <v>10750</v>
      </c>
      <c r="D1279" s="231" t="s">
        <v>835</v>
      </c>
      <c r="E1279" s="230">
        <v>14491078</v>
      </c>
      <c r="F1279" s="230">
        <v>31509</v>
      </c>
      <c r="G1279" s="230">
        <v>25</v>
      </c>
      <c r="H1279" s="240">
        <v>26.3</v>
      </c>
      <c r="I1279" s="240">
        <f t="shared" si="19"/>
        <v>657.5</v>
      </c>
      <c r="J1279" s="231" t="s">
        <v>1311</v>
      </c>
      <c r="K1279" s="231" t="s">
        <v>1312</v>
      </c>
      <c r="L1279" s="232">
        <v>45170</v>
      </c>
      <c r="M1279" s="232">
        <v>45199</v>
      </c>
    </row>
    <row r="1280" spans="1:13" ht="18.75" customHeight="1" x14ac:dyDescent="0.2">
      <c r="A1280" s="231" t="s">
        <v>0</v>
      </c>
      <c r="B1280" s="230">
        <v>113548</v>
      </c>
      <c r="C1280" s="230">
        <v>10760</v>
      </c>
      <c r="D1280" s="231" t="s">
        <v>842</v>
      </c>
      <c r="E1280" s="230">
        <v>14491078</v>
      </c>
      <c r="F1280" s="230">
        <v>31531</v>
      </c>
      <c r="G1280" s="230">
        <v>25</v>
      </c>
      <c r="H1280" s="240">
        <v>26.3</v>
      </c>
      <c r="I1280" s="240">
        <f t="shared" si="19"/>
        <v>657.5</v>
      </c>
      <c r="J1280" s="231" t="s">
        <v>1311</v>
      </c>
      <c r="K1280" s="231" t="s">
        <v>1312</v>
      </c>
      <c r="L1280" s="232">
        <v>45170</v>
      </c>
      <c r="M1280" s="232">
        <v>45199</v>
      </c>
    </row>
    <row r="1281" spans="1:13" ht="18.75" customHeight="1" x14ac:dyDescent="0.2">
      <c r="A1281" s="231" t="s">
        <v>0</v>
      </c>
      <c r="B1281" s="230">
        <v>113549</v>
      </c>
      <c r="C1281" s="230">
        <v>10761</v>
      </c>
      <c r="D1281" s="231" t="s">
        <v>843</v>
      </c>
      <c r="E1281" s="230">
        <v>14491078</v>
      </c>
      <c r="F1281" s="230">
        <v>31533</v>
      </c>
      <c r="G1281" s="230">
        <v>22</v>
      </c>
      <c r="H1281" s="240">
        <v>26.3</v>
      </c>
      <c r="I1281" s="240">
        <f t="shared" si="19"/>
        <v>578.6</v>
      </c>
      <c r="J1281" s="231" t="s">
        <v>1311</v>
      </c>
      <c r="K1281" s="231" t="s">
        <v>1312</v>
      </c>
      <c r="L1281" s="232">
        <v>45170</v>
      </c>
      <c r="M1281" s="232">
        <v>45199</v>
      </c>
    </row>
    <row r="1282" spans="1:13" ht="18.75" customHeight="1" x14ac:dyDescent="0.2">
      <c r="A1282" s="231" t="s">
        <v>0</v>
      </c>
      <c r="B1282" s="230">
        <v>113551</v>
      </c>
      <c r="C1282" s="230">
        <v>10751</v>
      </c>
      <c r="D1282" s="231" t="s">
        <v>845</v>
      </c>
      <c r="E1282" s="230">
        <v>14491078</v>
      </c>
      <c r="F1282" s="230">
        <v>31537</v>
      </c>
      <c r="G1282" s="230">
        <v>25</v>
      </c>
      <c r="H1282" s="240">
        <v>26.3</v>
      </c>
      <c r="I1282" s="240">
        <f t="shared" si="19"/>
        <v>657.5</v>
      </c>
      <c r="J1282" s="231" t="s">
        <v>1311</v>
      </c>
      <c r="K1282" s="231" t="s">
        <v>1312</v>
      </c>
      <c r="L1282" s="232">
        <v>45170</v>
      </c>
      <c r="M1282" s="232">
        <v>45199</v>
      </c>
    </row>
    <row r="1283" spans="1:13" ht="18.75" customHeight="1" x14ac:dyDescent="0.2">
      <c r="A1283" s="231" t="s">
        <v>0</v>
      </c>
      <c r="B1283" s="230">
        <v>113558</v>
      </c>
      <c r="C1283" s="230">
        <v>10750</v>
      </c>
      <c r="D1283" s="231" t="s">
        <v>849</v>
      </c>
      <c r="E1283" s="230">
        <v>14491078</v>
      </c>
      <c r="F1283" s="230">
        <v>31551</v>
      </c>
      <c r="G1283" s="230">
        <v>25</v>
      </c>
      <c r="H1283" s="240">
        <v>26.3</v>
      </c>
      <c r="I1283" s="240">
        <f t="shared" ref="I1283:I1346" si="20">G1283*H1283</f>
        <v>657.5</v>
      </c>
      <c r="J1283" s="231" t="s">
        <v>1311</v>
      </c>
      <c r="K1283" s="231" t="s">
        <v>1312</v>
      </c>
      <c r="L1283" s="232">
        <v>45170</v>
      </c>
      <c r="M1283" s="232">
        <v>45199</v>
      </c>
    </row>
    <row r="1284" spans="1:13" ht="18.75" customHeight="1" x14ac:dyDescent="0.2">
      <c r="A1284" s="231" t="s">
        <v>0</v>
      </c>
      <c r="B1284" s="230">
        <v>113559</v>
      </c>
      <c r="C1284" s="230">
        <v>10751</v>
      </c>
      <c r="D1284" s="231" t="s">
        <v>850</v>
      </c>
      <c r="E1284" s="230">
        <v>14491078</v>
      </c>
      <c r="F1284" s="230">
        <v>31553</v>
      </c>
      <c r="G1284" s="230">
        <v>25</v>
      </c>
      <c r="H1284" s="240">
        <v>26.3</v>
      </c>
      <c r="I1284" s="240">
        <f t="shared" si="20"/>
        <v>657.5</v>
      </c>
      <c r="J1284" s="231" t="s">
        <v>1311</v>
      </c>
      <c r="K1284" s="231" t="s">
        <v>1312</v>
      </c>
      <c r="L1284" s="232">
        <v>45170</v>
      </c>
      <c r="M1284" s="232">
        <v>45199</v>
      </c>
    </row>
    <row r="1285" spans="1:13" ht="18.75" customHeight="1" x14ac:dyDescent="0.2">
      <c r="A1285" s="231" t="s">
        <v>0</v>
      </c>
      <c r="B1285" s="230">
        <v>113566</v>
      </c>
      <c r="C1285" s="230">
        <v>10750</v>
      </c>
      <c r="D1285" s="231" t="s">
        <v>854</v>
      </c>
      <c r="E1285" s="230">
        <v>14491078</v>
      </c>
      <c r="F1285" s="230">
        <v>31567</v>
      </c>
      <c r="G1285" s="230">
        <v>25</v>
      </c>
      <c r="H1285" s="240">
        <v>26.3</v>
      </c>
      <c r="I1285" s="240">
        <f t="shared" si="20"/>
        <v>657.5</v>
      </c>
      <c r="J1285" s="231" t="s">
        <v>1311</v>
      </c>
      <c r="K1285" s="231" t="s">
        <v>1312</v>
      </c>
      <c r="L1285" s="232">
        <v>45170</v>
      </c>
      <c r="M1285" s="232">
        <v>45199</v>
      </c>
    </row>
    <row r="1286" spans="1:13" ht="18.75" customHeight="1" x14ac:dyDescent="0.2">
      <c r="A1286" s="231" t="s">
        <v>0</v>
      </c>
      <c r="B1286" s="230">
        <v>113582</v>
      </c>
      <c r="C1286" s="230">
        <v>10750</v>
      </c>
      <c r="D1286" s="231" t="s">
        <v>859</v>
      </c>
      <c r="E1286" s="230">
        <v>14491078</v>
      </c>
      <c r="F1286" s="230">
        <v>31599</v>
      </c>
      <c r="G1286" s="230">
        <v>25</v>
      </c>
      <c r="H1286" s="240">
        <v>26.3</v>
      </c>
      <c r="I1286" s="240">
        <f t="shared" si="20"/>
        <v>657.5</v>
      </c>
      <c r="J1286" s="231" t="s">
        <v>1311</v>
      </c>
      <c r="K1286" s="231" t="s">
        <v>1312</v>
      </c>
      <c r="L1286" s="232">
        <v>45170</v>
      </c>
      <c r="M1286" s="232">
        <v>45199</v>
      </c>
    </row>
    <row r="1287" spans="1:13" ht="18.75" customHeight="1" x14ac:dyDescent="0.2">
      <c r="A1287" s="231" t="s">
        <v>0</v>
      </c>
      <c r="B1287" s="230">
        <v>113584</v>
      </c>
      <c r="C1287" s="230">
        <v>10756</v>
      </c>
      <c r="D1287" s="231" t="s">
        <v>860</v>
      </c>
      <c r="E1287" s="230">
        <v>14491078</v>
      </c>
      <c r="F1287" s="230">
        <v>31603</v>
      </c>
      <c r="G1287" s="230">
        <v>25</v>
      </c>
      <c r="H1287" s="240">
        <v>26.3</v>
      </c>
      <c r="I1287" s="240">
        <f t="shared" si="20"/>
        <v>657.5</v>
      </c>
      <c r="J1287" s="231" t="s">
        <v>1311</v>
      </c>
      <c r="K1287" s="231" t="s">
        <v>1312</v>
      </c>
      <c r="L1287" s="232">
        <v>45170</v>
      </c>
      <c r="M1287" s="232">
        <v>45199</v>
      </c>
    </row>
    <row r="1288" spans="1:13" ht="18.75" customHeight="1" x14ac:dyDescent="0.2">
      <c r="A1288" s="231" t="s">
        <v>0</v>
      </c>
      <c r="B1288" s="230">
        <v>113594</v>
      </c>
      <c r="C1288" s="230">
        <v>10745</v>
      </c>
      <c r="D1288" s="231" t="s">
        <v>867</v>
      </c>
      <c r="E1288" s="230">
        <v>14491078</v>
      </c>
      <c r="F1288" s="230">
        <v>31623</v>
      </c>
      <c r="G1288" s="230">
        <v>25</v>
      </c>
      <c r="H1288" s="240">
        <v>26.3</v>
      </c>
      <c r="I1288" s="240">
        <f t="shared" si="20"/>
        <v>657.5</v>
      </c>
      <c r="J1288" s="231" t="s">
        <v>1311</v>
      </c>
      <c r="K1288" s="231" t="s">
        <v>1312</v>
      </c>
      <c r="L1288" s="232">
        <v>45170</v>
      </c>
      <c r="M1288" s="232">
        <v>45199</v>
      </c>
    </row>
    <row r="1289" spans="1:13" ht="18.75" customHeight="1" x14ac:dyDescent="0.2">
      <c r="A1289" s="231" t="s">
        <v>0</v>
      </c>
      <c r="B1289" s="230">
        <v>113611</v>
      </c>
      <c r="C1289" s="230">
        <v>10771</v>
      </c>
      <c r="D1289" s="231" t="s">
        <v>875</v>
      </c>
      <c r="E1289" s="230">
        <v>14491078</v>
      </c>
      <c r="F1289" s="230">
        <v>31657</v>
      </c>
      <c r="G1289" s="230">
        <v>25</v>
      </c>
      <c r="H1289" s="240">
        <v>26.3</v>
      </c>
      <c r="I1289" s="240">
        <f t="shared" si="20"/>
        <v>657.5</v>
      </c>
      <c r="J1289" s="231" t="s">
        <v>1311</v>
      </c>
      <c r="K1289" s="231" t="s">
        <v>1312</v>
      </c>
      <c r="L1289" s="232">
        <v>45170</v>
      </c>
      <c r="M1289" s="232">
        <v>45199</v>
      </c>
    </row>
    <row r="1290" spans="1:13" ht="18.75" customHeight="1" x14ac:dyDescent="0.2">
      <c r="A1290" s="231" t="s">
        <v>0</v>
      </c>
      <c r="B1290" s="230">
        <v>113625</v>
      </c>
      <c r="C1290" s="230">
        <v>10745</v>
      </c>
      <c r="D1290" s="231" t="s">
        <v>1320</v>
      </c>
      <c r="E1290" s="230">
        <v>14491078</v>
      </c>
      <c r="F1290" s="230">
        <v>31685</v>
      </c>
      <c r="G1290" s="230">
        <v>25</v>
      </c>
      <c r="H1290" s="240">
        <v>26.3</v>
      </c>
      <c r="I1290" s="240">
        <f t="shared" si="20"/>
        <v>657.5</v>
      </c>
      <c r="J1290" s="231" t="s">
        <v>1311</v>
      </c>
      <c r="K1290" s="231" t="s">
        <v>1312</v>
      </c>
      <c r="L1290" s="232">
        <v>45170</v>
      </c>
      <c r="M1290" s="232">
        <v>45199</v>
      </c>
    </row>
    <row r="1291" spans="1:13" ht="18.75" customHeight="1" x14ac:dyDescent="0.2">
      <c r="A1291" s="231" t="s">
        <v>0</v>
      </c>
      <c r="B1291" s="230">
        <v>113643</v>
      </c>
      <c r="C1291" s="230">
        <v>10763</v>
      </c>
      <c r="D1291" s="231" t="s">
        <v>893</v>
      </c>
      <c r="E1291" s="230">
        <v>14491078</v>
      </c>
      <c r="F1291" s="230">
        <v>31721</v>
      </c>
      <c r="G1291" s="230">
        <v>25</v>
      </c>
      <c r="H1291" s="240">
        <v>26.3</v>
      </c>
      <c r="I1291" s="240">
        <f t="shared" si="20"/>
        <v>657.5</v>
      </c>
      <c r="J1291" s="231" t="s">
        <v>1311</v>
      </c>
      <c r="K1291" s="231" t="s">
        <v>1312</v>
      </c>
      <c r="L1291" s="232">
        <v>45170</v>
      </c>
      <c r="M1291" s="232">
        <v>45199</v>
      </c>
    </row>
    <row r="1292" spans="1:13" ht="18.75" customHeight="1" x14ac:dyDescent="0.2">
      <c r="A1292" s="231" t="s">
        <v>0</v>
      </c>
      <c r="B1292" s="230">
        <v>113648</v>
      </c>
      <c r="C1292" s="230">
        <v>10751</v>
      </c>
      <c r="D1292" s="231" t="s">
        <v>896</v>
      </c>
      <c r="E1292" s="230">
        <v>14491078</v>
      </c>
      <c r="F1292" s="230">
        <v>31731</v>
      </c>
      <c r="G1292" s="230">
        <v>25</v>
      </c>
      <c r="H1292" s="240">
        <v>26.3</v>
      </c>
      <c r="I1292" s="240">
        <f t="shared" si="20"/>
        <v>657.5</v>
      </c>
      <c r="J1292" s="231" t="s">
        <v>1311</v>
      </c>
      <c r="K1292" s="231" t="s">
        <v>1312</v>
      </c>
      <c r="L1292" s="232">
        <v>45170</v>
      </c>
      <c r="M1292" s="232">
        <v>45199</v>
      </c>
    </row>
    <row r="1293" spans="1:13" ht="18.75" customHeight="1" x14ac:dyDescent="0.2">
      <c r="A1293" s="231" t="s">
        <v>0</v>
      </c>
      <c r="B1293" s="230">
        <v>113656</v>
      </c>
      <c r="C1293" s="230">
        <v>10750</v>
      </c>
      <c r="D1293" s="231" t="s">
        <v>901</v>
      </c>
      <c r="E1293" s="230">
        <v>14491078</v>
      </c>
      <c r="F1293" s="230">
        <v>31747</v>
      </c>
      <c r="G1293" s="230">
        <v>25</v>
      </c>
      <c r="H1293" s="240">
        <v>26.3</v>
      </c>
      <c r="I1293" s="240">
        <f t="shared" si="20"/>
        <v>657.5</v>
      </c>
      <c r="J1293" s="231" t="s">
        <v>1311</v>
      </c>
      <c r="K1293" s="231" t="s">
        <v>1312</v>
      </c>
      <c r="L1293" s="232">
        <v>45170</v>
      </c>
      <c r="M1293" s="232">
        <v>45199</v>
      </c>
    </row>
    <row r="1294" spans="1:13" ht="18.75" customHeight="1" x14ac:dyDescent="0.2">
      <c r="A1294" s="231" t="s">
        <v>0</v>
      </c>
      <c r="B1294" s="230">
        <v>113669</v>
      </c>
      <c r="C1294" s="230">
        <v>10750</v>
      </c>
      <c r="D1294" s="231" t="s">
        <v>909</v>
      </c>
      <c r="E1294" s="230">
        <v>14491078</v>
      </c>
      <c r="F1294" s="230">
        <v>31773</v>
      </c>
      <c r="G1294" s="230">
        <v>25</v>
      </c>
      <c r="H1294" s="240">
        <v>26.3</v>
      </c>
      <c r="I1294" s="240">
        <f t="shared" si="20"/>
        <v>657.5</v>
      </c>
      <c r="J1294" s="231" t="s">
        <v>1311</v>
      </c>
      <c r="K1294" s="231" t="s">
        <v>1312</v>
      </c>
      <c r="L1294" s="232">
        <v>45170</v>
      </c>
      <c r="M1294" s="232">
        <v>45199</v>
      </c>
    </row>
    <row r="1295" spans="1:13" ht="18.75" customHeight="1" x14ac:dyDescent="0.2">
      <c r="A1295" s="231" t="s">
        <v>0</v>
      </c>
      <c r="B1295" s="230">
        <v>113678</v>
      </c>
      <c r="C1295" s="230">
        <v>10766</v>
      </c>
      <c r="D1295" s="231" t="s">
        <v>914</v>
      </c>
      <c r="E1295" s="230">
        <v>14491078</v>
      </c>
      <c r="F1295" s="230">
        <v>31791</v>
      </c>
      <c r="G1295" s="230">
        <v>24</v>
      </c>
      <c r="H1295" s="240">
        <v>26.3</v>
      </c>
      <c r="I1295" s="240">
        <f t="shared" si="20"/>
        <v>631.20000000000005</v>
      </c>
      <c r="J1295" s="231" t="s">
        <v>1311</v>
      </c>
      <c r="K1295" s="231" t="s">
        <v>1312</v>
      </c>
      <c r="L1295" s="232">
        <v>45170</v>
      </c>
      <c r="M1295" s="232">
        <v>45199</v>
      </c>
    </row>
    <row r="1296" spans="1:13" ht="18.75" customHeight="1" x14ac:dyDescent="0.2">
      <c r="A1296" s="231" t="s">
        <v>0</v>
      </c>
      <c r="B1296" s="230">
        <v>113679</v>
      </c>
      <c r="C1296" s="230">
        <v>10750</v>
      </c>
      <c r="D1296" s="231" t="s">
        <v>356</v>
      </c>
      <c r="E1296" s="230">
        <v>14491078</v>
      </c>
      <c r="F1296" s="230">
        <v>31793</v>
      </c>
      <c r="G1296" s="230">
        <v>25</v>
      </c>
      <c r="H1296" s="240">
        <v>26.3</v>
      </c>
      <c r="I1296" s="240">
        <f t="shared" si="20"/>
        <v>657.5</v>
      </c>
      <c r="J1296" s="231" t="s">
        <v>1311</v>
      </c>
      <c r="K1296" s="231" t="s">
        <v>1312</v>
      </c>
      <c r="L1296" s="232">
        <v>45170</v>
      </c>
      <c r="M1296" s="232">
        <v>45199</v>
      </c>
    </row>
    <row r="1297" spans="1:13" ht="18.75" customHeight="1" x14ac:dyDescent="0.2">
      <c r="A1297" s="231" t="s">
        <v>0</v>
      </c>
      <c r="B1297" s="230">
        <v>113681</v>
      </c>
      <c r="C1297" s="230">
        <v>10750</v>
      </c>
      <c r="D1297" s="231" t="s">
        <v>915</v>
      </c>
      <c r="E1297" s="230">
        <v>14491078</v>
      </c>
      <c r="F1297" s="230">
        <v>31797</v>
      </c>
      <c r="G1297" s="230">
        <v>25</v>
      </c>
      <c r="H1297" s="240">
        <v>26.3</v>
      </c>
      <c r="I1297" s="240">
        <f t="shared" si="20"/>
        <v>657.5</v>
      </c>
      <c r="J1297" s="231" t="s">
        <v>1311</v>
      </c>
      <c r="K1297" s="231" t="s">
        <v>1312</v>
      </c>
      <c r="L1297" s="232">
        <v>45170</v>
      </c>
      <c r="M1297" s="232">
        <v>45199</v>
      </c>
    </row>
    <row r="1298" spans="1:13" ht="18.75" customHeight="1" x14ac:dyDescent="0.2">
      <c r="A1298" s="231" t="s">
        <v>0</v>
      </c>
      <c r="B1298" s="230">
        <v>113683</v>
      </c>
      <c r="C1298" s="230">
        <v>10750</v>
      </c>
      <c r="D1298" s="231" t="s">
        <v>917</v>
      </c>
      <c r="E1298" s="230">
        <v>14491078</v>
      </c>
      <c r="F1298" s="230">
        <v>31801</v>
      </c>
      <c r="G1298" s="230">
        <v>25</v>
      </c>
      <c r="H1298" s="240">
        <v>26.3</v>
      </c>
      <c r="I1298" s="240">
        <f t="shared" si="20"/>
        <v>657.5</v>
      </c>
      <c r="J1298" s="231" t="s">
        <v>1311</v>
      </c>
      <c r="K1298" s="231" t="s">
        <v>1312</v>
      </c>
      <c r="L1298" s="232">
        <v>45170</v>
      </c>
      <c r="M1298" s="232">
        <v>45199</v>
      </c>
    </row>
    <row r="1299" spans="1:13" ht="18.75" customHeight="1" x14ac:dyDescent="0.2">
      <c r="A1299" s="231" t="s">
        <v>0</v>
      </c>
      <c r="B1299" s="230">
        <v>113687</v>
      </c>
      <c r="C1299" s="230">
        <v>10751</v>
      </c>
      <c r="D1299" s="231" t="s">
        <v>918</v>
      </c>
      <c r="E1299" s="230">
        <v>14491078</v>
      </c>
      <c r="F1299" s="230">
        <v>31809</v>
      </c>
      <c r="G1299" s="230">
        <v>25</v>
      </c>
      <c r="H1299" s="240">
        <v>26.3</v>
      </c>
      <c r="I1299" s="240">
        <f t="shared" si="20"/>
        <v>657.5</v>
      </c>
      <c r="J1299" s="231" t="s">
        <v>1311</v>
      </c>
      <c r="K1299" s="231" t="s">
        <v>1312</v>
      </c>
      <c r="L1299" s="232">
        <v>45170</v>
      </c>
      <c r="M1299" s="232">
        <v>45199</v>
      </c>
    </row>
    <row r="1300" spans="1:13" ht="18.75" customHeight="1" x14ac:dyDescent="0.2">
      <c r="A1300" s="231" t="s">
        <v>0</v>
      </c>
      <c r="B1300" s="230">
        <v>113693</v>
      </c>
      <c r="C1300" s="230">
        <v>10750</v>
      </c>
      <c r="D1300" s="231" t="s">
        <v>922</v>
      </c>
      <c r="E1300" s="230">
        <v>14491078</v>
      </c>
      <c r="F1300" s="230">
        <v>31821</v>
      </c>
      <c r="G1300" s="230">
        <v>25</v>
      </c>
      <c r="H1300" s="240">
        <v>26.3</v>
      </c>
      <c r="I1300" s="240">
        <f t="shared" si="20"/>
        <v>657.5</v>
      </c>
      <c r="J1300" s="231" t="s">
        <v>1311</v>
      </c>
      <c r="K1300" s="231" t="s">
        <v>1312</v>
      </c>
      <c r="L1300" s="232">
        <v>45170</v>
      </c>
      <c r="M1300" s="232">
        <v>45199</v>
      </c>
    </row>
    <row r="1301" spans="1:13" ht="18.75" customHeight="1" x14ac:dyDescent="0.2">
      <c r="A1301" s="231" t="s">
        <v>0</v>
      </c>
      <c r="B1301" s="230">
        <v>113726</v>
      </c>
      <c r="C1301" s="230">
        <v>10760</v>
      </c>
      <c r="D1301" s="231" t="s">
        <v>945</v>
      </c>
      <c r="E1301" s="230">
        <v>14491078</v>
      </c>
      <c r="F1301" s="230">
        <v>31887</v>
      </c>
      <c r="G1301" s="230">
        <v>25</v>
      </c>
      <c r="H1301" s="240">
        <v>26.3</v>
      </c>
      <c r="I1301" s="240">
        <f t="shared" si="20"/>
        <v>657.5</v>
      </c>
      <c r="J1301" s="231" t="s">
        <v>1311</v>
      </c>
      <c r="K1301" s="231" t="s">
        <v>1312</v>
      </c>
      <c r="L1301" s="232">
        <v>45170</v>
      </c>
      <c r="M1301" s="232">
        <v>45199</v>
      </c>
    </row>
    <row r="1302" spans="1:13" ht="18.75" customHeight="1" x14ac:dyDescent="0.2">
      <c r="A1302" s="231" t="s">
        <v>0</v>
      </c>
      <c r="B1302" s="230">
        <v>113762</v>
      </c>
      <c r="C1302" s="230">
        <v>10773</v>
      </c>
      <c r="D1302" s="231" t="s">
        <v>968</v>
      </c>
      <c r="E1302" s="230">
        <v>14491078</v>
      </c>
      <c r="F1302" s="230">
        <v>31966</v>
      </c>
      <c r="G1302" s="230">
        <v>25</v>
      </c>
      <c r="H1302" s="240">
        <v>26.3</v>
      </c>
      <c r="I1302" s="240">
        <f t="shared" si="20"/>
        <v>657.5</v>
      </c>
      <c r="J1302" s="231" t="s">
        <v>1311</v>
      </c>
      <c r="K1302" s="231" t="s">
        <v>1315</v>
      </c>
      <c r="L1302" s="232">
        <v>45170</v>
      </c>
      <c r="M1302" s="232">
        <v>45199</v>
      </c>
    </row>
    <row r="1303" spans="1:13" ht="18.75" customHeight="1" x14ac:dyDescent="0.2">
      <c r="A1303" s="231" t="s">
        <v>0</v>
      </c>
      <c r="B1303" s="230">
        <v>113768</v>
      </c>
      <c r="C1303" s="230">
        <v>10771</v>
      </c>
      <c r="D1303" s="231" t="s">
        <v>972</v>
      </c>
      <c r="E1303" s="230">
        <v>14491078</v>
      </c>
      <c r="F1303" s="230">
        <v>31983</v>
      </c>
      <c r="G1303" s="230">
        <v>25</v>
      </c>
      <c r="H1303" s="240">
        <v>26.3</v>
      </c>
      <c r="I1303" s="240">
        <f t="shared" si="20"/>
        <v>657.5</v>
      </c>
      <c r="J1303" s="231" t="s">
        <v>1311</v>
      </c>
      <c r="K1303" s="231" t="s">
        <v>1312</v>
      </c>
      <c r="L1303" s="232">
        <v>45170</v>
      </c>
      <c r="M1303" s="232">
        <v>45199</v>
      </c>
    </row>
    <row r="1304" spans="1:13" ht="18.75" customHeight="1" x14ac:dyDescent="0.2">
      <c r="A1304" s="231" t="s">
        <v>0</v>
      </c>
      <c r="B1304" s="230">
        <v>113778</v>
      </c>
      <c r="C1304" s="230">
        <v>10771</v>
      </c>
      <c r="D1304" s="231" t="s">
        <v>1376</v>
      </c>
      <c r="E1304" s="230">
        <v>14491078</v>
      </c>
      <c r="F1304" s="230">
        <v>32004</v>
      </c>
      <c r="G1304" s="230">
        <v>25</v>
      </c>
      <c r="H1304" s="240">
        <v>26.3</v>
      </c>
      <c r="I1304" s="240">
        <f t="shared" si="20"/>
        <v>657.5</v>
      </c>
      <c r="J1304" s="231" t="s">
        <v>1311</v>
      </c>
      <c r="K1304" s="231" t="s">
        <v>1312</v>
      </c>
      <c r="L1304" s="232">
        <v>45170</v>
      </c>
      <c r="M1304" s="232">
        <v>45199</v>
      </c>
    </row>
    <row r="1305" spans="1:13" ht="18.75" customHeight="1" x14ac:dyDescent="0.2">
      <c r="A1305" s="231" t="s">
        <v>0</v>
      </c>
      <c r="B1305" s="230">
        <v>113732</v>
      </c>
      <c r="C1305" s="230">
        <v>10771</v>
      </c>
      <c r="D1305" s="231" t="s">
        <v>948</v>
      </c>
      <c r="E1305" s="230">
        <v>14491078</v>
      </c>
      <c r="F1305" s="230">
        <v>33623</v>
      </c>
      <c r="G1305" s="230">
        <v>25</v>
      </c>
      <c r="H1305" s="240">
        <v>26.3</v>
      </c>
      <c r="I1305" s="240">
        <f t="shared" si="20"/>
        <v>657.5</v>
      </c>
      <c r="J1305" s="231" t="s">
        <v>1311</v>
      </c>
      <c r="K1305" s="231" t="s">
        <v>1312</v>
      </c>
      <c r="L1305" s="232">
        <v>45170</v>
      </c>
      <c r="M1305" s="232">
        <v>45199</v>
      </c>
    </row>
    <row r="1306" spans="1:13" ht="18.75" customHeight="1" x14ac:dyDescent="0.2">
      <c r="A1306" s="231" t="s">
        <v>0</v>
      </c>
      <c r="B1306" s="230">
        <v>113929</v>
      </c>
      <c r="C1306" s="230">
        <v>10750</v>
      </c>
      <c r="D1306" s="231" t="s">
        <v>994</v>
      </c>
      <c r="E1306" s="230">
        <v>14491078</v>
      </c>
      <c r="F1306" s="230">
        <v>33833</v>
      </c>
      <c r="G1306" s="230">
        <v>25</v>
      </c>
      <c r="H1306" s="240">
        <v>26.3</v>
      </c>
      <c r="I1306" s="240">
        <f t="shared" si="20"/>
        <v>657.5</v>
      </c>
      <c r="J1306" s="231" t="s">
        <v>1311</v>
      </c>
      <c r="K1306" s="231" t="s">
        <v>1312</v>
      </c>
      <c r="L1306" s="232">
        <v>45170</v>
      </c>
      <c r="M1306" s="232">
        <v>45199</v>
      </c>
    </row>
    <row r="1307" spans="1:13" ht="18.75" customHeight="1" x14ac:dyDescent="0.2">
      <c r="A1307" s="231" t="s">
        <v>0</v>
      </c>
      <c r="B1307" s="230">
        <v>114088</v>
      </c>
      <c r="C1307" s="230">
        <v>10745</v>
      </c>
      <c r="D1307" s="231" t="s">
        <v>1003</v>
      </c>
      <c r="E1307" s="230">
        <v>14491078</v>
      </c>
      <c r="F1307" s="230">
        <v>34329</v>
      </c>
      <c r="G1307" s="230">
        <v>25</v>
      </c>
      <c r="H1307" s="240">
        <v>26.3</v>
      </c>
      <c r="I1307" s="240">
        <f t="shared" si="20"/>
        <v>657.5</v>
      </c>
      <c r="J1307" s="231" t="s">
        <v>1311</v>
      </c>
      <c r="K1307" s="231" t="s">
        <v>1312</v>
      </c>
      <c r="L1307" s="232">
        <v>45170</v>
      </c>
      <c r="M1307" s="232">
        <v>45199</v>
      </c>
    </row>
    <row r="1308" spans="1:13" ht="18.75" customHeight="1" x14ac:dyDescent="0.2">
      <c r="A1308" s="231" t="s">
        <v>0</v>
      </c>
      <c r="B1308" s="230">
        <v>114125</v>
      </c>
      <c r="C1308" s="230">
        <v>10750</v>
      </c>
      <c r="D1308" s="231" t="s">
        <v>1016</v>
      </c>
      <c r="E1308" s="230">
        <v>14491078</v>
      </c>
      <c r="F1308" s="230">
        <v>34403</v>
      </c>
      <c r="G1308" s="230">
        <v>25</v>
      </c>
      <c r="H1308" s="240">
        <v>26.3</v>
      </c>
      <c r="I1308" s="240">
        <f t="shared" si="20"/>
        <v>657.5</v>
      </c>
      <c r="J1308" s="231" t="s">
        <v>1311</v>
      </c>
      <c r="K1308" s="231" t="s">
        <v>1312</v>
      </c>
      <c r="L1308" s="232">
        <v>45170</v>
      </c>
      <c r="M1308" s="232">
        <v>45199</v>
      </c>
    </row>
    <row r="1309" spans="1:13" ht="18.75" customHeight="1" x14ac:dyDescent="0.2">
      <c r="A1309" s="231" t="s">
        <v>0</v>
      </c>
      <c r="B1309" s="230">
        <v>114253</v>
      </c>
      <c r="C1309" s="230">
        <v>10757</v>
      </c>
      <c r="D1309" s="231" t="s">
        <v>1021</v>
      </c>
      <c r="E1309" s="230">
        <v>14491078</v>
      </c>
      <c r="F1309" s="230">
        <v>35786</v>
      </c>
      <c r="G1309" s="230">
        <v>25</v>
      </c>
      <c r="H1309" s="240">
        <v>26.3</v>
      </c>
      <c r="I1309" s="240">
        <f t="shared" si="20"/>
        <v>657.5</v>
      </c>
      <c r="J1309" s="231" t="s">
        <v>1311</v>
      </c>
      <c r="K1309" s="231" t="s">
        <v>1312</v>
      </c>
      <c r="L1309" s="232">
        <v>45170</v>
      </c>
      <c r="M1309" s="232">
        <v>45199</v>
      </c>
    </row>
    <row r="1310" spans="1:13" ht="18.75" customHeight="1" x14ac:dyDescent="0.2">
      <c r="A1310" s="231" t="s">
        <v>0</v>
      </c>
      <c r="B1310" s="230">
        <v>114254</v>
      </c>
      <c r="C1310" s="230">
        <v>10750</v>
      </c>
      <c r="D1310" s="231" t="s">
        <v>1022</v>
      </c>
      <c r="E1310" s="230">
        <v>14491078</v>
      </c>
      <c r="F1310" s="230">
        <v>35788</v>
      </c>
      <c r="G1310" s="230">
        <v>25</v>
      </c>
      <c r="H1310" s="240">
        <v>26.3</v>
      </c>
      <c r="I1310" s="240">
        <f t="shared" si="20"/>
        <v>657.5</v>
      </c>
      <c r="J1310" s="231" t="s">
        <v>1311</v>
      </c>
      <c r="K1310" s="231" t="s">
        <v>1312</v>
      </c>
      <c r="L1310" s="232">
        <v>45170</v>
      </c>
      <c r="M1310" s="232">
        <v>45199</v>
      </c>
    </row>
    <row r="1311" spans="1:13" ht="18.75" customHeight="1" x14ac:dyDescent="0.2">
      <c r="A1311" s="231" t="s">
        <v>0</v>
      </c>
      <c r="B1311" s="230">
        <v>114258</v>
      </c>
      <c r="C1311" s="230">
        <v>10758</v>
      </c>
      <c r="D1311" s="231" t="s">
        <v>1025</v>
      </c>
      <c r="E1311" s="230">
        <v>14491078</v>
      </c>
      <c r="F1311" s="230">
        <v>35796</v>
      </c>
      <c r="G1311" s="230">
        <v>25</v>
      </c>
      <c r="H1311" s="240">
        <v>26.3</v>
      </c>
      <c r="I1311" s="240">
        <f t="shared" si="20"/>
        <v>657.5</v>
      </c>
      <c r="J1311" s="231" t="s">
        <v>1311</v>
      </c>
      <c r="K1311" s="231" t="s">
        <v>1312</v>
      </c>
      <c r="L1311" s="232">
        <v>45170</v>
      </c>
      <c r="M1311" s="232">
        <v>45199</v>
      </c>
    </row>
    <row r="1312" spans="1:13" ht="18.75" customHeight="1" x14ac:dyDescent="0.2">
      <c r="A1312" s="231" t="s">
        <v>0</v>
      </c>
      <c r="B1312" s="230">
        <v>114260</v>
      </c>
      <c r="C1312" s="230">
        <v>10766</v>
      </c>
      <c r="D1312" s="231" t="s">
        <v>1027</v>
      </c>
      <c r="E1312" s="230">
        <v>14491078</v>
      </c>
      <c r="F1312" s="230">
        <v>35800</v>
      </c>
      <c r="G1312" s="230">
        <v>25</v>
      </c>
      <c r="H1312" s="240">
        <v>26.3</v>
      </c>
      <c r="I1312" s="240">
        <f t="shared" si="20"/>
        <v>657.5</v>
      </c>
      <c r="J1312" s="231" t="s">
        <v>1311</v>
      </c>
      <c r="K1312" s="231" t="s">
        <v>1312</v>
      </c>
      <c r="L1312" s="232">
        <v>45170</v>
      </c>
      <c r="M1312" s="232">
        <v>45199</v>
      </c>
    </row>
    <row r="1313" spans="1:13" ht="18.75" customHeight="1" x14ac:dyDescent="0.2">
      <c r="A1313" s="231" t="s">
        <v>0</v>
      </c>
      <c r="B1313" s="230">
        <v>114262</v>
      </c>
      <c r="C1313" s="230">
        <v>10760</v>
      </c>
      <c r="D1313" s="231" t="s">
        <v>1028</v>
      </c>
      <c r="E1313" s="230">
        <v>14491078</v>
      </c>
      <c r="F1313" s="230">
        <v>35804</v>
      </c>
      <c r="G1313" s="230">
        <v>24</v>
      </c>
      <c r="H1313" s="240">
        <v>26.3</v>
      </c>
      <c r="I1313" s="240">
        <f t="shared" si="20"/>
        <v>631.20000000000005</v>
      </c>
      <c r="J1313" s="231" t="s">
        <v>1311</v>
      </c>
      <c r="K1313" s="231" t="s">
        <v>1312</v>
      </c>
      <c r="L1313" s="232">
        <v>45170</v>
      </c>
      <c r="M1313" s="232">
        <v>45199</v>
      </c>
    </row>
    <row r="1314" spans="1:13" ht="18.75" customHeight="1" x14ac:dyDescent="0.2">
      <c r="A1314" s="231" t="s">
        <v>0</v>
      </c>
      <c r="B1314" s="230">
        <v>114265</v>
      </c>
      <c r="C1314" s="230">
        <v>10766</v>
      </c>
      <c r="D1314" s="231" t="s">
        <v>1030</v>
      </c>
      <c r="E1314" s="230">
        <v>14491078</v>
      </c>
      <c r="F1314" s="230">
        <v>35810</v>
      </c>
      <c r="G1314" s="230">
        <v>25</v>
      </c>
      <c r="H1314" s="240">
        <v>26.3</v>
      </c>
      <c r="I1314" s="240">
        <f t="shared" si="20"/>
        <v>657.5</v>
      </c>
      <c r="J1314" s="231" t="s">
        <v>1311</v>
      </c>
      <c r="K1314" s="231" t="s">
        <v>1312</v>
      </c>
      <c r="L1314" s="232">
        <v>45170</v>
      </c>
      <c r="M1314" s="232">
        <v>45199</v>
      </c>
    </row>
    <row r="1315" spans="1:13" ht="18.75" customHeight="1" x14ac:dyDescent="0.2">
      <c r="A1315" s="231" t="s">
        <v>0</v>
      </c>
      <c r="B1315" s="230">
        <v>114266</v>
      </c>
      <c r="C1315" s="230">
        <v>10750</v>
      </c>
      <c r="D1315" s="231" t="s">
        <v>1031</v>
      </c>
      <c r="E1315" s="230">
        <v>14491078</v>
      </c>
      <c r="F1315" s="230">
        <v>35812</v>
      </c>
      <c r="G1315" s="230">
        <v>25</v>
      </c>
      <c r="H1315" s="240">
        <v>26.3</v>
      </c>
      <c r="I1315" s="240">
        <f t="shared" si="20"/>
        <v>657.5</v>
      </c>
      <c r="J1315" s="231" t="s">
        <v>1311</v>
      </c>
      <c r="K1315" s="231" t="s">
        <v>1312</v>
      </c>
      <c r="L1315" s="232">
        <v>45170</v>
      </c>
      <c r="M1315" s="232">
        <v>45199</v>
      </c>
    </row>
    <row r="1316" spans="1:13" ht="18.75" customHeight="1" x14ac:dyDescent="0.2">
      <c r="A1316" s="231" t="s">
        <v>0</v>
      </c>
      <c r="B1316" s="230">
        <v>114267</v>
      </c>
      <c r="C1316" s="230">
        <v>10760</v>
      </c>
      <c r="D1316" s="231" t="s">
        <v>1032</v>
      </c>
      <c r="E1316" s="230">
        <v>14491078</v>
      </c>
      <c r="F1316" s="230">
        <v>35814</v>
      </c>
      <c r="G1316" s="230">
        <v>25</v>
      </c>
      <c r="H1316" s="240">
        <v>26.3</v>
      </c>
      <c r="I1316" s="240">
        <f t="shared" si="20"/>
        <v>657.5</v>
      </c>
      <c r="J1316" s="231" t="s">
        <v>1311</v>
      </c>
      <c r="K1316" s="231" t="s">
        <v>1312</v>
      </c>
      <c r="L1316" s="232">
        <v>45170</v>
      </c>
      <c r="M1316" s="232">
        <v>45199</v>
      </c>
    </row>
    <row r="1317" spans="1:13" ht="18.75" customHeight="1" x14ac:dyDescent="0.2">
      <c r="A1317" s="231" t="s">
        <v>0</v>
      </c>
      <c r="B1317" s="230">
        <v>114269</v>
      </c>
      <c r="C1317" s="230">
        <v>10758</v>
      </c>
      <c r="D1317" s="231" t="s">
        <v>1519</v>
      </c>
      <c r="E1317" s="230">
        <v>14491078</v>
      </c>
      <c r="F1317" s="230">
        <v>35818</v>
      </c>
      <c r="G1317" s="230">
        <v>25</v>
      </c>
      <c r="H1317" s="240">
        <v>26.3</v>
      </c>
      <c r="I1317" s="240">
        <f t="shared" si="20"/>
        <v>657.5</v>
      </c>
      <c r="J1317" s="231" t="s">
        <v>1311</v>
      </c>
      <c r="K1317" s="231" t="s">
        <v>1312</v>
      </c>
      <c r="L1317" s="232">
        <v>45170</v>
      </c>
      <c r="M1317" s="232">
        <v>45199</v>
      </c>
    </row>
    <row r="1318" spans="1:13" ht="18.75" customHeight="1" x14ac:dyDescent="0.2">
      <c r="A1318" s="231" t="s">
        <v>0</v>
      </c>
      <c r="B1318" s="230">
        <v>114273</v>
      </c>
      <c r="C1318" s="230">
        <v>10758</v>
      </c>
      <c r="D1318" s="231" t="s">
        <v>1034</v>
      </c>
      <c r="E1318" s="230">
        <v>14491078</v>
      </c>
      <c r="F1318" s="230">
        <v>35826</v>
      </c>
      <c r="G1318" s="230">
        <v>25</v>
      </c>
      <c r="H1318" s="240">
        <v>26.3</v>
      </c>
      <c r="I1318" s="240">
        <f t="shared" si="20"/>
        <v>657.5</v>
      </c>
      <c r="J1318" s="231" t="s">
        <v>1311</v>
      </c>
      <c r="K1318" s="231" t="s">
        <v>1312</v>
      </c>
      <c r="L1318" s="232">
        <v>45170</v>
      </c>
      <c r="M1318" s="232">
        <v>45199</v>
      </c>
    </row>
    <row r="1319" spans="1:13" ht="18.75" customHeight="1" x14ac:dyDescent="0.2">
      <c r="A1319" s="231" t="s">
        <v>0</v>
      </c>
      <c r="B1319" s="230">
        <v>114315</v>
      </c>
      <c r="C1319" s="230">
        <v>10757</v>
      </c>
      <c r="D1319" s="231" t="s">
        <v>1035</v>
      </c>
      <c r="E1319" s="230">
        <v>14491078</v>
      </c>
      <c r="F1319" s="230">
        <v>35849</v>
      </c>
      <c r="G1319" s="230">
        <v>25</v>
      </c>
      <c r="H1319" s="240">
        <v>26.3</v>
      </c>
      <c r="I1319" s="240">
        <f t="shared" si="20"/>
        <v>657.5</v>
      </c>
      <c r="J1319" s="231" t="s">
        <v>1311</v>
      </c>
      <c r="K1319" s="231" t="s">
        <v>1312</v>
      </c>
      <c r="L1319" s="232">
        <v>45170</v>
      </c>
      <c r="M1319" s="232">
        <v>45199</v>
      </c>
    </row>
    <row r="1320" spans="1:13" ht="18.75" customHeight="1" x14ac:dyDescent="0.2">
      <c r="A1320" s="231" t="s">
        <v>0</v>
      </c>
      <c r="B1320" s="230">
        <v>114316</v>
      </c>
      <c r="C1320" s="230">
        <v>10758</v>
      </c>
      <c r="D1320" s="231" t="s">
        <v>1036</v>
      </c>
      <c r="E1320" s="230">
        <v>14491078</v>
      </c>
      <c r="F1320" s="230">
        <v>35851</v>
      </c>
      <c r="G1320" s="230">
        <v>23</v>
      </c>
      <c r="H1320" s="240">
        <v>26.3</v>
      </c>
      <c r="I1320" s="240">
        <f t="shared" si="20"/>
        <v>604.9</v>
      </c>
      <c r="J1320" s="231" t="s">
        <v>1311</v>
      </c>
      <c r="K1320" s="231" t="s">
        <v>1312</v>
      </c>
      <c r="L1320" s="232">
        <v>45170</v>
      </c>
      <c r="M1320" s="232">
        <v>45199</v>
      </c>
    </row>
    <row r="1321" spans="1:13" ht="18.75" customHeight="1" x14ac:dyDescent="0.2">
      <c r="A1321" s="231" t="s">
        <v>0</v>
      </c>
      <c r="B1321" s="230">
        <v>114360</v>
      </c>
      <c r="C1321" s="230">
        <v>10766</v>
      </c>
      <c r="D1321" s="231" t="s">
        <v>1037</v>
      </c>
      <c r="E1321" s="230">
        <v>14491078</v>
      </c>
      <c r="F1321" s="230">
        <v>35857</v>
      </c>
      <c r="G1321" s="230">
        <v>25</v>
      </c>
      <c r="H1321" s="240">
        <v>26.3</v>
      </c>
      <c r="I1321" s="240">
        <f t="shared" si="20"/>
        <v>657.5</v>
      </c>
      <c r="J1321" s="231" t="s">
        <v>1311</v>
      </c>
      <c r="K1321" s="231" t="s">
        <v>1312</v>
      </c>
      <c r="L1321" s="232">
        <v>45170</v>
      </c>
      <c r="M1321" s="232">
        <v>45199</v>
      </c>
    </row>
    <row r="1322" spans="1:13" ht="18.75" customHeight="1" x14ac:dyDescent="0.2">
      <c r="A1322" s="231" t="s">
        <v>0</v>
      </c>
      <c r="B1322" s="230">
        <v>114404</v>
      </c>
      <c r="C1322" s="230">
        <v>10758</v>
      </c>
      <c r="D1322" s="231" t="s">
        <v>1039</v>
      </c>
      <c r="E1322" s="230">
        <v>14491078</v>
      </c>
      <c r="F1322" s="230">
        <v>35861</v>
      </c>
      <c r="G1322" s="230">
        <v>25</v>
      </c>
      <c r="H1322" s="240">
        <v>26.3</v>
      </c>
      <c r="I1322" s="240">
        <f t="shared" si="20"/>
        <v>657.5</v>
      </c>
      <c r="J1322" s="231" t="s">
        <v>1311</v>
      </c>
      <c r="K1322" s="231" t="s">
        <v>1315</v>
      </c>
      <c r="L1322" s="232">
        <v>45170</v>
      </c>
      <c r="M1322" s="232">
        <v>45199</v>
      </c>
    </row>
    <row r="1323" spans="1:13" ht="18.75" customHeight="1" x14ac:dyDescent="0.2">
      <c r="A1323" s="231" t="s">
        <v>0</v>
      </c>
      <c r="B1323" s="230">
        <v>114418</v>
      </c>
      <c r="C1323" s="230">
        <v>10750</v>
      </c>
      <c r="D1323" s="231" t="s">
        <v>1040</v>
      </c>
      <c r="E1323" s="230">
        <v>14491078</v>
      </c>
      <c r="F1323" s="230">
        <v>35863</v>
      </c>
      <c r="G1323" s="230">
        <v>25</v>
      </c>
      <c r="H1323" s="240">
        <v>26.3</v>
      </c>
      <c r="I1323" s="240">
        <f t="shared" si="20"/>
        <v>657.5</v>
      </c>
      <c r="J1323" s="231" t="s">
        <v>1311</v>
      </c>
      <c r="K1323" s="231" t="s">
        <v>1312</v>
      </c>
      <c r="L1323" s="232">
        <v>45170</v>
      </c>
      <c r="M1323" s="232">
        <v>45199</v>
      </c>
    </row>
    <row r="1324" spans="1:13" ht="18.75" customHeight="1" x14ac:dyDescent="0.2">
      <c r="A1324" s="231" t="s">
        <v>0</v>
      </c>
      <c r="B1324" s="230">
        <v>114454</v>
      </c>
      <c r="C1324" s="230">
        <v>10748</v>
      </c>
      <c r="D1324" s="231" t="s">
        <v>1041</v>
      </c>
      <c r="E1324" s="230">
        <v>14491078</v>
      </c>
      <c r="F1324" s="230">
        <v>35867</v>
      </c>
      <c r="G1324" s="230">
        <v>25</v>
      </c>
      <c r="H1324" s="240">
        <v>26.3</v>
      </c>
      <c r="I1324" s="240">
        <f t="shared" si="20"/>
        <v>657.5</v>
      </c>
      <c r="J1324" s="231" t="s">
        <v>1311</v>
      </c>
      <c r="K1324" s="231" t="s">
        <v>1312</v>
      </c>
      <c r="L1324" s="232">
        <v>45170</v>
      </c>
      <c r="M1324" s="232">
        <v>45199</v>
      </c>
    </row>
    <row r="1325" spans="1:13" ht="18.75" customHeight="1" x14ac:dyDescent="0.2">
      <c r="A1325" s="231" t="s">
        <v>0</v>
      </c>
      <c r="B1325" s="230">
        <v>114490</v>
      </c>
      <c r="C1325" s="230">
        <v>10766</v>
      </c>
      <c r="D1325" s="231" t="s">
        <v>1042</v>
      </c>
      <c r="E1325" s="230">
        <v>14491078</v>
      </c>
      <c r="F1325" s="230">
        <v>35871</v>
      </c>
      <c r="G1325" s="230">
        <v>25</v>
      </c>
      <c r="H1325" s="240">
        <v>26.3</v>
      </c>
      <c r="I1325" s="240">
        <f t="shared" si="20"/>
        <v>657.5</v>
      </c>
      <c r="J1325" s="231" t="s">
        <v>1311</v>
      </c>
      <c r="K1325" s="231" t="s">
        <v>1312</v>
      </c>
      <c r="L1325" s="232">
        <v>45170</v>
      </c>
      <c r="M1325" s="232">
        <v>45199</v>
      </c>
    </row>
    <row r="1326" spans="1:13" ht="18.75" customHeight="1" x14ac:dyDescent="0.2">
      <c r="A1326" s="231" t="s">
        <v>0</v>
      </c>
      <c r="B1326" s="230">
        <v>114493</v>
      </c>
      <c r="C1326" s="230">
        <v>10750</v>
      </c>
      <c r="D1326" s="231" t="s">
        <v>1043</v>
      </c>
      <c r="E1326" s="230">
        <v>14491078</v>
      </c>
      <c r="F1326" s="230">
        <v>35873</v>
      </c>
      <c r="G1326" s="230">
        <v>22</v>
      </c>
      <c r="H1326" s="240">
        <v>26.3</v>
      </c>
      <c r="I1326" s="240">
        <f t="shared" si="20"/>
        <v>578.6</v>
      </c>
      <c r="J1326" s="231" t="s">
        <v>1311</v>
      </c>
      <c r="K1326" s="231" t="s">
        <v>1312</v>
      </c>
      <c r="L1326" s="232">
        <v>45170</v>
      </c>
      <c r="M1326" s="232">
        <v>45199</v>
      </c>
    </row>
    <row r="1327" spans="1:13" ht="18.75" customHeight="1" x14ac:dyDescent="0.2">
      <c r="A1327" s="231" t="s">
        <v>0</v>
      </c>
      <c r="B1327" s="230">
        <v>114500</v>
      </c>
      <c r="C1327" s="230">
        <v>10757</v>
      </c>
      <c r="D1327" s="231" t="s">
        <v>1044</v>
      </c>
      <c r="E1327" s="230">
        <v>14491078</v>
      </c>
      <c r="F1327" s="230">
        <v>35883</v>
      </c>
      <c r="G1327" s="230">
        <v>23</v>
      </c>
      <c r="H1327" s="240">
        <v>26.3</v>
      </c>
      <c r="I1327" s="240">
        <f t="shared" si="20"/>
        <v>604.9</v>
      </c>
      <c r="J1327" s="231" t="s">
        <v>1311</v>
      </c>
      <c r="K1327" s="231" t="s">
        <v>1312</v>
      </c>
      <c r="L1327" s="232">
        <v>45170</v>
      </c>
      <c r="M1327" s="232">
        <v>45199</v>
      </c>
    </row>
    <row r="1328" spans="1:13" ht="18.75" customHeight="1" x14ac:dyDescent="0.2">
      <c r="A1328" s="231" t="s">
        <v>0</v>
      </c>
      <c r="B1328" s="230">
        <v>114504</v>
      </c>
      <c r="C1328" s="230">
        <v>10754</v>
      </c>
      <c r="D1328" s="231" t="s">
        <v>1325</v>
      </c>
      <c r="E1328" s="230">
        <v>14491078</v>
      </c>
      <c r="F1328" s="230">
        <v>35891</v>
      </c>
      <c r="G1328" s="230">
        <v>25</v>
      </c>
      <c r="H1328" s="240">
        <v>26.3</v>
      </c>
      <c r="I1328" s="240">
        <f t="shared" si="20"/>
        <v>657.5</v>
      </c>
      <c r="J1328" s="231" t="s">
        <v>1311</v>
      </c>
      <c r="K1328" s="231" t="s">
        <v>1312</v>
      </c>
      <c r="L1328" s="232">
        <v>45170</v>
      </c>
      <c r="M1328" s="232">
        <v>45199</v>
      </c>
    </row>
    <row r="1329" spans="1:13" ht="18.75" customHeight="1" x14ac:dyDescent="0.2">
      <c r="A1329" s="231" t="s">
        <v>0</v>
      </c>
      <c r="B1329" s="230">
        <v>114509</v>
      </c>
      <c r="C1329" s="230">
        <v>10760</v>
      </c>
      <c r="D1329" s="231" t="s">
        <v>1048</v>
      </c>
      <c r="E1329" s="230">
        <v>14491078</v>
      </c>
      <c r="F1329" s="230">
        <v>35901</v>
      </c>
      <c r="G1329" s="230">
        <v>25</v>
      </c>
      <c r="H1329" s="240">
        <v>26.3</v>
      </c>
      <c r="I1329" s="240">
        <f t="shared" si="20"/>
        <v>657.5</v>
      </c>
      <c r="J1329" s="231" t="s">
        <v>1311</v>
      </c>
      <c r="K1329" s="231" t="s">
        <v>1312</v>
      </c>
      <c r="L1329" s="232">
        <v>45170</v>
      </c>
      <c r="M1329" s="232">
        <v>45199</v>
      </c>
    </row>
    <row r="1330" spans="1:13" ht="18.75" customHeight="1" x14ac:dyDescent="0.2">
      <c r="A1330" s="231" t="s">
        <v>0</v>
      </c>
      <c r="B1330" s="230">
        <v>114527</v>
      </c>
      <c r="C1330" s="230">
        <v>10750</v>
      </c>
      <c r="D1330" s="231" t="s">
        <v>1052</v>
      </c>
      <c r="E1330" s="230">
        <v>14491078</v>
      </c>
      <c r="F1330" s="230">
        <v>36335</v>
      </c>
      <c r="G1330" s="230">
        <v>25</v>
      </c>
      <c r="H1330" s="240">
        <v>26.3</v>
      </c>
      <c r="I1330" s="240">
        <f t="shared" si="20"/>
        <v>657.5</v>
      </c>
      <c r="J1330" s="231" t="s">
        <v>1311</v>
      </c>
      <c r="K1330" s="231" t="s">
        <v>1312</v>
      </c>
      <c r="L1330" s="232">
        <v>45170</v>
      </c>
      <c r="M1330" s="232">
        <v>45199</v>
      </c>
    </row>
    <row r="1331" spans="1:13" ht="18.75" customHeight="1" x14ac:dyDescent="0.2">
      <c r="A1331" s="231" t="s">
        <v>0</v>
      </c>
      <c r="B1331" s="230">
        <v>114538</v>
      </c>
      <c r="C1331" s="230">
        <v>10771</v>
      </c>
      <c r="D1331" s="231" t="s">
        <v>1290</v>
      </c>
      <c r="E1331" s="230">
        <v>14491078</v>
      </c>
      <c r="F1331" s="230">
        <v>36352</v>
      </c>
      <c r="G1331" s="230">
        <v>25</v>
      </c>
      <c r="H1331" s="240">
        <v>26.3</v>
      </c>
      <c r="I1331" s="240">
        <f t="shared" si="20"/>
        <v>657.5</v>
      </c>
      <c r="J1331" s="231" t="s">
        <v>1311</v>
      </c>
      <c r="K1331" s="231" t="s">
        <v>1315</v>
      </c>
      <c r="L1331" s="232">
        <v>45170</v>
      </c>
      <c r="M1331" s="232">
        <v>45199</v>
      </c>
    </row>
    <row r="1332" spans="1:13" ht="18.75" customHeight="1" x14ac:dyDescent="0.2">
      <c r="A1332" s="231" t="s">
        <v>0</v>
      </c>
      <c r="B1332" s="230">
        <v>114539</v>
      </c>
      <c r="C1332" s="230">
        <v>10754</v>
      </c>
      <c r="D1332" s="231" t="s">
        <v>1055</v>
      </c>
      <c r="E1332" s="230">
        <v>14491078</v>
      </c>
      <c r="F1332" s="230">
        <v>36354</v>
      </c>
      <c r="G1332" s="230">
        <v>25</v>
      </c>
      <c r="H1332" s="240">
        <v>26.3</v>
      </c>
      <c r="I1332" s="240">
        <f t="shared" si="20"/>
        <v>657.5</v>
      </c>
      <c r="J1332" s="231" t="s">
        <v>1311</v>
      </c>
      <c r="K1332" s="231" t="s">
        <v>1312</v>
      </c>
      <c r="L1332" s="232">
        <v>45170</v>
      </c>
      <c r="M1332" s="232">
        <v>45199</v>
      </c>
    </row>
    <row r="1333" spans="1:13" ht="18.75" customHeight="1" x14ac:dyDescent="0.2">
      <c r="A1333" s="231" t="s">
        <v>0</v>
      </c>
      <c r="B1333" s="230">
        <v>114549</v>
      </c>
      <c r="C1333" s="230">
        <v>10751</v>
      </c>
      <c r="D1333" s="231" t="s">
        <v>1060</v>
      </c>
      <c r="E1333" s="230">
        <v>14491078</v>
      </c>
      <c r="F1333" s="230">
        <v>36376</v>
      </c>
      <c r="G1333" s="230">
        <v>25</v>
      </c>
      <c r="H1333" s="240">
        <v>26.3</v>
      </c>
      <c r="I1333" s="240">
        <f t="shared" si="20"/>
        <v>657.5</v>
      </c>
      <c r="J1333" s="231" t="s">
        <v>1311</v>
      </c>
      <c r="K1333" s="231" t="s">
        <v>1312</v>
      </c>
      <c r="L1333" s="232">
        <v>45170</v>
      </c>
      <c r="M1333" s="232">
        <v>45199</v>
      </c>
    </row>
    <row r="1334" spans="1:13" ht="18.75" customHeight="1" x14ac:dyDescent="0.2">
      <c r="A1334" s="231" t="s">
        <v>0</v>
      </c>
      <c r="B1334" s="230">
        <v>114606</v>
      </c>
      <c r="C1334" s="230">
        <v>10754</v>
      </c>
      <c r="D1334" s="231" t="s">
        <v>1062</v>
      </c>
      <c r="E1334" s="230">
        <v>14491078</v>
      </c>
      <c r="F1334" s="230">
        <v>36531</v>
      </c>
      <c r="G1334" s="230">
        <v>25</v>
      </c>
      <c r="H1334" s="240">
        <v>26.3</v>
      </c>
      <c r="I1334" s="240">
        <f t="shared" si="20"/>
        <v>657.5</v>
      </c>
      <c r="J1334" s="231" t="s">
        <v>1311</v>
      </c>
      <c r="K1334" s="231" t="s">
        <v>1312</v>
      </c>
      <c r="L1334" s="232">
        <v>45170</v>
      </c>
      <c r="M1334" s="232">
        <v>45199</v>
      </c>
    </row>
    <row r="1335" spans="1:13" ht="18.75" customHeight="1" x14ac:dyDescent="0.2">
      <c r="A1335" s="231" t="s">
        <v>0</v>
      </c>
      <c r="B1335" s="230">
        <v>114684</v>
      </c>
      <c r="C1335" s="230">
        <v>10750</v>
      </c>
      <c r="D1335" s="231" t="s">
        <v>1069</v>
      </c>
      <c r="E1335" s="230">
        <v>14491078</v>
      </c>
      <c r="F1335" s="230">
        <v>36816</v>
      </c>
      <c r="G1335" s="230">
        <v>25</v>
      </c>
      <c r="H1335" s="240">
        <v>26.3</v>
      </c>
      <c r="I1335" s="240">
        <f t="shared" si="20"/>
        <v>657.5</v>
      </c>
      <c r="J1335" s="231" t="s">
        <v>1311</v>
      </c>
      <c r="K1335" s="231" t="s">
        <v>1312</v>
      </c>
      <c r="L1335" s="232">
        <v>45170</v>
      </c>
      <c r="M1335" s="232">
        <v>45199</v>
      </c>
    </row>
    <row r="1336" spans="1:13" ht="18.75" customHeight="1" x14ac:dyDescent="0.2">
      <c r="A1336" s="231" t="s">
        <v>0</v>
      </c>
      <c r="B1336" s="230">
        <v>114691</v>
      </c>
      <c r="C1336" s="230">
        <v>10758</v>
      </c>
      <c r="D1336" s="231" t="s">
        <v>1072</v>
      </c>
      <c r="E1336" s="230">
        <v>14491078</v>
      </c>
      <c r="F1336" s="230">
        <v>36830</v>
      </c>
      <c r="G1336" s="230">
        <v>25</v>
      </c>
      <c r="H1336" s="240">
        <v>26.3</v>
      </c>
      <c r="I1336" s="240">
        <f t="shared" si="20"/>
        <v>657.5</v>
      </c>
      <c r="J1336" s="231" t="s">
        <v>1311</v>
      </c>
      <c r="K1336" s="231" t="s">
        <v>1312</v>
      </c>
      <c r="L1336" s="232">
        <v>45170</v>
      </c>
      <c r="M1336" s="232">
        <v>45199</v>
      </c>
    </row>
    <row r="1337" spans="1:13" ht="18.75" customHeight="1" x14ac:dyDescent="0.2">
      <c r="A1337" s="231" t="s">
        <v>0</v>
      </c>
      <c r="B1337" s="230">
        <v>114693</v>
      </c>
      <c r="C1337" s="230">
        <v>10758</v>
      </c>
      <c r="D1337" s="231" t="s">
        <v>1073</v>
      </c>
      <c r="E1337" s="230">
        <v>14491078</v>
      </c>
      <c r="F1337" s="230">
        <v>36835</v>
      </c>
      <c r="G1337" s="230">
        <v>25</v>
      </c>
      <c r="H1337" s="240">
        <v>26.3</v>
      </c>
      <c r="I1337" s="240">
        <f t="shared" si="20"/>
        <v>657.5</v>
      </c>
      <c r="J1337" s="231" t="s">
        <v>1311</v>
      </c>
      <c r="K1337" s="231" t="s">
        <v>1312</v>
      </c>
      <c r="L1337" s="232">
        <v>45170</v>
      </c>
      <c r="M1337" s="232">
        <v>45199</v>
      </c>
    </row>
    <row r="1338" spans="1:13" ht="18.75" customHeight="1" x14ac:dyDescent="0.2">
      <c r="A1338" s="231" t="s">
        <v>0</v>
      </c>
      <c r="B1338" s="230">
        <v>114698</v>
      </c>
      <c r="C1338" s="230">
        <v>10758</v>
      </c>
      <c r="D1338" s="231" t="s">
        <v>1076</v>
      </c>
      <c r="E1338" s="230">
        <v>14491078</v>
      </c>
      <c r="F1338" s="230">
        <v>36845</v>
      </c>
      <c r="G1338" s="230">
        <v>25</v>
      </c>
      <c r="H1338" s="240">
        <v>26.3</v>
      </c>
      <c r="I1338" s="240">
        <f t="shared" si="20"/>
        <v>657.5</v>
      </c>
      <c r="J1338" s="231" t="s">
        <v>1311</v>
      </c>
      <c r="K1338" s="231" t="s">
        <v>1312</v>
      </c>
      <c r="L1338" s="232">
        <v>45170</v>
      </c>
      <c r="M1338" s="232">
        <v>45199</v>
      </c>
    </row>
    <row r="1339" spans="1:13" ht="18.75" customHeight="1" x14ac:dyDescent="0.2">
      <c r="A1339" s="231" t="s">
        <v>0</v>
      </c>
      <c r="B1339" s="230">
        <v>114699</v>
      </c>
      <c r="C1339" s="230">
        <v>10758</v>
      </c>
      <c r="D1339" s="231" t="s">
        <v>1077</v>
      </c>
      <c r="E1339" s="230">
        <v>14491078</v>
      </c>
      <c r="F1339" s="230">
        <v>36847</v>
      </c>
      <c r="G1339" s="230">
        <v>25</v>
      </c>
      <c r="H1339" s="240">
        <v>26.3</v>
      </c>
      <c r="I1339" s="240">
        <f t="shared" si="20"/>
        <v>657.5</v>
      </c>
      <c r="J1339" s="231" t="s">
        <v>1311</v>
      </c>
      <c r="K1339" s="231" t="s">
        <v>1312</v>
      </c>
      <c r="L1339" s="232">
        <v>45170</v>
      </c>
      <c r="M1339" s="232">
        <v>45199</v>
      </c>
    </row>
    <row r="1340" spans="1:13" ht="18.75" customHeight="1" x14ac:dyDescent="0.2">
      <c r="A1340" s="231" t="s">
        <v>0</v>
      </c>
      <c r="B1340" s="230">
        <v>114700</v>
      </c>
      <c r="C1340" s="230">
        <v>10750</v>
      </c>
      <c r="D1340" s="231" t="s">
        <v>1078</v>
      </c>
      <c r="E1340" s="230">
        <v>14491078</v>
      </c>
      <c r="F1340" s="230">
        <v>36849</v>
      </c>
      <c r="G1340" s="230">
        <v>23</v>
      </c>
      <c r="H1340" s="240">
        <v>26.3</v>
      </c>
      <c r="I1340" s="240">
        <f t="shared" si="20"/>
        <v>604.9</v>
      </c>
      <c r="J1340" s="231" t="s">
        <v>1311</v>
      </c>
      <c r="K1340" s="231" t="s">
        <v>1312</v>
      </c>
      <c r="L1340" s="232">
        <v>45170</v>
      </c>
      <c r="M1340" s="232">
        <v>45199</v>
      </c>
    </row>
    <row r="1341" spans="1:13" ht="18.75" customHeight="1" x14ac:dyDescent="0.2">
      <c r="A1341" s="231" t="s">
        <v>0</v>
      </c>
      <c r="B1341" s="230">
        <v>114726</v>
      </c>
      <c r="C1341" s="230">
        <v>10758</v>
      </c>
      <c r="D1341" s="231" t="s">
        <v>1083</v>
      </c>
      <c r="E1341" s="230">
        <v>14491078</v>
      </c>
      <c r="F1341" s="230">
        <v>36901</v>
      </c>
      <c r="G1341" s="230">
        <v>25</v>
      </c>
      <c r="H1341" s="240">
        <v>26.3</v>
      </c>
      <c r="I1341" s="240">
        <f t="shared" si="20"/>
        <v>657.5</v>
      </c>
      <c r="J1341" s="231" t="s">
        <v>1311</v>
      </c>
      <c r="K1341" s="231" t="s">
        <v>1312</v>
      </c>
      <c r="L1341" s="232">
        <v>45170</v>
      </c>
      <c r="M1341" s="232">
        <v>45199</v>
      </c>
    </row>
    <row r="1342" spans="1:13" ht="18.75" customHeight="1" x14ac:dyDescent="0.2">
      <c r="A1342" s="231" t="s">
        <v>0</v>
      </c>
      <c r="B1342" s="230">
        <v>114732</v>
      </c>
      <c r="C1342" s="230">
        <v>10750</v>
      </c>
      <c r="D1342" s="231" t="s">
        <v>1385</v>
      </c>
      <c r="E1342" s="230">
        <v>14491078</v>
      </c>
      <c r="F1342" s="230">
        <v>36913</v>
      </c>
      <c r="G1342" s="230">
        <v>25</v>
      </c>
      <c r="H1342" s="240">
        <v>26.3</v>
      </c>
      <c r="I1342" s="240">
        <f t="shared" si="20"/>
        <v>657.5</v>
      </c>
      <c r="J1342" s="231" t="s">
        <v>1311</v>
      </c>
      <c r="K1342" s="231" t="s">
        <v>1312</v>
      </c>
      <c r="L1342" s="232">
        <v>45170</v>
      </c>
      <c r="M1342" s="232">
        <v>45199</v>
      </c>
    </row>
    <row r="1343" spans="1:13" ht="18.75" customHeight="1" x14ac:dyDescent="0.2">
      <c r="A1343" s="231" t="s">
        <v>0</v>
      </c>
      <c r="B1343" s="230">
        <v>114734</v>
      </c>
      <c r="C1343" s="230">
        <v>10758</v>
      </c>
      <c r="D1343" s="231" t="s">
        <v>1088</v>
      </c>
      <c r="E1343" s="230">
        <v>14491078</v>
      </c>
      <c r="F1343" s="230">
        <v>36917</v>
      </c>
      <c r="G1343" s="230">
        <v>25</v>
      </c>
      <c r="H1343" s="240">
        <v>26.3</v>
      </c>
      <c r="I1343" s="240">
        <f t="shared" si="20"/>
        <v>657.5</v>
      </c>
      <c r="J1343" s="231" t="s">
        <v>1311</v>
      </c>
      <c r="K1343" s="231" t="s">
        <v>1312</v>
      </c>
      <c r="L1343" s="232">
        <v>45170</v>
      </c>
      <c r="M1343" s="232">
        <v>45199</v>
      </c>
    </row>
    <row r="1344" spans="1:13" ht="18.75" customHeight="1" x14ac:dyDescent="0.2">
      <c r="A1344" s="231" t="s">
        <v>0</v>
      </c>
      <c r="B1344" s="230">
        <v>114742</v>
      </c>
      <c r="C1344" s="230">
        <v>10758</v>
      </c>
      <c r="D1344" s="231" t="s">
        <v>1728</v>
      </c>
      <c r="E1344" s="230">
        <v>14491078</v>
      </c>
      <c r="F1344" s="230">
        <v>36933</v>
      </c>
      <c r="G1344" s="230">
        <v>20</v>
      </c>
      <c r="H1344" s="240">
        <v>26.3</v>
      </c>
      <c r="I1344" s="240">
        <f t="shared" si="20"/>
        <v>526</v>
      </c>
      <c r="J1344" s="231" t="s">
        <v>1311</v>
      </c>
      <c r="K1344" s="231" t="s">
        <v>1312</v>
      </c>
      <c r="L1344" s="232">
        <v>45170</v>
      </c>
      <c r="M1344" s="232">
        <v>45199</v>
      </c>
    </row>
    <row r="1345" spans="1:13" ht="18.75" customHeight="1" x14ac:dyDescent="0.2">
      <c r="A1345" s="231" t="s">
        <v>0</v>
      </c>
      <c r="B1345" s="230">
        <v>114744</v>
      </c>
      <c r="C1345" s="230">
        <v>10758</v>
      </c>
      <c r="D1345" s="231" t="s">
        <v>1091</v>
      </c>
      <c r="E1345" s="230">
        <v>14491078</v>
      </c>
      <c r="F1345" s="230">
        <v>36937</v>
      </c>
      <c r="G1345" s="230">
        <v>25</v>
      </c>
      <c r="H1345" s="240">
        <v>26.3</v>
      </c>
      <c r="I1345" s="240">
        <f t="shared" si="20"/>
        <v>657.5</v>
      </c>
      <c r="J1345" s="231" t="s">
        <v>1311</v>
      </c>
      <c r="K1345" s="231" t="s">
        <v>1312</v>
      </c>
      <c r="L1345" s="232">
        <v>45170</v>
      </c>
      <c r="M1345" s="232">
        <v>45199</v>
      </c>
    </row>
    <row r="1346" spans="1:13" ht="18.75" customHeight="1" x14ac:dyDescent="0.2">
      <c r="A1346" s="231" t="s">
        <v>0</v>
      </c>
      <c r="B1346" s="230">
        <v>114748</v>
      </c>
      <c r="C1346" s="230">
        <v>10758</v>
      </c>
      <c r="D1346" s="231" t="s">
        <v>1093</v>
      </c>
      <c r="E1346" s="230">
        <v>14491078</v>
      </c>
      <c r="F1346" s="230">
        <v>36945</v>
      </c>
      <c r="G1346" s="230">
        <v>25</v>
      </c>
      <c r="H1346" s="240">
        <v>26.3</v>
      </c>
      <c r="I1346" s="240">
        <f t="shared" si="20"/>
        <v>657.5</v>
      </c>
      <c r="J1346" s="231" t="s">
        <v>1311</v>
      </c>
      <c r="K1346" s="231" t="s">
        <v>1312</v>
      </c>
      <c r="L1346" s="232">
        <v>45170</v>
      </c>
      <c r="M1346" s="232">
        <v>45199</v>
      </c>
    </row>
    <row r="1347" spans="1:13" ht="18.75" customHeight="1" x14ac:dyDescent="0.2">
      <c r="A1347" s="231" t="s">
        <v>0</v>
      </c>
      <c r="B1347" s="230">
        <v>114750</v>
      </c>
      <c r="C1347" s="230">
        <v>10758</v>
      </c>
      <c r="D1347" s="231" t="s">
        <v>1652</v>
      </c>
      <c r="E1347" s="230">
        <v>14491078</v>
      </c>
      <c r="F1347" s="230">
        <v>36949</v>
      </c>
      <c r="G1347" s="230">
        <v>24</v>
      </c>
      <c r="H1347" s="240">
        <v>26.3</v>
      </c>
      <c r="I1347" s="240">
        <f t="shared" ref="I1347:I1410" si="21">G1347*H1347</f>
        <v>631.20000000000005</v>
      </c>
      <c r="J1347" s="231" t="s">
        <v>1311</v>
      </c>
      <c r="K1347" s="231" t="s">
        <v>1312</v>
      </c>
      <c r="L1347" s="232">
        <v>45170</v>
      </c>
      <c r="M1347" s="232">
        <v>45199</v>
      </c>
    </row>
    <row r="1348" spans="1:13" ht="18.75" customHeight="1" x14ac:dyDescent="0.2">
      <c r="A1348" s="231" t="s">
        <v>0</v>
      </c>
      <c r="B1348" s="230">
        <v>114751</v>
      </c>
      <c r="C1348" s="230">
        <v>10751</v>
      </c>
      <c r="D1348" s="231" t="s">
        <v>1096</v>
      </c>
      <c r="E1348" s="230">
        <v>14491078</v>
      </c>
      <c r="F1348" s="230">
        <v>36951</v>
      </c>
      <c r="G1348" s="230">
        <v>25</v>
      </c>
      <c r="H1348" s="240">
        <v>26.3</v>
      </c>
      <c r="I1348" s="240">
        <f t="shared" si="21"/>
        <v>657.5</v>
      </c>
      <c r="J1348" s="231" t="s">
        <v>1311</v>
      </c>
      <c r="K1348" s="231" t="s">
        <v>1312</v>
      </c>
      <c r="L1348" s="232">
        <v>45170</v>
      </c>
      <c r="M1348" s="232">
        <v>45199</v>
      </c>
    </row>
    <row r="1349" spans="1:13" ht="18.75" customHeight="1" x14ac:dyDescent="0.2">
      <c r="A1349" s="231" t="s">
        <v>0</v>
      </c>
      <c r="B1349" s="230">
        <v>114980</v>
      </c>
      <c r="C1349" s="230">
        <v>10757</v>
      </c>
      <c r="D1349" s="231" t="s">
        <v>1139</v>
      </c>
      <c r="E1349" s="230">
        <v>14491078</v>
      </c>
      <c r="F1349" s="230">
        <v>37736</v>
      </c>
      <c r="G1349" s="230">
        <v>25</v>
      </c>
      <c r="H1349" s="240">
        <v>26.3</v>
      </c>
      <c r="I1349" s="240">
        <f t="shared" si="21"/>
        <v>657.5</v>
      </c>
      <c r="J1349" s="231" t="s">
        <v>1311</v>
      </c>
      <c r="K1349" s="231" t="s">
        <v>1312</v>
      </c>
      <c r="L1349" s="232">
        <v>45170</v>
      </c>
      <c r="M1349" s="232">
        <v>45199</v>
      </c>
    </row>
    <row r="1350" spans="1:13" ht="18.75" customHeight="1" x14ac:dyDescent="0.2">
      <c r="A1350" s="231" t="s">
        <v>0</v>
      </c>
      <c r="B1350" s="230">
        <v>115008</v>
      </c>
      <c r="C1350" s="230">
        <v>10758</v>
      </c>
      <c r="D1350" s="231" t="s">
        <v>1143</v>
      </c>
      <c r="E1350" s="230">
        <v>14491078</v>
      </c>
      <c r="F1350" s="230">
        <v>37802</v>
      </c>
      <c r="G1350" s="230">
        <v>25</v>
      </c>
      <c r="H1350" s="240">
        <v>26.3</v>
      </c>
      <c r="I1350" s="240">
        <f t="shared" si="21"/>
        <v>657.5</v>
      </c>
      <c r="J1350" s="231" t="s">
        <v>1311</v>
      </c>
      <c r="K1350" s="231" t="s">
        <v>1312</v>
      </c>
      <c r="L1350" s="232">
        <v>45170</v>
      </c>
      <c r="M1350" s="232">
        <v>45199</v>
      </c>
    </row>
    <row r="1351" spans="1:13" ht="18.75" customHeight="1" x14ac:dyDescent="0.2">
      <c r="A1351" s="231" t="s">
        <v>0</v>
      </c>
      <c r="B1351" s="230">
        <v>115371</v>
      </c>
      <c r="C1351" s="230">
        <v>10760</v>
      </c>
      <c r="D1351" s="231" t="s">
        <v>1153</v>
      </c>
      <c r="E1351" s="230">
        <v>14491078</v>
      </c>
      <c r="F1351" s="230">
        <v>38935</v>
      </c>
      <c r="G1351" s="230">
        <v>25</v>
      </c>
      <c r="H1351" s="240">
        <v>26.3</v>
      </c>
      <c r="I1351" s="240">
        <f t="shared" si="21"/>
        <v>657.5</v>
      </c>
      <c r="J1351" s="231" t="s">
        <v>1311</v>
      </c>
      <c r="K1351" s="231" t="s">
        <v>1312</v>
      </c>
      <c r="L1351" s="232">
        <v>45170</v>
      </c>
      <c r="M1351" s="232">
        <v>45199</v>
      </c>
    </row>
    <row r="1352" spans="1:13" ht="18.75" customHeight="1" x14ac:dyDescent="0.2">
      <c r="A1352" s="231" t="s">
        <v>0</v>
      </c>
      <c r="B1352" s="230">
        <v>115378</v>
      </c>
      <c r="C1352" s="230">
        <v>10758</v>
      </c>
      <c r="D1352" s="231" t="s">
        <v>1154</v>
      </c>
      <c r="E1352" s="230">
        <v>14491078</v>
      </c>
      <c r="F1352" s="230">
        <v>38949</v>
      </c>
      <c r="G1352" s="230">
        <v>24</v>
      </c>
      <c r="H1352" s="240">
        <v>26.3</v>
      </c>
      <c r="I1352" s="240">
        <f t="shared" si="21"/>
        <v>631.20000000000005</v>
      </c>
      <c r="J1352" s="231" t="s">
        <v>1311</v>
      </c>
      <c r="K1352" s="231" t="s">
        <v>1312</v>
      </c>
      <c r="L1352" s="232">
        <v>45170</v>
      </c>
      <c r="M1352" s="232">
        <v>45199</v>
      </c>
    </row>
    <row r="1353" spans="1:13" ht="18.75" customHeight="1" x14ac:dyDescent="0.2">
      <c r="A1353" s="231" t="s">
        <v>0</v>
      </c>
      <c r="B1353" s="230">
        <v>115399</v>
      </c>
      <c r="C1353" s="230">
        <v>10757</v>
      </c>
      <c r="D1353" s="231" t="s">
        <v>1370</v>
      </c>
      <c r="E1353" s="230">
        <v>14491078</v>
      </c>
      <c r="F1353" s="230">
        <v>39005</v>
      </c>
      <c r="G1353" s="230">
        <v>25</v>
      </c>
      <c r="H1353" s="240">
        <v>26.3</v>
      </c>
      <c r="I1353" s="240">
        <f t="shared" si="21"/>
        <v>657.5</v>
      </c>
      <c r="J1353" s="231" t="s">
        <v>1311</v>
      </c>
      <c r="K1353" s="231" t="s">
        <v>1312</v>
      </c>
      <c r="L1353" s="232">
        <v>45170</v>
      </c>
      <c r="M1353" s="232">
        <v>45199</v>
      </c>
    </row>
    <row r="1354" spans="1:13" ht="18.75" customHeight="1" x14ac:dyDescent="0.2">
      <c r="A1354" s="231" t="s">
        <v>0</v>
      </c>
      <c r="B1354" s="230">
        <v>115400</v>
      </c>
      <c r="C1354" s="230">
        <v>10757</v>
      </c>
      <c r="D1354" s="231" t="s">
        <v>1157</v>
      </c>
      <c r="E1354" s="230">
        <v>14491078</v>
      </c>
      <c r="F1354" s="230">
        <v>39007</v>
      </c>
      <c r="G1354" s="230">
        <v>25</v>
      </c>
      <c r="H1354" s="240">
        <v>26.3</v>
      </c>
      <c r="I1354" s="240">
        <f t="shared" si="21"/>
        <v>657.5</v>
      </c>
      <c r="J1354" s="231" t="s">
        <v>1311</v>
      </c>
      <c r="K1354" s="231" t="s">
        <v>1312</v>
      </c>
      <c r="L1354" s="232">
        <v>45170</v>
      </c>
      <c r="M1354" s="232">
        <v>45199</v>
      </c>
    </row>
    <row r="1355" spans="1:13" ht="18.75" customHeight="1" x14ac:dyDescent="0.2">
      <c r="A1355" s="231" t="s">
        <v>0</v>
      </c>
      <c r="B1355" s="230">
        <v>115404</v>
      </c>
      <c r="C1355" s="230">
        <v>10750</v>
      </c>
      <c r="D1355" s="231" t="s">
        <v>1159</v>
      </c>
      <c r="E1355" s="230">
        <v>14491078</v>
      </c>
      <c r="F1355" s="230">
        <v>39015</v>
      </c>
      <c r="G1355" s="230">
        <v>25</v>
      </c>
      <c r="H1355" s="240">
        <v>26.3</v>
      </c>
      <c r="I1355" s="240">
        <f t="shared" si="21"/>
        <v>657.5</v>
      </c>
      <c r="J1355" s="231" t="s">
        <v>1311</v>
      </c>
      <c r="K1355" s="231" t="s">
        <v>1312</v>
      </c>
      <c r="L1355" s="232">
        <v>45170</v>
      </c>
      <c r="M1355" s="232">
        <v>45199</v>
      </c>
    </row>
    <row r="1356" spans="1:13" ht="18.75" customHeight="1" x14ac:dyDescent="0.2">
      <c r="A1356" s="231" t="s">
        <v>0</v>
      </c>
      <c r="B1356" s="230">
        <v>115406</v>
      </c>
      <c r="C1356" s="230">
        <v>10757</v>
      </c>
      <c r="D1356" s="231" t="s">
        <v>1328</v>
      </c>
      <c r="E1356" s="230">
        <v>14491078</v>
      </c>
      <c r="F1356" s="230">
        <v>39019</v>
      </c>
      <c r="G1356" s="230">
        <v>25</v>
      </c>
      <c r="H1356" s="240">
        <v>26.3</v>
      </c>
      <c r="I1356" s="240">
        <f t="shared" si="21"/>
        <v>657.5</v>
      </c>
      <c r="J1356" s="231" t="s">
        <v>1311</v>
      </c>
      <c r="K1356" s="231" t="s">
        <v>1312</v>
      </c>
      <c r="L1356" s="232">
        <v>45170</v>
      </c>
      <c r="M1356" s="232">
        <v>45199</v>
      </c>
    </row>
    <row r="1357" spans="1:13" ht="18.75" customHeight="1" x14ac:dyDescent="0.2">
      <c r="A1357" s="231" t="s">
        <v>0</v>
      </c>
      <c r="B1357" s="230">
        <v>115415</v>
      </c>
      <c r="C1357" s="230">
        <v>10757</v>
      </c>
      <c r="D1357" s="231" t="s">
        <v>1164</v>
      </c>
      <c r="E1357" s="230">
        <v>14491078</v>
      </c>
      <c r="F1357" s="230">
        <v>39038</v>
      </c>
      <c r="G1357" s="230">
        <v>25</v>
      </c>
      <c r="H1357" s="240">
        <v>26.3</v>
      </c>
      <c r="I1357" s="240">
        <f t="shared" si="21"/>
        <v>657.5</v>
      </c>
      <c r="J1357" s="231" t="s">
        <v>1311</v>
      </c>
      <c r="K1357" s="231" t="s">
        <v>1312</v>
      </c>
      <c r="L1357" s="232">
        <v>45170</v>
      </c>
      <c r="M1357" s="232">
        <v>45199</v>
      </c>
    </row>
    <row r="1358" spans="1:13" ht="18.75" customHeight="1" x14ac:dyDescent="0.2">
      <c r="A1358" s="231" t="s">
        <v>0</v>
      </c>
      <c r="B1358" s="230">
        <v>115818</v>
      </c>
      <c r="C1358" s="230">
        <v>10757</v>
      </c>
      <c r="D1358" s="231" t="s">
        <v>1341</v>
      </c>
      <c r="E1358" s="230">
        <v>14491078</v>
      </c>
      <c r="F1358" s="230">
        <v>40312</v>
      </c>
      <c r="G1358" s="230">
        <v>25</v>
      </c>
      <c r="H1358" s="240">
        <v>26.3</v>
      </c>
      <c r="I1358" s="240">
        <f t="shared" si="21"/>
        <v>657.5</v>
      </c>
      <c r="J1358" s="231" t="s">
        <v>1311</v>
      </c>
      <c r="K1358" s="231" t="s">
        <v>1312</v>
      </c>
      <c r="L1358" s="232">
        <v>45170</v>
      </c>
      <c r="M1358" s="232">
        <v>45199</v>
      </c>
    </row>
    <row r="1359" spans="1:13" ht="18.75" customHeight="1" x14ac:dyDescent="0.2">
      <c r="A1359" s="231" t="s">
        <v>0</v>
      </c>
      <c r="B1359" s="230">
        <v>116001</v>
      </c>
      <c r="C1359" s="230">
        <v>10750</v>
      </c>
      <c r="D1359" s="231" t="s">
        <v>1170</v>
      </c>
      <c r="E1359" s="230">
        <v>14491078</v>
      </c>
      <c r="F1359" s="230">
        <v>40858</v>
      </c>
      <c r="G1359" s="230">
        <v>25</v>
      </c>
      <c r="H1359" s="240">
        <v>26.3</v>
      </c>
      <c r="I1359" s="240">
        <f t="shared" si="21"/>
        <v>657.5</v>
      </c>
      <c r="J1359" s="231" t="s">
        <v>1311</v>
      </c>
      <c r="K1359" s="231" t="s">
        <v>1312</v>
      </c>
      <c r="L1359" s="232">
        <v>45170</v>
      </c>
      <c r="M1359" s="232">
        <v>45199</v>
      </c>
    </row>
    <row r="1360" spans="1:13" ht="18.75" customHeight="1" x14ac:dyDescent="0.2">
      <c r="A1360" s="231" t="s">
        <v>0</v>
      </c>
      <c r="B1360" s="230">
        <v>116002</v>
      </c>
      <c r="C1360" s="230">
        <v>10758</v>
      </c>
      <c r="D1360" s="231" t="s">
        <v>1171</v>
      </c>
      <c r="E1360" s="230">
        <v>14491078</v>
      </c>
      <c r="F1360" s="230">
        <v>40860</v>
      </c>
      <c r="G1360" s="230">
        <v>25</v>
      </c>
      <c r="H1360" s="240">
        <v>26.3</v>
      </c>
      <c r="I1360" s="240">
        <f t="shared" si="21"/>
        <v>657.5</v>
      </c>
      <c r="J1360" s="231" t="s">
        <v>1311</v>
      </c>
      <c r="K1360" s="231" t="s">
        <v>1312</v>
      </c>
      <c r="L1360" s="232">
        <v>45170</v>
      </c>
      <c r="M1360" s="232">
        <v>45199</v>
      </c>
    </row>
    <row r="1361" spans="1:13" ht="18.75" customHeight="1" x14ac:dyDescent="0.2">
      <c r="A1361" s="231" t="s">
        <v>0</v>
      </c>
      <c r="B1361" s="230">
        <v>116003</v>
      </c>
      <c r="C1361" s="230">
        <v>10763</v>
      </c>
      <c r="D1361" s="231" t="s">
        <v>1172</v>
      </c>
      <c r="E1361" s="230">
        <v>14491078</v>
      </c>
      <c r="F1361" s="230">
        <v>40862</v>
      </c>
      <c r="G1361" s="230">
        <v>25</v>
      </c>
      <c r="H1361" s="240">
        <v>26.3</v>
      </c>
      <c r="I1361" s="240">
        <f t="shared" si="21"/>
        <v>657.5</v>
      </c>
      <c r="J1361" s="231" t="s">
        <v>1311</v>
      </c>
      <c r="K1361" s="231" t="s">
        <v>1312</v>
      </c>
      <c r="L1361" s="232">
        <v>45170</v>
      </c>
      <c r="M1361" s="232">
        <v>45199</v>
      </c>
    </row>
    <row r="1362" spans="1:13" ht="18.75" customHeight="1" x14ac:dyDescent="0.2">
      <c r="A1362" s="231" t="s">
        <v>0</v>
      </c>
      <c r="B1362" s="230">
        <v>116004</v>
      </c>
      <c r="C1362" s="230">
        <v>10757</v>
      </c>
      <c r="D1362" s="231" t="s">
        <v>1173</v>
      </c>
      <c r="E1362" s="230">
        <v>14491078</v>
      </c>
      <c r="F1362" s="230">
        <v>40864</v>
      </c>
      <c r="G1362" s="230">
        <v>25</v>
      </c>
      <c r="H1362" s="240">
        <v>26.3</v>
      </c>
      <c r="I1362" s="240">
        <f t="shared" si="21"/>
        <v>657.5</v>
      </c>
      <c r="J1362" s="231" t="s">
        <v>1311</v>
      </c>
      <c r="K1362" s="231" t="s">
        <v>1312</v>
      </c>
      <c r="L1362" s="232">
        <v>45170</v>
      </c>
      <c r="M1362" s="232">
        <v>45199</v>
      </c>
    </row>
    <row r="1363" spans="1:13" ht="18.75" customHeight="1" x14ac:dyDescent="0.2">
      <c r="A1363" s="231" t="s">
        <v>0</v>
      </c>
      <c r="B1363" s="230">
        <v>116006</v>
      </c>
      <c r="C1363" s="230">
        <v>10758</v>
      </c>
      <c r="D1363" s="231" t="s">
        <v>1364</v>
      </c>
      <c r="E1363" s="230">
        <v>14491078</v>
      </c>
      <c r="F1363" s="230">
        <v>40868</v>
      </c>
      <c r="G1363" s="230">
        <v>25</v>
      </c>
      <c r="H1363" s="240">
        <v>26.3</v>
      </c>
      <c r="I1363" s="240">
        <f t="shared" si="21"/>
        <v>657.5</v>
      </c>
      <c r="J1363" s="231" t="s">
        <v>1311</v>
      </c>
      <c r="K1363" s="231" t="s">
        <v>1312</v>
      </c>
      <c r="L1363" s="232">
        <v>45170</v>
      </c>
      <c r="M1363" s="232">
        <v>45199</v>
      </c>
    </row>
    <row r="1364" spans="1:13" ht="18.75" customHeight="1" x14ac:dyDescent="0.2">
      <c r="A1364" s="231" t="s">
        <v>0</v>
      </c>
      <c r="B1364" s="230">
        <v>116008</v>
      </c>
      <c r="C1364" s="230">
        <v>10761</v>
      </c>
      <c r="D1364" s="231" t="s">
        <v>1175</v>
      </c>
      <c r="E1364" s="230">
        <v>14491078</v>
      </c>
      <c r="F1364" s="230">
        <v>40872</v>
      </c>
      <c r="G1364" s="230">
        <v>25</v>
      </c>
      <c r="H1364" s="240">
        <v>26.3</v>
      </c>
      <c r="I1364" s="240">
        <f t="shared" si="21"/>
        <v>657.5</v>
      </c>
      <c r="J1364" s="231" t="s">
        <v>1311</v>
      </c>
      <c r="K1364" s="231" t="s">
        <v>1312</v>
      </c>
      <c r="L1364" s="232">
        <v>45170</v>
      </c>
      <c r="M1364" s="232">
        <v>45199</v>
      </c>
    </row>
    <row r="1365" spans="1:13" ht="18.75" customHeight="1" x14ac:dyDescent="0.2">
      <c r="A1365" s="231" t="s">
        <v>0</v>
      </c>
      <c r="B1365" s="230">
        <v>116010</v>
      </c>
      <c r="C1365" s="230">
        <v>10757</v>
      </c>
      <c r="D1365" s="231" t="s">
        <v>1176</v>
      </c>
      <c r="E1365" s="230">
        <v>14491078</v>
      </c>
      <c r="F1365" s="230">
        <v>40876</v>
      </c>
      <c r="G1365" s="230">
        <v>25</v>
      </c>
      <c r="H1365" s="240">
        <v>26.3</v>
      </c>
      <c r="I1365" s="240">
        <f t="shared" si="21"/>
        <v>657.5</v>
      </c>
      <c r="J1365" s="231" t="s">
        <v>1311</v>
      </c>
      <c r="K1365" s="231" t="s">
        <v>1312</v>
      </c>
      <c r="L1365" s="232">
        <v>45170</v>
      </c>
      <c r="M1365" s="232">
        <v>45199</v>
      </c>
    </row>
    <row r="1366" spans="1:13" ht="18.75" customHeight="1" x14ac:dyDescent="0.2">
      <c r="A1366" s="231" t="s">
        <v>0</v>
      </c>
      <c r="B1366" s="230">
        <v>116020</v>
      </c>
      <c r="C1366" s="230">
        <v>10761</v>
      </c>
      <c r="D1366" s="231" t="s">
        <v>1177</v>
      </c>
      <c r="E1366" s="230">
        <v>14491078</v>
      </c>
      <c r="F1366" s="230">
        <v>40900</v>
      </c>
      <c r="G1366" s="230">
        <v>25</v>
      </c>
      <c r="H1366" s="240">
        <v>26.3</v>
      </c>
      <c r="I1366" s="240">
        <f t="shared" si="21"/>
        <v>657.5</v>
      </c>
      <c r="J1366" s="231" t="s">
        <v>1311</v>
      </c>
      <c r="K1366" s="231" t="s">
        <v>1312</v>
      </c>
      <c r="L1366" s="232">
        <v>45170</v>
      </c>
      <c r="M1366" s="232">
        <v>45199</v>
      </c>
    </row>
    <row r="1367" spans="1:13" ht="18.75" customHeight="1" x14ac:dyDescent="0.2">
      <c r="A1367" s="231" t="s">
        <v>0</v>
      </c>
      <c r="B1367" s="230">
        <v>116031</v>
      </c>
      <c r="C1367" s="230">
        <v>10763</v>
      </c>
      <c r="D1367" s="231" t="s">
        <v>1182</v>
      </c>
      <c r="E1367" s="230">
        <v>14491078</v>
      </c>
      <c r="F1367" s="230">
        <v>40925</v>
      </c>
      <c r="G1367" s="230">
        <v>25</v>
      </c>
      <c r="H1367" s="240">
        <v>26.3</v>
      </c>
      <c r="I1367" s="240">
        <f t="shared" si="21"/>
        <v>657.5</v>
      </c>
      <c r="J1367" s="231" t="s">
        <v>1311</v>
      </c>
      <c r="K1367" s="231" t="s">
        <v>1312</v>
      </c>
      <c r="L1367" s="232">
        <v>45170</v>
      </c>
      <c r="M1367" s="232">
        <v>45199</v>
      </c>
    </row>
    <row r="1368" spans="1:13" ht="18.75" customHeight="1" x14ac:dyDescent="0.2">
      <c r="A1368" s="231" t="s">
        <v>0</v>
      </c>
      <c r="B1368" s="230">
        <v>116224</v>
      </c>
      <c r="C1368" s="230">
        <v>10766</v>
      </c>
      <c r="D1368" s="231" t="s">
        <v>1193</v>
      </c>
      <c r="E1368" s="230">
        <v>14491078</v>
      </c>
      <c r="F1368" s="230">
        <v>41558</v>
      </c>
      <c r="G1368" s="230">
        <v>25</v>
      </c>
      <c r="H1368" s="240">
        <v>26.3</v>
      </c>
      <c r="I1368" s="240">
        <f t="shared" si="21"/>
        <v>657.5</v>
      </c>
      <c r="J1368" s="231" t="s">
        <v>1311</v>
      </c>
      <c r="K1368" s="231" t="s">
        <v>1312</v>
      </c>
      <c r="L1368" s="232">
        <v>45170</v>
      </c>
      <c r="M1368" s="232">
        <v>45199</v>
      </c>
    </row>
    <row r="1369" spans="1:13" ht="18.75" customHeight="1" x14ac:dyDescent="0.2">
      <c r="A1369" s="231" t="s">
        <v>0</v>
      </c>
      <c r="B1369" s="230">
        <v>116226</v>
      </c>
      <c r="C1369" s="230">
        <v>10766</v>
      </c>
      <c r="D1369" s="231" t="s">
        <v>1195</v>
      </c>
      <c r="E1369" s="230">
        <v>14491078</v>
      </c>
      <c r="F1369" s="230">
        <v>41562</v>
      </c>
      <c r="G1369" s="230">
        <v>21</v>
      </c>
      <c r="H1369" s="240">
        <v>26.3</v>
      </c>
      <c r="I1369" s="240">
        <f t="shared" si="21"/>
        <v>552.30000000000007</v>
      </c>
      <c r="J1369" s="231" t="s">
        <v>1311</v>
      </c>
      <c r="K1369" s="231" t="s">
        <v>1312</v>
      </c>
      <c r="L1369" s="232">
        <v>45170</v>
      </c>
      <c r="M1369" s="232">
        <v>45199</v>
      </c>
    </row>
    <row r="1370" spans="1:13" ht="18.75" customHeight="1" x14ac:dyDescent="0.2">
      <c r="A1370" s="231" t="s">
        <v>0</v>
      </c>
      <c r="B1370" s="230">
        <v>116232</v>
      </c>
      <c r="C1370" s="230">
        <v>10766</v>
      </c>
      <c r="D1370" s="231" t="s">
        <v>1198</v>
      </c>
      <c r="E1370" s="230">
        <v>14491078</v>
      </c>
      <c r="F1370" s="230">
        <v>41572</v>
      </c>
      <c r="G1370" s="230">
        <v>25</v>
      </c>
      <c r="H1370" s="240">
        <v>26.3</v>
      </c>
      <c r="I1370" s="240">
        <f t="shared" si="21"/>
        <v>657.5</v>
      </c>
      <c r="J1370" s="231" t="s">
        <v>1311</v>
      </c>
      <c r="K1370" s="231" t="s">
        <v>1312</v>
      </c>
      <c r="L1370" s="232">
        <v>45170</v>
      </c>
      <c r="M1370" s="232">
        <v>45199</v>
      </c>
    </row>
    <row r="1371" spans="1:13" ht="18.75" customHeight="1" x14ac:dyDescent="0.2">
      <c r="A1371" s="231" t="s">
        <v>0</v>
      </c>
      <c r="B1371" s="230">
        <v>116321</v>
      </c>
      <c r="C1371" s="230">
        <v>10755</v>
      </c>
      <c r="D1371" s="231" t="s">
        <v>1310</v>
      </c>
      <c r="E1371" s="230">
        <v>14491078</v>
      </c>
      <c r="F1371" s="230">
        <v>41855</v>
      </c>
      <c r="G1371" s="230">
        <v>25</v>
      </c>
      <c r="H1371" s="240">
        <v>26.3</v>
      </c>
      <c r="I1371" s="240">
        <f t="shared" si="21"/>
        <v>657.5</v>
      </c>
      <c r="J1371" s="231" t="s">
        <v>1311</v>
      </c>
      <c r="K1371" s="231" t="s">
        <v>1312</v>
      </c>
      <c r="L1371" s="232">
        <v>45170</v>
      </c>
      <c r="M1371" s="232">
        <v>45199</v>
      </c>
    </row>
    <row r="1372" spans="1:13" ht="18.75" customHeight="1" x14ac:dyDescent="0.2">
      <c r="A1372" s="231" t="s">
        <v>0</v>
      </c>
      <c r="B1372" s="230">
        <v>116323</v>
      </c>
      <c r="C1372" s="230">
        <v>10758</v>
      </c>
      <c r="D1372" s="231" t="s">
        <v>1209</v>
      </c>
      <c r="E1372" s="230">
        <v>14491078</v>
      </c>
      <c r="F1372" s="230">
        <v>41859</v>
      </c>
      <c r="G1372" s="230">
        <v>25</v>
      </c>
      <c r="H1372" s="240">
        <v>26.3</v>
      </c>
      <c r="I1372" s="240">
        <f t="shared" si="21"/>
        <v>657.5</v>
      </c>
      <c r="J1372" s="231" t="s">
        <v>1311</v>
      </c>
      <c r="K1372" s="231" t="s">
        <v>1312</v>
      </c>
      <c r="L1372" s="232">
        <v>45170</v>
      </c>
      <c r="M1372" s="232">
        <v>45199</v>
      </c>
    </row>
    <row r="1373" spans="1:13" ht="18.75" customHeight="1" x14ac:dyDescent="0.2">
      <c r="A1373" s="231" t="s">
        <v>0</v>
      </c>
      <c r="B1373" s="230">
        <v>116327</v>
      </c>
      <c r="C1373" s="230">
        <v>10757</v>
      </c>
      <c r="D1373" s="231" t="s">
        <v>1522</v>
      </c>
      <c r="E1373" s="230">
        <v>14491078</v>
      </c>
      <c r="F1373" s="230">
        <v>41865</v>
      </c>
      <c r="G1373" s="230">
        <v>25</v>
      </c>
      <c r="H1373" s="240">
        <v>26.3</v>
      </c>
      <c r="I1373" s="240">
        <f t="shared" si="21"/>
        <v>657.5</v>
      </c>
      <c r="J1373" s="231" t="s">
        <v>1311</v>
      </c>
      <c r="K1373" s="231" t="s">
        <v>1312</v>
      </c>
      <c r="L1373" s="232">
        <v>45170</v>
      </c>
      <c r="M1373" s="232">
        <v>45199</v>
      </c>
    </row>
    <row r="1374" spans="1:13" ht="18.75" customHeight="1" x14ac:dyDescent="0.2">
      <c r="A1374" s="231" t="s">
        <v>0</v>
      </c>
      <c r="B1374" s="230">
        <v>116329</v>
      </c>
      <c r="C1374" s="230">
        <v>10763</v>
      </c>
      <c r="D1374" s="231" t="s">
        <v>1211</v>
      </c>
      <c r="E1374" s="230">
        <v>14491078</v>
      </c>
      <c r="F1374" s="230">
        <v>41869</v>
      </c>
      <c r="G1374" s="230">
        <v>24</v>
      </c>
      <c r="H1374" s="240">
        <v>26.3</v>
      </c>
      <c r="I1374" s="240">
        <f t="shared" si="21"/>
        <v>631.20000000000005</v>
      </c>
      <c r="J1374" s="231" t="s">
        <v>1311</v>
      </c>
      <c r="K1374" s="231" t="s">
        <v>1312</v>
      </c>
      <c r="L1374" s="232">
        <v>45170</v>
      </c>
      <c r="M1374" s="232">
        <v>45199</v>
      </c>
    </row>
    <row r="1375" spans="1:13" ht="18.75" customHeight="1" x14ac:dyDescent="0.2">
      <c r="A1375" s="231" t="s">
        <v>0</v>
      </c>
      <c r="B1375" s="230">
        <v>116330</v>
      </c>
      <c r="C1375" s="230">
        <v>10763</v>
      </c>
      <c r="D1375" s="231" t="s">
        <v>1212</v>
      </c>
      <c r="E1375" s="230">
        <v>14491078</v>
      </c>
      <c r="F1375" s="230">
        <v>41871</v>
      </c>
      <c r="G1375" s="230">
        <v>25</v>
      </c>
      <c r="H1375" s="240">
        <v>26.3</v>
      </c>
      <c r="I1375" s="240">
        <f t="shared" si="21"/>
        <v>657.5</v>
      </c>
      <c r="J1375" s="231" t="s">
        <v>1311</v>
      </c>
      <c r="K1375" s="231" t="s">
        <v>1312</v>
      </c>
      <c r="L1375" s="232">
        <v>45170</v>
      </c>
      <c r="M1375" s="232">
        <v>45199</v>
      </c>
    </row>
    <row r="1376" spans="1:13" ht="18.75" customHeight="1" x14ac:dyDescent="0.2">
      <c r="A1376" s="231" t="s">
        <v>0</v>
      </c>
      <c r="B1376" s="230">
        <v>116331</v>
      </c>
      <c r="C1376" s="230">
        <v>10758</v>
      </c>
      <c r="D1376" s="231" t="s">
        <v>1563</v>
      </c>
      <c r="E1376" s="230">
        <v>14491078</v>
      </c>
      <c r="F1376" s="230">
        <v>41873</v>
      </c>
      <c r="G1376" s="230">
        <v>3</v>
      </c>
      <c r="H1376" s="240">
        <v>26.3</v>
      </c>
      <c r="I1376" s="240">
        <f t="shared" si="21"/>
        <v>78.900000000000006</v>
      </c>
      <c r="J1376" s="231" t="s">
        <v>1311</v>
      </c>
      <c r="K1376" s="231" t="s">
        <v>1312</v>
      </c>
      <c r="L1376" s="232">
        <v>45170</v>
      </c>
      <c r="M1376" s="232">
        <v>45199</v>
      </c>
    </row>
    <row r="1377" spans="1:13" ht="18.75" customHeight="1" x14ac:dyDescent="0.2">
      <c r="A1377" s="231" t="s">
        <v>0</v>
      </c>
      <c r="B1377" s="230">
        <v>116389</v>
      </c>
      <c r="C1377" s="230">
        <v>10752</v>
      </c>
      <c r="D1377" s="231" t="s">
        <v>1217</v>
      </c>
      <c r="E1377" s="230">
        <v>14491078</v>
      </c>
      <c r="F1377" s="230">
        <v>42047</v>
      </c>
      <c r="G1377" s="230">
        <v>25</v>
      </c>
      <c r="H1377" s="240">
        <v>26.3</v>
      </c>
      <c r="I1377" s="240">
        <f t="shared" si="21"/>
        <v>657.5</v>
      </c>
      <c r="J1377" s="231" t="s">
        <v>1311</v>
      </c>
      <c r="K1377" s="231" t="s">
        <v>1312</v>
      </c>
      <c r="L1377" s="232">
        <v>45170</v>
      </c>
      <c r="M1377" s="232">
        <v>45199</v>
      </c>
    </row>
    <row r="1378" spans="1:13" ht="18.75" customHeight="1" x14ac:dyDescent="0.2">
      <c r="A1378" s="231" t="s">
        <v>0</v>
      </c>
      <c r="B1378" s="230">
        <v>116972</v>
      </c>
      <c r="C1378" s="230">
        <v>10760</v>
      </c>
      <c r="D1378" s="231" t="s">
        <v>1241</v>
      </c>
      <c r="E1378" s="230">
        <v>14491078</v>
      </c>
      <c r="F1378" s="230">
        <v>43455</v>
      </c>
      <c r="G1378" s="230">
        <v>25</v>
      </c>
      <c r="H1378" s="240">
        <v>26.3</v>
      </c>
      <c r="I1378" s="240">
        <f t="shared" si="21"/>
        <v>657.5</v>
      </c>
      <c r="J1378" s="231" t="s">
        <v>1311</v>
      </c>
      <c r="K1378" s="231" t="s">
        <v>1312</v>
      </c>
      <c r="L1378" s="232">
        <v>45170</v>
      </c>
      <c r="M1378" s="232">
        <v>45199</v>
      </c>
    </row>
    <row r="1379" spans="1:13" ht="18.75" customHeight="1" x14ac:dyDescent="0.2">
      <c r="A1379" s="231" t="s">
        <v>0</v>
      </c>
      <c r="B1379" s="230">
        <v>116973</v>
      </c>
      <c r="C1379" s="230">
        <v>10757</v>
      </c>
      <c r="D1379" s="231" t="s">
        <v>1242</v>
      </c>
      <c r="E1379" s="230">
        <v>14491078</v>
      </c>
      <c r="F1379" s="230">
        <v>43457</v>
      </c>
      <c r="G1379" s="230">
        <v>23</v>
      </c>
      <c r="H1379" s="240">
        <v>26.3</v>
      </c>
      <c r="I1379" s="240">
        <f t="shared" si="21"/>
        <v>604.9</v>
      </c>
      <c r="J1379" s="231" t="s">
        <v>1311</v>
      </c>
      <c r="K1379" s="231" t="s">
        <v>1312</v>
      </c>
      <c r="L1379" s="232">
        <v>45170</v>
      </c>
      <c r="M1379" s="232">
        <v>45199</v>
      </c>
    </row>
    <row r="1380" spans="1:13" ht="18.75" customHeight="1" x14ac:dyDescent="0.2">
      <c r="A1380" s="231" t="s">
        <v>0</v>
      </c>
      <c r="B1380" s="230">
        <v>116976</v>
      </c>
      <c r="C1380" s="230">
        <v>10757</v>
      </c>
      <c r="D1380" s="231" t="s">
        <v>1244</v>
      </c>
      <c r="E1380" s="230">
        <v>14491078</v>
      </c>
      <c r="F1380" s="230">
        <v>43463</v>
      </c>
      <c r="G1380" s="230">
        <v>25</v>
      </c>
      <c r="H1380" s="240">
        <v>26.3</v>
      </c>
      <c r="I1380" s="240">
        <f t="shared" si="21"/>
        <v>657.5</v>
      </c>
      <c r="J1380" s="231" t="s">
        <v>1311</v>
      </c>
      <c r="K1380" s="231" t="s">
        <v>1312</v>
      </c>
      <c r="L1380" s="232">
        <v>45170</v>
      </c>
      <c r="M1380" s="232">
        <v>45199</v>
      </c>
    </row>
    <row r="1381" spans="1:13" ht="18.75" customHeight="1" x14ac:dyDescent="0.2">
      <c r="A1381" s="231" t="s">
        <v>0</v>
      </c>
      <c r="B1381" s="230">
        <v>116981</v>
      </c>
      <c r="C1381" s="230">
        <v>10758</v>
      </c>
      <c r="D1381" s="231" t="s">
        <v>1248</v>
      </c>
      <c r="E1381" s="230">
        <v>14491078</v>
      </c>
      <c r="F1381" s="230">
        <v>43473</v>
      </c>
      <c r="G1381" s="230">
        <v>25</v>
      </c>
      <c r="H1381" s="240">
        <v>26.3</v>
      </c>
      <c r="I1381" s="240">
        <f t="shared" si="21"/>
        <v>657.5</v>
      </c>
      <c r="J1381" s="231" t="s">
        <v>1311</v>
      </c>
      <c r="K1381" s="231" t="s">
        <v>1312</v>
      </c>
      <c r="L1381" s="232">
        <v>45170</v>
      </c>
      <c r="M1381" s="232">
        <v>45199</v>
      </c>
    </row>
    <row r="1382" spans="1:13" ht="18.75" customHeight="1" x14ac:dyDescent="0.2">
      <c r="A1382" s="231" t="s">
        <v>0</v>
      </c>
      <c r="B1382" s="230">
        <v>116983</v>
      </c>
      <c r="C1382" s="230">
        <v>10757</v>
      </c>
      <c r="D1382" s="231" t="s">
        <v>1249</v>
      </c>
      <c r="E1382" s="230">
        <v>14491078</v>
      </c>
      <c r="F1382" s="230">
        <v>43478</v>
      </c>
      <c r="G1382" s="230">
        <v>25</v>
      </c>
      <c r="H1382" s="240">
        <v>26.3</v>
      </c>
      <c r="I1382" s="240">
        <f t="shared" si="21"/>
        <v>657.5</v>
      </c>
      <c r="J1382" s="231" t="s">
        <v>1311</v>
      </c>
      <c r="K1382" s="231" t="s">
        <v>1312</v>
      </c>
      <c r="L1382" s="232">
        <v>45170</v>
      </c>
      <c r="M1382" s="232">
        <v>45199</v>
      </c>
    </row>
    <row r="1383" spans="1:13" ht="18.75" customHeight="1" x14ac:dyDescent="0.2">
      <c r="A1383" s="231" t="s">
        <v>0</v>
      </c>
      <c r="B1383" s="230">
        <v>116985</v>
      </c>
      <c r="C1383" s="230">
        <v>10763</v>
      </c>
      <c r="D1383" s="231" t="s">
        <v>1250</v>
      </c>
      <c r="E1383" s="230">
        <v>14491078</v>
      </c>
      <c r="F1383" s="230">
        <v>43482</v>
      </c>
      <c r="G1383" s="230">
        <v>25</v>
      </c>
      <c r="H1383" s="240">
        <v>26.3</v>
      </c>
      <c r="I1383" s="240">
        <f t="shared" si="21"/>
        <v>657.5</v>
      </c>
      <c r="J1383" s="231" t="s">
        <v>1311</v>
      </c>
      <c r="K1383" s="231" t="s">
        <v>1315</v>
      </c>
      <c r="L1383" s="232">
        <v>45170</v>
      </c>
      <c r="M1383" s="232">
        <v>45199</v>
      </c>
    </row>
    <row r="1384" spans="1:13" ht="18.75" customHeight="1" x14ac:dyDescent="0.2">
      <c r="A1384" s="231" t="s">
        <v>0</v>
      </c>
      <c r="B1384" s="230">
        <v>117235</v>
      </c>
      <c r="C1384" s="230">
        <v>10748</v>
      </c>
      <c r="D1384" s="231" t="s">
        <v>1258</v>
      </c>
      <c r="E1384" s="230">
        <v>14491078</v>
      </c>
      <c r="F1384" s="230">
        <v>44087</v>
      </c>
      <c r="G1384" s="230">
        <v>24</v>
      </c>
      <c r="H1384" s="240">
        <v>26.3</v>
      </c>
      <c r="I1384" s="240">
        <f t="shared" si="21"/>
        <v>631.20000000000005</v>
      </c>
      <c r="J1384" s="231" t="s">
        <v>1311</v>
      </c>
      <c r="K1384" s="231" t="s">
        <v>1312</v>
      </c>
      <c r="L1384" s="232">
        <v>45170</v>
      </c>
      <c r="M1384" s="232">
        <v>45199</v>
      </c>
    </row>
    <row r="1385" spans="1:13" ht="18.75" customHeight="1" x14ac:dyDescent="0.2">
      <c r="A1385" s="231" t="s">
        <v>0</v>
      </c>
      <c r="B1385" s="230">
        <v>117236</v>
      </c>
      <c r="C1385" s="230">
        <v>10750</v>
      </c>
      <c r="D1385" s="231" t="s">
        <v>1259</v>
      </c>
      <c r="E1385" s="230">
        <v>14491078</v>
      </c>
      <c r="F1385" s="230">
        <v>44089</v>
      </c>
      <c r="G1385" s="230">
        <v>25</v>
      </c>
      <c r="H1385" s="240">
        <v>26.3</v>
      </c>
      <c r="I1385" s="240">
        <f t="shared" si="21"/>
        <v>657.5</v>
      </c>
      <c r="J1385" s="231" t="s">
        <v>1311</v>
      </c>
      <c r="K1385" s="231" t="s">
        <v>1312</v>
      </c>
      <c r="L1385" s="232">
        <v>45170</v>
      </c>
      <c r="M1385" s="232">
        <v>45199</v>
      </c>
    </row>
    <row r="1386" spans="1:13" ht="18.75" customHeight="1" x14ac:dyDescent="0.2">
      <c r="A1386" s="231" t="s">
        <v>0</v>
      </c>
      <c r="B1386" s="230">
        <v>117240</v>
      </c>
      <c r="C1386" s="230">
        <v>10745</v>
      </c>
      <c r="D1386" s="231" t="s">
        <v>1262</v>
      </c>
      <c r="E1386" s="230">
        <v>14491078</v>
      </c>
      <c r="F1386" s="230">
        <v>44097</v>
      </c>
      <c r="G1386" s="230">
        <v>25</v>
      </c>
      <c r="H1386" s="240">
        <v>26.3</v>
      </c>
      <c r="I1386" s="240">
        <f t="shared" si="21"/>
        <v>657.5</v>
      </c>
      <c r="J1386" s="231" t="s">
        <v>1311</v>
      </c>
      <c r="K1386" s="231" t="s">
        <v>1312</v>
      </c>
      <c r="L1386" s="232">
        <v>45170</v>
      </c>
      <c r="M1386" s="232">
        <v>45199</v>
      </c>
    </row>
    <row r="1387" spans="1:13" ht="18.75" customHeight="1" x14ac:dyDescent="0.2">
      <c r="A1387" s="231" t="s">
        <v>0</v>
      </c>
      <c r="B1387" s="230">
        <v>117409</v>
      </c>
      <c r="C1387" s="230">
        <v>10750</v>
      </c>
      <c r="D1387" s="231" t="s">
        <v>1277</v>
      </c>
      <c r="E1387" s="230">
        <v>14491078</v>
      </c>
      <c r="F1387" s="230">
        <v>44521</v>
      </c>
      <c r="G1387" s="230">
        <v>25</v>
      </c>
      <c r="H1387" s="240">
        <v>26.3</v>
      </c>
      <c r="I1387" s="240">
        <f t="shared" si="21"/>
        <v>657.5</v>
      </c>
      <c r="J1387" s="231" t="s">
        <v>1311</v>
      </c>
      <c r="K1387" s="231" t="s">
        <v>1312</v>
      </c>
      <c r="L1387" s="232">
        <v>45170</v>
      </c>
      <c r="M1387" s="232">
        <v>45199</v>
      </c>
    </row>
    <row r="1388" spans="1:13" ht="18.75" customHeight="1" x14ac:dyDescent="0.2">
      <c r="A1388" s="231" t="s">
        <v>0</v>
      </c>
      <c r="B1388" s="230">
        <v>118049</v>
      </c>
      <c r="C1388" s="230">
        <v>10757</v>
      </c>
      <c r="D1388" s="231" t="s">
        <v>1587</v>
      </c>
      <c r="E1388" s="230">
        <v>14491078</v>
      </c>
      <c r="F1388" s="230">
        <v>45887</v>
      </c>
      <c r="G1388" s="230">
        <v>25</v>
      </c>
      <c r="H1388" s="240">
        <v>26.3</v>
      </c>
      <c r="I1388" s="240">
        <f t="shared" si="21"/>
        <v>657.5</v>
      </c>
      <c r="J1388" s="231" t="s">
        <v>1311</v>
      </c>
      <c r="K1388" s="231" t="s">
        <v>1315</v>
      </c>
      <c r="L1388" s="232">
        <v>45170</v>
      </c>
      <c r="M1388" s="232">
        <v>45199</v>
      </c>
    </row>
    <row r="1389" spans="1:13" ht="18.75" customHeight="1" x14ac:dyDescent="0.2">
      <c r="A1389" s="231" t="s">
        <v>0</v>
      </c>
      <c r="B1389" s="230">
        <v>118050</v>
      </c>
      <c r="C1389" s="230">
        <v>10758</v>
      </c>
      <c r="D1389" s="231" t="s">
        <v>1412</v>
      </c>
      <c r="E1389" s="230">
        <v>14491078</v>
      </c>
      <c r="F1389" s="230">
        <v>45889</v>
      </c>
      <c r="G1389" s="230">
        <v>25</v>
      </c>
      <c r="H1389" s="240">
        <v>26.3</v>
      </c>
      <c r="I1389" s="240">
        <f t="shared" si="21"/>
        <v>657.5</v>
      </c>
      <c r="J1389" s="231" t="s">
        <v>1311</v>
      </c>
      <c r="K1389" s="231" t="s">
        <v>1312</v>
      </c>
      <c r="L1389" s="232">
        <v>45170</v>
      </c>
      <c r="M1389" s="232">
        <v>45199</v>
      </c>
    </row>
    <row r="1390" spans="1:13" ht="18.75" customHeight="1" x14ac:dyDescent="0.2">
      <c r="A1390" s="231" t="s">
        <v>0</v>
      </c>
      <c r="B1390" s="230">
        <v>118056</v>
      </c>
      <c r="C1390" s="230">
        <v>10758</v>
      </c>
      <c r="D1390" s="231" t="s">
        <v>1401</v>
      </c>
      <c r="E1390" s="230">
        <v>14491078</v>
      </c>
      <c r="F1390" s="230">
        <v>45901</v>
      </c>
      <c r="G1390" s="230">
        <v>25</v>
      </c>
      <c r="H1390" s="240">
        <v>26.3</v>
      </c>
      <c r="I1390" s="240">
        <f t="shared" si="21"/>
        <v>657.5</v>
      </c>
      <c r="J1390" s="231" t="s">
        <v>1311</v>
      </c>
      <c r="K1390" s="231" t="s">
        <v>1312</v>
      </c>
      <c r="L1390" s="232">
        <v>45170</v>
      </c>
      <c r="M1390" s="232">
        <v>45199</v>
      </c>
    </row>
    <row r="1391" spans="1:13" ht="18.75" customHeight="1" x14ac:dyDescent="0.2">
      <c r="A1391" s="231" t="s">
        <v>0</v>
      </c>
      <c r="B1391" s="230">
        <v>118057</v>
      </c>
      <c r="C1391" s="230">
        <v>10757</v>
      </c>
      <c r="D1391" s="231" t="s">
        <v>1406</v>
      </c>
      <c r="E1391" s="230">
        <v>14491078</v>
      </c>
      <c r="F1391" s="230">
        <v>45903</v>
      </c>
      <c r="G1391" s="230">
        <v>24</v>
      </c>
      <c r="H1391" s="240">
        <v>26.3</v>
      </c>
      <c r="I1391" s="240">
        <f t="shared" si="21"/>
        <v>631.20000000000005</v>
      </c>
      <c r="J1391" s="231" t="s">
        <v>1311</v>
      </c>
      <c r="K1391" s="231" t="s">
        <v>1315</v>
      </c>
      <c r="L1391" s="232">
        <v>45170</v>
      </c>
      <c r="M1391" s="232">
        <v>45199</v>
      </c>
    </row>
    <row r="1392" spans="1:13" ht="18.75" customHeight="1" x14ac:dyDescent="0.2">
      <c r="A1392" s="231" t="s">
        <v>0</v>
      </c>
      <c r="B1392" s="230">
        <v>118058</v>
      </c>
      <c r="C1392" s="230">
        <v>10758</v>
      </c>
      <c r="D1392" s="231" t="s">
        <v>1408</v>
      </c>
      <c r="E1392" s="230">
        <v>14491078</v>
      </c>
      <c r="F1392" s="230">
        <v>45905</v>
      </c>
      <c r="G1392" s="230">
        <v>25</v>
      </c>
      <c r="H1392" s="240">
        <v>26.3</v>
      </c>
      <c r="I1392" s="240">
        <f t="shared" si="21"/>
        <v>657.5</v>
      </c>
      <c r="J1392" s="231" t="s">
        <v>1311</v>
      </c>
      <c r="K1392" s="231" t="s">
        <v>1312</v>
      </c>
      <c r="L1392" s="232">
        <v>45170</v>
      </c>
      <c r="M1392" s="232">
        <v>45199</v>
      </c>
    </row>
    <row r="1393" spans="1:13" ht="18.75" customHeight="1" x14ac:dyDescent="0.2">
      <c r="A1393" s="231" t="s">
        <v>0</v>
      </c>
      <c r="B1393" s="230">
        <v>118059</v>
      </c>
      <c r="C1393" s="230">
        <v>10757</v>
      </c>
      <c r="D1393" s="231" t="s">
        <v>1431</v>
      </c>
      <c r="E1393" s="230">
        <v>14491078</v>
      </c>
      <c r="F1393" s="230">
        <v>45907</v>
      </c>
      <c r="G1393" s="230">
        <v>24</v>
      </c>
      <c r="H1393" s="240">
        <v>26.3</v>
      </c>
      <c r="I1393" s="240">
        <f t="shared" si="21"/>
        <v>631.20000000000005</v>
      </c>
      <c r="J1393" s="231" t="s">
        <v>1311</v>
      </c>
      <c r="K1393" s="231" t="s">
        <v>1312</v>
      </c>
      <c r="L1393" s="232">
        <v>45170</v>
      </c>
      <c r="M1393" s="232">
        <v>45199</v>
      </c>
    </row>
    <row r="1394" spans="1:13" ht="18.75" customHeight="1" x14ac:dyDescent="0.2">
      <c r="A1394" s="231" t="s">
        <v>0</v>
      </c>
      <c r="B1394" s="230">
        <v>118060</v>
      </c>
      <c r="C1394" s="230">
        <v>10757</v>
      </c>
      <c r="D1394" s="231" t="s">
        <v>1410</v>
      </c>
      <c r="E1394" s="230">
        <v>14491078</v>
      </c>
      <c r="F1394" s="230">
        <v>45909</v>
      </c>
      <c r="G1394" s="230">
        <v>24</v>
      </c>
      <c r="H1394" s="240">
        <v>26.3</v>
      </c>
      <c r="I1394" s="240">
        <f t="shared" si="21"/>
        <v>631.20000000000005</v>
      </c>
      <c r="J1394" s="231" t="s">
        <v>1311</v>
      </c>
      <c r="K1394" s="231" t="s">
        <v>1312</v>
      </c>
      <c r="L1394" s="232">
        <v>45170</v>
      </c>
      <c r="M1394" s="232">
        <v>45199</v>
      </c>
    </row>
    <row r="1395" spans="1:13" ht="18.75" customHeight="1" x14ac:dyDescent="0.2">
      <c r="A1395" s="231" t="s">
        <v>0</v>
      </c>
      <c r="B1395" s="230">
        <v>118633</v>
      </c>
      <c r="C1395" s="230">
        <v>10758</v>
      </c>
      <c r="D1395" s="231" t="s">
        <v>1400</v>
      </c>
      <c r="E1395" s="230">
        <v>14491078</v>
      </c>
      <c r="F1395" s="230">
        <v>47161</v>
      </c>
      <c r="G1395" s="230">
        <v>25</v>
      </c>
      <c r="H1395" s="240">
        <v>26.3</v>
      </c>
      <c r="I1395" s="240">
        <f t="shared" si="21"/>
        <v>657.5</v>
      </c>
      <c r="J1395" s="231" t="s">
        <v>1311</v>
      </c>
      <c r="K1395" s="231" t="s">
        <v>1312</v>
      </c>
      <c r="L1395" s="232">
        <v>45170</v>
      </c>
      <c r="M1395" s="232">
        <v>45199</v>
      </c>
    </row>
    <row r="1396" spans="1:13" ht="18.75" customHeight="1" x14ac:dyDescent="0.2">
      <c r="A1396" s="231" t="s">
        <v>0</v>
      </c>
      <c r="B1396" s="230">
        <v>118635</v>
      </c>
      <c r="C1396" s="230">
        <v>10758</v>
      </c>
      <c r="D1396" s="231" t="s">
        <v>1416</v>
      </c>
      <c r="E1396" s="230">
        <v>14491078</v>
      </c>
      <c r="F1396" s="230">
        <v>47165</v>
      </c>
      <c r="G1396" s="230">
        <v>25</v>
      </c>
      <c r="H1396" s="240">
        <v>26.3</v>
      </c>
      <c r="I1396" s="240">
        <f t="shared" si="21"/>
        <v>657.5</v>
      </c>
      <c r="J1396" s="231" t="s">
        <v>1311</v>
      </c>
      <c r="K1396" s="231" t="s">
        <v>1312</v>
      </c>
      <c r="L1396" s="232">
        <v>45170</v>
      </c>
      <c r="M1396" s="232">
        <v>45199</v>
      </c>
    </row>
    <row r="1397" spans="1:13" ht="18" customHeight="1" x14ac:dyDescent="0.2">
      <c r="A1397" s="231" t="s">
        <v>0</v>
      </c>
      <c r="B1397" s="230">
        <v>118641</v>
      </c>
      <c r="C1397" s="230">
        <v>10758</v>
      </c>
      <c r="D1397" s="231" t="s">
        <v>1411</v>
      </c>
      <c r="E1397" s="230">
        <v>14491078</v>
      </c>
      <c r="F1397" s="230">
        <v>47178</v>
      </c>
      <c r="G1397" s="230">
        <v>25</v>
      </c>
      <c r="H1397" s="240">
        <v>26.3</v>
      </c>
      <c r="I1397" s="240">
        <f t="shared" si="21"/>
        <v>657.5</v>
      </c>
      <c r="J1397" s="231" t="s">
        <v>1311</v>
      </c>
      <c r="K1397" s="231" t="s">
        <v>1312</v>
      </c>
      <c r="L1397" s="232">
        <v>45170</v>
      </c>
      <c r="M1397" s="232">
        <v>45199</v>
      </c>
    </row>
    <row r="1398" spans="1:13" ht="18" customHeight="1" x14ac:dyDescent="0.2">
      <c r="A1398" s="231" t="s">
        <v>0</v>
      </c>
      <c r="B1398" s="230">
        <v>118646</v>
      </c>
      <c r="C1398" s="230">
        <v>10757</v>
      </c>
      <c r="D1398" s="231" t="s">
        <v>1399</v>
      </c>
      <c r="E1398" s="230">
        <v>14491078</v>
      </c>
      <c r="F1398" s="230">
        <v>47186</v>
      </c>
      <c r="G1398" s="230">
        <v>24</v>
      </c>
      <c r="H1398" s="240">
        <v>26.3</v>
      </c>
      <c r="I1398" s="240">
        <f t="shared" si="21"/>
        <v>631.20000000000005</v>
      </c>
      <c r="J1398" s="231" t="s">
        <v>1311</v>
      </c>
      <c r="K1398" s="231" t="s">
        <v>1312</v>
      </c>
      <c r="L1398" s="232">
        <v>45170</v>
      </c>
      <c r="M1398" s="232">
        <v>45199</v>
      </c>
    </row>
    <row r="1399" spans="1:13" ht="18" customHeight="1" x14ac:dyDescent="0.2">
      <c r="A1399" s="231" t="s">
        <v>0</v>
      </c>
      <c r="B1399" s="230">
        <v>119114</v>
      </c>
      <c r="C1399" s="230">
        <v>10751</v>
      </c>
      <c r="D1399" s="231" t="s">
        <v>1444</v>
      </c>
      <c r="E1399" s="230">
        <v>14491078</v>
      </c>
      <c r="F1399" s="230">
        <v>48251</v>
      </c>
      <c r="G1399" s="230">
        <v>25</v>
      </c>
      <c r="H1399" s="240">
        <v>26.3</v>
      </c>
      <c r="I1399" s="240">
        <f t="shared" si="21"/>
        <v>657.5</v>
      </c>
      <c r="J1399" s="231" t="s">
        <v>1311</v>
      </c>
      <c r="K1399" s="231" t="s">
        <v>1312</v>
      </c>
      <c r="L1399" s="232">
        <v>45170</v>
      </c>
      <c r="M1399" s="232">
        <v>45199</v>
      </c>
    </row>
    <row r="1400" spans="1:13" ht="18" customHeight="1" x14ac:dyDescent="0.2">
      <c r="A1400" s="231" t="s">
        <v>0</v>
      </c>
      <c r="B1400" s="230">
        <v>119643</v>
      </c>
      <c r="C1400" s="230">
        <v>10757</v>
      </c>
      <c r="D1400" s="231" t="s">
        <v>1476</v>
      </c>
      <c r="E1400" s="230">
        <v>14491078</v>
      </c>
      <c r="F1400" s="230">
        <v>49602</v>
      </c>
      <c r="G1400" s="230">
        <v>25</v>
      </c>
      <c r="H1400" s="240">
        <v>26.3</v>
      </c>
      <c r="I1400" s="240">
        <f t="shared" si="21"/>
        <v>657.5</v>
      </c>
      <c r="J1400" s="231" t="s">
        <v>1311</v>
      </c>
      <c r="K1400" s="231" t="s">
        <v>1312</v>
      </c>
      <c r="L1400" s="232">
        <v>45170</v>
      </c>
      <c r="M1400" s="232">
        <v>45199</v>
      </c>
    </row>
    <row r="1401" spans="1:13" ht="18" customHeight="1" x14ac:dyDescent="0.2">
      <c r="A1401" s="231" t="s">
        <v>0</v>
      </c>
      <c r="B1401" s="230">
        <v>119645</v>
      </c>
      <c r="C1401" s="230">
        <v>10757</v>
      </c>
      <c r="D1401" s="231" t="s">
        <v>1465</v>
      </c>
      <c r="E1401" s="230">
        <v>14491078</v>
      </c>
      <c r="F1401" s="230">
        <v>49606</v>
      </c>
      <c r="G1401" s="230">
        <v>25</v>
      </c>
      <c r="H1401" s="240">
        <v>26.3</v>
      </c>
      <c r="I1401" s="240">
        <f t="shared" si="21"/>
        <v>657.5</v>
      </c>
      <c r="J1401" s="231" t="s">
        <v>1311</v>
      </c>
      <c r="K1401" s="231" t="s">
        <v>1315</v>
      </c>
      <c r="L1401" s="232">
        <v>45170</v>
      </c>
      <c r="M1401" s="232">
        <v>45199</v>
      </c>
    </row>
    <row r="1402" spans="1:13" ht="18" customHeight="1" x14ac:dyDescent="0.2">
      <c r="A1402" s="231" t="s">
        <v>0</v>
      </c>
      <c r="B1402" s="230">
        <v>119649</v>
      </c>
      <c r="C1402" s="230">
        <v>10758</v>
      </c>
      <c r="D1402" s="231" t="s">
        <v>1467</v>
      </c>
      <c r="E1402" s="230">
        <v>14491078</v>
      </c>
      <c r="F1402" s="230">
        <v>49615</v>
      </c>
      <c r="G1402" s="230">
        <v>24</v>
      </c>
      <c r="H1402" s="240">
        <v>26.3</v>
      </c>
      <c r="I1402" s="240">
        <f t="shared" si="21"/>
        <v>631.20000000000005</v>
      </c>
      <c r="J1402" s="231" t="s">
        <v>1311</v>
      </c>
      <c r="K1402" s="231" t="s">
        <v>1312</v>
      </c>
      <c r="L1402" s="232">
        <v>45170</v>
      </c>
      <c r="M1402" s="232">
        <v>45199</v>
      </c>
    </row>
    <row r="1403" spans="1:13" ht="18" customHeight="1" x14ac:dyDescent="0.2">
      <c r="A1403" s="231" t="s">
        <v>0</v>
      </c>
      <c r="B1403" s="230">
        <v>119652</v>
      </c>
      <c r="C1403" s="230">
        <v>10751</v>
      </c>
      <c r="D1403" s="231" t="s">
        <v>1468</v>
      </c>
      <c r="E1403" s="230">
        <v>14491078</v>
      </c>
      <c r="F1403" s="230">
        <v>49623</v>
      </c>
      <c r="G1403" s="230">
        <v>25</v>
      </c>
      <c r="H1403" s="240">
        <v>26.3</v>
      </c>
      <c r="I1403" s="240">
        <f t="shared" si="21"/>
        <v>657.5</v>
      </c>
      <c r="J1403" s="231" t="s">
        <v>1311</v>
      </c>
      <c r="K1403" s="231" t="s">
        <v>1312</v>
      </c>
      <c r="L1403" s="232">
        <v>45170</v>
      </c>
      <c r="M1403" s="232">
        <v>45199</v>
      </c>
    </row>
    <row r="1404" spans="1:13" ht="18" customHeight="1" x14ac:dyDescent="0.2">
      <c r="A1404" s="231" t="s">
        <v>0</v>
      </c>
      <c r="B1404" s="230">
        <v>119672</v>
      </c>
      <c r="C1404" s="230">
        <v>10754</v>
      </c>
      <c r="D1404" s="231" t="s">
        <v>1477</v>
      </c>
      <c r="E1404" s="230">
        <v>14491078</v>
      </c>
      <c r="F1404" s="230">
        <v>49673</v>
      </c>
      <c r="G1404" s="230">
        <v>25</v>
      </c>
      <c r="H1404" s="240">
        <v>26.3</v>
      </c>
      <c r="I1404" s="240">
        <f t="shared" si="21"/>
        <v>657.5</v>
      </c>
      <c r="J1404" s="231" t="s">
        <v>1311</v>
      </c>
      <c r="K1404" s="231" t="s">
        <v>1312</v>
      </c>
      <c r="L1404" s="232">
        <v>45170</v>
      </c>
      <c r="M1404" s="232">
        <v>45199</v>
      </c>
    </row>
    <row r="1405" spans="1:13" ht="18" customHeight="1" x14ac:dyDescent="0.2">
      <c r="A1405" s="231" t="s">
        <v>0</v>
      </c>
      <c r="B1405" s="230">
        <v>119679</v>
      </c>
      <c r="C1405" s="230">
        <v>10758</v>
      </c>
      <c r="D1405" s="231" t="s">
        <v>1472</v>
      </c>
      <c r="E1405" s="230">
        <v>14491078</v>
      </c>
      <c r="F1405" s="230">
        <v>49688</v>
      </c>
      <c r="G1405" s="230">
        <v>25</v>
      </c>
      <c r="H1405" s="240">
        <v>26.3</v>
      </c>
      <c r="I1405" s="240">
        <f t="shared" si="21"/>
        <v>657.5</v>
      </c>
      <c r="J1405" s="231" t="s">
        <v>1311</v>
      </c>
      <c r="K1405" s="231" t="s">
        <v>1312</v>
      </c>
      <c r="L1405" s="232">
        <v>45170</v>
      </c>
      <c r="M1405" s="232">
        <v>45199</v>
      </c>
    </row>
    <row r="1406" spans="1:13" ht="18" customHeight="1" x14ac:dyDescent="0.2">
      <c r="A1406" s="231" t="s">
        <v>0</v>
      </c>
      <c r="B1406" s="230">
        <v>119921</v>
      </c>
      <c r="C1406" s="230">
        <v>10757</v>
      </c>
      <c r="D1406" s="231" t="s">
        <v>1486</v>
      </c>
      <c r="E1406" s="230">
        <v>14491078</v>
      </c>
      <c r="F1406" s="230">
        <v>50248</v>
      </c>
      <c r="G1406" s="230">
        <v>25</v>
      </c>
      <c r="H1406" s="240">
        <v>26.3</v>
      </c>
      <c r="I1406" s="240">
        <f t="shared" si="21"/>
        <v>657.5</v>
      </c>
      <c r="J1406" s="231" t="s">
        <v>1311</v>
      </c>
      <c r="K1406" s="231" t="s">
        <v>1312</v>
      </c>
      <c r="L1406" s="232">
        <v>45170</v>
      </c>
      <c r="M1406" s="232">
        <v>45199</v>
      </c>
    </row>
    <row r="1407" spans="1:13" ht="18" customHeight="1" x14ac:dyDescent="0.2">
      <c r="A1407" s="231" t="s">
        <v>0</v>
      </c>
      <c r="B1407" s="230">
        <v>119929</v>
      </c>
      <c r="C1407" s="230">
        <v>10757</v>
      </c>
      <c r="D1407" s="231" t="s">
        <v>1493</v>
      </c>
      <c r="E1407" s="230">
        <v>14491078</v>
      </c>
      <c r="F1407" s="230">
        <v>50261</v>
      </c>
      <c r="G1407" s="230">
        <v>24</v>
      </c>
      <c r="H1407" s="240">
        <v>26.3</v>
      </c>
      <c r="I1407" s="240">
        <f t="shared" si="21"/>
        <v>631.20000000000005</v>
      </c>
      <c r="J1407" s="231" t="s">
        <v>1311</v>
      </c>
      <c r="K1407" s="231" t="s">
        <v>1312</v>
      </c>
      <c r="L1407" s="232">
        <v>45170</v>
      </c>
      <c r="M1407" s="232">
        <v>45199</v>
      </c>
    </row>
    <row r="1408" spans="1:13" ht="18" customHeight="1" x14ac:dyDescent="0.2">
      <c r="A1408" s="231" t="s">
        <v>0</v>
      </c>
      <c r="B1408" s="230">
        <v>119930</v>
      </c>
      <c r="C1408" s="230">
        <v>10763</v>
      </c>
      <c r="D1408" s="231" t="s">
        <v>1489</v>
      </c>
      <c r="E1408" s="230">
        <v>14491078</v>
      </c>
      <c r="F1408" s="230">
        <v>50263</v>
      </c>
      <c r="G1408" s="230">
        <v>25</v>
      </c>
      <c r="H1408" s="240">
        <v>26.3</v>
      </c>
      <c r="I1408" s="240">
        <f t="shared" si="21"/>
        <v>657.5</v>
      </c>
      <c r="J1408" s="231" t="s">
        <v>1311</v>
      </c>
      <c r="K1408" s="231" t="s">
        <v>1315</v>
      </c>
      <c r="L1408" s="232">
        <v>45170</v>
      </c>
      <c r="M1408" s="232">
        <v>45199</v>
      </c>
    </row>
    <row r="1409" spans="1:13" ht="18" customHeight="1" x14ac:dyDescent="0.2">
      <c r="A1409" s="231" t="s">
        <v>0</v>
      </c>
      <c r="B1409" s="230">
        <v>119936</v>
      </c>
      <c r="C1409" s="230">
        <v>10763</v>
      </c>
      <c r="D1409" s="231" t="s">
        <v>1494</v>
      </c>
      <c r="E1409" s="230">
        <v>14491078</v>
      </c>
      <c r="F1409" s="230">
        <v>50277</v>
      </c>
      <c r="G1409" s="230">
        <v>25</v>
      </c>
      <c r="H1409" s="240">
        <v>26.3</v>
      </c>
      <c r="I1409" s="240">
        <f t="shared" si="21"/>
        <v>657.5</v>
      </c>
      <c r="J1409" s="231" t="s">
        <v>1311</v>
      </c>
      <c r="K1409" s="231" t="s">
        <v>1315</v>
      </c>
      <c r="L1409" s="232">
        <v>45170</v>
      </c>
      <c r="M1409" s="232">
        <v>45199</v>
      </c>
    </row>
    <row r="1410" spans="1:13" ht="18" customHeight="1" x14ac:dyDescent="0.2">
      <c r="A1410" s="231" t="s">
        <v>0</v>
      </c>
      <c r="B1410" s="230">
        <v>120355</v>
      </c>
      <c r="C1410" s="230">
        <v>10757</v>
      </c>
      <c r="D1410" s="231" t="s">
        <v>1514</v>
      </c>
      <c r="E1410" s="230">
        <v>14491078</v>
      </c>
      <c r="F1410" s="230">
        <v>51394</v>
      </c>
      <c r="G1410" s="230">
        <v>25</v>
      </c>
      <c r="H1410" s="240">
        <v>26.3</v>
      </c>
      <c r="I1410" s="240">
        <f t="shared" si="21"/>
        <v>657.5</v>
      </c>
      <c r="J1410" s="231" t="s">
        <v>1311</v>
      </c>
      <c r="K1410" s="231" t="s">
        <v>1315</v>
      </c>
      <c r="L1410" s="232">
        <v>45170</v>
      </c>
      <c r="M1410" s="232">
        <v>45199</v>
      </c>
    </row>
    <row r="1411" spans="1:13" ht="18" customHeight="1" x14ac:dyDescent="0.2">
      <c r="A1411" s="231" t="s">
        <v>0</v>
      </c>
      <c r="B1411" s="230">
        <v>121319</v>
      </c>
      <c r="C1411" s="230">
        <v>10757</v>
      </c>
      <c r="D1411" s="231" t="s">
        <v>1544</v>
      </c>
      <c r="E1411" s="230">
        <v>14491078</v>
      </c>
      <c r="F1411" s="230">
        <v>53493</v>
      </c>
      <c r="G1411" s="230">
        <v>25</v>
      </c>
      <c r="H1411" s="240">
        <v>26.3</v>
      </c>
      <c r="I1411" s="240">
        <f t="shared" ref="I1411:I1422" si="22">G1411*H1411</f>
        <v>657.5</v>
      </c>
      <c r="J1411" s="231" t="s">
        <v>1311</v>
      </c>
      <c r="K1411" s="231" t="s">
        <v>1312</v>
      </c>
      <c r="L1411" s="232">
        <v>45170</v>
      </c>
      <c r="M1411" s="232">
        <v>45199</v>
      </c>
    </row>
    <row r="1412" spans="1:13" ht="18" customHeight="1" x14ac:dyDescent="0.2">
      <c r="A1412" s="231" t="s">
        <v>0</v>
      </c>
      <c r="B1412" s="230">
        <v>121677</v>
      </c>
      <c r="C1412" s="230">
        <v>10763</v>
      </c>
      <c r="D1412" s="231" t="s">
        <v>1597</v>
      </c>
      <c r="E1412" s="230">
        <v>14491078</v>
      </c>
      <c r="F1412" s="230">
        <v>54321</v>
      </c>
      <c r="G1412" s="230">
        <v>25</v>
      </c>
      <c r="H1412" s="240">
        <v>26.3</v>
      </c>
      <c r="I1412" s="240">
        <f t="shared" si="22"/>
        <v>657.5</v>
      </c>
      <c r="J1412" s="231" t="s">
        <v>1311</v>
      </c>
      <c r="K1412" s="231" t="s">
        <v>1312</v>
      </c>
      <c r="L1412" s="232">
        <v>45170</v>
      </c>
      <c r="M1412" s="232">
        <v>45199</v>
      </c>
    </row>
    <row r="1413" spans="1:13" ht="18" customHeight="1" x14ac:dyDescent="0.2">
      <c r="A1413" s="231" t="s">
        <v>0</v>
      </c>
      <c r="B1413" s="230">
        <v>121685</v>
      </c>
      <c r="C1413" s="230">
        <v>10757</v>
      </c>
      <c r="D1413" s="231" t="s">
        <v>1605</v>
      </c>
      <c r="E1413" s="230">
        <v>14491078</v>
      </c>
      <c r="F1413" s="230">
        <v>54458</v>
      </c>
      <c r="G1413" s="230">
        <v>25</v>
      </c>
      <c r="H1413" s="240">
        <v>26.3</v>
      </c>
      <c r="I1413" s="240">
        <f t="shared" si="22"/>
        <v>657.5</v>
      </c>
      <c r="J1413" s="231" t="s">
        <v>1311</v>
      </c>
      <c r="K1413" s="231" t="s">
        <v>1312</v>
      </c>
      <c r="L1413" s="232">
        <v>45170</v>
      </c>
      <c r="M1413" s="232">
        <v>45199</v>
      </c>
    </row>
    <row r="1414" spans="1:13" ht="18" customHeight="1" x14ac:dyDescent="0.2">
      <c r="A1414" s="231" t="s">
        <v>0</v>
      </c>
      <c r="B1414" s="230">
        <v>121849</v>
      </c>
      <c r="C1414" s="230">
        <v>10758</v>
      </c>
      <c r="D1414" s="231" t="s">
        <v>1613</v>
      </c>
      <c r="E1414" s="230">
        <v>14491078</v>
      </c>
      <c r="F1414" s="230">
        <v>54717</v>
      </c>
      <c r="G1414" s="230">
        <v>24</v>
      </c>
      <c r="H1414" s="240">
        <v>26.3</v>
      </c>
      <c r="I1414" s="240">
        <f t="shared" si="22"/>
        <v>631.20000000000005</v>
      </c>
      <c r="J1414" s="231" t="s">
        <v>1311</v>
      </c>
      <c r="K1414" s="231" t="s">
        <v>1312</v>
      </c>
      <c r="L1414" s="232">
        <v>45170</v>
      </c>
      <c r="M1414" s="232">
        <v>45199</v>
      </c>
    </row>
    <row r="1415" spans="1:13" ht="12.75" customHeight="1" x14ac:dyDescent="0.2">
      <c r="A1415" s="231" t="s">
        <v>0</v>
      </c>
      <c r="B1415" s="230">
        <v>121851</v>
      </c>
      <c r="C1415" s="230">
        <v>10758</v>
      </c>
      <c r="D1415" s="231" t="s">
        <v>1610</v>
      </c>
      <c r="E1415" s="230">
        <v>14491078</v>
      </c>
      <c r="F1415" s="230">
        <v>54722</v>
      </c>
      <c r="G1415" s="230">
        <v>25</v>
      </c>
      <c r="H1415" s="240">
        <v>26.3</v>
      </c>
      <c r="I1415" s="240">
        <f t="shared" si="22"/>
        <v>657.5</v>
      </c>
      <c r="J1415" s="231" t="s">
        <v>1311</v>
      </c>
      <c r="K1415" s="231" t="s">
        <v>1312</v>
      </c>
      <c r="L1415" s="232">
        <v>45170</v>
      </c>
      <c r="M1415" s="232">
        <v>45199</v>
      </c>
    </row>
    <row r="1416" spans="1:13" ht="12.75" customHeight="1" x14ac:dyDescent="0.2">
      <c r="A1416" s="231" t="s">
        <v>0</v>
      </c>
      <c r="B1416" s="230">
        <v>121857</v>
      </c>
      <c r="C1416" s="230">
        <v>10757</v>
      </c>
      <c r="D1416" s="231" t="s">
        <v>1633</v>
      </c>
      <c r="E1416" s="230">
        <v>14491078</v>
      </c>
      <c r="F1416" s="230">
        <v>54732</v>
      </c>
      <c r="G1416" s="230">
        <v>25</v>
      </c>
      <c r="H1416" s="240">
        <v>26.3</v>
      </c>
      <c r="I1416" s="240">
        <f t="shared" si="22"/>
        <v>657.5</v>
      </c>
      <c r="J1416" s="231" t="s">
        <v>1311</v>
      </c>
      <c r="K1416" s="231" t="s">
        <v>1312</v>
      </c>
      <c r="L1416" s="232">
        <v>45170</v>
      </c>
      <c r="M1416" s="232">
        <v>45199</v>
      </c>
    </row>
    <row r="1417" spans="1:13" ht="12.75" customHeight="1" x14ac:dyDescent="0.2">
      <c r="A1417" s="231" t="s">
        <v>0</v>
      </c>
      <c r="B1417" s="230">
        <v>121953</v>
      </c>
      <c r="C1417" s="230">
        <v>10761</v>
      </c>
      <c r="D1417" s="231" t="s">
        <v>1620</v>
      </c>
      <c r="E1417" s="230">
        <v>14491078</v>
      </c>
      <c r="F1417" s="230">
        <v>54962</v>
      </c>
      <c r="G1417" s="230">
        <v>25</v>
      </c>
      <c r="H1417" s="240">
        <v>26.3</v>
      </c>
      <c r="I1417" s="240">
        <f t="shared" si="22"/>
        <v>657.5</v>
      </c>
      <c r="J1417" s="231" t="s">
        <v>1311</v>
      </c>
      <c r="K1417" s="231" t="s">
        <v>1315</v>
      </c>
      <c r="L1417" s="232">
        <v>45170</v>
      </c>
      <c r="M1417" s="232">
        <v>45199</v>
      </c>
    </row>
    <row r="1418" spans="1:13" ht="12.75" customHeight="1" x14ac:dyDescent="0.2">
      <c r="A1418" s="231" t="s">
        <v>0</v>
      </c>
      <c r="B1418" s="230">
        <v>121957</v>
      </c>
      <c r="C1418" s="230">
        <v>10758</v>
      </c>
      <c r="D1418" s="231" t="s">
        <v>1621</v>
      </c>
      <c r="E1418" s="230">
        <v>14491078</v>
      </c>
      <c r="F1418" s="230">
        <v>54970</v>
      </c>
      <c r="G1418" s="230">
        <v>25</v>
      </c>
      <c r="H1418" s="240">
        <v>26.3</v>
      </c>
      <c r="I1418" s="240">
        <f t="shared" si="22"/>
        <v>657.5</v>
      </c>
      <c r="J1418" s="231" t="s">
        <v>1311</v>
      </c>
      <c r="K1418" s="231" t="s">
        <v>1312</v>
      </c>
      <c r="L1418" s="232">
        <v>45170</v>
      </c>
      <c r="M1418" s="232">
        <v>45199</v>
      </c>
    </row>
    <row r="1419" spans="1:13" ht="12.75" customHeight="1" x14ac:dyDescent="0.2">
      <c r="A1419" s="231" t="s">
        <v>0</v>
      </c>
      <c r="B1419" s="230">
        <v>122089</v>
      </c>
      <c r="C1419" s="230">
        <v>10766</v>
      </c>
      <c r="D1419" s="231" t="s">
        <v>1639</v>
      </c>
      <c r="E1419" s="230">
        <v>14491078</v>
      </c>
      <c r="F1419" s="230">
        <v>55293</v>
      </c>
      <c r="G1419" s="230">
        <v>25</v>
      </c>
      <c r="H1419" s="240">
        <v>26.3</v>
      </c>
      <c r="I1419" s="240">
        <f t="shared" si="22"/>
        <v>657.5</v>
      </c>
      <c r="J1419" s="231" t="s">
        <v>1311</v>
      </c>
      <c r="K1419" s="231" t="s">
        <v>1315</v>
      </c>
      <c r="L1419" s="232">
        <v>45170</v>
      </c>
      <c r="M1419" s="232">
        <v>45199</v>
      </c>
    </row>
    <row r="1420" spans="1:13" ht="12.75" customHeight="1" x14ac:dyDescent="0.2">
      <c r="A1420" s="231" t="s">
        <v>0</v>
      </c>
      <c r="B1420" s="230">
        <v>122247</v>
      </c>
      <c r="C1420" s="230">
        <v>10757</v>
      </c>
      <c r="D1420" s="231" t="s">
        <v>1672</v>
      </c>
      <c r="E1420" s="230">
        <v>14491078</v>
      </c>
      <c r="F1420" s="230">
        <v>55737</v>
      </c>
      <c r="G1420" s="230">
        <v>23</v>
      </c>
      <c r="H1420" s="240">
        <v>26.3</v>
      </c>
      <c r="I1420" s="240">
        <f t="shared" si="22"/>
        <v>604.9</v>
      </c>
      <c r="J1420" s="231" t="s">
        <v>1311</v>
      </c>
      <c r="K1420" s="231" t="s">
        <v>1315</v>
      </c>
      <c r="L1420" s="232">
        <v>45170</v>
      </c>
      <c r="M1420" s="232">
        <v>45199</v>
      </c>
    </row>
    <row r="1421" spans="1:13" ht="12.75" customHeight="1" x14ac:dyDescent="0.2">
      <c r="A1421" s="231" t="s">
        <v>0</v>
      </c>
      <c r="B1421" s="230">
        <v>122553</v>
      </c>
      <c r="C1421" s="230">
        <v>10758</v>
      </c>
      <c r="D1421" s="231" t="s">
        <v>1717</v>
      </c>
      <c r="E1421" s="230">
        <v>14491078</v>
      </c>
      <c r="F1421" s="230">
        <v>56499</v>
      </c>
      <c r="G1421" s="230">
        <v>25</v>
      </c>
      <c r="H1421" s="240">
        <v>26.3</v>
      </c>
      <c r="I1421" s="240">
        <f t="shared" si="22"/>
        <v>657.5</v>
      </c>
      <c r="J1421" s="231" t="s">
        <v>1311</v>
      </c>
      <c r="K1421" s="231" t="s">
        <v>1312</v>
      </c>
      <c r="L1421" s="232">
        <v>45170</v>
      </c>
      <c r="M1421" s="232">
        <v>45199</v>
      </c>
    </row>
    <row r="1422" spans="1:13" ht="12.75" customHeight="1" thickBot="1" x14ac:dyDescent="0.25">
      <c r="A1422" s="231" t="s">
        <v>0</v>
      </c>
      <c r="B1422" s="230">
        <v>122554</v>
      </c>
      <c r="C1422" s="230">
        <v>10758</v>
      </c>
      <c r="D1422" s="231" t="s">
        <v>1721</v>
      </c>
      <c r="E1422" s="230">
        <v>14491078</v>
      </c>
      <c r="F1422" s="230">
        <v>56501</v>
      </c>
      <c r="G1422" s="230">
        <v>25</v>
      </c>
      <c r="H1422" s="240">
        <v>26.3</v>
      </c>
      <c r="I1422" s="240">
        <f t="shared" si="22"/>
        <v>657.5</v>
      </c>
      <c r="J1422" s="231" t="s">
        <v>1311</v>
      </c>
      <c r="K1422" s="231" t="s">
        <v>1312</v>
      </c>
      <c r="L1422" s="232">
        <v>45170</v>
      </c>
      <c r="M1422" s="232">
        <v>45199</v>
      </c>
    </row>
    <row r="1423" spans="1:13" ht="12.75" customHeight="1" thickBot="1" x14ac:dyDescent="0.25">
      <c r="I1423" s="212">
        <f>SUM(I2:I1422)</f>
        <v>930799.79999999888</v>
      </c>
    </row>
  </sheetData>
  <autoFilter ref="B1:M1396" xr:uid="{022ED66D-0644-4325-9EFB-2B403508CC4B}">
    <sortState xmlns:xlrd2="http://schemas.microsoft.com/office/spreadsheetml/2017/richdata2" ref="B2:M1409">
      <sortCondition ref="D1:D1396"/>
    </sortState>
  </autoFilter>
  <pageMargins left="0.78740157480314998" right="0.78740157480314998" top="0.78740157480314998" bottom="0.78740157480314998" header="0.39370078740157499" footer="0.39370078740157499"/>
  <pageSetup paperSize="9" fitToWidth="0" fitToHeight="0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56EB5-9FCB-46D1-AC5D-435038949EEA}">
  <dimension ref="A1:E22"/>
  <sheetViews>
    <sheetView view="pageBreakPreview" zoomScaleNormal="100" zoomScaleSheetLayoutView="100" workbookViewId="0">
      <selection activeCell="I16" sqref="I16"/>
    </sheetView>
  </sheetViews>
  <sheetFormatPr defaultRowHeight="12.75" x14ac:dyDescent="0.2"/>
  <cols>
    <col min="1" max="1" width="12" customWidth="1"/>
    <col min="2" max="2" width="30.5703125" bestFit="1" customWidth="1"/>
    <col min="3" max="3" width="32" bestFit="1" customWidth="1"/>
    <col min="4" max="4" width="27.85546875" bestFit="1" customWidth="1"/>
    <col min="5" max="5" width="11.5703125" customWidth="1"/>
  </cols>
  <sheetData>
    <row r="1" spans="1:5" ht="19.5" thickBot="1" x14ac:dyDescent="0.25">
      <c r="A1" s="298" t="s">
        <v>1683</v>
      </c>
      <c r="B1" s="299"/>
      <c r="C1" s="299"/>
      <c r="D1" s="299"/>
      <c r="E1" s="300"/>
    </row>
    <row r="2" spans="1:5" ht="15.75" thickBot="1" x14ac:dyDescent="0.25">
      <c r="A2" s="287" t="s">
        <v>1230</v>
      </c>
      <c r="B2" s="288" t="s">
        <v>1232</v>
      </c>
      <c r="C2" s="288" t="s">
        <v>1233</v>
      </c>
      <c r="D2" s="289" t="s">
        <v>1231</v>
      </c>
      <c r="E2" s="287" t="s">
        <v>1684</v>
      </c>
    </row>
    <row r="3" spans="1:5" ht="15.75" thickBot="1" x14ac:dyDescent="0.25">
      <c r="A3" s="214">
        <v>113172</v>
      </c>
      <c r="B3" s="215" t="str">
        <f>VLOOKUP(A3,[1]QUADRO!$A:$D,2,0)</f>
        <v>MANOEL SILVA MENDES</v>
      </c>
      <c r="C3" s="215" t="str">
        <f>VLOOKUP(A3,[1]QUADRO!$A:$D,3,0)</f>
        <v>VARREDOR</v>
      </c>
      <c r="D3" s="215" t="str">
        <f>VLOOKUP(A3,[1]QUADRO!$A:$D,4,0)</f>
        <v>ECOSAMPA Santo Amaro</v>
      </c>
      <c r="E3" s="290">
        <v>7.82</v>
      </c>
    </row>
    <row r="4" spans="1:5" ht="15.75" thickBot="1" x14ac:dyDescent="0.25">
      <c r="A4" s="291">
        <v>114554</v>
      </c>
      <c r="B4" s="215" t="str">
        <f>VLOOKUP(A4,[1]QUADRO!$A:$D,2,0)</f>
        <v>RAFAEL LIMA SOUZA</v>
      </c>
      <c r="C4" s="215" t="str">
        <f>VLOOKUP(A4,[1]QUADRO!$A:$D,3,0)</f>
        <v>AJUDANTE EQ SERVICOS DIVERSOS</v>
      </c>
      <c r="D4" s="215" t="str">
        <f>VLOOKUP(A4,[1]QUADRO!$A:$D,4,0)</f>
        <v>ECOSAMPA Capela do Socorro</v>
      </c>
      <c r="E4" s="292">
        <v>7.82</v>
      </c>
    </row>
    <row r="5" spans="1:5" ht="15.75" thickBot="1" x14ac:dyDescent="0.25">
      <c r="A5" s="291">
        <v>114751</v>
      </c>
      <c r="B5" s="215" t="str">
        <f>VLOOKUP(A5,[1]QUADRO!$A:$D,2,0)</f>
        <v>VALDEIR SILVA LEITAO</v>
      </c>
      <c r="C5" s="215" t="str">
        <f>VLOOKUP(A5,[1]QUADRO!$A:$D,3,0)</f>
        <v>VARREDOR</v>
      </c>
      <c r="D5" s="215" t="str">
        <f>VLOOKUP(A5,[1]QUADRO!$A:$D,4,0)</f>
        <v>ECOSAMPA Santo Amaro</v>
      </c>
      <c r="E5" s="292">
        <v>7.82</v>
      </c>
    </row>
    <row r="6" spans="1:5" ht="15.75" thickBot="1" x14ac:dyDescent="0.25">
      <c r="A6" s="291">
        <v>116389</v>
      </c>
      <c r="B6" s="215" t="str">
        <f>VLOOKUP(A6,[1]QUADRO!$A:$D,2,0)</f>
        <v>GILSON MUNIZ SILVA</v>
      </c>
      <c r="C6" s="215" t="str">
        <f>VLOOKUP(A6,[1]QUADRO!$A:$D,3,0)</f>
        <v>VARREDOR</v>
      </c>
      <c r="D6" s="215" t="str">
        <f>VLOOKUP(A6,[1]QUADRO!$A:$D,4,0)</f>
        <v>ECOSAMPA Santo Amaro</v>
      </c>
      <c r="E6" s="292">
        <v>7.82</v>
      </c>
    </row>
    <row r="7" spans="1:5" ht="15.75" thickBot="1" x14ac:dyDescent="0.25">
      <c r="A7" s="291">
        <v>114092</v>
      </c>
      <c r="B7" s="215" t="str">
        <f>VLOOKUP(A7,[1]QUADRO!$A:$D,2,0)</f>
        <v>WILLI CORREIA DOS SANTOS</v>
      </c>
      <c r="C7" s="215" t="str">
        <f>VLOOKUP(A7,[1]QUADRO!$A:$D,3,0)</f>
        <v>AJUDANTE EQ SERVICOS DIVERSOS</v>
      </c>
      <c r="D7" s="215" t="str">
        <f>VLOOKUP(A7,[1]QUADRO!$A:$D,4,0)</f>
        <v>ECOSAMPA M'Boi Mirim</v>
      </c>
      <c r="E7" s="292">
        <v>7.82</v>
      </c>
    </row>
    <row r="8" spans="1:5" ht="15.75" thickBot="1" x14ac:dyDescent="0.25">
      <c r="A8" s="291">
        <v>115406</v>
      </c>
      <c r="B8" s="215" t="str">
        <f>VLOOKUP(A8,[1]QUADRO!$A:$D,2,0)</f>
        <v>CLAUDIONOR PROCOPIO DE OLIVEIRA</v>
      </c>
      <c r="C8" s="215" t="str">
        <f>VLOOKUP(A8,[1]QUADRO!$A:$D,3,0)</f>
        <v>AJUDANTE EQ SERVICOS DIVERSOS</v>
      </c>
      <c r="D8" s="215" t="str">
        <f>VLOOKUP(A8,[1]QUADRO!$A:$D,4,0)</f>
        <v>ECOSAMPA Santo Amaro</v>
      </c>
      <c r="E8" s="292">
        <v>7.82</v>
      </c>
    </row>
    <row r="9" spans="1:5" ht="15.75" thickBot="1" x14ac:dyDescent="0.25">
      <c r="A9" s="291">
        <v>112726</v>
      </c>
      <c r="B9" s="215" t="str">
        <f>VLOOKUP(A9,[1]QUADRO!$A:$D,2,0)</f>
        <v>ALEX DE FIGUEIREDO COSTA</v>
      </c>
      <c r="C9" s="215" t="str">
        <f>VLOOKUP(A9,[1]QUADRO!$A:$D,3,0)</f>
        <v>COLETOR</v>
      </c>
      <c r="D9" s="215" t="str">
        <f>VLOOKUP(A9,[1]QUADRO!$A:$D,4,0)</f>
        <v>ECOSAMPA Operação Geral</v>
      </c>
      <c r="E9" s="292">
        <v>7.82</v>
      </c>
    </row>
    <row r="10" spans="1:5" ht="15.75" thickBot="1" x14ac:dyDescent="0.25">
      <c r="A10" s="291">
        <v>112747</v>
      </c>
      <c r="B10" s="215" t="str">
        <f>VLOOKUP(A10,[1]QUADRO!$A:$D,2,0)</f>
        <v>ROBSON ROCHA GONCALVES</v>
      </c>
      <c r="C10" s="215" t="str">
        <f>VLOOKUP(A10,[1]QUADRO!$A:$D,3,0)</f>
        <v>COLETOR</v>
      </c>
      <c r="D10" s="215" t="str">
        <f>VLOOKUP(A10,[1]QUADRO!$A:$D,4,0)</f>
        <v>ECOSAMPA Operação Geral</v>
      </c>
      <c r="E10" s="292">
        <v>7.82</v>
      </c>
    </row>
    <row r="11" spans="1:5" ht="15.75" thickBot="1" x14ac:dyDescent="0.25">
      <c r="A11" s="291">
        <v>113546</v>
      </c>
      <c r="B11" s="215" t="str">
        <f>VLOOKUP(A11,[1]QUADRO!$A:$D,2,0)</f>
        <v>BRUNO SANTANA DE SA</v>
      </c>
      <c r="C11" s="215" t="str">
        <f>VLOOKUP(A11,[1]QUADRO!$A:$D,3,0)</f>
        <v>COLETOR</v>
      </c>
      <c r="D11" s="215" t="str">
        <f>VLOOKUP(A11,[1]QUADRO!$A:$D,4,0)</f>
        <v>ECOSAMPA Operação Geral</v>
      </c>
      <c r="E11" s="292">
        <v>7.82</v>
      </c>
    </row>
    <row r="12" spans="1:5" ht="15.75" thickBot="1" x14ac:dyDescent="0.25">
      <c r="A12" s="291">
        <v>114547</v>
      </c>
      <c r="B12" s="215" t="str">
        <f>VLOOKUP(A12,[1]QUADRO!$A:$D,2,0)</f>
        <v>GLEYSSON NASCIMENTO DOS SANTOS</v>
      </c>
      <c r="C12" s="215" t="str">
        <f>VLOOKUP(A12,[1]QUADRO!$A:$D,3,0)</f>
        <v>VARREDOR</v>
      </c>
      <c r="D12" s="215" t="str">
        <f>VLOOKUP(A12,[1]QUADRO!$A:$D,4,0)</f>
        <v>ECOSAMPA Capela do Socorro</v>
      </c>
      <c r="E12" s="292">
        <v>7.82</v>
      </c>
    </row>
    <row r="13" spans="1:5" ht="15.75" thickBot="1" x14ac:dyDescent="0.25">
      <c r="A13" s="291">
        <v>112263</v>
      </c>
      <c r="B13" s="215" t="str">
        <f>VLOOKUP(A13,[1]QUADRO!$A:$D,2,0)</f>
        <v>RONALDO DE SOUZA JESUS</v>
      </c>
      <c r="C13" s="215" t="str">
        <f>VLOOKUP(A13,[1]QUADRO!$A:$D,3,0)</f>
        <v>VARREDOR</v>
      </c>
      <c r="D13" s="215" t="str">
        <f>VLOOKUP(A13,[1]QUADRO!$A:$D,4,0)</f>
        <v>ECOSAMPA Campo Limpo</v>
      </c>
      <c r="E13" s="292">
        <v>7.82</v>
      </c>
    </row>
    <row r="14" spans="1:5" ht="15.75" thickBot="1" x14ac:dyDescent="0.25">
      <c r="A14" s="291">
        <v>112812</v>
      </c>
      <c r="B14" s="215" t="str">
        <f>VLOOKUP(A14,[1]QUADRO!$A:$D,2,0)</f>
        <v>ALEXSANDRO NOGUEIRA DE SANTANA</v>
      </c>
      <c r="C14" s="215" t="str">
        <f>VLOOKUP(A14,[1]QUADRO!$A:$D,3,0)</f>
        <v>FISCAL DE TURMA PLENO</v>
      </c>
      <c r="D14" s="215" t="str">
        <f>VLOOKUP(A14,[1]QUADRO!$A:$D,4,0)</f>
        <v>ECOSAMPA M'Boi Mirim</v>
      </c>
      <c r="E14" s="292">
        <v>7.82</v>
      </c>
    </row>
    <row r="15" spans="1:5" ht="15.75" thickBot="1" x14ac:dyDescent="0.25">
      <c r="A15" s="291">
        <v>112697</v>
      </c>
      <c r="B15" s="215" t="str">
        <f>VLOOKUP(A15,[1]QUADRO!$A:$D,2,0)</f>
        <v>ALESSANDRO ARRUDA DE OLIVEIRA</v>
      </c>
      <c r="C15" s="215" t="str">
        <f>VLOOKUP(A15,[1]QUADRO!$A:$D,3,0)</f>
        <v>VARREDOR</v>
      </c>
      <c r="D15" s="215" t="str">
        <f>VLOOKUP(A15,[1]QUADRO!$A:$D,4,0)</f>
        <v>ECOSAMPA Capela do Socorro</v>
      </c>
      <c r="E15" s="292">
        <v>7.82</v>
      </c>
    </row>
    <row r="16" spans="1:5" ht="15.75" thickBot="1" x14ac:dyDescent="0.25">
      <c r="A16" s="291">
        <v>113589</v>
      </c>
      <c r="B16" s="215" t="str">
        <f>VLOOKUP(A16,[1]QUADRO!$A:$D,2,0)</f>
        <v>EDUARDO APARECIDO DE MORAES</v>
      </c>
      <c r="C16" s="215" t="str">
        <f>VLOOKUP(A16,[1]QUADRO!$A:$D,3,0)</f>
        <v>AJUDANTE EQ SERVICOS DIVERSOS</v>
      </c>
      <c r="D16" s="215" t="str">
        <f>VLOOKUP(A16,[1]QUADRO!$A:$D,4,0)</f>
        <v>ECOSAMPA Campo Limpo</v>
      </c>
      <c r="E16" s="292">
        <v>7.82</v>
      </c>
    </row>
    <row r="17" spans="1:5" ht="15.75" thickBot="1" x14ac:dyDescent="0.25">
      <c r="A17" s="291">
        <v>113486</v>
      </c>
      <c r="B17" s="215" t="str">
        <f>VLOOKUP(A17,[1]QUADRO!$A:$D,2,0)</f>
        <v>IRAM MOREIRA DOS SANTOS</v>
      </c>
      <c r="C17" s="215" t="str">
        <f>VLOOKUP(A17,[1]QUADRO!$A:$D,3,0)</f>
        <v>MOTORISTA CAMINHAO</v>
      </c>
      <c r="D17" s="215" t="str">
        <f>VLOOKUP(A17,[1]QUADRO!$A:$D,4,0)</f>
        <v>ECOSAMPA Operação Geral</v>
      </c>
      <c r="E17" s="292">
        <v>7.82</v>
      </c>
    </row>
    <row r="18" spans="1:5" ht="15.75" thickBot="1" x14ac:dyDescent="0.25">
      <c r="A18" s="293">
        <v>122424</v>
      </c>
      <c r="B18" s="215" t="str">
        <f>VLOOKUP(A18,[1]QUADRO!$A:$D,2,0)</f>
        <v>PAULO ROGERIO MATIAS DOMINGUES</v>
      </c>
      <c r="C18" s="215" t="str">
        <f>VLOOKUP(A18,[1]QUADRO!$A:$D,3,0)</f>
        <v>AJUDANTE EQ SERVICOS DIVERSOS</v>
      </c>
      <c r="D18" s="215" t="str">
        <f>VLOOKUP(A18,[1]QUADRO!$A:$D,4,0)</f>
        <v>ECOSAMPA Operação Geral</v>
      </c>
      <c r="E18" s="294">
        <v>7.82</v>
      </c>
    </row>
    <row r="19" spans="1:5" ht="15.75" thickBot="1" x14ac:dyDescent="0.25">
      <c r="A19" s="295"/>
      <c r="B19" s="296"/>
      <c r="C19" s="296"/>
      <c r="D19" s="296"/>
      <c r="E19" s="297">
        <f>SUM(E3:E18)</f>
        <v>125.11999999999995</v>
      </c>
    </row>
    <row r="22" spans="1:5" x14ac:dyDescent="0.2">
      <c r="B22" s="190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scale="8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F4CEF-8118-424C-A30D-15CF1782DBEF}">
  <sheetPr codeName="Planilha6"/>
  <dimension ref="A1:E45"/>
  <sheetViews>
    <sheetView zoomScaleNormal="100" workbookViewId="0">
      <selection activeCell="A18" sqref="A18:C29"/>
    </sheetView>
  </sheetViews>
  <sheetFormatPr defaultRowHeight="12.75" x14ac:dyDescent="0.2"/>
  <cols>
    <col min="1" max="1" width="28.140625" bestFit="1" customWidth="1"/>
    <col min="2" max="2" width="19.7109375" bestFit="1" customWidth="1"/>
    <col min="3" max="3" width="20.140625" bestFit="1" customWidth="1"/>
    <col min="5" max="5" width="12.85546875" bestFit="1" customWidth="1"/>
  </cols>
  <sheetData>
    <row r="1" spans="1:4" ht="13.5" thickBot="1" x14ac:dyDescent="0.25">
      <c r="A1" s="11"/>
      <c r="B1" s="12"/>
      <c r="C1" s="11"/>
    </row>
    <row r="2" spans="1:4" ht="18.75" thickBot="1" x14ac:dyDescent="0.3">
      <c r="A2" s="301" t="s">
        <v>1661</v>
      </c>
      <c r="B2" s="302"/>
      <c r="C2" s="303"/>
    </row>
    <row r="3" spans="1:4" x14ac:dyDescent="0.2">
      <c r="A3" s="13"/>
      <c r="B3" s="13"/>
      <c r="C3" s="13"/>
    </row>
    <row r="4" spans="1:4" ht="13.5" thickBot="1" x14ac:dyDescent="0.25"/>
    <row r="5" spans="1:4" ht="15.75" x14ac:dyDescent="0.25">
      <c r="A5" s="304" t="s">
        <v>1303</v>
      </c>
      <c r="B5" s="305"/>
      <c r="C5" s="306"/>
    </row>
    <row r="6" spans="1:4" x14ac:dyDescent="0.2">
      <c r="A6" s="98" t="s">
        <v>1231</v>
      </c>
      <c r="B6" s="91" t="s">
        <v>1300</v>
      </c>
      <c r="C6" s="99" t="s">
        <v>1301</v>
      </c>
    </row>
    <row r="7" spans="1:4" x14ac:dyDescent="0.2">
      <c r="A7" s="100" t="s">
        <v>1591</v>
      </c>
      <c r="B7" s="92">
        <v>11309.399999999998</v>
      </c>
      <c r="C7" s="101">
        <f>B7</f>
        <v>11309.399999999998</v>
      </c>
    </row>
    <row r="8" spans="1:4" x14ac:dyDescent="0.2">
      <c r="A8" s="100" t="s">
        <v>10</v>
      </c>
      <c r="B8" s="92">
        <v>185933.95999999993</v>
      </c>
      <c r="C8" s="101">
        <f t="shared" ref="C8:C14" si="0">B8</f>
        <v>185933.95999999993</v>
      </c>
    </row>
    <row r="9" spans="1:4" x14ac:dyDescent="0.2">
      <c r="A9" s="100" t="s">
        <v>8</v>
      </c>
      <c r="B9" s="92">
        <v>228325.15999999968</v>
      </c>
      <c r="C9" s="101">
        <f t="shared" si="0"/>
        <v>228325.15999999968</v>
      </c>
    </row>
    <row r="10" spans="1:4" x14ac:dyDescent="0.2">
      <c r="A10" s="100" t="s">
        <v>19</v>
      </c>
      <c r="B10" s="92">
        <v>152571.23000000027</v>
      </c>
      <c r="C10" s="101">
        <f t="shared" si="0"/>
        <v>152571.23000000027</v>
      </c>
    </row>
    <row r="11" spans="1:4" x14ac:dyDescent="0.2">
      <c r="A11" s="100" t="s">
        <v>1589</v>
      </c>
      <c r="B11" s="92">
        <v>410637.90000000229</v>
      </c>
      <c r="C11" s="101">
        <f t="shared" si="0"/>
        <v>410637.90000000229</v>
      </c>
    </row>
    <row r="12" spans="1:4" x14ac:dyDescent="0.2">
      <c r="A12" s="100" t="s">
        <v>32</v>
      </c>
      <c r="B12" s="92">
        <v>60919.649999999958</v>
      </c>
      <c r="C12" s="101">
        <f t="shared" si="0"/>
        <v>60919.649999999958</v>
      </c>
    </row>
    <row r="13" spans="1:4" x14ac:dyDescent="0.2">
      <c r="A13" s="100" t="s">
        <v>1252</v>
      </c>
      <c r="B13" s="92">
        <v>2636.42</v>
      </c>
      <c r="C13" s="101">
        <f t="shared" si="0"/>
        <v>2636.42</v>
      </c>
    </row>
    <row r="14" spans="1:4" x14ac:dyDescent="0.2">
      <c r="A14" s="100" t="s">
        <v>0</v>
      </c>
      <c r="B14" s="92">
        <v>324588.19269230828</v>
      </c>
      <c r="C14" s="101">
        <f t="shared" si="0"/>
        <v>324588.19269230828</v>
      </c>
    </row>
    <row r="15" spans="1:4" x14ac:dyDescent="0.2">
      <c r="A15" s="102" t="s">
        <v>1660</v>
      </c>
      <c r="B15" s="93"/>
      <c r="C15" s="103">
        <v>108.96</v>
      </c>
      <c r="D15" s="30"/>
    </row>
    <row r="16" spans="1:4" ht="13.5" thickBot="1" x14ac:dyDescent="0.25">
      <c r="A16" s="104" t="s">
        <v>1304</v>
      </c>
      <c r="B16" s="105">
        <f>SUM(B7:B15)</f>
        <v>1376921.9126923103</v>
      </c>
      <c r="C16" s="106">
        <f>SUM(C7:C15)</f>
        <v>1377030.8726923103</v>
      </c>
    </row>
    <row r="17" spans="1:3" ht="13.5" thickBot="1" x14ac:dyDescent="0.25">
      <c r="A17" s="14"/>
      <c r="B17" s="107"/>
      <c r="C17" s="107"/>
    </row>
    <row r="18" spans="1:3" ht="15.75" x14ac:dyDescent="0.25">
      <c r="A18" s="304" t="s">
        <v>1299</v>
      </c>
      <c r="B18" s="305"/>
      <c r="C18" s="306"/>
    </row>
    <row r="19" spans="1:3" x14ac:dyDescent="0.2">
      <c r="A19" s="98" t="s">
        <v>1231</v>
      </c>
      <c r="B19" s="91" t="s">
        <v>1300</v>
      </c>
      <c r="C19" s="99" t="s">
        <v>1301</v>
      </c>
    </row>
    <row r="20" spans="1:3" x14ac:dyDescent="0.2">
      <c r="A20" s="169" t="s">
        <v>1591</v>
      </c>
      <c r="B20" s="170">
        <v>14824.46</v>
      </c>
      <c r="C20" s="101">
        <f t="shared" ref="C20:C27" si="1">B20</f>
        <v>14824.46</v>
      </c>
    </row>
    <row r="21" spans="1:3" x14ac:dyDescent="0.2">
      <c r="A21" s="169" t="s">
        <v>10</v>
      </c>
      <c r="B21" s="170">
        <v>7890</v>
      </c>
      <c r="C21" s="101">
        <f t="shared" si="1"/>
        <v>7890</v>
      </c>
    </row>
    <row r="22" spans="1:3" x14ac:dyDescent="0.2">
      <c r="A22" s="169" t="s">
        <v>8</v>
      </c>
      <c r="B22" s="170">
        <v>3945</v>
      </c>
      <c r="C22" s="101">
        <f t="shared" si="1"/>
        <v>3945</v>
      </c>
    </row>
    <row r="23" spans="1:3" x14ac:dyDescent="0.2">
      <c r="A23" s="169" t="s">
        <v>19</v>
      </c>
      <c r="B23" s="170">
        <v>3234.9</v>
      </c>
      <c r="C23" s="101">
        <f t="shared" si="1"/>
        <v>3234.9</v>
      </c>
    </row>
    <row r="24" spans="1:3" x14ac:dyDescent="0.2">
      <c r="A24" s="169" t="s">
        <v>1589</v>
      </c>
      <c r="B24" s="170">
        <v>19909.259999999998</v>
      </c>
      <c r="C24" s="101">
        <f t="shared" si="1"/>
        <v>19909.259999999998</v>
      </c>
    </row>
    <row r="25" spans="1:3" x14ac:dyDescent="0.2">
      <c r="A25" s="169" t="s">
        <v>32</v>
      </c>
      <c r="B25" s="170">
        <v>3620.66</v>
      </c>
      <c r="C25" s="101">
        <f t="shared" si="1"/>
        <v>3620.66</v>
      </c>
    </row>
    <row r="26" spans="1:3" x14ac:dyDescent="0.2">
      <c r="A26" s="169" t="s">
        <v>1252</v>
      </c>
      <c r="B26" s="170">
        <v>2934.46</v>
      </c>
      <c r="C26" s="101">
        <f t="shared" si="1"/>
        <v>2934.46</v>
      </c>
    </row>
    <row r="27" spans="1:3" x14ac:dyDescent="0.2">
      <c r="A27" s="169" t="s">
        <v>0</v>
      </c>
      <c r="B27" s="170">
        <v>9266.42</v>
      </c>
      <c r="C27" s="101">
        <f t="shared" si="1"/>
        <v>9266.42</v>
      </c>
    </row>
    <row r="28" spans="1:3" x14ac:dyDescent="0.2">
      <c r="A28" s="102" t="s">
        <v>1660</v>
      </c>
      <c r="B28" s="94"/>
      <c r="C28" s="108">
        <v>24.11</v>
      </c>
    </row>
    <row r="29" spans="1:3" ht="13.5" thickBot="1" x14ac:dyDescent="0.25">
      <c r="A29" s="89" t="s">
        <v>1302</v>
      </c>
      <c r="B29" s="90">
        <f>SUM(B20:B28)</f>
        <v>65625.16</v>
      </c>
      <c r="C29" s="109">
        <f t="shared" ref="C29" si="2">SUM(C20:C28)</f>
        <v>65649.27</v>
      </c>
    </row>
    <row r="31" spans="1:3" ht="13.5" thickBot="1" x14ac:dyDescent="0.25">
      <c r="A31" s="11"/>
      <c r="B31" s="12"/>
      <c r="C31" s="15"/>
    </row>
    <row r="32" spans="1:3" s="17" customFormat="1" ht="24" customHeight="1" thickBot="1" x14ac:dyDescent="0.25">
      <c r="A32" s="95" t="s">
        <v>1305</v>
      </c>
      <c r="B32" s="96">
        <f>B29+B16</f>
        <v>1442547.0726923102</v>
      </c>
      <c r="C32" s="97">
        <f>C16+C29</f>
        <v>1442680.1426923103</v>
      </c>
    </row>
    <row r="33" spans="1:5" x14ac:dyDescent="0.2">
      <c r="A33" s="11"/>
      <c r="B33" s="12"/>
      <c r="C33" s="15"/>
    </row>
    <row r="34" spans="1:5" x14ac:dyDescent="0.2">
      <c r="A34" s="16"/>
      <c r="B34" s="16"/>
      <c r="C34" s="15"/>
      <c r="E34" s="29"/>
    </row>
    <row r="35" spans="1:5" ht="13.5" thickBot="1" x14ac:dyDescent="0.25">
      <c r="A35" s="16"/>
      <c r="B35" s="16"/>
      <c r="C35" s="15"/>
    </row>
    <row r="36" spans="1:5" ht="16.5" thickBot="1" x14ac:dyDescent="0.3">
      <c r="A36" s="77" t="s">
        <v>1306</v>
      </c>
      <c r="B36" s="78">
        <v>45079</v>
      </c>
      <c r="C36" s="11"/>
    </row>
    <row r="37" spans="1:5" x14ac:dyDescent="0.2">
      <c r="A37" s="16"/>
      <c r="B37" s="16"/>
      <c r="C37" s="11"/>
    </row>
    <row r="39" spans="1:5" x14ac:dyDescent="0.2">
      <c r="C39" s="34"/>
    </row>
    <row r="40" spans="1:5" x14ac:dyDescent="0.2">
      <c r="A40" s="29"/>
      <c r="B40" s="29"/>
    </row>
    <row r="41" spans="1:5" x14ac:dyDescent="0.2">
      <c r="A41" s="29"/>
      <c r="B41" s="29"/>
    </row>
    <row r="42" spans="1:5" x14ac:dyDescent="0.2">
      <c r="A42" s="29"/>
      <c r="B42" s="29"/>
    </row>
    <row r="43" spans="1:5" x14ac:dyDescent="0.2">
      <c r="A43" s="29"/>
      <c r="B43" s="29"/>
    </row>
    <row r="44" spans="1:5" x14ac:dyDescent="0.2">
      <c r="A44" s="29"/>
      <c r="B44" s="29"/>
    </row>
    <row r="45" spans="1:5" x14ac:dyDescent="0.2">
      <c r="A45" s="29"/>
      <c r="B45" s="29"/>
    </row>
  </sheetData>
  <mergeCells count="3">
    <mergeCell ref="A2:C2"/>
    <mergeCell ref="A18:C18"/>
    <mergeCell ref="A5:C5"/>
  </mergeCells>
  <pageMargins left="0.511811024" right="0.511811024" top="0.78740157499999996" bottom="0.78740157499999996" header="0.31496062000000002" footer="0.31496062000000002"/>
  <pageSetup paperSize="9" scale="96" orientation="portrait" r:id="rId1"/>
  <colBreaks count="1" manualBreakCount="1">
    <brk id="3" max="31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17766-412A-423B-94A6-AD0EFF5291D8}">
  <sheetPr codeName="Planilha5">
    <pageSetUpPr fitToPage="1"/>
  </sheetPr>
  <dimension ref="A1:R35"/>
  <sheetViews>
    <sheetView view="pageBreakPreview" topLeftCell="A15" zoomScale="66" zoomScaleNormal="66" zoomScaleSheetLayoutView="66" workbookViewId="0">
      <selection activeCell="J29" sqref="J29"/>
    </sheetView>
  </sheetViews>
  <sheetFormatPr defaultColWidth="9.140625" defaultRowHeight="14.25" x14ac:dyDescent="0.2"/>
  <cols>
    <col min="1" max="1" width="43.85546875" style="20" customWidth="1"/>
    <col min="2" max="2" width="27.28515625" style="27" customWidth="1"/>
    <col min="3" max="3" width="17.140625" style="20" customWidth="1"/>
    <col min="4" max="4" width="27.28515625" style="27" customWidth="1"/>
    <col min="5" max="5" width="17.140625" style="20" customWidth="1"/>
    <col min="6" max="6" width="27.28515625" style="21" customWidth="1"/>
    <col min="7" max="7" width="17.140625" style="22" customWidth="1"/>
    <col min="8" max="8" width="27.28515625" style="22" customWidth="1"/>
    <col min="9" max="9" width="17.140625" style="23" customWidth="1"/>
    <col min="10" max="10" width="27.42578125" style="22" customWidth="1"/>
    <col min="11" max="11" width="16" style="23" bestFit="1" customWidth="1"/>
    <col min="12" max="12" width="34.5703125" style="20" bestFit="1" customWidth="1"/>
    <col min="13" max="13" width="13.140625" style="21" customWidth="1"/>
    <col min="14" max="15" width="9.140625" style="20"/>
    <col min="16" max="16" width="32" style="20" bestFit="1" customWidth="1"/>
    <col min="17" max="17" width="26.140625" style="20" bestFit="1" customWidth="1"/>
    <col min="18" max="18" width="24.85546875" style="20" bestFit="1" customWidth="1"/>
    <col min="19" max="21" width="8.85546875" style="20" customWidth="1"/>
    <col min="22" max="16384" width="9.140625" style="20"/>
  </cols>
  <sheetData>
    <row r="1" spans="1:18" ht="48" customHeight="1" thickBot="1" x14ac:dyDescent="0.25">
      <c r="A1" s="187" t="s">
        <v>1737</v>
      </c>
      <c r="B1" s="188"/>
      <c r="C1" s="188"/>
      <c r="D1" s="188"/>
      <c r="E1" s="188"/>
      <c r="F1" s="188"/>
      <c r="G1" s="188"/>
      <c r="H1" s="188"/>
      <c r="I1" s="188"/>
      <c r="J1" s="188"/>
      <c r="K1" s="188"/>
      <c r="L1" s="188"/>
      <c r="M1" s="189"/>
    </row>
    <row r="2" spans="1:18" s="46" customFormat="1" ht="15" customHeight="1" thickBot="1" x14ac:dyDescent="0.25">
      <c r="A2" s="185"/>
      <c r="B2" s="185"/>
      <c r="C2" s="185"/>
      <c r="D2" s="185"/>
      <c r="E2" s="185"/>
      <c r="F2" s="185"/>
      <c r="G2" s="185"/>
      <c r="H2" s="185"/>
      <c r="I2" s="185"/>
      <c r="J2" s="185"/>
      <c r="K2" s="185"/>
      <c r="L2" s="185"/>
      <c r="M2" s="185"/>
    </row>
    <row r="3" spans="1:18" s="19" customFormat="1" ht="37.5" customHeight="1" thickBot="1" x14ac:dyDescent="0.25">
      <c r="A3" s="152" t="s">
        <v>1231</v>
      </c>
      <c r="B3" s="74" t="s">
        <v>1586</v>
      </c>
      <c r="C3" s="74" t="s">
        <v>1295</v>
      </c>
      <c r="D3" s="74" t="s">
        <v>1632</v>
      </c>
      <c r="E3" s="74" t="s">
        <v>1295</v>
      </c>
      <c r="F3" s="74" t="s">
        <v>1655</v>
      </c>
      <c r="G3" s="74" t="s">
        <v>1295</v>
      </c>
      <c r="H3" s="74" t="s">
        <v>1689</v>
      </c>
      <c r="I3" s="74" t="s">
        <v>1295</v>
      </c>
      <c r="J3" s="74" t="s">
        <v>1725</v>
      </c>
      <c r="K3" s="74" t="s">
        <v>1295</v>
      </c>
      <c r="L3" s="154" t="s">
        <v>1738</v>
      </c>
      <c r="M3" s="186" t="s">
        <v>1295</v>
      </c>
      <c r="P3" s="252" t="s">
        <v>1294</v>
      </c>
      <c r="Q3" s="252" t="s">
        <v>1733</v>
      </c>
      <c r="R3" s="252" t="s">
        <v>1654</v>
      </c>
    </row>
    <row r="4" spans="1:18" s="19" customFormat="1" ht="37.5" customHeight="1" x14ac:dyDescent="0.2">
      <c r="A4" s="153" t="s">
        <v>1591</v>
      </c>
      <c r="B4" s="50">
        <v>20158.218518518512</v>
      </c>
      <c r="C4" s="58">
        <v>22</v>
      </c>
      <c r="D4" s="50">
        <v>27677.555652173909</v>
      </c>
      <c r="E4" s="58">
        <v>31</v>
      </c>
      <c r="F4" s="50">
        <v>26133.85999999999</v>
      </c>
      <c r="G4" s="58">
        <v>31</v>
      </c>
      <c r="H4" s="50">
        <v>26081.259999999991</v>
      </c>
      <c r="I4" s="58">
        <v>31</v>
      </c>
      <c r="J4" s="50">
        <v>26133.85999999999</v>
      </c>
      <c r="K4" s="58">
        <v>31</v>
      </c>
      <c r="L4" s="155">
        <v>25116.899999999991</v>
      </c>
      <c r="M4" s="156">
        <v>30</v>
      </c>
      <c r="P4" s="7" t="s">
        <v>1591</v>
      </c>
      <c r="Q4" s="30">
        <v>25116.899999999991</v>
      </c>
      <c r="R4" s="30">
        <v>30</v>
      </c>
    </row>
    <row r="5" spans="1:18" s="19" customFormat="1" ht="37.5" customHeight="1" x14ac:dyDescent="0.2">
      <c r="A5" s="153" t="s">
        <v>10</v>
      </c>
      <c r="B5" s="49">
        <v>192397.40999999986</v>
      </c>
      <c r="C5" s="57">
        <v>191</v>
      </c>
      <c r="D5" s="49">
        <v>194381.13739130425</v>
      </c>
      <c r="E5" s="57">
        <v>191</v>
      </c>
      <c r="F5" s="49">
        <v>193823.95999999988</v>
      </c>
      <c r="G5" s="57">
        <v>191</v>
      </c>
      <c r="H5" s="49">
        <v>190743.96999999988</v>
      </c>
      <c r="I5" s="57">
        <v>189</v>
      </c>
      <c r="J5" s="49">
        <v>189152.73999999987</v>
      </c>
      <c r="K5" s="57">
        <v>188</v>
      </c>
      <c r="L5" s="157">
        <v>187999.33999999988</v>
      </c>
      <c r="M5" s="158">
        <v>186</v>
      </c>
      <c r="P5" s="7" t="s">
        <v>10</v>
      </c>
      <c r="Q5" s="30">
        <v>187999.33999999988</v>
      </c>
      <c r="R5" s="30">
        <v>186</v>
      </c>
    </row>
    <row r="6" spans="1:18" s="19" customFormat="1" ht="37.5" customHeight="1" x14ac:dyDescent="0.2">
      <c r="A6" s="153" t="s">
        <v>8</v>
      </c>
      <c r="B6" s="50">
        <v>222652.5199999997</v>
      </c>
      <c r="C6" s="58">
        <v>220</v>
      </c>
      <c r="D6" s="50">
        <v>223200.72130434745</v>
      </c>
      <c r="E6" s="58">
        <v>221</v>
      </c>
      <c r="F6" s="50">
        <v>232270.15999999963</v>
      </c>
      <c r="G6" s="58">
        <v>228</v>
      </c>
      <c r="H6" s="50">
        <v>236989.92999999959</v>
      </c>
      <c r="I6" s="58">
        <v>232</v>
      </c>
      <c r="J6" s="50">
        <v>236733.60999999955</v>
      </c>
      <c r="K6" s="58">
        <v>233</v>
      </c>
      <c r="L6" s="155">
        <v>230841.4099999996</v>
      </c>
      <c r="M6" s="156">
        <v>229</v>
      </c>
      <c r="P6" s="7" t="s">
        <v>8</v>
      </c>
      <c r="Q6" s="30">
        <v>230841.4099999996</v>
      </c>
      <c r="R6" s="30">
        <v>229</v>
      </c>
    </row>
    <row r="7" spans="1:18" s="19" customFormat="1" ht="37.5" customHeight="1" x14ac:dyDescent="0.2">
      <c r="A7" s="153" t="s">
        <v>19</v>
      </c>
      <c r="B7" s="49">
        <v>153139.80000000019</v>
      </c>
      <c r="C7" s="57">
        <v>151</v>
      </c>
      <c r="D7" s="49">
        <v>153063.21000000022</v>
      </c>
      <c r="E7" s="57">
        <v>151</v>
      </c>
      <c r="F7" s="49">
        <v>155806.13000000024</v>
      </c>
      <c r="G7" s="57">
        <v>152</v>
      </c>
      <c r="H7" s="49">
        <v>153154.71000000022</v>
      </c>
      <c r="I7" s="57">
        <v>152</v>
      </c>
      <c r="J7" s="49">
        <v>152691.76000000027</v>
      </c>
      <c r="K7" s="57">
        <v>152</v>
      </c>
      <c r="L7" s="157">
        <v>152235.98000000021</v>
      </c>
      <c r="M7" s="158">
        <v>151</v>
      </c>
      <c r="P7" s="7" t="s">
        <v>19</v>
      </c>
      <c r="Q7" s="30">
        <v>152235.98000000021</v>
      </c>
      <c r="R7" s="30">
        <v>151</v>
      </c>
    </row>
    <row r="8" spans="1:18" s="19" customFormat="1" ht="37.5" customHeight="1" x14ac:dyDescent="0.2">
      <c r="A8" s="153" t="s">
        <v>13</v>
      </c>
      <c r="B8" s="50">
        <v>434969.98000000272</v>
      </c>
      <c r="C8" s="58">
        <v>429</v>
      </c>
      <c r="D8" s="50">
        <v>434150.59914715996</v>
      </c>
      <c r="E8" s="58">
        <v>429</v>
      </c>
      <c r="F8" s="50">
        <v>430547.16000000242</v>
      </c>
      <c r="G8" s="58">
        <v>425</v>
      </c>
      <c r="H8" s="50">
        <v>429238.58000000258</v>
      </c>
      <c r="I8" s="58">
        <v>424</v>
      </c>
      <c r="J8" s="50">
        <v>447927.43000000308</v>
      </c>
      <c r="K8" s="58">
        <v>442</v>
      </c>
      <c r="L8" s="155">
        <v>448153.64000000304</v>
      </c>
      <c r="M8" s="156">
        <v>442</v>
      </c>
      <c r="P8" s="7" t="s">
        <v>1589</v>
      </c>
      <c r="Q8" s="30">
        <v>448153.64000000304</v>
      </c>
      <c r="R8" s="30">
        <v>442</v>
      </c>
    </row>
    <row r="9" spans="1:18" s="19" customFormat="1" ht="37.5" customHeight="1" x14ac:dyDescent="0.2">
      <c r="A9" s="153" t="s">
        <v>32</v>
      </c>
      <c r="B9" s="49">
        <v>62974.929999999964</v>
      </c>
      <c r="C9" s="57">
        <v>62</v>
      </c>
      <c r="D9" s="49">
        <v>65008.849999999955</v>
      </c>
      <c r="E9" s="57">
        <v>64</v>
      </c>
      <c r="F9" s="49">
        <v>64540.309999999961</v>
      </c>
      <c r="G9" s="57">
        <v>63</v>
      </c>
      <c r="H9" s="49">
        <v>60711.299999999959</v>
      </c>
      <c r="I9" s="57">
        <v>60</v>
      </c>
      <c r="J9" s="49">
        <v>64889.879999999954</v>
      </c>
      <c r="K9" s="57">
        <v>63</v>
      </c>
      <c r="L9" s="157">
        <v>64932.279999999948</v>
      </c>
      <c r="M9" s="158">
        <v>64</v>
      </c>
      <c r="P9" s="7" t="s">
        <v>32</v>
      </c>
      <c r="Q9" s="30">
        <v>64932.279999999948</v>
      </c>
      <c r="R9" s="30">
        <v>64</v>
      </c>
    </row>
    <row r="10" spans="1:18" s="19" customFormat="1" ht="37.5" customHeight="1" x14ac:dyDescent="0.2">
      <c r="A10" s="153" t="s">
        <v>1252</v>
      </c>
      <c r="B10" s="50">
        <v>5210.88</v>
      </c>
      <c r="C10" s="58">
        <v>5</v>
      </c>
      <c r="D10" s="50">
        <v>5690.88</v>
      </c>
      <c r="E10" s="58">
        <v>5</v>
      </c>
      <c r="F10" s="50">
        <v>5570.88</v>
      </c>
      <c r="G10" s="58">
        <v>5</v>
      </c>
      <c r="H10" s="50">
        <v>5570.88</v>
      </c>
      <c r="I10" s="58">
        <v>5</v>
      </c>
      <c r="J10" s="50">
        <v>5810.88</v>
      </c>
      <c r="K10" s="58">
        <v>5</v>
      </c>
      <c r="L10" s="155">
        <v>5450.88</v>
      </c>
      <c r="M10" s="156">
        <v>5</v>
      </c>
      <c r="P10" s="7" t="s">
        <v>1252</v>
      </c>
      <c r="Q10" s="30">
        <v>5450.88</v>
      </c>
      <c r="R10" s="30">
        <v>5</v>
      </c>
    </row>
    <row r="11" spans="1:18" s="19" customFormat="1" ht="37.5" customHeight="1" thickBot="1" x14ac:dyDescent="0.25">
      <c r="A11" s="153" t="s">
        <v>0</v>
      </c>
      <c r="B11" s="49">
        <v>340420.06000000075</v>
      </c>
      <c r="C11" s="57">
        <v>338</v>
      </c>
      <c r="D11" s="49">
        <v>337226.4643478269</v>
      </c>
      <c r="E11" s="57">
        <v>335</v>
      </c>
      <c r="F11" s="49">
        <v>333854.61269230844</v>
      </c>
      <c r="G11" s="57">
        <v>332</v>
      </c>
      <c r="H11" s="49">
        <v>329420.19000000088</v>
      </c>
      <c r="I11" s="57">
        <v>327</v>
      </c>
      <c r="J11" s="49">
        <v>329142.14000000077</v>
      </c>
      <c r="K11" s="57">
        <v>330</v>
      </c>
      <c r="L11" s="157">
        <v>327024.77000000054</v>
      </c>
      <c r="M11" s="158">
        <v>328</v>
      </c>
      <c r="P11" s="7" t="s">
        <v>0</v>
      </c>
      <c r="Q11" s="30">
        <v>327024.77000000054</v>
      </c>
      <c r="R11" s="30">
        <v>328</v>
      </c>
    </row>
    <row r="12" spans="1:18" s="19" customFormat="1" ht="37.5" customHeight="1" x14ac:dyDescent="0.2">
      <c r="A12" s="63" t="s">
        <v>1296</v>
      </c>
      <c r="B12" s="51">
        <f t="shared" ref="B12:K12" si="0">SUM(B4:B11)</f>
        <v>1431923.7985185215</v>
      </c>
      <c r="C12" s="59">
        <f t="shared" si="0"/>
        <v>1418</v>
      </c>
      <c r="D12" s="51">
        <f t="shared" si="0"/>
        <v>1440399.4178428124</v>
      </c>
      <c r="E12" s="59">
        <f t="shared" si="0"/>
        <v>1427</v>
      </c>
      <c r="F12" s="51">
        <f t="shared" si="0"/>
        <v>1442547.0726923104</v>
      </c>
      <c r="G12" s="59">
        <f t="shared" si="0"/>
        <v>1427</v>
      </c>
      <c r="H12" s="51">
        <f t="shared" si="0"/>
        <v>1431910.8200000031</v>
      </c>
      <c r="I12" s="59">
        <f t="shared" si="0"/>
        <v>1420</v>
      </c>
      <c r="J12" s="51">
        <f t="shared" si="0"/>
        <v>1452482.3000000033</v>
      </c>
      <c r="K12" s="59">
        <f t="shared" si="0"/>
        <v>1444</v>
      </c>
      <c r="L12" s="159">
        <f t="shared" ref="L12:M12" si="1">SUM(L4:L11)</f>
        <v>1441755.200000003</v>
      </c>
      <c r="M12" s="160">
        <f t="shared" si="1"/>
        <v>1435</v>
      </c>
      <c r="P12" s="284" t="s">
        <v>1292</v>
      </c>
      <c r="Q12" s="285">
        <v>1442294.6599999706</v>
      </c>
      <c r="R12" s="285">
        <v>1435</v>
      </c>
    </row>
    <row r="13" spans="1:18" s="19" customFormat="1" ht="37.5" customHeight="1" thickBot="1" x14ac:dyDescent="0.25">
      <c r="A13" s="64" t="s">
        <v>1297</v>
      </c>
      <c r="B13" s="65">
        <v>0</v>
      </c>
      <c r="C13" s="65"/>
      <c r="D13" s="65">
        <v>3363.7576923076931</v>
      </c>
      <c r="E13" s="65"/>
      <c r="F13" s="65">
        <v>2610.02</v>
      </c>
      <c r="G13" s="65"/>
      <c r="H13" s="65">
        <v>13142.749999999995</v>
      </c>
      <c r="I13" s="65"/>
      <c r="J13" s="161">
        <v>0</v>
      </c>
      <c r="K13" s="162"/>
      <c r="L13" s="161">
        <v>0</v>
      </c>
      <c r="M13" s="162"/>
    </row>
    <row r="14" spans="1:18" s="19" customFormat="1" ht="37.5" customHeight="1" thickBot="1" x14ac:dyDescent="0.25">
      <c r="A14" s="47"/>
      <c r="B14" s="60"/>
      <c r="D14" s="60"/>
      <c r="F14" s="60"/>
      <c r="H14" s="60"/>
      <c r="I14" s="60"/>
    </row>
    <row r="15" spans="1:18" s="19" customFormat="1" ht="25.5" customHeight="1" thickBot="1" x14ac:dyDescent="0.25">
      <c r="A15" s="48" t="s">
        <v>1298</v>
      </c>
      <c r="B15" s="69">
        <v>1376907.1421999163</v>
      </c>
      <c r="C15" s="69"/>
      <c r="D15" s="69">
        <v>1375513.2323850032</v>
      </c>
      <c r="E15" s="69"/>
      <c r="F15" s="69">
        <f>F12+F13</f>
        <v>1445157.0926923105</v>
      </c>
      <c r="G15" s="69"/>
      <c r="H15" s="69">
        <f>H12+H13</f>
        <v>1445053.5700000031</v>
      </c>
      <c r="I15" s="69"/>
      <c r="J15" s="81">
        <v>1452529.2200000114</v>
      </c>
      <c r="K15" s="70"/>
      <c r="L15" s="81"/>
      <c r="M15" s="70"/>
    </row>
    <row r="16" spans="1:18" s="19" customFormat="1" ht="25.5" customHeight="1" x14ac:dyDescent="0.2">
      <c r="A16" s="116"/>
      <c r="B16" s="112"/>
      <c r="C16" s="113"/>
      <c r="D16" s="112"/>
      <c r="E16" s="113"/>
      <c r="F16" s="112"/>
      <c r="G16" s="113"/>
      <c r="H16" s="112"/>
      <c r="I16" s="113"/>
      <c r="J16" s="112"/>
      <c r="K16" s="113"/>
      <c r="L16" s="114"/>
      <c r="M16" s="113"/>
    </row>
    <row r="17" spans="1:13" s="19" customFormat="1" ht="25.5" customHeight="1" x14ac:dyDescent="0.2">
      <c r="L17" s="142"/>
    </row>
    <row r="18" spans="1:13" s="19" customFormat="1" ht="25.5" customHeight="1" x14ac:dyDescent="0.2">
      <c r="A18" s="117"/>
      <c r="B18" s="25"/>
      <c r="C18" s="25"/>
      <c r="D18" s="25"/>
      <c r="E18" s="26"/>
      <c r="F18" s="25"/>
      <c r="G18" s="26"/>
      <c r="H18" s="25"/>
      <c r="I18" s="25"/>
      <c r="J18" s="25"/>
      <c r="K18" s="25"/>
      <c r="L18" s="25"/>
      <c r="M18" s="26"/>
    </row>
    <row r="19" spans="1:13" s="19" customFormat="1" ht="24" customHeight="1" thickBot="1" x14ac:dyDescent="0.25">
      <c r="A19" s="314" t="s">
        <v>1511</v>
      </c>
      <c r="B19" s="315"/>
      <c r="C19" s="315"/>
      <c r="D19" s="315"/>
      <c r="E19" s="315"/>
      <c r="F19" s="315"/>
      <c r="G19" s="315"/>
      <c r="H19" s="315"/>
      <c r="I19" s="315"/>
      <c r="J19" s="315"/>
      <c r="K19" s="315"/>
      <c r="L19" s="315"/>
      <c r="M19" s="316"/>
    </row>
    <row r="20" spans="1:13" s="19" customFormat="1" ht="41.25" customHeight="1" thickBot="1" x14ac:dyDescent="0.25">
      <c r="A20" s="272" t="s">
        <v>1294</v>
      </c>
      <c r="B20" s="273" t="s">
        <v>1681</v>
      </c>
      <c r="C20" s="274" t="s">
        <v>1307</v>
      </c>
      <c r="D20" s="273" t="s">
        <v>1724</v>
      </c>
      <c r="E20" s="274" t="s">
        <v>1307</v>
      </c>
      <c r="F20" s="274" t="s">
        <v>1308</v>
      </c>
      <c r="G20" s="317" t="s">
        <v>1309</v>
      </c>
      <c r="H20" s="318"/>
      <c r="I20" s="318"/>
      <c r="J20" s="318"/>
      <c r="K20" s="318"/>
      <c r="L20" s="318"/>
      <c r="M20" s="319"/>
    </row>
    <row r="21" spans="1:13" s="19" customFormat="1" ht="41.25" customHeight="1" x14ac:dyDescent="0.2">
      <c r="A21" s="75" t="s">
        <v>1635</v>
      </c>
      <c r="B21" s="278">
        <v>0</v>
      </c>
      <c r="C21" s="279">
        <v>0</v>
      </c>
      <c r="D21" s="278">
        <v>1845.5900000000001</v>
      </c>
      <c r="E21" s="279">
        <v>1</v>
      </c>
      <c r="F21" s="73">
        <v>1845.5900000000001</v>
      </c>
      <c r="G21" s="320" t="s">
        <v>1609</v>
      </c>
      <c r="H21" s="320"/>
      <c r="I21" s="320"/>
      <c r="J21" s="320"/>
      <c r="K21" s="320"/>
      <c r="L21" s="320"/>
      <c r="M21" s="320"/>
    </row>
    <row r="22" spans="1:13" s="19" customFormat="1" ht="41.25" customHeight="1" x14ac:dyDescent="0.2">
      <c r="A22" s="76" t="s">
        <v>1285</v>
      </c>
      <c r="B22" s="280">
        <v>8909.58</v>
      </c>
      <c r="C22" s="281">
        <v>13</v>
      </c>
      <c r="D22" s="280">
        <v>4861.1000000000004</v>
      </c>
      <c r="E22" s="281">
        <v>12</v>
      </c>
      <c r="F22" s="271">
        <v>-4048.4799999999996</v>
      </c>
      <c r="G22" s="307" t="s">
        <v>1397</v>
      </c>
      <c r="H22" s="307"/>
      <c r="I22" s="307"/>
      <c r="J22" s="307"/>
      <c r="K22" s="307"/>
      <c r="L22" s="307"/>
      <c r="M22" s="307"/>
    </row>
    <row r="23" spans="1:13" s="24" customFormat="1" ht="41.25" customHeight="1" x14ac:dyDescent="0.2">
      <c r="A23" s="76" t="s">
        <v>1293</v>
      </c>
      <c r="B23" s="280">
        <v>5565.8</v>
      </c>
      <c r="C23" s="281">
        <v>6</v>
      </c>
      <c r="D23" s="280">
        <v>0</v>
      </c>
      <c r="E23" s="281">
        <v>0</v>
      </c>
      <c r="F23" s="271">
        <v>-5565.8</v>
      </c>
      <c r="G23" s="307" t="s">
        <v>1396</v>
      </c>
      <c r="H23" s="307"/>
      <c r="I23" s="307"/>
      <c r="J23" s="307"/>
      <c r="K23" s="307"/>
      <c r="L23" s="307"/>
      <c r="M23" s="307"/>
    </row>
    <row r="24" spans="1:13" s="24" customFormat="1" ht="41.25" customHeight="1" x14ac:dyDescent="0.2">
      <c r="A24" s="76" t="s">
        <v>1234</v>
      </c>
      <c r="B24" s="280">
        <v>1326540.829999977</v>
      </c>
      <c r="C24" s="281">
        <v>1314</v>
      </c>
      <c r="D24" s="280">
        <v>1322536.829999977</v>
      </c>
      <c r="E24" s="281">
        <v>1311</v>
      </c>
      <c r="F24" s="271">
        <v>-4004</v>
      </c>
      <c r="G24" s="307" t="s">
        <v>1520</v>
      </c>
      <c r="H24" s="307"/>
      <c r="I24" s="307"/>
      <c r="J24" s="307"/>
      <c r="K24" s="307"/>
      <c r="L24" s="307"/>
      <c r="M24" s="307"/>
    </row>
    <row r="25" spans="1:13" s="24" customFormat="1" ht="41.25" customHeight="1" thickBot="1" x14ac:dyDescent="0.25">
      <c r="A25" s="275" t="s">
        <v>1235</v>
      </c>
      <c r="B25" s="282">
        <v>111466.09000000023</v>
      </c>
      <c r="C25" s="283">
        <v>111</v>
      </c>
      <c r="D25" s="282">
        <v>112511.68000000021</v>
      </c>
      <c r="E25" s="283">
        <v>111</v>
      </c>
      <c r="F25" s="276">
        <v>1045.589999999982</v>
      </c>
      <c r="G25" s="308" t="s">
        <v>1520</v>
      </c>
      <c r="H25" s="309"/>
      <c r="I25" s="309"/>
      <c r="J25" s="309"/>
      <c r="K25" s="309"/>
      <c r="L25" s="309"/>
      <c r="M25" s="310"/>
    </row>
    <row r="26" spans="1:13" s="24" customFormat="1" ht="41.25" customHeight="1" thickBot="1" x14ac:dyDescent="0.25">
      <c r="A26" s="71" t="s">
        <v>1292</v>
      </c>
      <c r="B26" s="72">
        <v>1452482.2999999772</v>
      </c>
      <c r="C26" s="213">
        <v>1444</v>
      </c>
      <c r="D26" s="72">
        <v>1441755.1999999771</v>
      </c>
      <c r="E26" s="213">
        <v>1435</v>
      </c>
      <c r="F26" s="277">
        <v>-10727.100000000017</v>
      </c>
      <c r="G26" s="311" t="s">
        <v>1682</v>
      </c>
      <c r="H26" s="312"/>
      <c r="I26" s="312"/>
      <c r="J26" s="312"/>
      <c r="K26" s="312"/>
      <c r="L26" s="312"/>
      <c r="M26" s="313"/>
    </row>
    <row r="28" spans="1:13" ht="15" thickBot="1" x14ac:dyDescent="0.25"/>
    <row r="29" spans="1:13" ht="69" customHeight="1" thickBot="1" x14ac:dyDescent="0.25">
      <c r="B29" s="192" t="s">
        <v>1686</v>
      </c>
      <c r="C29" s="191" t="s">
        <v>1687</v>
      </c>
      <c r="D29" s="191" t="s">
        <v>1685</v>
      </c>
    </row>
    <row r="30" spans="1:13" ht="29.25" customHeight="1" x14ac:dyDescent="0.2">
      <c r="A30" s="216" t="s">
        <v>1656</v>
      </c>
      <c r="B30" s="220">
        <v>500020.38000001101</v>
      </c>
      <c r="C30" s="164">
        <v>125.12</v>
      </c>
      <c r="D30" s="225">
        <f>B30+C30</f>
        <v>500145.500000011</v>
      </c>
    </row>
    <row r="31" spans="1:13" ht="29.25" customHeight="1" x14ac:dyDescent="0.2">
      <c r="A31" s="217" t="s">
        <v>1658</v>
      </c>
      <c r="B31" s="221">
        <v>869083.49999999942</v>
      </c>
      <c r="C31" s="165">
        <v>0</v>
      </c>
      <c r="D31" s="226">
        <f t="shared" ref="D31:D34" si="2">B31+C31</f>
        <v>869083.49999999942</v>
      </c>
      <c r="F31" s="286"/>
    </row>
    <row r="32" spans="1:13" ht="29.25" customHeight="1" x14ac:dyDescent="0.2">
      <c r="A32" s="217" t="s">
        <v>1657</v>
      </c>
      <c r="B32" s="221">
        <v>61716.3</v>
      </c>
      <c r="C32" s="165"/>
      <c r="D32" s="226">
        <f t="shared" si="2"/>
        <v>61716.3</v>
      </c>
    </row>
    <row r="33" spans="1:4" ht="29.25" customHeight="1" x14ac:dyDescent="0.2">
      <c r="A33" s="218" t="s">
        <v>1659</v>
      </c>
      <c r="B33" s="222">
        <v>3582.6099999999997</v>
      </c>
      <c r="C33" s="166">
        <v>0</v>
      </c>
      <c r="D33" s="227">
        <f t="shared" si="2"/>
        <v>3582.6099999999997</v>
      </c>
    </row>
    <row r="34" spans="1:4" ht="66" customHeight="1" thickBot="1" x14ac:dyDescent="0.25">
      <c r="A34" s="219" t="s">
        <v>1688</v>
      </c>
      <c r="B34" s="223">
        <v>7352.41</v>
      </c>
      <c r="C34" s="224">
        <v>0</v>
      </c>
      <c r="D34" s="228">
        <f t="shared" si="2"/>
        <v>7352.41</v>
      </c>
    </row>
    <row r="35" spans="1:4" ht="29.25" customHeight="1" thickBot="1" x14ac:dyDescent="0.25">
      <c r="A35" s="167" t="s">
        <v>1283</v>
      </c>
      <c r="B35" s="168">
        <f>SUM(B30:B34)</f>
        <v>1441755.2000000104</v>
      </c>
      <c r="C35" s="168">
        <f t="shared" ref="C35:D35" si="3">SUM(C30:C34)</f>
        <v>125.12</v>
      </c>
      <c r="D35" s="229">
        <f t="shared" si="3"/>
        <v>1441880.3200000105</v>
      </c>
    </row>
  </sheetData>
  <mergeCells count="8">
    <mergeCell ref="G23:M23"/>
    <mergeCell ref="G24:M24"/>
    <mergeCell ref="G25:M25"/>
    <mergeCell ref="G26:M26"/>
    <mergeCell ref="A19:M19"/>
    <mergeCell ref="G20:M20"/>
    <mergeCell ref="G21:M21"/>
    <mergeCell ref="G22:M22"/>
  </mergeCells>
  <pageMargins left="0.19685039370078741" right="0" top="0.19685039370078741" bottom="0.19685039370078741" header="0.31496062992125984" footer="0.31496062992125984"/>
  <pageSetup paperSize="9" scale="47" fitToWidth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68051-40B1-49C3-AFF0-5171EB9C2871}">
  <sheetPr codeName="Planilha7">
    <pageSetUpPr fitToPage="1"/>
  </sheetPr>
  <dimension ref="A2:K23"/>
  <sheetViews>
    <sheetView zoomScale="80" zoomScaleNormal="80" workbookViewId="0">
      <selection activeCell="C4" sqref="C4:G9"/>
    </sheetView>
  </sheetViews>
  <sheetFormatPr defaultRowHeight="12.75" x14ac:dyDescent="0.2"/>
  <cols>
    <col min="1" max="1" width="8.7109375" style="18" customWidth="1"/>
    <col min="2" max="2" width="32.140625" style="17" bestFit="1" customWidth="1"/>
    <col min="3" max="3" width="23.5703125" style="17" customWidth="1"/>
    <col min="4" max="4" width="21.140625" style="67" customWidth="1"/>
    <col min="5" max="5" width="25" style="17" customWidth="1"/>
    <col min="6" max="6" width="25" style="67" customWidth="1"/>
    <col min="7" max="7" width="25" style="17" customWidth="1"/>
    <col min="8" max="8" width="79.140625" style="17" bestFit="1" customWidth="1"/>
    <col min="9" max="16384" width="9.140625" style="17"/>
  </cols>
  <sheetData>
    <row r="2" spans="2:8" ht="13.5" thickBot="1" x14ac:dyDescent="0.25"/>
    <row r="3" spans="2:8" ht="36" customHeight="1" thickBot="1" x14ac:dyDescent="0.25">
      <c r="B3" s="174" t="s">
        <v>1294</v>
      </c>
      <c r="C3" s="43" t="s">
        <v>1681</v>
      </c>
      <c r="D3" s="44" t="s">
        <v>1307</v>
      </c>
      <c r="E3" s="43" t="s">
        <v>1724</v>
      </c>
      <c r="F3" s="44" t="s">
        <v>1307</v>
      </c>
      <c r="G3" s="175" t="s">
        <v>1308</v>
      </c>
      <c r="H3" s="45" t="s">
        <v>1309</v>
      </c>
    </row>
    <row r="4" spans="2:8" ht="30" customHeight="1" x14ac:dyDescent="0.2">
      <c r="B4" s="163" t="s">
        <v>1635</v>
      </c>
      <c r="C4" s="180">
        <v>0</v>
      </c>
      <c r="D4" s="181">
        <v>0</v>
      </c>
      <c r="E4" s="180">
        <v>1845.5900000000001</v>
      </c>
      <c r="F4" s="181">
        <v>1</v>
      </c>
      <c r="G4" s="182">
        <v>1845.5900000000001</v>
      </c>
      <c r="H4" s="184" t="s">
        <v>1609</v>
      </c>
    </row>
    <row r="5" spans="2:8" ht="30" customHeight="1" x14ac:dyDescent="0.2">
      <c r="B5" s="76" t="s">
        <v>1285</v>
      </c>
      <c r="C5" s="52">
        <v>8909.58</v>
      </c>
      <c r="D5" s="141">
        <v>13</v>
      </c>
      <c r="E5" s="52">
        <v>4861.1000000000004</v>
      </c>
      <c r="F5" s="141">
        <v>12</v>
      </c>
      <c r="G5" s="183">
        <v>-4048.4799999999996</v>
      </c>
      <c r="H5" s="32" t="s">
        <v>1397</v>
      </c>
    </row>
    <row r="6" spans="2:8" ht="30" customHeight="1" x14ac:dyDescent="0.2">
      <c r="B6" s="76" t="s">
        <v>1293</v>
      </c>
      <c r="C6" s="52">
        <v>5565.8</v>
      </c>
      <c r="D6" s="141">
        <v>6</v>
      </c>
      <c r="E6" s="52">
        <v>0</v>
      </c>
      <c r="F6" s="141">
        <v>0</v>
      </c>
      <c r="G6" s="183">
        <v>-5565.8</v>
      </c>
      <c r="H6" s="32" t="s">
        <v>1396</v>
      </c>
    </row>
    <row r="7" spans="2:8" ht="30" customHeight="1" x14ac:dyDescent="0.2">
      <c r="B7" s="76" t="s">
        <v>1234</v>
      </c>
      <c r="C7" s="52">
        <v>1326540.829999977</v>
      </c>
      <c r="D7" s="141">
        <v>1314</v>
      </c>
      <c r="E7" s="52">
        <v>1322536.829999977</v>
      </c>
      <c r="F7" s="141">
        <v>1311</v>
      </c>
      <c r="G7" s="183">
        <v>-4004</v>
      </c>
      <c r="H7" s="32" t="s">
        <v>1520</v>
      </c>
    </row>
    <row r="8" spans="2:8" ht="30" customHeight="1" x14ac:dyDescent="0.2">
      <c r="B8" s="76" t="s">
        <v>1235</v>
      </c>
      <c r="C8" s="52">
        <v>111466.09000000023</v>
      </c>
      <c r="D8" s="141">
        <v>111</v>
      </c>
      <c r="E8" s="52">
        <v>112511.68000000021</v>
      </c>
      <c r="F8" s="141">
        <v>111</v>
      </c>
      <c r="G8" s="183">
        <v>1045.589999999982</v>
      </c>
      <c r="H8" s="32" t="s">
        <v>1520</v>
      </c>
    </row>
    <row r="9" spans="2:8" ht="30" customHeight="1" thickBot="1" x14ac:dyDescent="0.25">
      <c r="B9" s="176" t="s">
        <v>1292</v>
      </c>
      <c r="C9" s="177">
        <f>SUM(C4:C8)</f>
        <v>1452482.2999999772</v>
      </c>
      <c r="D9" s="178">
        <f>SUM(D4:D8)</f>
        <v>1444</v>
      </c>
      <c r="E9" s="177">
        <f>SUM(E4:E8)</f>
        <v>1441755.1999999771</v>
      </c>
      <c r="F9" s="178">
        <v>1435</v>
      </c>
      <c r="G9" s="270">
        <f>SUM(G4:G8)</f>
        <v>-10727.100000000017</v>
      </c>
      <c r="H9" s="179" t="s">
        <v>1682</v>
      </c>
    </row>
    <row r="10" spans="2:8" x14ac:dyDescent="0.2">
      <c r="E10" s="68"/>
    </row>
    <row r="14" spans="2:8" ht="13.5" thickBot="1" x14ac:dyDescent="0.25"/>
    <row r="15" spans="2:8" ht="13.5" thickBot="1" x14ac:dyDescent="0.25">
      <c r="B15" s="268" t="s">
        <v>1294</v>
      </c>
      <c r="C15" s="172" t="s">
        <v>1724</v>
      </c>
      <c r="D15" s="173" t="s">
        <v>1307</v>
      </c>
      <c r="E15" s="172" t="s">
        <v>1734</v>
      </c>
      <c r="F15" s="173" t="s">
        <v>1307</v>
      </c>
      <c r="G15" s="269" t="s">
        <v>1308</v>
      </c>
    </row>
    <row r="16" spans="2:8" x14ac:dyDescent="0.2">
      <c r="B16" s="263" t="s">
        <v>1635</v>
      </c>
      <c r="C16" s="264">
        <v>0</v>
      </c>
      <c r="D16" s="265">
        <v>0</v>
      </c>
      <c r="E16" s="265">
        <v>1845.5900000000001</v>
      </c>
      <c r="F16" s="266">
        <v>1</v>
      </c>
      <c r="G16" s="267">
        <f>E16-C16</f>
        <v>1845.5900000000001</v>
      </c>
    </row>
    <row r="17" spans="2:11" x14ac:dyDescent="0.2">
      <c r="B17" s="257" t="s">
        <v>1735</v>
      </c>
      <c r="C17" s="54">
        <v>8909.58</v>
      </c>
      <c r="D17" s="140">
        <v>13</v>
      </c>
      <c r="E17" s="54">
        <v>5220.5600000000004</v>
      </c>
      <c r="F17" s="140">
        <v>12</v>
      </c>
      <c r="G17" s="115">
        <f t="shared" ref="G17:G20" si="0">E17-C17</f>
        <v>-3689.0199999999995</v>
      </c>
    </row>
    <row r="18" spans="2:11" x14ac:dyDescent="0.2">
      <c r="B18" s="258" t="s">
        <v>1736</v>
      </c>
      <c r="C18" s="54">
        <v>5565.8</v>
      </c>
      <c r="D18" s="140">
        <v>6</v>
      </c>
      <c r="E18" s="54">
        <v>0</v>
      </c>
      <c r="F18" s="54">
        <v>0</v>
      </c>
      <c r="G18" s="115">
        <f t="shared" si="0"/>
        <v>-5565.8</v>
      </c>
      <c r="H18"/>
      <c r="I18"/>
      <c r="J18"/>
      <c r="K18"/>
    </row>
    <row r="19" spans="2:11" x14ac:dyDescent="0.2">
      <c r="B19" s="258" t="s">
        <v>1234</v>
      </c>
      <c r="C19" s="54">
        <v>1326540.829999977</v>
      </c>
      <c r="D19" s="139">
        <v>1314</v>
      </c>
      <c r="E19" s="54">
        <v>1322716.829999977</v>
      </c>
      <c r="F19" s="139">
        <v>1311</v>
      </c>
      <c r="G19" s="115">
        <f t="shared" si="0"/>
        <v>-3824</v>
      </c>
      <c r="H19" s="7"/>
      <c r="I19" s="30"/>
      <c r="J19" s="30"/>
      <c r="K19"/>
    </row>
    <row r="20" spans="2:11" ht="13.5" thickBot="1" x14ac:dyDescent="0.25">
      <c r="B20" s="259" t="s">
        <v>1235</v>
      </c>
      <c r="C20" s="260">
        <v>111466.09000000023</v>
      </c>
      <c r="D20" s="261">
        <v>111</v>
      </c>
      <c r="E20" s="260">
        <v>112511.68000000021</v>
      </c>
      <c r="F20" s="261">
        <v>111</v>
      </c>
      <c r="G20" s="262">
        <f t="shared" si="0"/>
        <v>1045.589999999982</v>
      </c>
      <c r="H20" s="7"/>
      <c r="I20" s="30"/>
      <c r="J20" s="30"/>
      <c r="K20"/>
    </row>
    <row r="21" spans="2:11" ht="13.5" thickBot="1" x14ac:dyDescent="0.25">
      <c r="B21" s="253" t="s">
        <v>1292</v>
      </c>
      <c r="C21" s="254">
        <f>SUM(C16:C20)</f>
        <v>1452482.2999999772</v>
      </c>
      <c r="D21" s="255">
        <f>SUM(D16:D20)</f>
        <v>1444</v>
      </c>
      <c r="E21" s="254">
        <f>SUM(E16:E20)</f>
        <v>1442294.6599999771</v>
      </c>
      <c r="F21" s="255">
        <f>SUM(F16:F20)</f>
        <v>1435</v>
      </c>
      <c r="G21" s="256">
        <f>SUM(G16:G20)</f>
        <v>-10187.640000000018</v>
      </c>
      <c r="H21" s="7"/>
      <c r="I21" s="30"/>
      <c r="J21" s="30"/>
      <c r="K21"/>
    </row>
    <row r="22" spans="2:11" x14ac:dyDescent="0.2">
      <c r="H22" s="7"/>
      <c r="I22" s="30"/>
      <c r="J22" s="30"/>
      <c r="K22"/>
    </row>
    <row r="23" spans="2:11" x14ac:dyDescent="0.2">
      <c r="H23" s="7"/>
      <c r="I23" s="30"/>
      <c r="J23" s="30"/>
      <c r="K23"/>
    </row>
  </sheetData>
  <pageMargins left="0.51181102362204722" right="0.51181102362204722" top="0.78740157480314965" bottom="0.78740157480314965" header="0.31496062992125984" footer="0.31496062992125984"/>
  <pageSetup paperSize="9" scale="66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EAAFF-D365-4253-A9A0-CCC5C94E0D41}">
  <sheetPr codeName="Planilha8"/>
  <dimension ref="A1:L36"/>
  <sheetViews>
    <sheetView workbookViewId="0">
      <selection activeCell="B28" sqref="B28:C35"/>
    </sheetView>
  </sheetViews>
  <sheetFormatPr defaultRowHeight="12.75" x14ac:dyDescent="0.2"/>
  <cols>
    <col min="1" max="1" width="18.7109375" bestFit="1" customWidth="1"/>
    <col min="2" max="2" width="20.28515625" style="29" bestFit="1" customWidth="1"/>
    <col min="3" max="3" width="19.42578125" style="29" bestFit="1" customWidth="1"/>
    <col min="4" max="4" width="25.140625" style="29" bestFit="1" customWidth="1"/>
    <col min="5" max="5" width="24.85546875" style="29" bestFit="1" customWidth="1"/>
    <col min="6" max="6" width="25.140625" style="29" bestFit="1" customWidth="1"/>
    <col min="7" max="8" width="17" customWidth="1"/>
    <col min="9" max="9" width="17" style="29" customWidth="1"/>
    <col min="10" max="10" width="17" style="137" customWidth="1"/>
    <col min="11" max="11" width="19.140625" style="53" customWidth="1"/>
    <col min="12" max="12" width="16" bestFit="1" customWidth="1"/>
    <col min="13" max="13" width="10.28515625" bestFit="1" customWidth="1"/>
  </cols>
  <sheetData>
    <row r="1" spans="1:11" x14ac:dyDescent="0.2">
      <c r="B1"/>
    </row>
    <row r="2" spans="1:11" x14ac:dyDescent="0.2">
      <c r="A2" s="6" t="s">
        <v>1722</v>
      </c>
      <c r="B2" t="s">
        <v>1528</v>
      </c>
      <c r="C2"/>
      <c r="D2"/>
      <c r="E2"/>
      <c r="F2"/>
      <c r="J2" s="138"/>
    </row>
    <row r="3" spans="1:11" ht="13.5" thickBot="1" x14ac:dyDescent="0.25">
      <c r="B3"/>
      <c r="C3"/>
      <c r="D3"/>
      <c r="E3"/>
      <c r="F3"/>
      <c r="J3" s="138"/>
    </row>
    <row r="4" spans="1:11" ht="13.5" thickBot="1" x14ac:dyDescent="0.25">
      <c r="A4" s="6" t="s">
        <v>1294</v>
      </c>
      <c r="B4" t="s">
        <v>1723</v>
      </c>
      <c r="C4" t="s">
        <v>1654</v>
      </c>
      <c r="D4"/>
      <c r="E4"/>
      <c r="F4" s="268" t="s">
        <v>1294</v>
      </c>
      <c r="G4" s="172" t="s">
        <v>1724</v>
      </c>
      <c r="H4" s="173" t="s">
        <v>1307</v>
      </c>
      <c r="I4" s="172" t="s">
        <v>1734</v>
      </c>
      <c r="J4" s="173" t="s">
        <v>1307</v>
      </c>
      <c r="K4" s="269" t="s">
        <v>1308</v>
      </c>
    </row>
    <row r="5" spans="1:11" x14ac:dyDescent="0.2">
      <c r="A5" s="7" t="s">
        <v>1731</v>
      </c>
      <c r="B5" s="30">
        <v>8909.58</v>
      </c>
      <c r="C5" s="30">
        <v>13</v>
      </c>
      <c r="D5" t="str">
        <f>PROPER(A5)</f>
        <v>Afastado</v>
      </c>
      <c r="E5"/>
      <c r="F5" s="263" t="s">
        <v>1635</v>
      </c>
      <c r="G5" s="264">
        <v>0</v>
      </c>
      <c r="H5" s="265">
        <v>0</v>
      </c>
      <c r="I5" s="265">
        <v>1845.5900000000001</v>
      </c>
      <c r="J5" s="266">
        <v>1</v>
      </c>
      <c r="K5" s="267">
        <f>I5-G5</f>
        <v>1845.5900000000001</v>
      </c>
    </row>
    <row r="6" spans="1:11" x14ac:dyDescent="0.2">
      <c r="A6" s="7" t="s">
        <v>1293</v>
      </c>
      <c r="B6" s="30">
        <v>5565.8</v>
      </c>
      <c r="C6" s="30">
        <v>6</v>
      </c>
      <c r="D6" t="str">
        <f t="shared" ref="D6:D10" si="0">PROPER(A6)</f>
        <v>Demitido No Mês</v>
      </c>
      <c r="E6"/>
      <c r="F6" s="257" t="s">
        <v>1735</v>
      </c>
      <c r="G6" s="54">
        <v>8909.58</v>
      </c>
      <c r="H6" s="140">
        <v>13</v>
      </c>
      <c r="I6" s="54">
        <v>4861.1000000000004</v>
      </c>
      <c r="J6" s="140">
        <v>12</v>
      </c>
      <c r="K6" s="115">
        <f t="shared" ref="K6:K9" si="1">I6-G6</f>
        <v>-4048.4799999999996</v>
      </c>
    </row>
    <row r="7" spans="1:11" x14ac:dyDescent="0.2">
      <c r="A7" s="7" t="s">
        <v>1234</v>
      </c>
      <c r="B7" s="30">
        <v>1326540.829999977</v>
      </c>
      <c r="C7" s="30">
        <v>1314</v>
      </c>
      <c r="D7" t="str">
        <f t="shared" si="0"/>
        <v>Em Atividade Normal</v>
      </c>
      <c r="E7"/>
      <c r="F7" s="258" t="s">
        <v>1736</v>
      </c>
      <c r="G7" s="54">
        <v>5565.8</v>
      </c>
      <c r="H7" s="140">
        <v>6</v>
      </c>
      <c r="I7" s="54">
        <v>0</v>
      </c>
      <c r="J7" s="54">
        <v>0</v>
      </c>
      <c r="K7" s="115">
        <f t="shared" si="1"/>
        <v>-5565.8</v>
      </c>
    </row>
    <row r="8" spans="1:11" x14ac:dyDescent="0.2">
      <c r="A8" s="7" t="s">
        <v>1235</v>
      </c>
      <c r="B8" s="30">
        <v>111466.09000000023</v>
      </c>
      <c r="C8" s="30">
        <v>111</v>
      </c>
      <c r="D8" t="str">
        <f t="shared" si="0"/>
        <v>Gozando Férias</v>
      </c>
      <c r="E8"/>
      <c r="F8" s="258" t="s">
        <v>1234</v>
      </c>
      <c r="G8" s="54">
        <v>1326540.829999977</v>
      </c>
      <c r="H8" s="139">
        <v>1314</v>
      </c>
      <c r="I8" s="54">
        <v>1322536.829999977</v>
      </c>
      <c r="J8" s="139">
        <v>1311</v>
      </c>
      <c r="K8" s="115">
        <f t="shared" si="1"/>
        <v>-4004</v>
      </c>
    </row>
    <row r="9" spans="1:11" ht="13.5" thickBot="1" x14ac:dyDescent="0.25">
      <c r="A9" s="7" t="s">
        <v>1292</v>
      </c>
      <c r="B9" s="30">
        <v>1452482.2999999723</v>
      </c>
      <c r="C9" s="30">
        <v>1444</v>
      </c>
      <c r="D9" t="str">
        <f t="shared" si="0"/>
        <v>Total Geral</v>
      </c>
      <c r="E9"/>
      <c r="F9" s="259" t="s">
        <v>1235</v>
      </c>
      <c r="G9" s="260">
        <v>111466.09000000023</v>
      </c>
      <c r="H9" s="261">
        <v>111</v>
      </c>
      <c r="I9" s="260">
        <v>112511.68000000021</v>
      </c>
      <c r="J9" s="261">
        <v>111</v>
      </c>
      <c r="K9" s="262">
        <f t="shared" si="1"/>
        <v>1045.589999999982</v>
      </c>
    </row>
    <row r="10" spans="1:11" ht="13.5" thickBot="1" x14ac:dyDescent="0.25">
      <c r="B10"/>
      <c r="C10"/>
      <c r="D10" t="str">
        <f t="shared" si="0"/>
        <v/>
      </c>
      <c r="F10" s="253" t="s">
        <v>1292</v>
      </c>
      <c r="G10" s="254">
        <f>SUM(G5:G9)</f>
        <v>1452482.2999999772</v>
      </c>
      <c r="H10" s="255">
        <f>SUM(H5:H9)</f>
        <v>1444</v>
      </c>
      <c r="I10" s="254">
        <f>SUM(I5:I9)</f>
        <v>1441755.1999999771</v>
      </c>
      <c r="J10" s="255">
        <f>SUM(J5:J9)</f>
        <v>1435</v>
      </c>
      <c r="K10" s="256">
        <f>SUM(K5:K9)</f>
        <v>-10727.100000000017</v>
      </c>
    </row>
    <row r="11" spans="1:11" x14ac:dyDescent="0.2">
      <c r="B11"/>
      <c r="C11"/>
    </row>
    <row r="13" spans="1:11" x14ac:dyDescent="0.2">
      <c r="A13" s="6" t="s">
        <v>1732</v>
      </c>
      <c r="B13" t="s">
        <v>1528</v>
      </c>
      <c r="C13"/>
      <c r="D13"/>
    </row>
    <row r="14" spans="1:11" x14ac:dyDescent="0.2">
      <c r="B14"/>
      <c r="C14"/>
      <c r="D14"/>
    </row>
    <row r="15" spans="1:11" x14ac:dyDescent="0.2">
      <c r="A15" s="6" t="s">
        <v>1294</v>
      </c>
      <c r="B15" t="s">
        <v>1733</v>
      </c>
      <c r="C15" t="s">
        <v>1654</v>
      </c>
      <c r="D15"/>
      <c r="G15" s="30"/>
      <c r="H15" s="30"/>
    </row>
    <row r="16" spans="1:11" x14ac:dyDescent="0.2">
      <c r="A16" s="7" t="s">
        <v>1236</v>
      </c>
      <c r="B16" s="30">
        <v>1845.5900000000001</v>
      </c>
      <c r="C16" s="30">
        <v>1</v>
      </c>
      <c r="D16" t="str">
        <f>PROPER(A16)</f>
        <v>Admissão</v>
      </c>
    </row>
    <row r="17" spans="1:12" x14ac:dyDescent="0.2">
      <c r="A17" s="7" t="s">
        <v>1731</v>
      </c>
      <c r="B17" s="30">
        <v>4861.1000000000004</v>
      </c>
      <c r="C17" s="30">
        <v>12</v>
      </c>
      <c r="D17" t="str">
        <f t="shared" ref="D17:D22" si="2">PROPER(A17)</f>
        <v>Afastado</v>
      </c>
    </row>
    <row r="18" spans="1:12" x14ac:dyDescent="0.2">
      <c r="A18" s="7" t="s">
        <v>1234</v>
      </c>
      <c r="B18" s="30">
        <v>1322536.829999977</v>
      </c>
      <c r="C18" s="30">
        <v>1311</v>
      </c>
      <c r="D18" t="str">
        <f t="shared" si="2"/>
        <v>Em Atividade Normal</v>
      </c>
      <c r="F18"/>
      <c r="J18"/>
      <c r="L18" s="53"/>
    </row>
    <row r="19" spans="1:12" x14ac:dyDescent="0.2">
      <c r="A19" s="7" t="s">
        <v>1235</v>
      </c>
      <c r="B19" s="30">
        <v>112511.68000000021</v>
      </c>
      <c r="C19" s="30">
        <v>111</v>
      </c>
      <c r="D19" t="str">
        <f t="shared" si="2"/>
        <v>Gozando Férias</v>
      </c>
      <c r="F19" s="7"/>
      <c r="G19" s="30"/>
      <c r="H19" s="30"/>
      <c r="I19"/>
      <c r="K19" s="30"/>
      <c r="L19" s="30"/>
    </row>
    <row r="20" spans="1:12" x14ac:dyDescent="0.2">
      <c r="A20" s="7" t="s">
        <v>1292</v>
      </c>
      <c r="B20" s="30">
        <v>1441755.1999999725</v>
      </c>
      <c r="C20" s="30">
        <v>1435</v>
      </c>
      <c r="D20" t="str">
        <f t="shared" si="2"/>
        <v>Total Geral</v>
      </c>
      <c r="F20" s="7"/>
      <c r="G20" s="30"/>
      <c r="H20" s="30"/>
      <c r="I20"/>
      <c r="K20" s="30"/>
      <c r="L20" s="30"/>
    </row>
    <row r="21" spans="1:12" x14ac:dyDescent="0.2">
      <c r="B21"/>
      <c r="C21"/>
      <c r="D21" t="str">
        <f t="shared" si="2"/>
        <v/>
      </c>
      <c r="F21" s="7"/>
      <c r="G21" s="30"/>
      <c r="H21" s="30"/>
      <c r="I21"/>
      <c r="K21" s="30"/>
      <c r="L21" s="30"/>
    </row>
    <row r="22" spans="1:12" x14ac:dyDescent="0.2">
      <c r="B22"/>
      <c r="C22"/>
      <c r="D22" t="str">
        <f t="shared" si="2"/>
        <v/>
      </c>
      <c r="F22" s="7"/>
      <c r="G22" s="30"/>
      <c r="H22" s="30"/>
      <c r="I22"/>
      <c r="K22" s="30"/>
      <c r="L22" s="30"/>
    </row>
    <row r="23" spans="1:12" x14ac:dyDescent="0.2">
      <c r="B23"/>
      <c r="C23"/>
      <c r="F23" s="7"/>
      <c r="G23" s="30"/>
      <c r="H23" s="30"/>
      <c r="I23"/>
      <c r="K23" s="30"/>
      <c r="L23" s="30"/>
    </row>
    <row r="24" spans="1:12" x14ac:dyDescent="0.2">
      <c r="B24"/>
      <c r="C24"/>
      <c r="F24" s="7"/>
      <c r="G24" s="30"/>
      <c r="H24" s="30"/>
      <c r="I24"/>
      <c r="K24" s="30"/>
      <c r="L24" s="30"/>
    </row>
    <row r="25" spans="1:12" x14ac:dyDescent="0.2">
      <c r="A25" s="6" t="s">
        <v>1732</v>
      </c>
      <c r="B25" t="s">
        <v>1528</v>
      </c>
      <c r="C25"/>
      <c r="D25"/>
      <c r="F25" s="7"/>
      <c r="G25" s="30"/>
      <c r="H25" s="30"/>
      <c r="I25"/>
      <c r="K25" s="30"/>
      <c r="L25" s="30"/>
    </row>
    <row r="26" spans="1:12" x14ac:dyDescent="0.2">
      <c r="B26"/>
      <c r="C26"/>
      <c r="D26"/>
    </row>
    <row r="27" spans="1:12" x14ac:dyDescent="0.2">
      <c r="A27" s="6" t="s">
        <v>1294</v>
      </c>
      <c r="B27" t="s">
        <v>1733</v>
      </c>
      <c r="C27" t="s">
        <v>1654</v>
      </c>
      <c r="D27"/>
    </row>
    <row r="28" spans="1:12" x14ac:dyDescent="0.2">
      <c r="A28" s="7" t="s">
        <v>1591</v>
      </c>
      <c r="B28" s="30">
        <v>25116.899999999991</v>
      </c>
      <c r="C28" s="30">
        <v>30</v>
      </c>
      <c r="D28" t="str">
        <f>PROPER(A28)</f>
        <v>Ecosampa Administração</v>
      </c>
    </row>
    <row r="29" spans="1:12" x14ac:dyDescent="0.2">
      <c r="A29" s="7" t="s">
        <v>10</v>
      </c>
      <c r="B29" s="30">
        <v>187999.33999999988</v>
      </c>
      <c r="C29" s="30">
        <v>186</v>
      </c>
      <c r="D29" t="str">
        <f t="shared" ref="D29:D33" si="3">PROPER(A29)</f>
        <v>Ecosampa Campo Limpo</v>
      </c>
    </row>
    <row r="30" spans="1:12" x14ac:dyDescent="0.2">
      <c r="A30" s="7" t="s">
        <v>8</v>
      </c>
      <c r="B30" s="30">
        <v>230841.4099999996</v>
      </c>
      <c r="C30" s="30">
        <v>229</v>
      </c>
      <c r="D30" t="str">
        <f t="shared" si="3"/>
        <v>Ecosampa Capela Do Socorro</v>
      </c>
    </row>
    <row r="31" spans="1:12" x14ac:dyDescent="0.2">
      <c r="A31" s="7" t="s">
        <v>19</v>
      </c>
      <c r="B31" s="30">
        <v>152235.98000000021</v>
      </c>
      <c r="C31" s="30">
        <v>151</v>
      </c>
      <c r="D31" t="str">
        <f t="shared" si="3"/>
        <v>Ecosampa M'Boi Mirim</v>
      </c>
    </row>
    <row r="32" spans="1:12" x14ac:dyDescent="0.2">
      <c r="A32" s="7" t="s">
        <v>1589</v>
      </c>
      <c r="B32" s="30">
        <v>448153.64000000304</v>
      </c>
      <c r="C32" s="30">
        <v>442</v>
      </c>
      <c r="D32" t="str">
        <f t="shared" si="3"/>
        <v>Ecosampa Operação Geral</v>
      </c>
    </row>
    <row r="33" spans="1:4" x14ac:dyDescent="0.2">
      <c r="A33" s="7" t="s">
        <v>32</v>
      </c>
      <c r="B33" s="30">
        <v>64932.279999999948</v>
      </c>
      <c r="C33" s="30">
        <v>64</v>
      </c>
      <c r="D33" t="str">
        <f t="shared" si="3"/>
        <v>Ecosampa Parelheiros</v>
      </c>
    </row>
    <row r="34" spans="1:4" x14ac:dyDescent="0.2">
      <c r="A34" s="7" t="s">
        <v>1252</v>
      </c>
      <c r="B34" s="30">
        <v>5450.88</v>
      </c>
      <c r="C34" s="30">
        <v>5</v>
      </c>
    </row>
    <row r="35" spans="1:4" x14ac:dyDescent="0.2">
      <c r="A35" s="7" t="s">
        <v>0</v>
      </c>
      <c r="B35" s="30">
        <v>327024.77000000054</v>
      </c>
      <c r="C35" s="30">
        <v>328</v>
      </c>
    </row>
    <row r="36" spans="1:4" x14ac:dyDescent="0.2">
      <c r="A36" s="7" t="s">
        <v>1292</v>
      </c>
      <c r="B36" s="30">
        <v>1441755.1999999706</v>
      </c>
      <c r="C36" s="30">
        <v>1435</v>
      </c>
    </row>
  </sheetData>
  <pageMargins left="0.511811024" right="0.511811024" top="0.78740157499999996" bottom="0.78740157499999996" header="0.31496062000000002" footer="0.31496062000000002"/>
  <pageSetup paperSize="9"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DDFF4-D76C-47DE-B7AC-C433D173D5A1}">
  <sheetPr codeName="Planilha9"/>
  <dimension ref="A1:I1447"/>
  <sheetViews>
    <sheetView workbookViewId="0">
      <pane ySplit="1" topLeftCell="A1402" activePane="bottomLeft" state="frozen"/>
      <selection pane="bottomLeft" activeCell="M1438" sqref="M1438"/>
    </sheetView>
  </sheetViews>
  <sheetFormatPr defaultColWidth="8.7109375" defaultRowHeight="11.25" x14ac:dyDescent="0.2"/>
  <cols>
    <col min="1" max="1" width="8.5703125" style="130" customWidth="1"/>
    <col min="2" max="2" width="32.5703125" style="121" bestFit="1" customWidth="1"/>
    <col min="3" max="3" width="32.28515625" style="121" bestFit="1" customWidth="1"/>
    <col min="4" max="4" width="20.85546875" style="121" bestFit="1" customWidth="1"/>
    <col min="5" max="5" width="10.5703125" style="122" bestFit="1" customWidth="1"/>
    <col min="6" max="7" width="15.5703125" style="123" customWidth="1"/>
    <col min="8" max="8" width="15.5703125" style="124" customWidth="1"/>
    <col min="9" max="9" width="24.85546875" style="121" bestFit="1" customWidth="1"/>
    <col min="10" max="16384" width="8.7109375" style="121"/>
  </cols>
  <sheetData>
    <row r="1" spans="1:9" ht="12.75" x14ac:dyDescent="0.2">
      <c r="A1" s="241" t="s">
        <v>1230</v>
      </c>
      <c r="B1" s="242" t="s">
        <v>1232</v>
      </c>
      <c r="C1" s="242" t="s">
        <v>1438</v>
      </c>
      <c r="D1" s="242" t="s">
        <v>1231</v>
      </c>
      <c r="E1" s="242" t="s">
        <v>1236</v>
      </c>
      <c r="F1" s="150" t="s">
        <v>1722</v>
      </c>
      <c r="G1" s="150" t="s">
        <v>1732</v>
      </c>
      <c r="H1" s="151" t="s">
        <v>1308</v>
      </c>
      <c r="I1" s="149" t="s">
        <v>1588</v>
      </c>
    </row>
    <row r="2" spans="1:9" s="110" customFormat="1" ht="13.5" customHeight="1" x14ac:dyDescent="0.2">
      <c r="A2" s="243">
        <v>112194</v>
      </c>
      <c r="B2" s="244" t="s">
        <v>26</v>
      </c>
      <c r="C2" s="244" t="s">
        <v>2</v>
      </c>
      <c r="D2" s="244" t="s">
        <v>19</v>
      </c>
      <c r="E2" s="245">
        <v>43617</v>
      </c>
      <c r="F2" s="118">
        <v>1016.96</v>
      </c>
      <c r="G2" s="118">
        <f>SUMIF(CONFERÊNCIA!A:A,A2,CONFERÊNCIA!J:J)</f>
        <v>1016.96</v>
      </c>
      <c r="H2" s="119">
        <f t="shared" ref="H2:H28" si="0">G2-F2</f>
        <v>0</v>
      </c>
      <c r="I2" s="171" t="s">
        <v>1234</v>
      </c>
    </row>
    <row r="3" spans="1:9" s="125" customFormat="1" ht="13.5" customHeight="1" x14ac:dyDescent="0.2">
      <c r="A3" s="243">
        <v>112198</v>
      </c>
      <c r="B3" s="244" t="s">
        <v>28</v>
      </c>
      <c r="C3" s="244" t="s">
        <v>2</v>
      </c>
      <c r="D3" s="244" t="s">
        <v>0</v>
      </c>
      <c r="E3" s="245">
        <v>43617</v>
      </c>
      <c r="F3" s="118">
        <v>1016.96</v>
      </c>
      <c r="G3" s="118">
        <f>SUMIF(CONFERÊNCIA!A:A,A3,CONFERÊNCIA!J:J)</f>
        <v>1016.96</v>
      </c>
      <c r="H3" s="120">
        <f t="shared" si="0"/>
        <v>0</v>
      </c>
      <c r="I3" s="171" t="s">
        <v>1234</v>
      </c>
    </row>
    <row r="4" spans="1:9" s="110" customFormat="1" ht="13.5" customHeight="1" x14ac:dyDescent="0.2">
      <c r="A4" s="243">
        <v>121403</v>
      </c>
      <c r="B4" s="244" t="s">
        <v>1553</v>
      </c>
      <c r="C4" s="244" t="s">
        <v>5</v>
      </c>
      <c r="D4" s="244" t="s">
        <v>1589</v>
      </c>
      <c r="E4" s="245">
        <v>44967</v>
      </c>
      <c r="F4" s="118">
        <v>1016.96</v>
      </c>
      <c r="G4" s="118">
        <f>SUMIF(CONFERÊNCIA!A:A,A4,CONFERÊNCIA!J:J)</f>
        <v>1016.96</v>
      </c>
      <c r="H4" s="119">
        <f t="shared" si="0"/>
        <v>0</v>
      </c>
      <c r="I4" s="171" t="s">
        <v>1234</v>
      </c>
    </row>
    <row r="5" spans="1:9" s="110" customFormat="1" ht="13.5" customHeight="1" x14ac:dyDescent="0.2">
      <c r="A5" s="243">
        <v>112225</v>
      </c>
      <c r="B5" s="244" t="s">
        <v>47</v>
      </c>
      <c r="C5" s="244" t="s">
        <v>5</v>
      </c>
      <c r="D5" s="244" t="s">
        <v>1589</v>
      </c>
      <c r="E5" s="245">
        <v>43617</v>
      </c>
      <c r="F5" s="118">
        <v>1016.96</v>
      </c>
      <c r="G5" s="118">
        <f>SUMIF(CONFERÊNCIA!A:A,A5,CONFERÊNCIA!J:J)</f>
        <v>359.46</v>
      </c>
      <c r="H5" s="119">
        <f t="shared" si="0"/>
        <v>-657.5</v>
      </c>
      <c r="I5" s="171" t="s">
        <v>1731</v>
      </c>
    </row>
    <row r="6" spans="1:9" s="125" customFormat="1" ht="13.5" customHeight="1" x14ac:dyDescent="0.2">
      <c r="A6" s="243">
        <v>121531</v>
      </c>
      <c r="B6" s="244" t="s">
        <v>1554</v>
      </c>
      <c r="C6" s="244" t="s">
        <v>15</v>
      </c>
      <c r="D6" s="244" t="s">
        <v>1589</v>
      </c>
      <c r="E6" s="245">
        <v>44972</v>
      </c>
      <c r="F6" s="118">
        <v>1016.96</v>
      </c>
      <c r="G6" s="118">
        <f>SUMIF(CONFERÊNCIA!A:A,A6,CONFERÊNCIA!J:J)</f>
        <v>1016.96</v>
      </c>
      <c r="H6" s="120">
        <f t="shared" si="0"/>
        <v>0</v>
      </c>
      <c r="I6" s="171" t="s">
        <v>1234</v>
      </c>
    </row>
    <row r="7" spans="1:9" s="125" customFormat="1" ht="13.5" customHeight="1" x14ac:dyDescent="0.2">
      <c r="A7" s="243">
        <v>121851</v>
      </c>
      <c r="B7" s="244" t="s">
        <v>1610</v>
      </c>
      <c r="C7" s="244" t="s">
        <v>5</v>
      </c>
      <c r="D7" s="244" t="s">
        <v>0</v>
      </c>
      <c r="E7" s="245">
        <v>45022</v>
      </c>
      <c r="F7" s="118">
        <v>1016.96</v>
      </c>
      <c r="G7" s="118">
        <f>SUMIF(CONFERÊNCIA!A:A,A7,CONFERÊNCIA!J:J)</f>
        <v>1016.96</v>
      </c>
      <c r="H7" s="120">
        <f t="shared" si="0"/>
        <v>0</v>
      </c>
      <c r="I7" s="171" t="s">
        <v>1234</v>
      </c>
    </row>
    <row r="8" spans="1:9" s="110" customFormat="1" ht="13.5" customHeight="1" x14ac:dyDescent="0.2">
      <c r="A8" s="243">
        <v>114763</v>
      </c>
      <c r="B8" s="244" t="s">
        <v>1100</v>
      </c>
      <c r="C8" s="244" t="s">
        <v>282</v>
      </c>
      <c r="D8" s="244" t="s">
        <v>1589</v>
      </c>
      <c r="E8" s="245">
        <v>43874</v>
      </c>
      <c r="F8" s="118">
        <v>1016.96</v>
      </c>
      <c r="G8" s="118">
        <f>SUMIF(CONFERÊNCIA!A:A,A8,CONFERÊNCIA!J:J)</f>
        <v>1016.96</v>
      </c>
      <c r="H8" s="119">
        <f t="shared" si="0"/>
        <v>0</v>
      </c>
      <c r="I8" s="171" t="s">
        <v>1234</v>
      </c>
    </row>
    <row r="9" spans="1:9" s="110" customFormat="1" ht="13.5" customHeight="1" x14ac:dyDescent="0.2">
      <c r="A9" s="243">
        <v>122404</v>
      </c>
      <c r="B9" s="244" t="s">
        <v>1690</v>
      </c>
      <c r="C9" s="244" t="s">
        <v>5</v>
      </c>
      <c r="D9" s="244" t="s">
        <v>1589</v>
      </c>
      <c r="E9" s="245">
        <v>45117</v>
      </c>
      <c r="F9" s="118">
        <v>1016.96</v>
      </c>
      <c r="G9" s="118">
        <f>SUMIF(CONFERÊNCIA!A:A,A9,CONFERÊNCIA!J:J)</f>
        <v>1016.96</v>
      </c>
      <c r="H9" s="119">
        <f t="shared" si="0"/>
        <v>0</v>
      </c>
      <c r="I9" s="171" t="s">
        <v>1234</v>
      </c>
    </row>
    <row r="10" spans="1:9" s="125" customFormat="1" ht="13.5" customHeight="1" x14ac:dyDescent="0.2">
      <c r="A10" s="243">
        <v>112254</v>
      </c>
      <c r="B10" s="244" t="s">
        <v>65</v>
      </c>
      <c r="C10" s="244" t="s">
        <v>22</v>
      </c>
      <c r="D10" s="244" t="s">
        <v>1589</v>
      </c>
      <c r="E10" s="245">
        <v>43617</v>
      </c>
      <c r="F10" s="118">
        <v>1016.96</v>
      </c>
      <c r="G10" s="118">
        <f>SUMIF(CONFERÊNCIA!A:A,A10,CONFERÊNCIA!J:J)</f>
        <v>1016.96</v>
      </c>
      <c r="H10" s="120">
        <f t="shared" si="0"/>
        <v>0</v>
      </c>
      <c r="I10" s="171" t="s">
        <v>1234</v>
      </c>
    </row>
    <row r="11" spans="1:9" s="110" customFormat="1" ht="13.5" customHeight="1" x14ac:dyDescent="0.2">
      <c r="A11" s="243">
        <v>112258</v>
      </c>
      <c r="B11" s="244" t="s">
        <v>69</v>
      </c>
      <c r="C11" s="244" t="s">
        <v>2</v>
      </c>
      <c r="D11" s="244" t="s">
        <v>8</v>
      </c>
      <c r="E11" s="245">
        <v>43623</v>
      </c>
      <c r="F11" s="118">
        <v>1016.96</v>
      </c>
      <c r="G11" s="118">
        <f>SUMIF(CONFERÊNCIA!A:A,A11,CONFERÊNCIA!J:J)</f>
        <v>1016.96</v>
      </c>
      <c r="H11" s="119">
        <f t="shared" si="0"/>
        <v>0</v>
      </c>
      <c r="I11" s="171" t="s">
        <v>1234</v>
      </c>
    </row>
    <row r="12" spans="1:9" s="125" customFormat="1" ht="13.5" customHeight="1" x14ac:dyDescent="0.2">
      <c r="A12" s="243">
        <v>112265</v>
      </c>
      <c r="B12" s="244" t="s">
        <v>75</v>
      </c>
      <c r="C12" s="244" t="s">
        <v>5</v>
      </c>
      <c r="D12" s="244" t="s">
        <v>19</v>
      </c>
      <c r="E12" s="245">
        <v>43617</v>
      </c>
      <c r="F12" s="118">
        <v>1016.96</v>
      </c>
      <c r="G12" s="118">
        <f>SUMIF(CONFERÊNCIA!A:A,A12,CONFERÊNCIA!J:J)</f>
        <v>1016.96</v>
      </c>
      <c r="H12" s="120">
        <f t="shared" si="0"/>
        <v>0</v>
      </c>
      <c r="I12" s="171" t="s">
        <v>1234</v>
      </c>
    </row>
    <row r="13" spans="1:9" s="110" customFormat="1" ht="13.5" customHeight="1" x14ac:dyDescent="0.2">
      <c r="A13" s="243">
        <v>112271</v>
      </c>
      <c r="B13" s="244" t="s">
        <v>78</v>
      </c>
      <c r="C13" s="244" t="s">
        <v>5</v>
      </c>
      <c r="D13" s="244" t="s">
        <v>32</v>
      </c>
      <c r="E13" s="245">
        <v>43617</v>
      </c>
      <c r="F13" s="118">
        <v>1016.96</v>
      </c>
      <c r="G13" s="118">
        <f>SUMIF(CONFERÊNCIA!A:A,A13,CONFERÊNCIA!J:J)</f>
        <v>1016.96</v>
      </c>
      <c r="H13" s="119">
        <f t="shared" si="0"/>
        <v>0</v>
      </c>
      <c r="I13" s="171" t="s">
        <v>1234</v>
      </c>
    </row>
    <row r="14" spans="1:9" s="125" customFormat="1" ht="13.5" customHeight="1" x14ac:dyDescent="0.2">
      <c r="A14" s="243">
        <v>115223</v>
      </c>
      <c r="B14" s="244" t="s">
        <v>1149</v>
      </c>
      <c r="C14" s="244" t="s">
        <v>5</v>
      </c>
      <c r="D14" s="244" t="s">
        <v>10</v>
      </c>
      <c r="E14" s="245">
        <v>44018</v>
      </c>
      <c r="F14" s="118">
        <v>1016.96</v>
      </c>
      <c r="G14" s="118">
        <f>SUMIF(CONFERÊNCIA!A:A,A14,CONFERÊNCIA!J:J)</f>
        <v>1016.96</v>
      </c>
      <c r="H14" s="120">
        <f t="shared" si="0"/>
        <v>0</v>
      </c>
      <c r="I14" s="171" t="s">
        <v>1234</v>
      </c>
    </row>
    <row r="15" spans="1:9" s="110" customFormat="1" ht="13.5" customHeight="1" x14ac:dyDescent="0.2">
      <c r="A15" s="243">
        <v>114910</v>
      </c>
      <c r="B15" s="244" t="s">
        <v>1109</v>
      </c>
      <c r="C15" s="244" t="s">
        <v>5</v>
      </c>
      <c r="D15" s="244" t="s">
        <v>1589</v>
      </c>
      <c r="E15" s="245">
        <v>43916</v>
      </c>
      <c r="F15" s="118">
        <v>1016.96</v>
      </c>
      <c r="G15" s="118">
        <f>SUMIF(CONFERÊNCIA!A:A,A15,CONFERÊNCIA!J:J)</f>
        <v>1016.96</v>
      </c>
      <c r="H15" s="119">
        <f t="shared" si="0"/>
        <v>0</v>
      </c>
      <c r="I15" s="171" t="s">
        <v>1234</v>
      </c>
    </row>
    <row r="16" spans="1:9" s="125" customFormat="1" ht="13.5" customHeight="1" x14ac:dyDescent="0.2">
      <c r="A16" s="243">
        <v>112279</v>
      </c>
      <c r="B16" s="244" t="s">
        <v>84</v>
      </c>
      <c r="C16" s="244" t="s">
        <v>2</v>
      </c>
      <c r="D16" s="244" t="s">
        <v>0</v>
      </c>
      <c r="E16" s="245">
        <v>43617</v>
      </c>
      <c r="F16" s="118">
        <v>1016.96</v>
      </c>
      <c r="G16" s="118">
        <f>SUMIF(CONFERÊNCIA!A:A,A16,CONFERÊNCIA!J:J)</f>
        <v>1016.96</v>
      </c>
      <c r="H16" s="120">
        <f t="shared" si="0"/>
        <v>0</v>
      </c>
      <c r="I16" s="171" t="s">
        <v>1234</v>
      </c>
    </row>
    <row r="17" spans="1:9" s="110" customFormat="1" ht="13.5" customHeight="1" x14ac:dyDescent="0.2">
      <c r="A17" s="243">
        <v>112299</v>
      </c>
      <c r="B17" s="244" t="s">
        <v>97</v>
      </c>
      <c r="C17" s="244" t="s">
        <v>2</v>
      </c>
      <c r="D17" s="244" t="s">
        <v>8</v>
      </c>
      <c r="E17" s="245">
        <v>43617</v>
      </c>
      <c r="F17" s="118">
        <v>1016.96</v>
      </c>
      <c r="G17" s="118">
        <f>SUMIF(CONFERÊNCIA!A:A,A17,CONFERÊNCIA!J:J)</f>
        <v>1016.96</v>
      </c>
      <c r="H17" s="119">
        <f t="shared" si="0"/>
        <v>0</v>
      </c>
      <c r="I17" s="171" t="s">
        <v>1234</v>
      </c>
    </row>
    <row r="18" spans="1:9" s="125" customFormat="1" ht="13.5" customHeight="1" x14ac:dyDescent="0.2">
      <c r="A18" s="243">
        <v>121802</v>
      </c>
      <c r="B18" s="244" t="s">
        <v>1590</v>
      </c>
      <c r="C18" s="244" t="s">
        <v>1592</v>
      </c>
      <c r="D18" s="244" t="s">
        <v>1591</v>
      </c>
      <c r="E18" s="245">
        <v>45008</v>
      </c>
      <c r="F18" s="118">
        <v>1016.96</v>
      </c>
      <c r="G18" s="118">
        <f>SUMIF(CONFERÊNCIA!A:A,A18,CONFERÊNCIA!J:J)</f>
        <v>1016.96</v>
      </c>
      <c r="H18" s="120">
        <f t="shared" si="0"/>
        <v>0</v>
      </c>
      <c r="I18" s="171" t="s">
        <v>1234</v>
      </c>
    </row>
    <row r="19" spans="1:9" s="125" customFormat="1" ht="13.5" customHeight="1" x14ac:dyDescent="0.2">
      <c r="A19" s="243">
        <v>120186</v>
      </c>
      <c r="B19" s="244" t="s">
        <v>1497</v>
      </c>
      <c r="C19" s="244" t="s">
        <v>15</v>
      </c>
      <c r="D19" s="244" t="s">
        <v>1589</v>
      </c>
      <c r="E19" s="245">
        <v>44791</v>
      </c>
      <c r="F19" s="118">
        <v>1016.96</v>
      </c>
      <c r="G19" s="118">
        <f>SUMIF(CONFERÊNCIA!A:A,A19,CONFERÊNCIA!J:J)</f>
        <v>1016.96</v>
      </c>
      <c r="H19" s="120">
        <f t="shared" si="0"/>
        <v>0</v>
      </c>
      <c r="I19" s="171" t="s">
        <v>1234</v>
      </c>
    </row>
    <row r="20" spans="1:9" s="110" customFormat="1" ht="13.5" customHeight="1" x14ac:dyDescent="0.2">
      <c r="A20" s="243">
        <v>112319</v>
      </c>
      <c r="B20" s="244" t="s">
        <v>1286</v>
      </c>
      <c r="C20" s="244" t="s">
        <v>5</v>
      </c>
      <c r="D20" s="244" t="s">
        <v>19</v>
      </c>
      <c r="E20" s="245">
        <v>43617</v>
      </c>
      <c r="F20" s="118">
        <v>1016.96</v>
      </c>
      <c r="G20" s="118">
        <f>SUMIF(CONFERÊNCIA!A:A,A20,CONFERÊNCIA!J:J)</f>
        <v>1016.96</v>
      </c>
      <c r="H20" s="119">
        <f t="shared" si="0"/>
        <v>0</v>
      </c>
      <c r="I20" s="171" t="s">
        <v>1234</v>
      </c>
    </row>
    <row r="21" spans="1:9" s="125" customFormat="1" ht="13.5" customHeight="1" x14ac:dyDescent="0.2">
      <c r="A21" s="243">
        <v>116729</v>
      </c>
      <c r="B21" s="244" t="s">
        <v>1225</v>
      </c>
      <c r="C21" s="244" t="s">
        <v>15</v>
      </c>
      <c r="D21" s="244" t="s">
        <v>1589</v>
      </c>
      <c r="E21" s="245">
        <v>44368</v>
      </c>
      <c r="F21" s="118">
        <v>1016.96</v>
      </c>
      <c r="G21" s="118">
        <f>SUMIF(CONFERÊNCIA!A:A,A21,CONFERÊNCIA!J:J)</f>
        <v>1016.96</v>
      </c>
      <c r="H21" s="120">
        <f t="shared" si="0"/>
        <v>0</v>
      </c>
      <c r="I21" s="171" t="s">
        <v>1234</v>
      </c>
    </row>
    <row r="22" spans="1:9" s="110" customFormat="1" ht="13.5" customHeight="1" x14ac:dyDescent="0.2">
      <c r="A22" s="243">
        <v>112171</v>
      </c>
      <c r="B22" s="244" t="s">
        <v>4</v>
      </c>
      <c r="C22" s="244" t="s">
        <v>5</v>
      </c>
      <c r="D22" s="244" t="s">
        <v>0</v>
      </c>
      <c r="E22" s="245">
        <v>43617</v>
      </c>
      <c r="F22" s="118">
        <v>1016.96</v>
      </c>
      <c r="G22" s="118">
        <f>SUMIF(CONFERÊNCIA!A:A,A22,CONFERÊNCIA!J:J)</f>
        <v>978.67000000000007</v>
      </c>
      <c r="H22" s="119">
        <f t="shared" si="0"/>
        <v>-38.289999999999964</v>
      </c>
      <c r="I22" s="171" t="s">
        <v>1234</v>
      </c>
    </row>
    <row r="23" spans="1:9" s="125" customFormat="1" ht="13.5" customHeight="1" x14ac:dyDescent="0.2">
      <c r="A23" s="243">
        <v>112355</v>
      </c>
      <c r="B23" s="244" t="s">
        <v>1289</v>
      </c>
      <c r="C23" s="244" t="s">
        <v>2</v>
      </c>
      <c r="D23" s="244" t="s">
        <v>10</v>
      </c>
      <c r="E23" s="245">
        <v>43617</v>
      </c>
      <c r="F23" s="118">
        <v>1016.96</v>
      </c>
      <c r="G23" s="118">
        <f>SUMIF(CONFERÊNCIA!A:A,A23,CONFERÊNCIA!J:J)</f>
        <v>1016.96</v>
      </c>
      <c r="H23" s="120">
        <f t="shared" si="0"/>
        <v>0</v>
      </c>
      <c r="I23" s="171" t="s">
        <v>1235</v>
      </c>
    </row>
    <row r="24" spans="1:9" s="110" customFormat="1" ht="13.5" customHeight="1" x14ac:dyDescent="0.2">
      <c r="A24" s="243">
        <v>112358</v>
      </c>
      <c r="B24" s="244" t="s">
        <v>129</v>
      </c>
      <c r="C24" s="244" t="s">
        <v>5</v>
      </c>
      <c r="D24" s="244" t="s">
        <v>19</v>
      </c>
      <c r="E24" s="245">
        <v>43617</v>
      </c>
      <c r="F24" s="118">
        <v>1016.96</v>
      </c>
      <c r="G24" s="118">
        <f>SUMIF(CONFERÊNCIA!A:A,A24,CONFERÊNCIA!J:J)</f>
        <v>1016.96</v>
      </c>
      <c r="H24" s="119">
        <f t="shared" si="0"/>
        <v>0</v>
      </c>
      <c r="I24" s="171" t="s">
        <v>1235</v>
      </c>
    </row>
    <row r="25" spans="1:9" s="110" customFormat="1" ht="13.5" customHeight="1" x14ac:dyDescent="0.2">
      <c r="A25" s="243">
        <v>114679</v>
      </c>
      <c r="B25" s="244" t="s">
        <v>1066</v>
      </c>
      <c r="C25" s="244" t="s">
        <v>2</v>
      </c>
      <c r="D25" s="244" t="s">
        <v>10</v>
      </c>
      <c r="E25" s="245">
        <v>43874</v>
      </c>
      <c r="F25" s="118">
        <v>1016.96</v>
      </c>
      <c r="G25" s="118">
        <f>SUMIF(CONFERÊNCIA!A:A,A25,CONFERÊNCIA!J:J)</f>
        <v>1016.96</v>
      </c>
      <c r="H25" s="119">
        <f t="shared" si="0"/>
        <v>0</v>
      </c>
      <c r="I25" s="171" t="s">
        <v>1234</v>
      </c>
    </row>
    <row r="26" spans="1:9" s="125" customFormat="1" ht="13.5" customHeight="1" x14ac:dyDescent="0.2">
      <c r="A26" s="243">
        <v>114239</v>
      </c>
      <c r="B26" s="244" t="s">
        <v>1020</v>
      </c>
      <c r="C26" s="244" t="s">
        <v>146</v>
      </c>
      <c r="D26" s="244" t="s">
        <v>32</v>
      </c>
      <c r="E26" s="245">
        <v>43790</v>
      </c>
      <c r="F26" s="118">
        <v>1016.96</v>
      </c>
      <c r="G26" s="118">
        <f>SUMIF(CONFERÊNCIA!A:A,A26,CONFERÊNCIA!J:J)</f>
        <v>1016.96</v>
      </c>
      <c r="H26" s="120">
        <f t="shared" si="0"/>
        <v>0</v>
      </c>
      <c r="I26" s="171" t="s">
        <v>1234</v>
      </c>
    </row>
    <row r="27" spans="1:9" s="110" customFormat="1" ht="13.5" customHeight="1" x14ac:dyDescent="0.2">
      <c r="A27" s="243">
        <v>121941</v>
      </c>
      <c r="B27" s="244" t="s">
        <v>1611</v>
      </c>
      <c r="C27" s="244" t="s">
        <v>1464</v>
      </c>
      <c r="D27" s="244" t="s">
        <v>1591</v>
      </c>
      <c r="E27" s="245">
        <v>45040</v>
      </c>
      <c r="F27" s="118">
        <v>657.5</v>
      </c>
      <c r="G27" s="118">
        <f>SUMIF(CONFERÊNCIA!A:A,A27,CONFERÊNCIA!J:J)</f>
        <v>657.5</v>
      </c>
      <c r="H27" s="119">
        <f t="shared" si="0"/>
        <v>0</v>
      </c>
      <c r="I27" s="171" t="s">
        <v>1234</v>
      </c>
    </row>
    <row r="28" spans="1:9" s="110" customFormat="1" ht="13.5" customHeight="1" x14ac:dyDescent="0.2">
      <c r="A28" s="243">
        <v>112173</v>
      </c>
      <c r="B28" s="244" t="s">
        <v>9</v>
      </c>
      <c r="C28" s="244" t="s">
        <v>5</v>
      </c>
      <c r="D28" s="244" t="s">
        <v>8</v>
      </c>
      <c r="E28" s="245">
        <v>43617</v>
      </c>
      <c r="F28" s="118">
        <v>1016.96</v>
      </c>
      <c r="G28" s="118">
        <f>SUMIF(CONFERÊNCIA!A:A,A28,CONFERÊNCIA!J:J)</f>
        <v>1016.96</v>
      </c>
      <c r="H28" s="119">
        <f t="shared" si="0"/>
        <v>0</v>
      </c>
      <c r="I28" s="171" t="s">
        <v>1234</v>
      </c>
    </row>
    <row r="29" spans="1:9" s="125" customFormat="1" ht="13.5" customHeight="1" x14ac:dyDescent="0.2">
      <c r="A29" s="243">
        <v>112377</v>
      </c>
      <c r="B29" s="244" t="s">
        <v>140</v>
      </c>
      <c r="C29" s="244" t="s">
        <v>39</v>
      </c>
      <c r="D29" s="244" t="s">
        <v>10</v>
      </c>
      <c r="E29" s="245">
        <v>43617</v>
      </c>
      <c r="F29" s="118">
        <v>1016.96</v>
      </c>
      <c r="G29" s="118">
        <f>SUMIF(CONFERÊNCIA!A:A,A29,CONFERÊNCIA!J:J)</f>
        <v>1016.96</v>
      </c>
      <c r="H29" s="120">
        <f t="shared" ref="H29:H50" si="1">G29-F29</f>
        <v>0</v>
      </c>
      <c r="I29" s="171" t="s">
        <v>1234</v>
      </c>
    </row>
    <row r="30" spans="1:9" s="110" customFormat="1" ht="13.5" customHeight="1" x14ac:dyDescent="0.2">
      <c r="A30" s="243">
        <v>116224</v>
      </c>
      <c r="B30" s="244" t="s">
        <v>1193</v>
      </c>
      <c r="C30" s="244" t="s">
        <v>5</v>
      </c>
      <c r="D30" s="244" t="s">
        <v>0</v>
      </c>
      <c r="E30" s="245">
        <v>44273</v>
      </c>
      <c r="F30" s="118">
        <v>1016.96</v>
      </c>
      <c r="G30" s="118">
        <f>SUMIF(CONFERÊNCIA!A:A,A30,CONFERÊNCIA!J:J)</f>
        <v>1016.96</v>
      </c>
      <c r="H30" s="119">
        <f t="shared" si="1"/>
        <v>0</v>
      </c>
      <c r="I30" s="171" t="s">
        <v>1234</v>
      </c>
    </row>
    <row r="31" spans="1:9" s="125" customFormat="1" ht="13.5" customHeight="1" x14ac:dyDescent="0.2">
      <c r="A31" s="243">
        <v>116087</v>
      </c>
      <c r="B31" s="244" t="s">
        <v>1186</v>
      </c>
      <c r="C31" s="244" t="s">
        <v>15</v>
      </c>
      <c r="D31" s="244" t="s">
        <v>1589</v>
      </c>
      <c r="E31" s="245">
        <v>44235</v>
      </c>
      <c r="F31" s="118">
        <v>1016.96</v>
      </c>
      <c r="G31" s="118">
        <f>SUMIF(CONFERÊNCIA!A:A,A31,CONFERÊNCIA!J:J)</f>
        <v>1016.96</v>
      </c>
      <c r="H31" s="120">
        <f t="shared" si="1"/>
        <v>0</v>
      </c>
      <c r="I31" s="171" t="s">
        <v>1234</v>
      </c>
    </row>
    <row r="32" spans="1:9" s="110" customFormat="1" ht="13.5" customHeight="1" x14ac:dyDescent="0.2">
      <c r="A32" s="243">
        <v>112389</v>
      </c>
      <c r="B32" s="244" t="s">
        <v>149</v>
      </c>
      <c r="C32" s="244" t="s">
        <v>2</v>
      </c>
      <c r="D32" s="244" t="s">
        <v>8</v>
      </c>
      <c r="E32" s="245">
        <v>43617</v>
      </c>
      <c r="F32" s="118">
        <v>1016.96</v>
      </c>
      <c r="G32" s="118">
        <f>SUMIF(CONFERÊNCIA!A:A,A32,CONFERÊNCIA!J:J)</f>
        <v>1016.96</v>
      </c>
      <c r="H32" s="119">
        <f t="shared" si="1"/>
        <v>0</v>
      </c>
      <c r="I32" s="171" t="s">
        <v>1234</v>
      </c>
    </row>
    <row r="33" spans="1:9" s="125" customFormat="1" ht="13.5" customHeight="1" x14ac:dyDescent="0.2">
      <c r="A33" s="243">
        <v>112393</v>
      </c>
      <c r="B33" s="244" t="s">
        <v>151</v>
      </c>
      <c r="C33" s="244" t="s">
        <v>5</v>
      </c>
      <c r="D33" s="244" t="s">
        <v>19</v>
      </c>
      <c r="E33" s="245">
        <v>43617</v>
      </c>
      <c r="F33" s="118">
        <v>1016.96</v>
      </c>
      <c r="G33" s="118">
        <f>SUMIF(CONFERÊNCIA!A:A,A33,CONFERÊNCIA!J:J)</f>
        <v>1016.96</v>
      </c>
      <c r="H33" s="120">
        <f t="shared" si="1"/>
        <v>0</v>
      </c>
      <c r="I33" s="171" t="s">
        <v>1235</v>
      </c>
    </row>
    <row r="34" spans="1:9" s="125" customFormat="1" ht="13.5" customHeight="1" x14ac:dyDescent="0.2">
      <c r="A34" s="243">
        <v>114607</v>
      </c>
      <c r="B34" s="244" t="s">
        <v>1063</v>
      </c>
      <c r="C34" s="244" t="s">
        <v>378</v>
      </c>
      <c r="D34" s="244" t="s">
        <v>1589</v>
      </c>
      <c r="E34" s="245">
        <v>43836</v>
      </c>
      <c r="F34" s="118">
        <v>1016.96</v>
      </c>
      <c r="G34" s="118">
        <f>SUMIF(CONFERÊNCIA!A:A,A34,CONFERÊNCIA!J:J)</f>
        <v>1016.96</v>
      </c>
      <c r="H34" s="120">
        <f t="shared" si="1"/>
        <v>0</v>
      </c>
      <c r="I34" s="171" t="s">
        <v>1234</v>
      </c>
    </row>
    <row r="35" spans="1:9" s="125" customFormat="1" ht="13.5" customHeight="1" x14ac:dyDescent="0.2">
      <c r="A35" s="243">
        <v>122411</v>
      </c>
      <c r="B35" s="244" t="s">
        <v>1691</v>
      </c>
      <c r="C35" s="244" t="s">
        <v>5</v>
      </c>
      <c r="D35" s="244" t="s">
        <v>1589</v>
      </c>
      <c r="E35" s="245">
        <v>45117</v>
      </c>
      <c r="F35" s="118">
        <v>1016.96</v>
      </c>
      <c r="G35" s="118">
        <f>SUMIF(CONFERÊNCIA!A:A,A35,CONFERÊNCIA!J:J)</f>
        <v>1016.96</v>
      </c>
      <c r="H35" s="120">
        <f t="shared" si="1"/>
        <v>0</v>
      </c>
      <c r="I35" s="171" t="s">
        <v>1234</v>
      </c>
    </row>
    <row r="36" spans="1:9" s="110" customFormat="1" ht="13.5" customHeight="1" x14ac:dyDescent="0.2">
      <c r="A36" s="243">
        <v>112399</v>
      </c>
      <c r="B36" s="244" t="s">
        <v>155</v>
      </c>
      <c r="C36" s="244" t="s">
        <v>2</v>
      </c>
      <c r="D36" s="244" t="s">
        <v>10</v>
      </c>
      <c r="E36" s="245">
        <v>43617</v>
      </c>
      <c r="F36" s="118">
        <v>1016.96</v>
      </c>
      <c r="G36" s="118">
        <f>SUMIF(CONFERÊNCIA!A:A,A36,CONFERÊNCIA!J:J)</f>
        <v>1016.96</v>
      </c>
      <c r="H36" s="119">
        <f t="shared" si="1"/>
        <v>0</v>
      </c>
      <c r="I36" s="171" t="s">
        <v>1234</v>
      </c>
    </row>
    <row r="37" spans="1:9" s="125" customFormat="1" ht="13.5" customHeight="1" x14ac:dyDescent="0.2">
      <c r="A37" s="243">
        <v>112419</v>
      </c>
      <c r="B37" s="244" t="s">
        <v>169</v>
      </c>
      <c r="C37" s="244" t="s">
        <v>2</v>
      </c>
      <c r="D37" s="244" t="s">
        <v>19</v>
      </c>
      <c r="E37" s="245">
        <v>43617</v>
      </c>
      <c r="F37" s="118">
        <v>1016.96</v>
      </c>
      <c r="G37" s="118">
        <f>SUMIF(CONFERÊNCIA!A:A,A37,CONFERÊNCIA!J:J)</f>
        <v>1016.96</v>
      </c>
      <c r="H37" s="120">
        <f t="shared" si="1"/>
        <v>0</v>
      </c>
      <c r="I37" s="171" t="s">
        <v>1234</v>
      </c>
    </row>
    <row r="38" spans="1:9" s="110" customFormat="1" ht="13.5" customHeight="1" x14ac:dyDescent="0.2">
      <c r="A38" s="243">
        <v>112422</v>
      </c>
      <c r="B38" s="244" t="s">
        <v>171</v>
      </c>
      <c r="C38" s="244" t="s">
        <v>2</v>
      </c>
      <c r="D38" s="244" t="s">
        <v>10</v>
      </c>
      <c r="E38" s="245">
        <v>43617</v>
      </c>
      <c r="F38" s="118">
        <v>1016.96</v>
      </c>
      <c r="G38" s="118">
        <f>SUMIF(CONFERÊNCIA!A:A,A38,CONFERÊNCIA!J:J)</f>
        <v>1016.96</v>
      </c>
      <c r="H38" s="119">
        <f t="shared" si="1"/>
        <v>0</v>
      </c>
      <c r="I38" s="171" t="s">
        <v>1234</v>
      </c>
    </row>
    <row r="39" spans="1:9" s="125" customFormat="1" ht="13.5" customHeight="1" x14ac:dyDescent="0.2">
      <c r="A39" s="243">
        <v>112174</v>
      </c>
      <c r="B39" s="244" t="s">
        <v>11</v>
      </c>
      <c r="C39" s="244" t="s">
        <v>5</v>
      </c>
      <c r="D39" s="244" t="s">
        <v>10</v>
      </c>
      <c r="E39" s="245">
        <v>43617</v>
      </c>
      <c r="F39" s="118">
        <v>1016.96</v>
      </c>
      <c r="G39" s="118">
        <f>SUMIF(CONFERÊNCIA!A:A,A39,CONFERÊNCIA!J:J)</f>
        <v>1016.96</v>
      </c>
      <c r="H39" s="120">
        <f t="shared" si="1"/>
        <v>0</v>
      </c>
      <c r="I39" s="171" t="s">
        <v>1234</v>
      </c>
    </row>
    <row r="40" spans="1:9" s="125" customFormat="1" ht="13.5" customHeight="1" x14ac:dyDescent="0.2">
      <c r="A40" s="243">
        <v>112430</v>
      </c>
      <c r="B40" s="244" t="s">
        <v>173</v>
      </c>
      <c r="C40" s="244" t="s">
        <v>5</v>
      </c>
      <c r="D40" s="244" t="s">
        <v>1589</v>
      </c>
      <c r="E40" s="245">
        <v>43617</v>
      </c>
      <c r="F40" s="118">
        <v>1016.96</v>
      </c>
      <c r="G40" s="118">
        <f>SUMIF(CONFERÊNCIA!A:A,A40,CONFERÊNCIA!J:J)</f>
        <v>1016.96</v>
      </c>
      <c r="H40" s="120">
        <f t="shared" si="1"/>
        <v>0</v>
      </c>
      <c r="I40" s="171" t="s">
        <v>1234</v>
      </c>
    </row>
    <row r="41" spans="1:9" s="110" customFormat="1" ht="13.5" customHeight="1" x14ac:dyDescent="0.2">
      <c r="A41" s="243">
        <v>112433</v>
      </c>
      <c r="B41" s="244" t="s">
        <v>176</v>
      </c>
      <c r="C41" s="244" t="s">
        <v>22</v>
      </c>
      <c r="D41" s="244" t="s">
        <v>1589</v>
      </c>
      <c r="E41" s="245">
        <v>43617</v>
      </c>
      <c r="F41" s="118">
        <v>1016.96</v>
      </c>
      <c r="G41" s="118">
        <f>SUMIF(CONFERÊNCIA!A:A,A41,CONFERÊNCIA!J:J)</f>
        <v>1016.96</v>
      </c>
      <c r="H41" s="119">
        <f t="shared" si="1"/>
        <v>0</v>
      </c>
      <c r="I41" s="171" t="s">
        <v>1234</v>
      </c>
    </row>
    <row r="42" spans="1:9" s="125" customFormat="1" ht="13.5" customHeight="1" x14ac:dyDescent="0.2">
      <c r="A42" s="243">
        <v>112436</v>
      </c>
      <c r="B42" s="244" t="s">
        <v>178</v>
      </c>
      <c r="C42" s="244" t="s">
        <v>39</v>
      </c>
      <c r="D42" s="244" t="s">
        <v>10</v>
      </c>
      <c r="E42" s="245">
        <v>43617</v>
      </c>
      <c r="F42" s="118">
        <v>1016.96</v>
      </c>
      <c r="G42" s="118">
        <f>SUMIF(CONFERÊNCIA!A:A,A42,CONFERÊNCIA!J:J)</f>
        <v>1016.96</v>
      </c>
      <c r="H42" s="120">
        <f t="shared" si="1"/>
        <v>0</v>
      </c>
      <c r="I42" s="171" t="s">
        <v>1234</v>
      </c>
    </row>
    <row r="43" spans="1:9" s="125" customFormat="1" ht="13.5" customHeight="1" x14ac:dyDescent="0.2">
      <c r="A43" s="243">
        <v>112462</v>
      </c>
      <c r="B43" s="244" t="s">
        <v>190</v>
      </c>
      <c r="C43" s="244" t="s">
        <v>15</v>
      </c>
      <c r="D43" s="244" t="s">
        <v>1589</v>
      </c>
      <c r="E43" s="245">
        <v>43617</v>
      </c>
      <c r="F43" s="118">
        <v>1016.96</v>
      </c>
      <c r="G43" s="118">
        <f>SUMIF(CONFERÊNCIA!A:A,A43,CONFERÊNCIA!J:J)</f>
        <v>1016.96</v>
      </c>
      <c r="H43" s="120">
        <f t="shared" si="1"/>
        <v>0</v>
      </c>
      <c r="I43" s="171" t="s">
        <v>1234</v>
      </c>
    </row>
    <row r="44" spans="1:9" s="110" customFormat="1" ht="13.5" customHeight="1" x14ac:dyDescent="0.2">
      <c r="A44" s="243">
        <v>116968</v>
      </c>
      <c r="B44" s="244" t="s">
        <v>1238</v>
      </c>
      <c r="C44" s="244" t="s">
        <v>5</v>
      </c>
      <c r="D44" s="244" t="s">
        <v>8</v>
      </c>
      <c r="E44" s="245">
        <v>44419</v>
      </c>
      <c r="F44" s="118">
        <v>1016.96</v>
      </c>
      <c r="G44" s="118">
        <f>SUMIF(CONFERÊNCIA!A:A,A44,CONFERÊNCIA!J:J)</f>
        <v>1016.96</v>
      </c>
      <c r="H44" s="119">
        <f t="shared" si="1"/>
        <v>0</v>
      </c>
      <c r="I44" s="171" t="s">
        <v>1234</v>
      </c>
    </row>
    <row r="45" spans="1:9" s="125" customFormat="1" ht="13.5" customHeight="1" x14ac:dyDescent="0.2">
      <c r="A45" s="243">
        <v>112547</v>
      </c>
      <c r="B45" s="244" t="s">
        <v>257</v>
      </c>
      <c r="C45" s="244" t="s">
        <v>2</v>
      </c>
      <c r="D45" s="244" t="s">
        <v>10</v>
      </c>
      <c r="E45" s="245">
        <v>43617</v>
      </c>
      <c r="F45" s="118">
        <v>1016.96</v>
      </c>
      <c r="G45" s="118">
        <f>SUMIF(CONFERÊNCIA!A:A,A45,CONFERÊNCIA!J:J)</f>
        <v>1016.96</v>
      </c>
      <c r="H45" s="120">
        <f t="shared" si="1"/>
        <v>0</v>
      </c>
      <c r="I45" s="171" t="s">
        <v>1234</v>
      </c>
    </row>
    <row r="46" spans="1:9" s="110" customFormat="1" ht="13.5" customHeight="1" x14ac:dyDescent="0.2">
      <c r="A46" s="243">
        <v>112632</v>
      </c>
      <c r="B46" s="244" t="s">
        <v>311</v>
      </c>
      <c r="C46" s="244" t="s">
        <v>2</v>
      </c>
      <c r="D46" s="244" t="s">
        <v>10</v>
      </c>
      <c r="E46" s="245">
        <v>43617</v>
      </c>
      <c r="F46" s="118">
        <v>1016.96</v>
      </c>
      <c r="G46" s="118">
        <f>SUMIF(CONFERÊNCIA!A:A,A46,CONFERÊNCIA!J:J)</f>
        <v>1016.96</v>
      </c>
      <c r="H46" s="119">
        <f t="shared" si="1"/>
        <v>0</v>
      </c>
      <c r="I46" s="171" t="s">
        <v>1235</v>
      </c>
    </row>
    <row r="47" spans="1:9" s="125" customFormat="1" ht="13.5" customHeight="1" x14ac:dyDescent="0.2">
      <c r="A47" s="243">
        <v>112549</v>
      </c>
      <c r="B47" s="244" t="s">
        <v>259</v>
      </c>
      <c r="C47" s="244" t="s">
        <v>2</v>
      </c>
      <c r="D47" s="244" t="s">
        <v>10</v>
      </c>
      <c r="E47" s="245">
        <v>43617</v>
      </c>
      <c r="F47" s="118">
        <v>1016.96</v>
      </c>
      <c r="G47" s="118">
        <f>SUMIF(CONFERÊNCIA!A:A,A47,CONFERÊNCIA!J:J)</f>
        <v>1016.96</v>
      </c>
      <c r="H47" s="120">
        <f t="shared" si="1"/>
        <v>0</v>
      </c>
      <c r="I47" s="171" t="s">
        <v>1235</v>
      </c>
    </row>
    <row r="48" spans="1:9" s="110" customFormat="1" ht="13.5" customHeight="1" x14ac:dyDescent="0.2">
      <c r="A48" s="243">
        <v>112641</v>
      </c>
      <c r="B48" s="244" t="s">
        <v>316</v>
      </c>
      <c r="C48" s="244" t="s">
        <v>2</v>
      </c>
      <c r="D48" s="244" t="s">
        <v>10</v>
      </c>
      <c r="E48" s="245">
        <v>43617</v>
      </c>
      <c r="F48" s="118">
        <v>1016.96</v>
      </c>
      <c r="G48" s="118">
        <f>SUMIF(CONFERÊNCIA!A:A,A48,CONFERÊNCIA!J:J)</f>
        <v>1016.96</v>
      </c>
      <c r="H48" s="119">
        <f t="shared" si="1"/>
        <v>0</v>
      </c>
      <c r="I48" s="171" t="s">
        <v>1235</v>
      </c>
    </row>
    <row r="49" spans="1:9" s="125" customFormat="1" ht="13.5" customHeight="1" x14ac:dyDescent="0.2">
      <c r="A49" s="243">
        <v>114966</v>
      </c>
      <c r="B49" s="244" t="s">
        <v>1134</v>
      </c>
      <c r="C49" s="244" t="s">
        <v>5</v>
      </c>
      <c r="D49" s="244" t="s">
        <v>1589</v>
      </c>
      <c r="E49" s="245">
        <v>43917</v>
      </c>
      <c r="F49" s="118">
        <v>1016.96</v>
      </c>
      <c r="G49" s="118">
        <f>SUMIF(CONFERÊNCIA!A:A,A49,CONFERÊNCIA!J:J)</f>
        <v>1016.96</v>
      </c>
      <c r="H49" s="120">
        <f t="shared" si="1"/>
        <v>0</v>
      </c>
      <c r="I49" s="171" t="s">
        <v>1234</v>
      </c>
    </row>
    <row r="50" spans="1:9" s="110" customFormat="1" ht="13.5" customHeight="1" x14ac:dyDescent="0.2">
      <c r="A50" s="243">
        <v>116076</v>
      </c>
      <c r="B50" s="244" t="s">
        <v>1184</v>
      </c>
      <c r="C50" s="244" t="s">
        <v>139</v>
      </c>
      <c r="D50" s="244" t="s">
        <v>1589</v>
      </c>
      <c r="E50" s="245">
        <v>44218</v>
      </c>
      <c r="F50" s="118">
        <v>1016.96</v>
      </c>
      <c r="G50" s="118">
        <f>SUMIF(CONFERÊNCIA!A:A,A50,CONFERÊNCIA!J:J)</f>
        <v>1016.96</v>
      </c>
      <c r="H50" s="119">
        <f t="shared" si="1"/>
        <v>0</v>
      </c>
      <c r="I50" s="171" t="s">
        <v>1234</v>
      </c>
    </row>
    <row r="51" spans="1:9" s="110" customFormat="1" ht="13.5" customHeight="1" x14ac:dyDescent="0.2">
      <c r="A51" s="243">
        <v>112646</v>
      </c>
      <c r="B51" s="244" t="s">
        <v>318</v>
      </c>
      <c r="C51" s="244" t="s">
        <v>5</v>
      </c>
      <c r="D51" s="244" t="s">
        <v>19</v>
      </c>
      <c r="E51" s="245">
        <v>43617</v>
      </c>
      <c r="F51" s="118">
        <v>1016.96</v>
      </c>
      <c r="G51" s="118">
        <f>SUMIF(CONFERÊNCIA!A:A,A51,CONFERÊNCIA!J:J)</f>
        <v>1016.96</v>
      </c>
      <c r="H51" s="119">
        <f t="shared" ref="H51:H69" si="2">G51-F51</f>
        <v>0</v>
      </c>
      <c r="I51" s="171" t="s">
        <v>1235</v>
      </c>
    </row>
    <row r="52" spans="1:9" s="125" customFormat="1" ht="13.5" customHeight="1" x14ac:dyDescent="0.2">
      <c r="A52" s="243">
        <v>121954</v>
      </c>
      <c r="B52" s="244" t="s">
        <v>1612</v>
      </c>
      <c r="C52" s="244" t="s">
        <v>5</v>
      </c>
      <c r="D52" s="244" t="s">
        <v>1589</v>
      </c>
      <c r="E52" s="245">
        <v>45040</v>
      </c>
      <c r="F52" s="118">
        <v>940.39</v>
      </c>
      <c r="G52" s="118">
        <f>SUMIF(CONFERÊNCIA!A:A,A52,CONFERÊNCIA!J:J)</f>
        <v>940.39</v>
      </c>
      <c r="H52" s="120">
        <f t="shared" si="2"/>
        <v>0</v>
      </c>
      <c r="I52" s="171" t="s">
        <v>1234</v>
      </c>
    </row>
    <row r="53" spans="1:9" s="125" customFormat="1" ht="13.5" customHeight="1" x14ac:dyDescent="0.2">
      <c r="A53" s="243">
        <v>117290</v>
      </c>
      <c r="B53" s="244" t="s">
        <v>1266</v>
      </c>
      <c r="C53" s="244" t="s">
        <v>932</v>
      </c>
      <c r="D53" s="244" t="s">
        <v>1589</v>
      </c>
      <c r="E53" s="245">
        <v>44494</v>
      </c>
      <c r="F53" s="118">
        <v>1016.96</v>
      </c>
      <c r="G53" s="118">
        <f>SUMIF(CONFERÊNCIA!A:A,A53,CONFERÊNCIA!J:J)</f>
        <v>1016.96</v>
      </c>
      <c r="H53" s="120">
        <f t="shared" si="2"/>
        <v>0</v>
      </c>
      <c r="I53" s="171" t="s">
        <v>1234</v>
      </c>
    </row>
    <row r="54" spans="1:9" s="110" customFormat="1" ht="13.5" customHeight="1" x14ac:dyDescent="0.2">
      <c r="A54" s="243">
        <v>112652</v>
      </c>
      <c r="B54" s="244" t="s">
        <v>321</v>
      </c>
      <c r="C54" s="244" t="s">
        <v>5</v>
      </c>
      <c r="D54" s="244" t="s">
        <v>32</v>
      </c>
      <c r="E54" s="245">
        <v>43617</v>
      </c>
      <c r="F54" s="118">
        <v>1016.96</v>
      </c>
      <c r="G54" s="118">
        <f>SUMIF(CONFERÊNCIA!A:A,A54,CONFERÊNCIA!J:J)</f>
        <v>1016.96</v>
      </c>
      <c r="H54" s="119">
        <f t="shared" si="2"/>
        <v>0</v>
      </c>
      <c r="I54" s="171" t="s">
        <v>1234</v>
      </c>
    </row>
    <row r="55" spans="1:9" s="125" customFormat="1" ht="13.5" customHeight="1" x14ac:dyDescent="0.2">
      <c r="A55" s="243">
        <v>112567</v>
      </c>
      <c r="B55" s="244" t="s">
        <v>269</v>
      </c>
      <c r="C55" s="244" t="s">
        <v>5</v>
      </c>
      <c r="D55" s="244" t="s">
        <v>8</v>
      </c>
      <c r="E55" s="245">
        <v>43617</v>
      </c>
      <c r="F55" s="118">
        <v>1016.96</v>
      </c>
      <c r="G55" s="118">
        <f>SUMIF(CONFERÊNCIA!A:A,A55,CONFERÊNCIA!J:J)</f>
        <v>1016.96</v>
      </c>
      <c r="H55" s="120">
        <f t="shared" si="2"/>
        <v>0</v>
      </c>
      <c r="I55" s="171" t="s">
        <v>1234</v>
      </c>
    </row>
    <row r="56" spans="1:9" s="125" customFormat="1" ht="13.5" customHeight="1" x14ac:dyDescent="0.2">
      <c r="A56" s="243">
        <v>112656</v>
      </c>
      <c r="B56" s="244" t="s">
        <v>323</v>
      </c>
      <c r="C56" s="244" t="s">
        <v>22</v>
      </c>
      <c r="D56" s="244" t="s">
        <v>1589</v>
      </c>
      <c r="E56" s="245">
        <v>43617</v>
      </c>
      <c r="F56" s="118">
        <v>1016.96</v>
      </c>
      <c r="G56" s="118">
        <f>SUMIF(CONFERÊNCIA!A:A,A56,CONFERÊNCIA!J:J)</f>
        <v>1016.96</v>
      </c>
      <c r="H56" s="120">
        <f t="shared" si="2"/>
        <v>0</v>
      </c>
      <c r="I56" s="171" t="s">
        <v>1234</v>
      </c>
    </row>
    <row r="57" spans="1:9" s="125" customFormat="1" ht="13.5" customHeight="1" x14ac:dyDescent="0.2">
      <c r="A57" s="243">
        <v>114976</v>
      </c>
      <c r="B57" s="244" t="s">
        <v>1137</v>
      </c>
      <c r="C57" s="244" t="s">
        <v>282</v>
      </c>
      <c r="D57" s="244" t="s">
        <v>1589</v>
      </c>
      <c r="E57" s="245">
        <v>43917</v>
      </c>
      <c r="F57" s="118">
        <v>1016.96</v>
      </c>
      <c r="G57" s="118">
        <f>SUMIF(CONFERÊNCIA!A:A,A57,CONFERÊNCIA!J:J)</f>
        <v>1016.96</v>
      </c>
      <c r="H57" s="120">
        <f t="shared" si="2"/>
        <v>0</v>
      </c>
      <c r="I57" s="171" t="s">
        <v>1234</v>
      </c>
    </row>
    <row r="58" spans="1:9" s="110" customFormat="1" ht="13.5" customHeight="1" x14ac:dyDescent="0.2">
      <c r="A58" s="243">
        <v>112664</v>
      </c>
      <c r="B58" s="244" t="s">
        <v>327</v>
      </c>
      <c r="C58" s="244" t="s">
        <v>2</v>
      </c>
      <c r="D58" s="244" t="s">
        <v>0</v>
      </c>
      <c r="E58" s="245">
        <v>43617</v>
      </c>
      <c r="F58" s="118">
        <v>1016.96</v>
      </c>
      <c r="G58" s="118">
        <f>SUMIF(CONFERÊNCIA!A:A,A58,CONFERÊNCIA!J:J)</f>
        <v>978.67000000000007</v>
      </c>
      <c r="H58" s="119">
        <f t="shared" si="2"/>
        <v>-38.289999999999964</v>
      </c>
      <c r="I58" s="171" t="s">
        <v>1234</v>
      </c>
    </row>
    <row r="59" spans="1:9" s="125" customFormat="1" ht="13.5" customHeight="1" x14ac:dyDescent="0.2">
      <c r="A59" s="243">
        <v>112691</v>
      </c>
      <c r="B59" s="244" t="s">
        <v>344</v>
      </c>
      <c r="C59" s="244" t="s">
        <v>22</v>
      </c>
      <c r="D59" s="244" t="s">
        <v>1589</v>
      </c>
      <c r="E59" s="245">
        <v>43617</v>
      </c>
      <c r="F59" s="118">
        <v>1016.96</v>
      </c>
      <c r="G59" s="118">
        <f>SUMIF(CONFERÊNCIA!A:A,A59,CONFERÊNCIA!J:J)</f>
        <v>1016.96</v>
      </c>
      <c r="H59" s="120">
        <f t="shared" si="2"/>
        <v>0</v>
      </c>
      <c r="I59" s="171" t="s">
        <v>1234</v>
      </c>
    </row>
    <row r="60" spans="1:9" s="110" customFormat="1" ht="13.5" customHeight="1" x14ac:dyDescent="0.2">
      <c r="A60" s="243">
        <v>112697</v>
      </c>
      <c r="B60" s="244" t="s">
        <v>348</v>
      </c>
      <c r="C60" s="244" t="s">
        <v>2</v>
      </c>
      <c r="D60" s="244" t="s">
        <v>8</v>
      </c>
      <c r="E60" s="245">
        <v>43617</v>
      </c>
      <c r="F60" s="118">
        <v>978.67000000000007</v>
      </c>
      <c r="G60" s="118">
        <f>SUMIF(CONFERÊNCIA!A:A,A60,CONFERÊNCIA!J:J)</f>
        <v>1016.96</v>
      </c>
      <c r="H60" s="119">
        <f t="shared" si="2"/>
        <v>38.289999999999964</v>
      </c>
      <c r="I60" s="171" t="s">
        <v>1234</v>
      </c>
    </row>
    <row r="61" spans="1:9" s="125" customFormat="1" ht="13.5" customHeight="1" x14ac:dyDescent="0.2">
      <c r="A61" s="243">
        <v>112700</v>
      </c>
      <c r="B61" s="244" t="s">
        <v>352</v>
      </c>
      <c r="C61" s="244" t="s">
        <v>2</v>
      </c>
      <c r="D61" s="244" t="s">
        <v>8</v>
      </c>
      <c r="E61" s="245">
        <v>43617</v>
      </c>
      <c r="F61" s="118">
        <v>1016.96</v>
      </c>
      <c r="G61" s="118">
        <f>SUMIF(CONFERÊNCIA!A:A,A61,CONFERÊNCIA!J:J)</f>
        <v>1016.96</v>
      </c>
      <c r="H61" s="120">
        <f t="shared" si="2"/>
        <v>0</v>
      </c>
      <c r="I61" s="171" t="s">
        <v>1234</v>
      </c>
    </row>
    <row r="62" spans="1:9" s="110" customFormat="1" ht="13.5" customHeight="1" x14ac:dyDescent="0.2">
      <c r="A62" s="243">
        <v>112175</v>
      </c>
      <c r="B62" s="244" t="s">
        <v>12</v>
      </c>
      <c r="C62" s="244" t="s">
        <v>5</v>
      </c>
      <c r="D62" s="244" t="s">
        <v>10</v>
      </c>
      <c r="E62" s="245">
        <v>43617</v>
      </c>
      <c r="F62" s="118">
        <v>1016.96</v>
      </c>
      <c r="G62" s="118">
        <f>SUMIF(CONFERÊNCIA!A:A,A62,CONFERÊNCIA!J:J)</f>
        <v>1016.96</v>
      </c>
      <c r="H62" s="119">
        <f t="shared" si="2"/>
        <v>0</v>
      </c>
      <c r="I62" s="171" t="s">
        <v>1234</v>
      </c>
    </row>
    <row r="63" spans="1:9" s="110" customFormat="1" ht="13.5" customHeight="1" x14ac:dyDescent="0.2">
      <c r="A63" s="243">
        <v>121314</v>
      </c>
      <c r="B63" s="244" t="s">
        <v>1531</v>
      </c>
      <c r="C63" s="244" t="s">
        <v>5</v>
      </c>
      <c r="D63" s="244" t="s">
        <v>10</v>
      </c>
      <c r="E63" s="245">
        <v>44945</v>
      </c>
      <c r="F63" s="118">
        <v>1016.96</v>
      </c>
      <c r="G63" s="118">
        <f>SUMIF(CONFERÊNCIA!A:A,A63,CONFERÊNCIA!J:J)</f>
        <v>1016.96</v>
      </c>
      <c r="H63" s="119">
        <f t="shared" si="2"/>
        <v>0</v>
      </c>
      <c r="I63" s="171" t="s">
        <v>1234</v>
      </c>
    </row>
    <row r="64" spans="1:9" s="125" customFormat="1" ht="13.5" customHeight="1" x14ac:dyDescent="0.2">
      <c r="A64" s="243">
        <v>112719</v>
      </c>
      <c r="B64" s="244" t="s">
        <v>363</v>
      </c>
      <c r="C64" s="244" t="s">
        <v>15</v>
      </c>
      <c r="D64" s="244" t="s">
        <v>1589</v>
      </c>
      <c r="E64" s="245">
        <v>43617</v>
      </c>
      <c r="F64" s="118">
        <v>1016.96</v>
      </c>
      <c r="G64" s="118">
        <f>SUMIF(CONFERÊNCIA!A:A,A64,CONFERÊNCIA!J:J)</f>
        <v>1016.96</v>
      </c>
      <c r="H64" s="120">
        <f t="shared" si="2"/>
        <v>0</v>
      </c>
      <c r="I64" s="171" t="s">
        <v>1234</v>
      </c>
    </row>
    <row r="65" spans="1:9" s="125" customFormat="1" ht="13.5" customHeight="1" x14ac:dyDescent="0.2">
      <c r="A65" s="243">
        <v>112726</v>
      </c>
      <c r="B65" s="244" t="s">
        <v>368</v>
      </c>
      <c r="C65" s="244" t="s">
        <v>22</v>
      </c>
      <c r="D65" s="244" t="s">
        <v>1589</v>
      </c>
      <c r="E65" s="245">
        <v>43617</v>
      </c>
      <c r="F65" s="118">
        <v>1016.96</v>
      </c>
      <c r="G65" s="118">
        <f>SUMIF(CONFERÊNCIA!A:A,A65,CONFERÊNCIA!J:J)</f>
        <v>1016.96</v>
      </c>
      <c r="H65" s="120">
        <f t="shared" si="2"/>
        <v>0</v>
      </c>
      <c r="I65" s="171" t="s">
        <v>1234</v>
      </c>
    </row>
    <row r="66" spans="1:9" s="110" customFormat="1" ht="13.5" customHeight="1" x14ac:dyDescent="0.2">
      <c r="A66" s="243">
        <v>113795</v>
      </c>
      <c r="B66" s="244" t="s">
        <v>985</v>
      </c>
      <c r="C66" s="244" t="s">
        <v>986</v>
      </c>
      <c r="D66" s="244" t="s">
        <v>1591</v>
      </c>
      <c r="E66" s="245">
        <v>43628</v>
      </c>
      <c r="F66" s="118">
        <v>1016.96</v>
      </c>
      <c r="G66" s="118">
        <f>SUMIF(CONFERÊNCIA!A:A,A66,CONFERÊNCIA!J:J)</f>
        <v>1016.96</v>
      </c>
      <c r="H66" s="119">
        <f t="shared" si="2"/>
        <v>0</v>
      </c>
      <c r="I66" s="171" t="s">
        <v>1234</v>
      </c>
    </row>
    <row r="67" spans="1:9" s="125" customFormat="1" ht="13.5" customHeight="1" x14ac:dyDescent="0.2">
      <c r="A67" s="243">
        <v>116020</v>
      </c>
      <c r="B67" s="244" t="s">
        <v>1177</v>
      </c>
      <c r="C67" s="244" t="s">
        <v>5</v>
      </c>
      <c r="D67" s="244" t="s">
        <v>0</v>
      </c>
      <c r="E67" s="245">
        <v>44207</v>
      </c>
      <c r="F67" s="118">
        <v>1016.96</v>
      </c>
      <c r="G67" s="118">
        <f>SUMIF(CONFERÊNCIA!A:A,A67,CONFERÊNCIA!J:J)</f>
        <v>1016.96</v>
      </c>
      <c r="H67" s="120">
        <f t="shared" si="2"/>
        <v>0</v>
      </c>
      <c r="I67" s="171" t="s">
        <v>1235</v>
      </c>
    </row>
    <row r="68" spans="1:9" s="110" customFormat="1" ht="13.5" customHeight="1" x14ac:dyDescent="0.2">
      <c r="A68" s="243">
        <v>114101</v>
      </c>
      <c r="B68" s="244" t="s">
        <v>1008</v>
      </c>
      <c r="C68" s="244" t="s">
        <v>5</v>
      </c>
      <c r="D68" s="244" t="s">
        <v>19</v>
      </c>
      <c r="E68" s="245">
        <v>43728</v>
      </c>
      <c r="F68" s="118">
        <v>1016.96</v>
      </c>
      <c r="G68" s="118">
        <f>SUMIF(CONFERÊNCIA!A:A,A68,CONFERÊNCIA!J:J)</f>
        <v>359.46</v>
      </c>
      <c r="H68" s="119">
        <f t="shared" si="2"/>
        <v>-657.5</v>
      </c>
      <c r="I68" s="171" t="s">
        <v>1731</v>
      </c>
    </row>
    <row r="69" spans="1:9" s="110" customFormat="1" ht="13.5" customHeight="1" x14ac:dyDescent="0.2">
      <c r="A69" s="243">
        <v>122437</v>
      </c>
      <c r="B69" s="244" t="s">
        <v>1692</v>
      </c>
      <c r="C69" s="244" t="s">
        <v>5</v>
      </c>
      <c r="D69" s="244" t="s">
        <v>1589</v>
      </c>
      <c r="E69" s="245">
        <v>45117</v>
      </c>
      <c r="F69" s="118">
        <v>1016.96</v>
      </c>
      <c r="G69" s="118">
        <f>SUMIF(CONFERÊNCIA!A:A,A69,CONFERÊNCIA!J:J)</f>
        <v>1016.96</v>
      </c>
      <c r="H69" s="119">
        <f t="shared" si="2"/>
        <v>0</v>
      </c>
      <c r="I69" s="171" t="s">
        <v>1234</v>
      </c>
    </row>
    <row r="70" spans="1:9" s="125" customFormat="1" ht="13.5" customHeight="1" x14ac:dyDescent="0.2">
      <c r="A70" s="243">
        <v>114273</v>
      </c>
      <c r="B70" s="244" t="s">
        <v>1034</v>
      </c>
      <c r="C70" s="244" t="s">
        <v>5</v>
      </c>
      <c r="D70" s="244" t="s">
        <v>0</v>
      </c>
      <c r="E70" s="245">
        <v>43804</v>
      </c>
      <c r="F70" s="118">
        <v>1016.96</v>
      </c>
      <c r="G70" s="118">
        <f>SUMIF(CONFERÊNCIA!A:A,A70,CONFERÊNCIA!J:J)</f>
        <v>1016.96</v>
      </c>
      <c r="H70" s="120">
        <f t="shared" ref="H70:H87" si="3">G70-F70</f>
        <v>0</v>
      </c>
      <c r="I70" s="171" t="s">
        <v>1234</v>
      </c>
    </row>
    <row r="71" spans="1:9" s="110" customFormat="1" ht="13.5" customHeight="1" x14ac:dyDescent="0.2">
      <c r="A71" s="243">
        <v>112763</v>
      </c>
      <c r="B71" s="244" t="s">
        <v>390</v>
      </c>
      <c r="C71" s="244" t="s">
        <v>15</v>
      </c>
      <c r="D71" s="244" t="s">
        <v>1589</v>
      </c>
      <c r="E71" s="245">
        <v>43627</v>
      </c>
      <c r="F71" s="118">
        <v>1016.96</v>
      </c>
      <c r="G71" s="118">
        <f>SUMIF(CONFERÊNCIA!A:A,A71,CONFERÊNCIA!J:J)</f>
        <v>1016.96</v>
      </c>
      <c r="H71" s="119">
        <f t="shared" si="3"/>
        <v>0</v>
      </c>
      <c r="I71" s="171" t="s">
        <v>1234</v>
      </c>
    </row>
    <row r="72" spans="1:9" s="110" customFormat="1" ht="13.5" customHeight="1" x14ac:dyDescent="0.2">
      <c r="A72" s="243">
        <v>113000</v>
      </c>
      <c r="B72" s="244" t="s">
        <v>540</v>
      </c>
      <c r="C72" s="244" t="s">
        <v>15</v>
      </c>
      <c r="D72" s="244" t="s">
        <v>1589</v>
      </c>
      <c r="E72" s="245">
        <v>43617</v>
      </c>
      <c r="F72" s="118">
        <v>1016.96</v>
      </c>
      <c r="G72" s="118">
        <f>SUMIF(CONFERÊNCIA!A:A,A72,CONFERÊNCIA!J:J)</f>
        <v>1016.96</v>
      </c>
      <c r="H72" s="119">
        <f t="shared" si="3"/>
        <v>0</v>
      </c>
      <c r="I72" s="171" t="s">
        <v>1234</v>
      </c>
    </row>
    <row r="73" spans="1:9" s="125" customFormat="1" ht="13.5" customHeight="1" x14ac:dyDescent="0.2">
      <c r="A73" s="243">
        <v>112793</v>
      </c>
      <c r="B73" s="244" t="s">
        <v>414</v>
      </c>
      <c r="C73" s="244" t="s">
        <v>2</v>
      </c>
      <c r="D73" s="244" t="s">
        <v>10</v>
      </c>
      <c r="E73" s="245">
        <v>43617</v>
      </c>
      <c r="F73" s="118">
        <v>1016.96</v>
      </c>
      <c r="G73" s="118">
        <f>SUMIF(CONFERÊNCIA!A:A,A73,CONFERÊNCIA!J:J)</f>
        <v>1016.96</v>
      </c>
      <c r="H73" s="120">
        <f t="shared" si="3"/>
        <v>0</v>
      </c>
      <c r="I73" s="171" t="s">
        <v>1234</v>
      </c>
    </row>
    <row r="74" spans="1:9" s="110" customFormat="1" ht="13.5" customHeight="1" x14ac:dyDescent="0.2">
      <c r="A74" s="243">
        <v>117410</v>
      </c>
      <c r="B74" s="244" t="s">
        <v>1278</v>
      </c>
      <c r="C74" s="244" t="s">
        <v>205</v>
      </c>
      <c r="D74" s="244" t="s">
        <v>1589</v>
      </c>
      <c r="E74" s="245">
        <v>44522</v>
      </c>
      <c r="F74" s="118">
        <v>1016.96</v>
      </c>
      <c r="G74" s="118">
        <f>SUMIF(CONFERÊNCIA!A:A,A74,CONFERÊNCIA!J:J)</f>
        <v>1016.96</v>
      </c>
      <c r="H74" s="119">
        <f t="shared" si="3"/>
        <v>0</v>
      </c>
      <c r="I74" s="171" t="s">
        <v>1234</v>
      </c>
    </row>
    <row r="75" spans="1:9" s="110" customFormat="1" ht="13.5" customHeight="1" x14ac:dyDescent="0.2">
      <c r="A75" s="243">
        <v>112798</v>
      </c>
      <c r="B75" s="244" t="s">
        <v>418</v>
      </c>
      <c r="C75" s="244" t="s">
        <v>2</v>
      </c>
      <c r="D75" s="244" t="s">
        <v>8</v>
      </c>
      <c r="E75" s="245">
        <v>43617</v>
      </c>
      <c r="F75" s="118">
        <v>1016.96</v>
      </c>
      <c r="G75" s="118">
        <f>SUMIF(CONFERÊNCIA!A:A,A75,CONFERÊNCIA!J:J)</f>
        <v>1016.96</v>
      </c>
      <c r="H75" s="119">
        <f t="shared" si="3"/>
        <v>0</v>
      </c>
      <c r="I75" s="171" t="s">
        <v>1234</v>
      </c>
    </row>
    <row r="76" spans="1:9" s="125" customFormat="1" ht="13.5" customHeight="1" x14ac:dyDescent="0.2">
      <c r="A76" s="243">
        <v>113028</v>
      </c>
      <c r="B76" s="244" t="s">
        <v>550</v>
      </c>
      <c r="C76" s="244" t="s">
        <v>182</v>
      </c>
      <c r="D76" s="244" t="s">
        <v>19</v>
      </c>
      <c r="E76" s="245">
        <v>43617</v>
      </c>
      <c r="F76" s="118">
        <v>1016.96</v>
      </c>
      <c r="G76" s="118">
        <f>SUMIF(CONFERÊNCIA!A:A,A76,CONFERÊNCIA!J:J)</f>
        <v>1016.96</v>
      </c>
      <c r="H76" s="120">
        <f t="shared" si="3"/>
        <v>0</v>
      </c>
      <c r="I76" s="171" t="s">
        <v>1235</v>
      </c>
    </row>
    <row r="77" spans="1:9" s="110" customFormat="1" ht="13.5" customHeight="1" x14ac:dyDescent="0.2">
      <c r="A77" s="243">
        <v>112804</v>
      </c>
      <c r="B77" s="244" t="s">
        <v>423</v>
      </c>
      <c r="C77" s="244" t="s">
        <v>2</v>
      </c>
      <c r="D77" s="244" t="s">
        <v>32</v>
      </c>
      <c r="E77" s="245">
        <v>43617</v>
      </c>
      <c r="F77" s="118">
        <v>1016.96</v>
      </c>
      <c r="G77" s="118">
        <f>SUMIF(CONFERÊNCIA!A:A,A77,CONFERÊNCIA!J:J)</f>
        <v>1016.96</v>
      </c>
      <c r="H77" s="119">
        <f t="shared" si="3"/>
        <v>0</v>
      </c>
      <c r="I77" s="171" t="s">
        <v>1234</v>
      </c>
    </row>
    <row r="78" spans="1:9" s="110" customFormat="1" ht="13.5" customHeight="1" x14ac:dyDescent="0.2">
      <c r="A78" s="243">
        <v>113043</v>
      </c>
      <c r="B78" s="244" t="s">
        <v>559</v>
      </c>
      <c r="C78" s="244" t="s">
        <v>5</v>
      </c>
      <c r="D78" s="244" t="s">
        <v>10</v>
      </c>
      <c r="E78" s="245">
        <v>43617</v>
      </c>
      <c r="F78" s="118">
        <v>1016.96</v>
      </c>
      <c r="G78" s="118">
        <f>SUMIF(CONFERÊNCIA!A:A,A78,CONFERÊNCIA!J:J)</f>
        <v>1016.96</v>
      </c>
      <c r="H78" s="119">
        <f t="shared" si="3"/>
        <v>0</v>
      </c>
      <c r="I78" s="171" t="s">
        <v>1234</v>
      </c>
    </row>
    <row r="79" spans="1:9" s="125" customFormat="1" ht="13.5" customHeight="1" x14ac:dyDescent="0.2">
      <c r="A79" s="243">
        <v>121482</v>
      </c>
      <c r="B79" s="244" t="s">
        <v>1557</v>
      </c>
      <c r="C79" s="244" t="s">
        <v>15</v>
      </c>
      <c r="D79" s="244" t="s">
        <v>1589</v>
      </c>
      <c r="E79" s="245">
        <v>44967</v>
      </c>
      <c r="F79" s="118">
        <v>1016.96</v>
      </c>
      <c r="G79" s="118">
        <f>SUMIF(CONFERÊNCIA!A:A,A79,CONFERÊNCIA!J:J)</f>
        <v>1016.96</v>
      </c>
      <c r="H79" s="120">
        <f t="shared" si="3"/>
        <v>0</v>
      </c>
      <c r="I79" s="171" t="s">
        <v>1234</v>
      </c>
    </row>
    <row r="80" spans="1:9" s="110" customFormat="1" ht="13.5" customHeight="1" x14ac:dyDescent="0.2">
      <c r="A80" s="243">
        <v>112812</v>
      </c>
      <c r="B80" s="244" t="s">
        <v>429</v>
      </c>
      <c r="C80" s="244" t="s">
        <v>146</v>
      </c>
      <c r="D80" s="244" t="s">
        <v>19</v>
      </c>
      <c r="E80" s="245">
        <v>43617</v>
      </c>
      <c r="F80" s="118">
        <v>1016.96</v>
      </c>
      <c r="G80" s="118">
        <f>SUMIF(CONFERÊNCIA!A:A,A80,CONFERÊNCIA!J:J)</f>
        <v>1016.96</v>
      </c>
      <c r="H80" s="119">
        <f t="shared" si="3"/>
        <v>0</v>
      </c>
      <c r="I80" s="171" t="s">
        <v>1234</v>
      </c>
    </row>
    <row r="81" spans="1:9" s="110" customFormat="1" ht="13.5" customHeight="1" x14ac:dyDescent="0.2">
      <c r="A81" s="243">
        <v>112815</v>
      </c>
      <c r="B81" s="244" t="s">
        <v>431</v>
      </c>
      <c r="C81" s="244" t="s">
        <v>5</v>
      </c>
      <c r="D81" s="244" t="s">
        <v>10</v>
      </c>
      <c r="E81" s="245">
        <v>43617</v>
      </c>
      <c r="F81" s="118">
        <v>1016.96</v>
      </c>
      <c r="G81" s="118">
        <f>SUMIF(CONFERÊNCIA!A:A,A81,CONFERÊNCIA!J:J)</f>
        <v>1016.96</v>
      </c>
      <c r="H81" s="119">
        <f t="shared" si="3"/>
        <v>0</v>
      </c>
      <c r="I81" s="171" t="s">
        <v>1234</v>
      </c>
    </row>
    <row r="82" spans="1:9" s="125" customFormat="1" ht="13.5" customHeight="1" x14ac:dyDescent="0.2">
      <c r="A82" s="243">
        <v>118049</v>
      </c>
      <c r="B82" s="244" t="s">
        <v>1398</v>
      </c>
      <c r="C82" s="244" t="s">
        <v>5</v>
      </c>
      <c r="D82" s="244" t="s">
        <v>0</v>
      </c>
      <c r="E82" s="245">
        <v>44567</v>
      </c>
      <c r="F82" s="118">
        <v>1016.96</v>
      </c>
      <c r="G82" s="118">
        <f>SUMIF(CONFERÊNCIA!A:A,A82,CONFERÊNCIA!J:J)</f>
        <v>1016.96</v>
      </c>
      <c r="H82" s="120">
        <f t="shared" si="3"/>
        <v>0</v>
      </c>
      <c r="I82" s="171" t="s">
        <v>1234</v>
      </c>
    </row>
    <row r="83" spans="1:9" s="125" customFormat="1" ht="13.5" customHeight="1" x14ac:dyDescent="0.2">
      <c r="A83" s="243">
        <v>113058</v>
      </c>
      <c r="B83" s="244" t="s">
        <v>565</v>
      </c>
      <c r="C83" s="244" t="s">
        <v>2</v>
      </c>
      <c r="D83" s="244" t="s">
        <v>8</v>
      </c>
      <c r="E83" s="245">
        <v>43617</v>
      </c>
      <c r="F83" s="118">
        <v>1016.96</v>
      </c>
      <c r="G83" s="118">
        <f>SUMIF(CONFERÊNCIA!A:A,A83,CONFERÊNCIA!J:J)</f>
        <v>1016.96</v>
      </c>
      <c r="H83" s="120">
        <f t="shared" si="3"/>
        <v>0</v>
      </c>
      <c r="I83" s="171" t="s">
        <v>1234</v>
      </c>
    </row>
    <row r="84" spans="1:9" s="110" customFormat="1" ht="13.5" customHeight="1" x14ac:dyDescent="0.2">
      <c r="A84" s="243">
        <v>112824</v>
      </c>
      <c r="B84" s="244" t="s">
        <v>438</v>
      </c>
      <c r="C84" s="244" t="s">
        <v>2</v>
      </c>
      <c r="D84" s="244" t="s">
        <v>10</v>
      </c>
      <c r="E84" s="245">
        <v>43617</v>
      </c>
      <c r="F84" s="118">
        <v>1016.96</v>
      </c>
      <c r="G84" s="118">
        <f>SUMIF(CONFERÊNCIA!A:A,A84,CONFERÊNCIA!J:J)</f>
        <v>1016.96</v>
      </c>
      <c r="H84" s="119">
        <f t="shared" si="3"/>
        <v>0</v>
      </c>
      <c r="I84" s="171" t="s">
        <v>1235</v>
      </c>
    </row>
    <row r="85" spans="1:9" s="110" customFormat="1" ht="13.5" customHeight="1" x14ac:dyDescent="0.2">
      <c r="A85" s="243">
        <v>113086</v>
      </c>
      <c r="B85" s="244" t="s">
        <v>581</v>
      </c>
      <c r="C85" s="244" t="s">
        <v>15</v>
      </c>
      <c r="D85" s="244" t="s">
        <v>1589</v>
      </c>
      <c r="E85" s="245">
        <v>43617</v>
      </c>
      <c r="F85" s="118">
        <v>1016.96</v>
      </c>
      <c r="G85" s="118">
        <f>SUMIF(CONFERÊNCIA!A:A,A85,CONFERÊNCIA!J:J)</f>
        <v>1016.96</v>
      </c>
      <c r="H85" s="119">
        <f t="shared" si="3"/>
        <v>0</v>
      </c>
      <c r="I85" s="171" t="s">
        <v>1234</v>
      </c>
    </row>
    <row r="86" spans="1:9" s="125" customFormat="1" ht="13.5" customHeight="1" x14ac:dyDescent="0.2">
      <c r="A86" s="243">
        <v>112995</v>
      </c>
      <c r="B86" s="244" t="s">
        <v>538</v>
      </c>
      <c r="C86" s="244" t="s">
        <v>2</v>
      </c>
      <c r="D86" s="244" t="s">
        <v>19</v>
      </c>
      <c r="E86" s="245">
        <v>43617</v>
      </c>
      <c r="F86" s="118">
        <v>1016.96</v>
      </c>
      <c r="G86" s="118">
        <f>SUMIF(CONFERÊNCIA!A:A,A86,CONFERÊNCIA!J:J)</f>
        <v>1016.96</v>
      </c>
      <c r="H86" s="120">
        <f t="shared" si="3"/>
        <v>0</v>
      </c>
      <c r="I86" s="171" t="s">
        <v>1234</v>
      </c>
    </row>
    <row r="87" spans="1:9" s="110" customFormat="1" ht="13.5" customHeight="1" x14ac:dyDescent="0.2">
      <c r="A87" s="243">
        <v>116330</v>
      </c>
      <c r="B87" s="244" t="s">
        <v>1212</v>
      </c>
      <c r="C87" s="244" t="s">
        <v>5</v>
      </c>
      <c r="D87" s="244" t="s">
        <v>0</v>
      </c>
      <c r="E87" s="245">
        <v>44308</v>
      </c>
      <c r="F87" s="118">
        <v>1016.96</v>
      </c>
      <c r="G87" s="118">
        <f>SUMIF(CONFERÊNCIA!A:A,A87,CONFERÊNCIA!J:J)</f>
        <v>1016.96</v>
      </c>
      <c r="H87" s="119">
        <f t="shared" si="3"/>
        <v>0</v>
      </c>
      <c r="I87" s="171" t="s">
        <v>1235</v>
      </c>
    </row>
    <row r="88" spans="1:9" s="125" customFormat="1" ht="13.5" customHeight="1" x14ac:dyDescent="0.2">
      <c r="A88" s="243">
        <v>113103</v>
      </c>
      <c r="B88" s="244" t="s">
        <v>588</v>
      </c>
      <c r="C88" s="244" t="s">
        <v>5</v>
      </c>
      <c r="D88" s="244" t="s">
        <v>8</v>
      </c>
      <c r="E88" s="245">
        <v>43617</v>
      </c>
      <c r="F88" s="118">
        <v>1016.96</v>
      </c>
      <c r="G88" s="118">
        <f>SUMIF(CONFERÊNCIA!A:A,A88,CONFERÊNCIA!J:J)</f>
        <v>1016.96</v>
      </c>
      <c r="H88" s="120">
        <f t="shared" ref="H88:H105" si="4">G88-F88</f>
        <v>0</v>
      </c>
      <c r="I88" s="171" t="s">
        <v>1235</v>
      </c>
    </row>
    <row r="89" spans="1:9" s="110" customFormat="1" ht="13.5" customHeight="1" x14ac:dyDescent="0.2">
      <c r="A89" s="243">
        <v>113109</v>
      </c>
      <c r="B89" s="244" t="s">
        <v>590</v>
      </c>
      <c r="C89" s="244" t="s">
        <v>39</v>
      </c>
      <c r="D89" s="244" t="s">
        <v>8</v>
      </c>
      <c r="E89" s="245">
        <v>43617</v>
      </c>
      <c r="F89" s="118">
        <v>1016.96</v>
      </c>
      <c r="G89" s="118">
        <f>SUMIF(CONFERÊNCIA!A:A,A89,CONFERÊNCIA!J:J)</f>
        <v>1016.96</v>
      </c>
      <c r="H89" s="119">
        <f t="shared" si="4"/>
        <v>0</v>
      </c>
      <c r="I89" s="171" t="s">
        <v>1234</v>
      </c>
    </row>
    <row r="90" spans="1:9" s="125" customFormat="1" ht="13.5" customHeight="1" x14ac:dyDescent="0.2">
      <c r="A90" s="243">
        <v>113117</v>
      </c>
      <c r="B90" s="244" t="s">
        <v>595</v>
      </c>
      <c r="C90" s="244" t="s">
        <v>5</v>
      </c>
      <c r="D90" s="244" t="s">
        <v>32</v>
      </c>
      <c r="E90" s="245">
        <v>43617</v>
      </c>
      <c r="F90" s="118">
        <v>1016.96</v>
      </c>
      <c r="G90" s="118">
        <f>SUMIF(CONFERÊNCIA!A:A,A90,CONFERÊNCIA!J:J)</f>
        <v>1016.96</v>
      </c>
      <c r="H90" s="120">
        <f t="shared" si="4"/>
        <v>0</v>
      </c>
      <c r="I90" s="171" t="s">
        <v>1234</v>
      </c>
    </row>
    <row r="91" spans="1:9" s="110" customFormat="1" ht="13.5" customHeight="1" x14ac:dyDescent="0.2">
      <c r="A91" s="243">
        <v>122352</v>
      </c>
      <c r="B91" s="244" t="s">
        <v>1662</v>
      </c>
      <c r="C91" s="244" t="s">
        <v>967</v>
      </c>
      <c r="D91" s="244" t="s">
        <v>1589</v>
      </c>
      <c r="E91" s="245">
        <v>45098</v>
      </c>
      <c r="F91" s="118">
        <v>1016.96</v>
      </c>
      <c r="G91" s="118">
        <f>SUMIF(CONFERÊNCIA!A:A,A91,CONFERÊNCIA!J:J)</f>
        <v>0</v>
      </c>
      <c r="H91" s="119">
        <f t="shared" si="4"/>
        <v>-1016.96</v>
      </c>
      <c r="I91" s="171" t="s">
        <v>1293</v>
      </c>
    </row>
    <row r="92" spans="1:9" s="125" customFormat="1" ht="13.5" customHeight="1" x14ac:dyDescent="0.2">
      <c r="A92" s="243">
        <v>113124</v>
      </c>
      <c r="B92" s="244" t="s">
        <v>600</v>
      </c>
      <c r="C92" s="244" t="s">
        <v>22</v>
      </c>
      <c r="D92" s="244" t="s">
        <v>1589</v>
      </c>
      <c r="E92" s="245">
        <v>43617</v>
      </c>
      <c r="F92" s="118">
        <v>1016.96</v>
      </c>
      <c r="G92" s="118">
        <f>SUMIF(CONFERÊNCIA!A:A,A92,CONFERÊNCIA!J:J)</f>
        <v>1016.96</v>
      </c>
      <c r="H92" s="120">
        <f t="shared" si="4"/>
        <v>0</v>
      </c>
      <c r="I92" s="171" t="s">
        <v>1234</v>
      </c>
    </row>
    <row r="93" spans="1:9" s="110" customFormat="1" ht="13.5" customHeight="1" x14ac:dyDescent="0.2">
      <c r="A93" s="243">
        <v>121817</v>
      </c>
      <c r="B93" s="244" t="s">
        <v>1606</v>
      </c>
      <c r="C93" s="244" t="s">
        <v>1464</v>
      </c>
      <c r="D93" s="244" t="s">
        <v>1591</v>
      </c>
      <c r="E93" s="245">
        <v>45019</v>
      </c>
      <c r="F93" s="118">
        <v>657.5</v>
      </c>
      <c r="G93" s="118">
        <f>SUMIF(CONFERÊNCIA!A:A,A93,CONFERÊNCIA!J:J)</f>
        <v>657.5</v>
      </c>
      <c r="H93" s="119">
        <f t="shared" si="4"/>
        <v>0</v>
      </c>
      <c r="I93" s="171" t="s">
        <v>1234</v>
      </c>
    </row>
    <row r="94" spans="1:9" s="110" customFormat="1" ht="13.5" customHeight="1" x14ac:dyDescent="0.2">
      <c r="A94" s="243">
        <v>113135</v>
      </c>
      <c r="B94" s="244" t="s">
        <v>605</v>
      </c>
      <c r="C94" s="244" t="s">
        <v>2</v>
      </c>
      <c r="D94" s="244" t="s">
        <v>19</v>
      </c>
      <c r="E94" s="245">
        <v>43617</v>
      </c>
      <c r="F94" s="118">
        <v>1016.96</v>
      </c>
      <c r="G94" s="118">
        <f>SUMIF(CONFERÊNCIA!A:A,A94,CONFERÊNCIA!J:J)</f>
        <v>1016.96</v>
      </c>
      <c r="H94" s="119">
        <f t="shared" si="4"/>
        <v>0</v>
      </c>
      <c r="I94" s="171" t="s">
        <v>1234</v>
      </c>
    </row>
    <row r="95" spans="1:9" s="125" customFormat="1" ht="13.5" customHeight="1" x14ac:dyDescent="0.2">
      <c r="A95" s="243">
        <v>121672</v>
      </c>
      <c r="B95" s="244" t="s">
        <v>1593</v>
      </c>
      <c r="C95" s="244" t="s">
        <v>5</v>
      </c>
      <c r="D95" s="244" t="s">
        <v>32</v>
      </c>
      <c r="E95" s="245">
        <v>44994</v>
      </c>
      <c r="F95" s="118">
        <v>1016.96</v>
      </c>
      <c r="G95" s="118">
        <f>SUMIF(CONFERÊNCIA!A:A,A95,CONFERÊNCIA!J:J)</f>
        <v>1016.96</v>
      </c>
      <c r="H95" s="120">
        <f t="shared" si="4"/>
        <v>0</v>
      </c>
      <c r="I95" s="171" t="s">
        <v>1234</v>
      </c>
    </row>
    <row r="96" spans="1:9" s="110" customFormat="1" ht="13.5" customHeight="1" x14ac:dyDescent="0.2">
      <c r="A96" s="243">
        <v>113139</v>
      </c>
      <c r="B96" s="244" t="s">
        <v>608</v>
      </c>
      <c r="C96" s="244" t="s">
        <v>2</v>
      </c>
      <c r="D96" s="244" t="s">
        <v>10</v>
      </c>
      <c r="E96" s="245">
        <v>43617</v>
      </c>
      <c r="F96" s="118">
        <v>1016.96</v>
      </c>
      <c r="G96" s="118">
        <f>SUMIF(CONFERÊNCIA!A:A,A96,CONFERÊNCIA!J:J)</f>
        <v>1016.96</v>
      </c>
      <c r="H96" s="119">
        <f t="shared" si="4"/>
        <v>0</v>
      </c>
      <c r="I96" s="171" t="s">
        <v>1235</v>
      </c>
    </row>
    <row r="97" spans="1:9" s="110" customFormat="1" ht="13.5" customHeight="1" x14ac:dyDescent="0.2">
      <c r="A97" s="243">
        <v>113760</v>
      </c>
      <c r="B97" s="244" t="s">
        <v>1518</v>
      </c>
      <c r="C97" s="244" t="s">
        <v>1663</v>
      </c>
      <c r="D97" s="244" t="s">
        <v>1589</v>
      </c>
      <c r="E97" s="245">
        <v>43621</v>
      </c>
      <c r="F97" s="118">
        <v>1016.96</v>
      </c>
      <c r="G97" s="118">
        <f>SUMIF(CONFERÊNCIA!A:A,A97,CONFERÊNCIA!J:J)</f>
        <v>1016.96</v>
      </c>
      <c r="H97" s="119">
        <f t="shared" si="4"/>
        <v>0</v>
      </c>
      <c r="I97" s="171" t="s">
        <v>1235</v>
      </c>
    </row>
    <row r="98" spans="1:9" s="125" customFormat="1" ht="13.5" customHeight="1" x14ac:dyDescent="0.2">
      <c r="A98" s="243">
        <v>114682</v>
      </c>
      <c r="B98" s="244" t="s">
        <v>1067</v>
      </c>
      <c r="C98" s="244" t="s">
        <v>5</v>
      </c>
      <c r="D98" s="244" t="s">
        <v>10</v>
      </c>
      <c r="E98" s="245">
        <v>43874</v>
      </c>
      <c r="F98" s="118">
        <v>1016.96</v>
      </c>
      <c r="G98" s="118">
        <f>SUMIF(CONFERÊNCIA!A:A,A98,CONFERÊNCIA!J:J)</f>
        <v>1016.96</v>
      </c>
      <c r="H98" s="120">
        <f t="shared" si="4"/>
        <v>0</v>
      </c>
      <c r="I98" s="171" t="s">
        <v>1234</v>
      </c>
    </row>
    <row r="99" spans="1:9" s="110" customFormat="1" ht="13.5" customHeight="1" x14ac:dyDescent="0.2">
      <c r="A99" s="243">
        <v>113151</v>
      </c>
      <c r="B99" s="244" t="s">
        <v>615</v>
      </c>
      <c r="C99" s="244" t="s">
        <v>5</v>
      </c>
      <c r="D99" s="244" t="s">
        <v>32</v>
      </c>
      <c r="E99" s="245">
        <v>43617</v>
      </c>
      <c r="F99" s="118">
        <v>1016.96</v>
      </c>
      <c r="G99" s="118">
        <f>SUMIF(CONFERÊNCIA!A:A,A99,CONFERÊNCIA!J:J)</f>
        <v>1016.96</v>
      </c>
      <c r="H99" s="119">
        <f t="shared" si="4"/>
        <v>0</v>
      </c>
      <c r="I99" s="171" t="s">
        <v>1234</v>
      </c>
    </row>
    <row r="100" spans="1:9" s="110" customFormat="1" ht="13.5" customHeight="1" x14ac:dyDescent="0.2">
      <c r="A100" s="243">
        <v>122440</v>
      </c>
      <c r="B100" s="244" t="s">
        <v>1693</v>
      </c>
      <c r="C100" s="244" t="s">
        <v>5</v>
      </c>
      <c r="D100" s="244" t="s">
        <v>1589</v>
      </c>
      <c r="E100" s="245">
        <v>45117</v>
      </c>
      <c r="F100" s="118">
        <v>1016.96</v>
      </c>
      <c r="G100" s="118">
        <f>SUMIF(CONFERÊNCIA!A:A,A100,CONFERÊNCIA!J:J)</f>
        <v>1016.96</v>
      </c>
      <c r="H100" s="119">
        <f t="shared" si="4"/>
        <v>0</v>
      </c>
      <c r="I100" s="171" t="s">
        <v>1234</v>
      </c>
    </row>
    <row r="101" spans="1:9" s="125" customFormat="1" ht="13.5" customHeight="1" x14ac:dyDescent="0.2">
      <c r="A101" s="243">
        <v>114968</v>
      </c>
      <c r="B101" s="244" t="s">
        <v>1135</v>
      </c>
      <c r="C101" s="244" t="s">
        <v>5</v>
      </c>
      <c r="D101" s="244" t="s">
        <v>1589</v>
      </c>
      <c r="E101" s="245">
        <v>43917</v>
      </c>
      <c r="F101" s="118">
        <v>1016.96</v>
      </c>
      <c r="G101" s="118">
        <f>SUMIF(CONFERÊNCIA!A:A,A101,CONFERÊNCIA!J:J)</f>
        <v>1016.96</v>
      </c>
      <c r="H101" s="120">
        <f t="shared" si="4"/>
        <v>0</v>
      </c>
      <c r="I101" s="171" t="s">
        <v>1234</v>
      </c>
    </row>
    <row r="102" spans="1:9" s="125" customFormat="1" ht="13.5" customHeight="1" x14ac:dyDescent="0.2">
      <c r="A102" s="243">
        <v>113171</v>
      </c>
      <c r="B102" s="244" t="s">
        <v>628</v>
      </c>
      <c r="C102" s="244" t="s">
        <v>5</v>
      </c>
      <c r="D102" s="244" t="s">
        <v>1589</v>
      </c>
      <c r="E102" s="245">
        <v>43617</v>
      </c>
      <c r="F102" s="118">
        <v>1016.96</v>
      </c>
      <c r="G102" s="118">
        <f>SUMIF(CONFERÊNCIA!A:A,A102,CONFERÊNCIA!J:J)</f>
        <v>1016.96</v>
      </c>
      <c r="H102" s="120">
        <f t="shared" si="4"/>
        <v>0</v>
      </c>
      <c r="I102" s="171" t="s">
        <v>1234</v>
      </c>
    </row>
    <row r="103" spans="1:9" s="125" customFormat="1" ht="13.5" customHeight="1" x14ac:dyDescent="0.2">
      <c r="A103" s="243">
        <v>114683</v>
      </c>
      <c r="B103" s="244" t="s">
        <v>1068</v>
      </c>
      <c r="C103" s="244" t="s">
        <v>2</v>
      </c>
      <c r="D103" s="244" t="s">
        <v>19</v>
      </c>
      <c r="E103" s="245">
        <v>43874</v>
      </c>
      <c r="F103" s="118">
        <v>1016.96</v>
      </c>
      <c r="G103" s="118">
        <f>SUMIF(CONFERÊNCIA!A:A,A103,CONFERÊNCIA!J:J)</f>
        <v>1016.96</v>
      </c>
      <c r="H103" s="120">
        <f t="shared" si="4"/>
        <v>0</v>
      </c>
      <c r="I103" s="171" t="s">
        <v>1234</v>
      </c>
    </row>
    <row r="104" spans="1:9" s="110" customFormat="1" ht="13.5" customHeight="1" x14ac:dyDescent="0.2">
      <c r="A104" s="243">
        <v>113173</v>
      </c>
      <c r="B104" s="244" t="s">
        <v>630</v>
      </c>
      <c r="C104" s="244" t="s">
        <v>5</v>
      </c>
      <c r="D104" s="244" t="s">
        <v>19</v>
      </c>
      <c r="E104" s="245">
        <v>43617</v>
      </c>
      <c r="F104" s="118">
        <v>978.67000000000007</v>
      </c>
      <c r="G104" s="118">
        <f>SUMIF(CONFERÊNCIA!A:A,A104,CONFERÊNCIA!J:J)</f>
        <v>1016.96</v>
      </c>
      <c r="H104" s="119">
        <f t="shared" si="4"/>
        <v>38.289999999999964</v>
      </c>
      <c r="I104" s="171" t="s">
        <v>1235</v>
      </c>
    </row>
    <row r="105" spans="1:9" s="110" customFormat="1" ht="13.5" customHeight="1" x14ac:dyDescent="0.2">
      <c r="A105" s="243">
        <v>114616</v>
      </c>
      <c r="B105" s="244" t="s">
        <v>1064</v>
      </c>
      <c r="C105" s="244" t="s">
        <v>15</v>
      </c>
      <c r="D105" s="244" t="s">
        <v>1589</v>
      </c>
      <c r="E105" s="245">
        <v>43840</v>
      </c>
      <c r="F105" s="118">
        <v>1016.96</v>
      </c>
      <c r="G105" s="118">
        <f>SUMIF(CONFERÊNCIA!A:A,A105,CONFERÊNCIA!J:J)</f>
        <v>359.46</v>
      </c>
      <c r="H105" s="119">
        <f t="shared" si="4"/>
        <v>-657.5</v>
      </c>
      <c r="I105" s="171" t="s">
        <v>1731</v>
      </c>
    </row>
    <row r="106" spans="1:9" s="125" customFormat="1" ht="13.5" customHeight="1" x14ac:dyDescent="0.2">
      <c r="A106" s="243">
        <v>122438</v>
      </c>
      <c r="B106" s="244" t="s">
        <v>1694</v>
      </c>
      <c r="C106" s="244" t="s">
        <v>5</v>
      </c>
      <c r="D106" s="244" t="s">
        <v>1589</v>
      </c>
      <c r="E106" s="245">
        <v>45117</v>
      </c>
      <c r="F106" s="118">
        <v>1016.96</v>
      </c>
      <c r="G106" s="118">
        <f>SUMIF(CONFERÊNCIA!A:A,A106,CONFERÊNCIA!J:J)</f>
        <v>1016.96</v>
      </c>
      <c r="H106" s="120">
        <f t="shared" ref="H106:H127" si="5">G106-F106</f>
        <v>0</v>
      </c>
      <c r="I106" s="171" t="s">
        <v>1234</v>
      </c>
    </row>
    <row r="107" spans="1:9" s="110" customFormat="1" ht="13.5" customHeight="1" x14ac:dyDescent="0.2">
      <c r="A107" s="243">
        <v>114529</v>
      </c>
      <c r="B107" s="244" t="s">
        <v>1053</v>
      </c>
      <c r="C107" s="244" t="s">
        <v>5</v>
      </c>
      <c r="D107" s="244" t="s">
        <v>1589</v>
      </c>
      <c r="E107" s="245">
        <v>43813</v>
      </c>
      <c r="F107" s="118">
        <v>1016.96</v>
      </c>
      <c r="G107" s="118">
        <f>SUMIF(CONFERÊNCIA!A:A,A107,CONFERÊNCIA!J:J)</f>
        <v>1016.96</v>
      </c>
      <c r="H107" s="119">
        <f t="shared" si="5"/>
        <v>0</v>
      </c>
      <c r="I107" s="171" t="s">
        <v>1234</v>
      </c>
    </row>
    <row r="108" spans="1:9" s="125" customFormat="1" ht="13.5" customHeight="1" x14ac:dyDescent="0.2">
      <c r="A108" s="243">
        <v>113186</v>
      </c>
      <c r="B108" s="244" t="s">
        <v>636</v>
      </c>
      <c r="C108" s="244" t="s">
        <v>2</v>
      </c>
      <c r="D108" s="244" t="s">
        <v>8</v>
      </c>
      <c r="E108" s="245">
        <v>43617</v>
      </c>
      <c r="F108" s="118">
        <v>1016.96</v>
      </c>
      <c r="G108" s="118">
        <f>SUMIF(CONFERÊNCIA!A:A,A108,CONFERÊNCIA!J:J)</f>
        <v>1016.96</v>
      </c>
      <c r="H108" s="120">
        <f t="shared" si="5"/>
        <v>0</v>
      </c>
      <c r="I108" s="171" t="s">
        <v>1234</v>
      </c>
    </row>
    <row r="109" spans="1:9" s="110" customFormat="1" ht="13.5" customHeight="1" x14ac:dyDescent="0.2">
      <c r="A109" s="243">
        <v>120187</v>
      </c>
      <c r="B109" s="244" t="s">
        <v>1498</v>
      </c>
      <c r="C109" s="244" t="s">
        <v>5</v>
      </c>
      <c r="D109" s="244" t="s">
        <v>1589</v>
      </c>
      <c r="E109" s="245">
        <v>44791</v>
      </c>
      <c r="F109" s="118">
        <v>1016.96</v>
      </c>
      <c r="G109" s="118">
        <f>SUMIF(CONFERÊNCIA!A:A,A109,CONFERÊNCIA!J:J)</f>
        <v>1016.96</v>
      </c>
      <c r="H109" s="119">
        <f t="shared" si="5"/>
        <v>0</v>
      </c>
      <c r="I109" s="171" t="s">
        <v>1234</v>
      </c>
    </row>
    <row r="110" spans="1:9" s="125" customFormat="1" ht="13.5" customHeight="1" x14ac:dyDescent="0.2">
      <c r="A110" s="243">
        <v>113792</v>
      </c>
      <c r="B110" s="244" t="s">
        <v>984</v>
      </c>
      <c r="C110" s="244" t="s">
        <v>385</v>
      </c>
      <c r="D110" s="244" t="s">
        <v>1589</v>
      </c>
      <c r="E110" s="245">
        <v>43627</v>
      </c>
      <c r="F110" s="118">
        <v>1016.96</v>
      </c>
      <c r="G110" s="118">
        <f>SUMIF(CONFERÊNCIA!A:A,A110,CONFERÊNCIA!J:J)</f>
        <v>1016.96</v>
      </c>
      <c r="H110" s="120">
        <f t="shared" si="5"/>
        <v>0</v>
      </c>
      <c r="I110" s="171" t="s">
        <v>1234</v>
      </c>
    </row>
    <row r="111" spans="1:9" s="110" customFormat="1" ht="13.5" customHeight="1" x14ac:dyDescent="0.2">
      <c r="A111" s="243">
        <v>114760</v>
      </c>
      <c r="B111" s="244" t="s">
        <v>1098</v>
      </c>
      <c r="C111" s="244" t="s">
        <v>282</v>
      </c>
      <c r="D111" s="244" t="s">
        <v>1589</v>
      </c>
      <c r="E111" s="245">
        <v>43874</v>
      </c>
      <c r="F111" s="118">
        <v>1016.96</v>
      </c>
      <c r="G111" s="118">
        <f>SUMIF(CONFERÊNCIA!A:A,A111,CONFERÊNCIA!J:J)</f>
        <v>1016.96</v>
      </c>
      <c r="H111" s="119">
        <f t="shared" si="5"/>
        <v>0</v>
      </c>
      <c r="I111" s="171" t="s">
        <v>1234</v>
      </c>
    </row>
    <row r="112" spans="1:9" s="125" customFormat="1" ht="13.5" customHeight="1" x14ac:dyDescent="0.2">
      <c r="A112" s="243">
        <v>113213</v>
      </c>
      <c r="B112" s="244" t="s">
        <v>652</v>
      </c>
      <c r="C112" s="244" t="s">
        <v>15</v>
      </c>
      <c r="D112" s="244" t="s">
        <v>1589</v>
      </c>
      <c r="E112" s="245">
        <v>43617</v>
      </c>
      <c r="F112" s="118">
        <v>1016.96</v>
      </c>
      <c r="G112" s="118">
        <f>SUMIF(CONFERÊNCIA!A:A,A112,CONFERÊNCIA!J:J)</f>
        <v>1016.96</v>
      </c>
      <c r="H112" s="120">
        <f t="shared" si="5"/>
        <v>0</v>
      </c>
      <c r="I112" s="171" t="s">
        <v>1234</v>
      </c>
    </row>
    <row r="113" spans="1:9" s="110" customFormat="1" ht="13.5" customHeight="1" x14ac:dyDescent="0.2">
      <c r="A113" s="243">
        <v>113219</v>
      </c>
      <c r="B113" s="244" t="s">
        <v>655</v>
      </c>
      <c r="C113" s="244" t="s">
        <v>15</v>
      </c>
      <c r="D113" s="244" t="s">
        <v>1589</v>
      </c>
      <c r="E113" s="245">
        <v>43617</v>
      </c>
      <c r="F113" s="118">
        <v>1016.96</v>
      </c>
      <c r="G113" s="118">
        <f>SUMIF(CONFERÊNCIA!A:A,A113,CONFERÊNCIA!J:J)</f>
        <v>1016.96</v>
      </c>
      <c r="H113" s="119">
        <f t="shared" si="5"/>
        <v>0</v>
      </c>
      <c r="I113" s="171" t="s">
        <v>1234</v>
      </c>
    </row>
    <row r="114" spans="1:9" s="125" customFormat="1" ht="13.5" customHeight="1" x14ac:dyDescent="0.2">
      <c r="A114" s="243">
        <v>113223</v>
      </c>
      <c r="B114" s="244" t="s">
        <v>656</v>
      </c>
      <c r="C114" s="244" t="s">
        <v>5</v>
      </c>
      <c r="D114" s="244" t="s">
        <v>8</v>
      </c>
      <c r="E114" s="245">
        <v>43617</v>
      </c>
      <c r="F114" s="118">
        <v>1016.96</v>
      </c>
      <c r="G114" s="118">
        <f>SUMIF(CONFERÊNCIA!A:A,A114,CONFERÊNCIA!J:J)</f>
        <v>1016.96</v>
      </c>
      <c r="H114" s="120">
        <f t="shared" si="5"/>
        <v>0</v>
      </c>
      <c r="I114" s="171" t="s">
        <v>1234</v>
      </c>
    </row>
    <row r="115" spans="1:9" s="110" customFormat="1" ht="13.5" customHeight="1" x14ac:dyDescent="0.2">
      <c r="A115" s="243">
        <v>114684</v>
      </c>
      <c r="B115" s="244" t="s">
        <v>1069</v>
      </c>
      <c r="C115" s="244" t="s">
        <v>2</v>
      </c>
      <c r="D115" s="244" t="s">
        <v>0</v>
      </c>
      <c r="E115" s="245">
        <v>43874</v>
      </c>
      <c r="F115" s="118">
        <v>1016.96</v>
      </c>
      <c r="G115" s="118">
        <f>SUMIF(CONFERÊNCIA!A:A,A115,CONFERÊNCIA!J:J)</f>
        <v>1016.96</v>
      </c>
      <c r="H115" s="119">
        <f t="shared" si="5"/>
        <v>0</v>
      </c>
      <c r="I115" s="171" t="s">
        <v>1234</v>
      </c>
    </row>
    <row r="116" spans="1:9" s="125" customFormat="1" ht="13.5" customHeight="1" x14ac:dyDescent="0.2">
      <c r="A116" s="243">
        <v>121449</v>
      </c>
      <c r="B116" s="244" t="s">
        <v>1558</v>
      </c>
      <c r="C116" s="244" t="s">
        <v>5</v>
      </c>
      <c r="D116" s="244" t="s">
        <v>1589</v>
      </c>
      <c r="E116" s="245">
        <v>44967</v>
      </c>
      <c r="F116" s="118">
        <v>1016.96</v>
      </c>
      <c r="G116" s="118">
        <f>SUMIF(CONFERÊNCIA!A:A,A116,CONFERÊNCIA!J:J)</f>
        <v>1016.96</v>
      </c>
      <c r="H116" s="120">
        <f t="shared" si="5"/>
        <v>0</v>
      </c>
      <c r="I116" s="171" t="s">
        <v>1234</v>
      </c>
    </row>
    <row r="117" spans="1:9" s="110" customFormat="1" ht="13.5" customHeight="1" x14ac:dyDescent="0.2">
      <c r="A117" s="243">
        <v>113226</v>
      </c>
      <c r="B117" s="244" t="s">
        <v>659</v>
      </c>
      <c r="C117" s="244" t="s">
        <v>2</v>
      </c>
      <c r="D117" s="244" t="s">
        <v>0</v>
      </c>
      <c r="E117" s="245">
        <v>43617</v>
      </c>
      <c r="F117" s="118">
        <v>1016.96</v>
      </c>
      <c r="G117" s="118">
        <f>SUMIF(CONFERÊNCIA!A:A,A117,CONFERÊNCIA!J:J)</f>
        <v>1016.96</v>
      </c>
      <c r="H117" s="119">
        <f t="shared" si="5"/>
        <v>0</v>
      </c>
      <c r="I117" s="171" t="s">
        <v>1234</v>
      </c>
    </row>
    <row r="118" spans="1:9" s="125" customFormat="1" ht="13.5" customHeight="1" x14ac:dyDescent="0.2">
      <c r="A118" s="243">
        <v>114546</v>
      </c>
      <c r="B118" s="244" t="s">
        <v>1057</v>
      </c>
      <c r="C118" s="244" t="s">
        <v>2</v>
      </c>
      <c r="D118" s="244" t="s">
        <v>8</v>
      </c>
      <c r="E118" s="245">
        <v>43817</v>
      </c>
      <c r="F118" s="118">
        <v>1016.96</v>
      </c>
      <c r="G118" s="118">
        <f>SUMIF(CONFERÊNCIA!A:A,A118,CONFERÊNCIA!J:J)</f>
        <v>1016.96</v>
      </c>
      <c r="H118" s="120">
        <f t="shared" si="5"/>
        <v>0</v>
      </c>
      <c r="I118" s="171" t="s">
        <v>1234</v>
      </c>
    </row>
    <row r="119" spans="1:9" s="110" customFormat="1" ht="13.5" customHeight="1" x14ac:dyDescent="0.2">
      <c r="A119" s="243">
        <v>113232</v>
      </c>
      <c r="B119" s="244" t="s">
        <v>662</v>
      </c>
      <c r="C119" s="244" t="s">
        <v>7</v>
      </c>
      <c r="D119" s="244" t="s">
        <v>1589</v>
      </c>
      <c r="E119" s="245">
        <v>43617</v>
      </c>
      <c r="F119" s="118">
        <v>1016.96</v>
      </c>
      <c r="G119" s="118">
        <f>SUMIF(CONFERÊNCIA!A:A,A119,CONFERÊNCIA!J:J)</f>
        <v>1016.96</v>
      </c>
      <c r="H119" s="119">
        <f t="shared" si="5"/>
        <v>0</v>
      </c>
      <c r="I119" s="171" t="s">
        <v>1234</v>
      </c>
    </row>
    <row r="120" spans="1:9" s="110" customFormat="1" ht="13.5" customHeight="1" x14ac:dyDescent="0.2">
      <c r="A120" s="243">
        <v>114685</v>
      </c>
      <c r="B120" s="244" t="s">
        <v>1070</v>
      </c>
      <c r="C120" s="244" t="s">
        <v>2</v>
      </c>
      <c r="D120" s="244" t="s">
        <v>10</v>
      </c>
      <c r="E120" s="245">
        <v>43874</v>
      </c>
      <c r="F120" s="118">
        <v>1016.96</v>
      </c>
      <c r="G120" s="118">
        <f>SUMIF(CONFERÊNCIA!A:A,A120,CONFERÊNCIA!J:J)</f>
        <v>1016.96</v>
      </c>
      <c r="H120" s="119">
        <f t="shared" si="5"/>
        <v>0</v>
      </c>
      <c r="I120" s="171" t="s">
        <v>1234</v>
      </c>
    </row>
    <row r="121" spans="1:9" s="110" customFormat="1" ht="13.5" customHeight="1" x14ac:dyDescent="0.2">
      <c r="A121" s="243">
        <v>120163</v>
      </c>
      <c r="B121" s="244" t="s">
        <v>1499</v>
      </c>
      <c r="C121" s="244" t="s">
        <v>39</v>
      </c>
      <c r="D121" s="244" t="s">
        <v>8</v>
      </c>
      <c r="E121" s="245">
        <v>44791</v>
      </c>
      <c r="F121" s="118">
        <v>1016.96</v>
      </c>
      <c r="G121" s="118">
        <f>SUMIF(CONFERÊNCIA!A:A,A121,CONFERÊNCIA!J:J)</f>
        <v>1016.96</v>
      </c>
      <c r="H121" s="119">
        <f t="shared" si="5"/>
        <v>0</v>
      </c>
      <c r="I121" s="171" t="s">
        <v>1234</v>
      </c>
    </row>
    <row r="122" spans="1:9" s="110" customFormat="1" ht="13.5" customHeight="1" x14ac:dyDescent="0.2">
      <c r="A122" s="243">
        <v>113251</v>
      </c>
      <c r="B122" s="244" t="s">
        <v>671</v>
      </c>
      <c r="C122" s="244" t="s">
        <v>15</v>
      </c>
      <c r="D122" s="244" t="s">
        <v>1589</v>
      </c>
      <c r="E122" s="245">
        <v>43617</v>
      </c>
      <c r="F122" s="118">
        <v>1016.96</v>
      </c>
      <c r="G122" s="118">
        <f>SUMIF(CONFERÊNCIA!A:A,A122,CONFERÊNCIA!J:J)</f>
        <v>1016.96</v>
      </c>
      <c r="H122" s="119">
        <f t="shared" si="5"/>
        <v>0</v>
      </c>
      <c r="I122" s="171" t="s">
        <v>1234</v>
      </c>
    </row>
    <row r="123" spans="1:9" s="125" customFormat="1" ht="13.5" customHeight="1" x14ac:dyDescent="0.2">
      <c r="A123" s="243">
        <v>118646</v>
      </c>
      <c r="B123" s="244" t="s">
        <v>1399</v>
      </c>
      <c r="C123" s="244" t="s">
        <v>5</v>
      </c>
      <c r="D123" s="244" t="s">
        <v>0</v>
      </c>
      <c r="E123" s="245">
        <v>44582</v>
      </c>
      <c r="F123" s="118">
        <v>978.67000000000007</v>
      </c>
      <c r="G123" s="118">
        <f>SUMIF(CONFERÊNCIA!A:A,A123,CONFERÊNCIA!J:J)</f>
        <v>978.67000000000007</v>
      </c>
      <c r="H123" s="120">
        <f t="shared" si="5"/>
        <v>0</v>
      </c>
      <c r="I123" s="171" t="s">
        <v>1234</v>
      </c>
    </row>
    <row r="124" spans="1:9" s="110" customFormat="1" ht="13.5" customHeight="1" x14ac:dyDescent="0.2">
      <c r="A124" s="243">
        <v>113253</v>
      </c>
      <c r="B124" s="244" t="s">
        <v>672</v>
      </c>
      <c r="C124" s="244" t="s">
        <v>146</v>
      </c>
      <c r="D124" s="244" t="s">
        <v>8</v>
      </c>
      <c r="E124" s="245">
        <v>43617</v>
      </c>
      <c r="F124" s="118">
        <v>1016.96</v>
      </c>
      <c r="G124" s="118">
        <f>SUMIF(CONFERÊNCIA!A:A,A124,CONFERÊNCIA!J:J)</f>
        <v>1016.96</v>
      </c>
      <c r="H124" s="119">
        <f t="shared" si="5"/>
        <v>0</v>
      </c>
      <c r="I124" s="171" t="s">
        <v>1234</v>
      </c>
    </row>
    <row r="125" spans="1:9" s="125" customFormat="1" ht="13.5" customHeight="1" x14ac:dyDescent="0.2">
      <c r="A125" s="243">
        <v>114687</v>
      </c>
      <c r="B125" s="244" t="s">
        <v>1071</v>
      </c>
      <c r="C125" s="244" t="s">
        <v>2</v>
      </c>
      <c r="D125" s="244" t="s">
        <v>19</v>
      </c>
      <c r="E125" s="245">
        <v>43874</v>
      </c>
      <c r="F125" s="118">
        <v>1016.96</v>
      </c>
      <c r="G125" s="118">
        <f>SUMIF(CONFERÊNCIA!A:A,A125,CONFERÊNCIA!J:J)</f>
        <v>1016.96</v>
      </c>
      <c r="H125" s="120">
        <f t="shared" si="5"/>
        <v>0</v>
      </c>
      <c r="I125" s="171" t="s">
        <v>1234</v>
      </c>
    </row>
    <row r="126" spans="1:9" s="110" customFormat="1" ht="13.5" customHeight="1" x14ac:dyDescent="0.2">
      <c r="A126" s="243">
        <v>113899</v>
      </c>
      <c r="B126" s="244" t="s">
        <v>990</v>
      </c>
      <c r="C126" s="244" t="s">
        <v>15</v>
      </c>
      <c r="D126" s="244" t="s">
        <v>1589</v>
      </c>
      <c r="E126" s="245">
        <v>43668</v>
      </c>
      <c r="F126" s="118">
        <v>1016.96</v>
      </c>
      <c r="G126" s="118">
        <f>SUMIF(CONFERÊNCIA!A:A,A126,CONFERÊNCIA!J:J)</f>
        <v>1016.96</v>
      </c>
      <c r="H126" s="119">
        <f t="shared" si="5"/>
        <v>0</v>
      </c>
      <c r="I126" s="171" t="s">
        <v>1234</v>
      </c>
    </row>
    <row r="127" spans="1:9" s="110" customFormat="1" ht="13.5" customHeight="1" x14ac:dyDescent="0.2">
      <c r="A127" s="243">
        <v>113258</v>
      </c>
      <c r="B127" s="244" t="s">
        <v>674</v>
      </c>
      <c r="C127" s="244" t="s">
        <v>5</v>
      </c>
      <c r="D127" s="244" t="s">
        <v>8</v>
      </c>
      <c r="E127" s="245">
        <v>43617</v>
      </c>
      <c r="F127" s="118">
        <v>1016.96</v>
      </c>
      <c r="G127" s="118">
        <f>SUMIF(CONFERÊNCIA!A:A,A127,CONFERÊNCIA!J:J)</f>
        <v>1016.96</v>
      </c>
      <c r="H127" s="119">
        <f t="shared" si="5"/>
        <v>0</v>
      </c>
      <c r="I127" s="171" t="s">
        <v>1234</v>
      </c>
    </row>
    <row r="128" spans="1:9" s="125" customFormat="1" ht="13.5" customHeight="1" x14ac:dyDescent="0.2">
      <c r="A128" s="243">
        <v>113302</v>
      </c>
      <c r="B128" s="244" t="s">
        <v>696</v>
      </c>
      <c r="C128" s="244" t="s">
        <v>2</v>
      </c>
      <c r="D128" s="244" t="s">
        <v>8</v>
      </c>
      <c r="E128" s="245">
        <v>43617</v>
      </c>
      <c r="F128" s="118">
        <v>1016.96</v>
      </c>
      <c r="G128" s="118">
        <f>SUMIF(CONFERÊNCIA!A:A,A128,CONFERÊNCIA!J:J)</f>
        <v>1016.96</v>
      </c>
      <c r="H128" s="120">
        <f t="shared" ref="H128:H151" si="6">G128-F128</f>
        <v>0</v>
      </c>
      <c r="I128" s="171" t="s">
        <v>1234</v>
      </c>
    </row>
    <row r="129" spans="1:9" s="125" customFormat="1" ht="13.5" customHeight="1" x14ac:dyDescent="0.2">
      <c r="A129" s="243">
        <v>113415</v>
      </c>
      <c r="B129" s="244" t="s">
        <v>766</v>
      </c>
      <c r="C129" s="244" t="s">
        <v>2</v>
      </c>
      <c r="D129" s="244" t="s">
        <v>0</v>
      </c>
      <c r="E129" s="245">
        <v>43617</v>
      </c>
      <c r="F129" s="118">
        <v>1016.96</v>
      </c>
      <c r="G129" s="118">
        <f>SUMIF(CONFERÊNCIA!A:A,A129,CONFERÊNCIA!J:J)</f>
        <v>1016.96</v>
      </c>
      <c r="H129" s="120">
        <f t="shared" si="6"/>
        <v>0</v>
      </c>
      <c r="I129" s="171" t="s">
        <v>1234</v>
      </c>
    </row>
    <row r="130" spans="1:9" s="110" customFormat="1" ht="13.5" customHeight="1" x14ac:dyDescent="0.2">
      <c r="A130" s="243">
        <v>113310</v>
      </c>
      <c r="B130" s="244" t="s">
        <v>702</v>
      </c>
      <c r="C130" s="244" t="s">
        <v>15</v>
      </c>
      <c r="D130" s="244" t="s">
        <v>1589</v>
      </c>
      <c r="E130" s="245">
        <v>43617</v>
      </c>
      <c r="F130" s="118">
        <v>1016.96</v>
      </c>
      <c r="G130" s="118">
        <f>SUMIF(CONFERÊNCIA!A:A,A130,CONFERÊNCIA!J:J)</f>
        <v>1016.96</v>
      </c>
      <c r="H130" s="119">
        <f t="shared" si="6"/>
        <v>0</v>
      </c>
      <c r="I130" s="171" t="s">
        <v>1234</v>
      </c>
    </row>
    <row r="131" spans="1:9" s="125" customFormat="1" ht="13.5" customHeight="1" x14ac:dyDescent="0.2">
      <c r="A131" s="243">
        <v>113419</v>
      </c>
      <c r="B131" s="244" t="s">
        <v>770</v>
      </c>
      <c r="C131" s="244" t="s">
        <v>771</v>
      </c>
      <c r="D131" s="244" t="s">
        <v>1589</v>
      </c>
      <c r="E131" s="245">
        <v>43617</v>
      </c>
      <c r="F131" s="118">
        <v>1016.96</v>
      </c>
      <c r="G131" s="118">
        <f>SUMIF(CONFERÊNCIA!A:A,A131,CONFERÊNCIA!J:J)</f>
        <v>1016.96</v>
      </c>
      <c r="H131" s="120">
        <f t="shared" si="6"/>
        <v>0</v>
      </c>
      <c r="I131" s="171" t="s">
        <v>1234</v>
      </c>
    </row>
    <row r="132" spans="1:9" s="110" customFormat="1" ht="13.5" customHeight="1" x14ac:dyDescent="0.2">
      <c r="A132" s="243">
        <v>113334</v>
      </c>
      <c r="B132" s="244" t="s">
        <v>714</v>
      </c>
      <c r="C132" s="244" t="s">
        <v>282</v>
      </c>
      <c r="D132" s="244" t="s">
        <v>1589</v>
      </c>
      <c r="E132" s="245">
        <v>43617</v>
      </c>
      <c r="F132" s="118">
        <v>1016.96</v>
      </c>
      <c r="G132" s="118">
        <f>SUMIF(CONFERÊNCIA!A:A,A132,CONFERÊNCIA!J:J)</f>
        <v>1016.96</v>
      </c>
      <c r="H132" s="119">
        <f t="shared" si="6"/>
        <v>0</v>
      </c>
      <c r="I132" s="171" t="s">
        <v>1234</v>
      </c>
    </row>
    <row r="133" spans="1:9" s="125" customFormat="1" ht="13.5" customHeight="1" x14ac:dyDescent="0.2">
      <c r="A133" s="243">
        <v>113355</v>
      </c>
      <c r="B133" s="244" t="s">
        <v>725</v>
      </c>
      <c r="C133" s="244" t="s">
        <v>5</v>
      </c>
      <c r="D133" s="244" t="s">
        <v>0</v>
      </c>
      <c r="E133" s="245">
        <v>43617</v>
      </c>
      <c r="F133" s="118">
        <v>1016.96</v>
      </c>
      <c r="G133" s="118">
        <f>SUMIF(CONFERÊNCIA!A:A,A133,CONFERÊNCIA!J:J)</f>
        <v>1016.96</v>
      </c>
      <c r="H133" s="120">
        <f t="shared" si="6"/>
        <v>0</v>
      </c>
      <c r="I133" s="171" t="s">
        <v>1234</v>
      </c>
    </row>
    <row r="134" spans="1:9" s="110" customFormat="1" ht="13.5" customHeight="1" x14ac:dyDescent="0.2">
      <c r="A134" s="243">
        <v>116969</v>
      </c>
      <c r="B134" s="244" t="s">
        <v>1239</v>
      </c>
      <c r="C134" s="244" t="s">
        <v>5</v>
      </c>
      <c r="D134" s="244" t="s">
        <v>8</v>
      </c>
      <c r="E134" s="245">
        <v>44419</v>
      </c>
      <c r="F134" s="118">
        <v>1016.96</v>
      </c>
      <c r="G134" s="118">
        <f>SUMIF(CONFERÊNCIA!A:A,A134,CONFERÊNCIA!J:J)</f>
        <v>1016.96</v>
      </c>
      <c r="H134" s="119">
        <f t="shared" si="6"/>
        <v>0</v>
      </c>
      <c r="I134" s="171" t="s">
        <v>1234</v>
      </c>
    </row>
    <row r="135" spans="1:9" s="110" customFormat="1" ht="13.5" customHeight="1" x14ac:dyDescent="0.2">
      <c r="A135" s="243">
        <v>113431</v>
      </c>
      <c r="B135" s="244" t="s">
        <v>776</v>
      </c>
      <c r="C135" s="244" t="s">
        <v>2</v>
      </c>
      <c r="D135" s="244" t="s">
        <v>0</v>
      </c>
      <c r="E135" s="245">
        <v>43617</v>
      </c>
      <c r="F135" s="118">
        <v>1016.96</v>
      </c>
      <c r="G135" s="118">
        <f>SUMIF(CONFERÊNCIA!A:A,A135,CONFERÊNCIA!J:J)</f>
        <v>1016.96</v>
      </c>
      <c r="H135" s="119">
        <f t="shared" si="6"/>
        <v>0</v>
      </c>
      <c r="I135" s="171" t="s">
        <v>1235</v>
      </c>
    </row>
    <row r="136" spans="1:9" s="110" customFormat="1" ht="13.5" customHeight="1" x14ac:dyDescent="0.2">
      <c r="A136" s="243">
        <v>113369</v>
      </c>
      <c r="B136" s="244" t="s">
        <v>736</v>
      </c>
      <c r="C136" s="244" t="s">
        <v>2</v>
      </c>
      <c r="D136" s="244" t="s">
        <v>10</v>
      </c>
      <c r="E136" s="245">
        <v>43617</v>
      </c>
      <c r="F136" s="118">
        <v>1016.96</v>
      </c>
      <c r="G136" s="118">
        <f>SUMIF(CONFERÊNCIA!A:A,A136,CONFERÊNCIA!J:J)</f>
        <v>1016.96</v>
      </c>
      <c r="H136" s="119">
        <f t="shared" si="6"/>
        <v>0</v>
      </c>
      <c r="I136" s="171" t="s">
        <v>1234</v>
      </c>
    </row>
    <row r="137" spans="1:9" s="125" customFormat="1" ht="13.5" customHeight="1" x14ac:dyDescent="0.2">
      <c r="A137" s="243">
        <v>121673</v>
      </c>
      <c r="B137" s="244" t="s">
        <v>1594</v>
      </c>
      <c r="C137" s="244" t="s">
        <v>5</v>
      </c>
      <c r="D137" s="244" t="s">
        <v>0</v>
      </c>
      <c r="E137" s="245">
        <v>44994</v>
      </c>
      <c r="F137" s="118">
        <v>1016.96</v>
      </c>
      <c r="G137" s="118">
        <f>SUMIF(CONFERÊNCIA!A:A,A137,CONFERÊNCIA!J:J)</f>
        <v>359.46</v>
      </c>
      <c r="H137" s="120">
        <f t="shared" si="6"/>
        <v>-657.5</v>
      </c>
      <c r="I137" s="171" t="s">
        <v>1731</v>
      </c>
    </row>
    <row r="138" spans="1:9" s="110" customFormat="1" ht="13.5" customHeight="1" x14ac:dyDescent="0.2">
      <c r="A138" s="243">
        <v>113438</v>
      </c>
      <c r="B138" s="244" t="s">
        <v>782</v>
      </c>
      <c r="C138" s="244" t="s">
        <v>5</v>
      </c>
      <c r="D138" s="244" t="s">
        <v>19</v>
      </c>
      <c r="E138" s="245">
        <v>43617</v>
      </c>
      <c r="F138" s="118">
        <v>1016.96</v>
      </c>
      <c r="G138" s="118">
        <f>SUMIF(CONFERÊNCIA!A:A,A138,CONFERÊNCIA!J:J)</f>
        <v>1016.96</v>
      </c>
      <c r="H138" s="119">
        <f t="shared" si="6"/>
        <v>0</v>
      </c>
      <c r="I138" s="171" t="s">
        <v>1234</v>
      </c>
    </row>
    <row r="139" spans="1:9" s="125" customFormat="1" ht="13.5" customHeight="1" x14ac:dyDescent="0.2">
      <c r="A139" s="243">
        <v>113379</v>
      </c>
      <c r="B139" s="244" t="s">
        <v>742</v>
      </c>
      <c r="C139" s="244" t="s">
        <v>39</v>
      </c>
      <c r="D139" s="244" t="s">
        <v>8</v>
      </c>
      <c r="E139" s="245">
        <v>43617</v>
      </c>
      <c r="F139" s="118">
        <v>1016.96</v>
      </c>
      <c r="G139" s="118">
        <f>SUMIF(CONFERÊNCIA!A:A,A139,CONFERÊNCIA!J:J)</f>
        <v>1016.96</v>
      </c>
      <c r="H139" s="120">
        <f t="shared" si="6"/>
        <v>0</v>
      </c>
      <c r="I139" s="171" t="s">
        <v>1234</v>
      </c>
    </row>
    <row r="140" spans="1:9" s="125" customFormat="1" ht="13.5" customHeight="1" x14ac:dyDescent="0.2">
      <c r="A140" s="243">
        <v>113445</v>
      </c>
      <c r="B140" s="244" t="s">
        <v>785</v>
      </c>
      <c r="C140" s="244" t="s">
        <v>5</v>
      </c>
      <c r="D140" s="244" t="s">
        <v>8</v>
      </c>
      <c r="E140" s="245">
        <v>43617</v>
      </c>
      <c r="F140" s="118">
        <v>1016.96</v>
      </c>
      <c r="G140" s="118">
        <f>SUMIF(CONFERÊNCIA!A:A,A140,CONFERÊNCIA!J:J)</f>
        <v>1016.96</v>
      </c>
      <c r="H140" s="120">
        <f t="shared" si="6"/>
        <v>0</v>
      </c>
      <c r="I140" s="171" t="s">
        <v>1234</v>
      </c>
    </row>
    <row r="141" spans="1:9" s="125" customFormat="1" ht="13.5" customHeight="1" x14ac:dyDescent="0.2">
      <c r="A141" s="243">
        <v>113388</v>
      </c>
      <c r="B141" s="244" t="s">
        <v>747</v>
      </c>
      <c r="C141" s="244" t="s">
        <v>2</v>
      </c>
      <c r="D141" s="244" t="s">
        <v>0</v>
      </c>
      <c r="E141" s="245">
        <v>43617</v>
      </c>
      <c r="F141" s="118">
        <v>1016.96</v>
      </c>
      <c r="G141" s="118">
        <f>SUMIF(CONFERÊNCIA!A:A,A141,CONFERÊNCIA!J:J)</f>
        <v>1016.96</v>
      </c>
      <c r="H141" s="120">
        <f t="shared" si="6"/>
        <v>0</v>
      </c>
      <c r="I141" s="171" t="s">
        <v>1234</v>
      </c>
    </row>
    <row r="142" spans="1:9" s="125" customFormat="1" ht="13.5" customHeight="1" x14ac:dyDescent="0.2">
      <c r="A142" s="243">
        <v>113396</v>
      </c>
      <c r="B142" s="244" t="s">
        <v>755</v>
      </c>
      <c r="C142" s="244" t="s">
        <v>5</v>
      </c>
      <c r="D142" s="244" t="s">
        <v>19</v>
      </c>
      <c r="E142" s="245">
        <v>43617</v>
      </c>
      <c r="F142" s="118">
        <v>1016.96</v>
      </c>
      <c r="G142" s="118">
        <f>SUMIF(CONFERÊNCIA!A:A,A142,CONFERÊNCIA!J:J)</f>
        <v>1016.96</v>
      </c>
      <c r="H142" s="120">
        <f t="shared" si="6"/>
        <v>0</v>
      </c>
      <c r="I142" s="171" t="s">
        <v>1234</v>
      </c>
    </row>
    <row r="143" spans="1:9" s="110" customFormat="1" ht="13.5" customHeight="1" x14ac:dyDescent="0.2">
      <c r="A143" s="243">
        <v>113400</v>
      </c>
      <c r="B143" s="244" t="s">
        <v>757</v>
      </c>
      <c r="C143" s="244" t="s">
        <v>22</v>
      </c>
      <c r="D143" s="244" t="s">
        <v>1589</v>
      </c>
      <c r="E143" s="245">
        <v>43617</v>
      </c>
      <c r="F143" s="118">
        <v>1016.96</v>
      </c>
      <c r="G143" s="118">
        <f>SUMIF(CONFERÊNCIA!A:A,A143,CONFERÊNCIA!J:J)</f>
        <v>1016.96</v>
      </c>
      <c r="H143" s="119">
        <f t="shared" si="6"/>
        <v>0</v>
      </c>
      <c r="I143" s="171" t="s">
        <v>1235</v>
      </c>
    </row>
    <row r="144" spans="1:9" s="125" customFormat="1" ht="13.5" customHeight="1" x14ac:dyDescent="0.2">
      <c r="A144" s="243">
        <v>113482</v>
      </c>
      <c r="B144" s="244" t="s">
        <v>805</v>
      </c>
      <c r="C144" s="244" t="s">
        <v>582</v>
      </c>
      <c r="D144" s="244" t="s">
        <v>1589</v>
      </c>
      <c r="E144" s="245">
        <v>43617</v>
      </c>
      <c r="F144" s="118">
        <v>1016.96</v>
      </c>
      <c r="G144" s="118">
        <f>SUMIF(CONFERÊNCIA!A:A,A144,CONFERÊNCIA!J:J)</f>
        <v>1016.96</v>
      </c>
      <c r="H144" s="120">
        <f t="shared" si="6"/>
        <v>0</v>
      </c>
      <c r="I144" s="171" t="s">
        <v>1234</v>
      </c>
    </row>
    <row r="145" spans="1:9" s="110" customFormat="1" ht="13.5" customHeight="1" x14ac:dyDescent="0.2">
      <c r="A145" s="243">
        <v>116970</v>
      </c>
      <c r="B145" s="244" t="s">
        <v>1240</v>
      </c>
      <c r="C145" s="244" t="s">
        <v>5</v>
      </c>
      <c r="D145" s="244" t="s">
        <v>32</v>
      </c>
      <c r="E145" s="245">
        <v>44419</v>
      </c>
      <c r="F145" s="118">
        <v>1016.96</v>
      </c>
      <c r="G145" s="118">
        <f>SUMIF(CONFERÊNCIA!A:A,A145,CONFERÊNCIA!J:J)</f>
        <v>1016.96</v>
      </c>
      <c r="H145" s="119">
        <f t="shared" si="6"/>
        <v>0</v>
      </c>
      <c r="I145" s="171" t="s">
        <v>1234</v>
      </c>
    </row>
    <row r="146" spans="1:9" s="110" customFormat="1" ht="13.5" customHeight="1" x14ac:dyDescent="0.2">
      <c r="A146" s="243">
        <v>113490</v>
      </c>
      <c r="B146" s="244" t="s">
        <v>809</v>
      </c>
      <c r="C146" s="244" t="s">
        <v>385</v>
      </c>
      <c r="D146" s="244" t="s">
        <v>1589</v>
      </c>
      <c r="E146" s="245">
        <v>43617</v>
      </c>
      <c r="F146" s="118">
        <v>1016.96</v>
      </c>
      <c r="G146" s="118">
        <f>SUMIF(CONFERÊNCIA!A:A,A146,CONFERÊNCIA!J:J)</f>
        <v>1016.96</v>
      </c>
      <c r="H146" s="119">
        <f t="shared" si="6"/>
        <v>0</v>
      </c>
      <c r="I146" s="171" t="s">
        <v>1234</v>
      </c>
    </row>
    <row r="147" spans="1:9" s="110" customFormat="1" ht="13.5" customHeight="1" x14ac:dyDescent="0.2">
      <c r="A147" s="243">
        <v>113711</v>
      </c>
      <c r="B147" s="244" t="s">
        <v>929</v>
      </c>
      <c r="C147" s="244" t="s">
        <v>930</v>
      </c>
      <c r="D147" s="244" t="s">
        <v>1591</v>
      </c>
      <c r="E147" s="245">
        <v>43619</v>
      </c>
      <c r="F147" s="118">
        <v>1016.96</v>
      </c>
      <c r="G147" s="118">
        <f>SUMIF(CONFERÊNCIA!A:A,A147,CONFERÊNCIA!J:J)</f>
        <v>1016.96</v>
      </c>
      <c r="H147" s="119">
        <f t="shared" si="6"/>
        <v>0</v>
      </c>
      <c r="I147" s="171" t="s">
        <v>1234</v>
      </c>
    </row>
    <row r="148" spans="1:9" s="125" customFormat="1" ht="13.5" customHeight="1" x14ac:dyDescent="0.2">
      <c r="A148" s="243">
        <v>115225</v>
      </c>
      <c r="B148" s="244" t="s">
        <v>1150</v>
      </c>
      <c r="C148" s="244" t="s">
        <v>5</v>
      </c>
      <c r="D148" s="244" t="s">
        <v>19</v>
      </c>
      <c r="E148" s="245">
        <v>44018</v>
      </c>
      <c r="F148" s="118">
        <v>1016.96</v>
      </c>
      <c r="G148" s="118">
        <f>SUMIF(CONFERÊNCIA!A:A,A148,CONFERÊNCIA!J:J)</f>
        <v>1016.96</v>
      </c>
      <c r="H148" s="120">
        <f t="shared" si="6"/>
        <v>0</v>
      </c>
      <c r="I148" s="171" t="s">
        <v>1234</v>
      </c>
    </row>
    <row r="149" spans="1:9" s="125" customFormat="1" ht="13.5" customHeight="1" x14ac:dyDescent="0.2">
      <c r="A149" s="243">
        <v>113922</v>
      </c>
      <c r="B149" s="244" t="s">
        <v>992</v>
      </c>
      <c r="C149" s="244" t="s">
        <v>993</v>
      </c>
      <c r="D149" s="244" t="s">
        <v>1589</v>
      </c>
      <c r="E149" s="245">
        <v>43682</v>
      </c>
      <c r="F149" s="118">
        <v>1016.96</v>
      </c>
      <c r="G149" s="118">
        <f>SUMIF(CONFERÊNCIA!A:A,A149,CONFERÊNCIA!J:J)</f>
        <v>1016.96</v>
      </c>
      <c r="H149" s="120">
        <f t="shared" si="6"/>
        <v>0</v>
      </c>
      <c r="I149" s="171" t="s">
        <v>1234</v>
      </c>
    </row>
    <row r="150" spans="1:9" s="125" customFormat="1" ht="13.5" customHeight="1" x14ac:dyDescent="0.2">
      <c r="A150" s="243">
        <v>118633</v>
      </c>
      <c r="B150" s="244" t="s">
        <v>1400</v>
      </c>
      <c r="C150" s="244" t="s">
        <v>5</v>
      </c>
      <c r="D150" s="244" t="s">
        <v>0</v>
      </c>
      <c r="E150" s="245">
        <v>44582</v>
      </c>
      <c r="F150" s="118">
        <v>1016.96</v>
      </c>
      <c r="G150" s="118">
        <f>SUMIF(CONFERÊNCIA!A:A,A150,CONFERÊNCIA!J:J)</f>
        <v>1016.96</v>
      </c>
      <c r="H150" s="120">
        <f t="shared" si="6"/>
        <v>0</v>
      </c>
      <c r="I150" s="171" t="s">
        <v>1234</v>
      </c>
    </row>
    <row r="151" spans="1:9" s="125" customFormat="1" ht="13.5" customHeight="1" x14ac:dyDescent="0.2">
      <c r="A151" s="243">
        <v>113508</v>
      </c>
      <c r="B151" s="244" t="s">
        <v>818</v>
      </c>
      <c r="C151" s="244" t="s">
        <v>15</v>
      </c>
      <c r="D151" s="244" t="s">
        <v>1589</v>
      </c>
      <c r="E151" s="245">
        <v>43617</v>
      </c>
      <c r="F151" s="118">
        <v>1016.96</v>
      </c>
      <c r="G151" s="118">
        <f>SUMIF(CONFERÊNCIA!A:A,A151,CONFERÊNCIA!J:J)</f>
        <v>1016.96</v>
      </c>
      <c r="H151" s="120">
        <f t="shared" si="6"/>
        <v>0</v>
      </c>
      <c r="I151" s="171" t="s">
        <v>1234</v>
      </c>
    </row>
    <row r="152" spans="1:9" s="110" customFormat="1" ht="13.5" customHeight="1" x14ac:dyDescent="0.2">
      <c r="A152" s="243">
        <v>113699</v>
      </c>
      <c r="B152" s="244" t="s">
        <v>926</v>
      </c>
      <c r="C152" s="244" t="s">
        <v>2</v>
      </c>
      <c r="D152" s="244" t="s">
        <v>8</v>
      </c>
      <c r="E152" s="245">
        <v>43617</v>
      </c>
      <c r="F152" s="118">
        <v>1016.96</v>
      </c>
      <c r="G152" s="118">
        <f>SUMIF(CONFERÊNCIA!A:A,A152,CONFERÊNCIA!J:J)</f>
        <v>1016.96</v>
      </c>
      <c r="H152" s="119">
        <f t="shared" ref="H152:H177" si="7">G152-F152</f>
        <v>0</v>
      </c>
      <c r="I152" s="171" t="s">
        <v>1234</v>
      </c>
    </row>
    <row r="153" spans="1:9" s="125" customFormat="1" ht="13.5" customHeight="1" x14ac:dyDescent="0.2">
      <c r="A153" s="243">
        <v>113515</v>
      </c>
      <c r="B153" s="244" t="s">
        <v>821</v>
      </c>
      <c r="C153" s="244" t="s">
        <v>2</v>
      </c>
      <c r="D153" s="244" t="s">
        <v>10</v>
      </c>
      <c r="E153" s="245">
        <v>43617</v>
      </c>
      <c r="F153" s="118">
        <v>1016.96</v>
      </c>
      <c r="G153" s="118">
        <f>SUMIF(CONFERÊNCIA!A:A,A153,CONFERÊNCIA!J:J)</f>
        <v>1016.96</v>
      </c>
      <c r="H153" s="120">
        <f t="shared" si="7"/>
        <v>0</v>
      </c>
      <c r="I153" s="171" t="s">
        <v>1235</v>
      </c>
    </row>
    <row r="154" spans="1:9" s="110" customFormat="1" ht="13.5" customHeight="1" x14ac:dyDescent="0.2">
      <c r="A154" s="243">
        <v>113679</v>
      </c>
      <c r="B154" s="244" t="s">
        <v>356</v>
      </c>
      <c r="C154" s="244" t="s">
        <v>2</v>
      </c>
      <c r="D154" s="244" t="s">
        <v>0</v>
      </c>
      <c r="E154" s="245">
        <v>43617</v>
      </c>
      <c r="F154" s="118">
        <v>1016.96</v>
      </c>
      <c r="G154" s="118">
        <f>SUMIF(CONFERÊNCIA!A:A,A154,CONFERÊNCIA!J:J)</f>
        <v>1016.96</v>
      </c>
      <c r="H154" s="119">
        <f t="shared" si="7"/>
        <v>0</v>
      </c>
      <c r="I154" s="171" t="s">
        <v>1234</v>
      </c>
    </row>
    <row r="155" spans="1:9" s="125" customFormat="1" ht="13.5" customHeight="1" x14ac:dyDescent="0.2">
      <c r="A155" s="243">
        <v>113529</v>
      </c>
      <c r="B155" s="244" t="s">
        <v>828</v>
      </c>
      <c r="C155" s="244" t="s">
        <v>15</v>
      </c>
      <c r="D155" s="244" t="s">
        <v>1589</v>
      </c>
      <c r="E155" s="245">
        <v>43617</v>
      </c>
      <c r="F155" s="118">
        <v>1016.96</v>
      </c>
      <c r="G155" s="118">
        <f>SUMIF(CONFERÊNCIA!A:A,A155,CONFERÊNCIA!J:J)</f>
        <v>1016.96</v>
      </c>
      <c r="H155" s="120">
        <f t="shared" si="7"/>
        <v>0</v>
      </c>
      <c r="I155" s="171" t="s">
        <v>1234</v>
      </c>
    </row>
    <row r="156" spans="1:9" s="110" customFormat="1" ht="13.5" customHeight="1" x14ac:dyDescent="0.2">
      <c r="A156" s="243">
        <v>113533</v>
      </c>
      <c r="B156" s="244" t="s">
        <v>832</v>
      </c>
      <c r="C156" s="244" t="s">
        <v>2</v>
      </c>
      <c r="D156" s="244" t="s">
        <v>10</v>
      </c>
      <c r="E156" s="245">
        <v>43617</v>
      </c>
      <c r="F156" s="118">
        <v>1016.96</v>
      </c>
      <c r="G156" s="118">
        <f>SUMIF(CONFERÊNCIA!A:A,A156,CONFERÊNCIA!J:J)</f>
        <v>1016.96</v>
      </c>
      <c r="H156" s="119">
        <f t="shared" si="7"/>
        <v>0</v>
      </c>
      <c r="I156" s="171" t="s">
        <v>1234</v>
      </c>
    </row>
    <row r="157" spans="1:9" s="110" customFormat="1" ht="13.5" customHeight="1" x14ac:dyDescent="0.2">
      <c r="A157" s="243">
        <v>113543</v>
      </c>
      <c r="B157" s="244" t="s">
        <v>838</v>
      </c>
      <c r="C157" s="244" t="s">
        <v>15</v>
      </c>
      <c r="D157" s="244" t="s">
        <v>1589</v>
      </c>
      <c r="E157" s="245">
        <v>43617</v>
      </c>
      <c r="F157" s="118">
        <v>1016.96</v>
      </c>
      <c r="G157" s="118">
        <f>SUMIF(CONFERÊNCIA!A:A,A157,CONFERÊNCIA!J:J)</f>
        <v>1016.96</v>
      </c>
      <c r="H157" s="119">
        <f t="shared" si="7"/>
        <v>0</v>
      </c>
      <c r="I157" s="171" t="s">
        <v>1234</v>
      </c>
    </row>
    <row r="158" spans="1:9" s="125" customFormat="1" ht="13.5" customHeight="1" x14ac:dyDescent="0.2">
      <c r="A158" s="243">
        <v>113549</v>
      </c>
      <c r="B158" s="244" t="s">
        <v>843</v>
      </c>
      <c r="C158" s="244" t="s">
        <v>5</v>
      </c>
      <c r="D158" s="244" t="s">
        <v>0</v>
      </c>
      <c r="E158" s="245">
        <v>43617</v>
      </c>
      <c r="F158" s="118">
        <v>978.67000000000007</v>
      </c>
      <c r="G158" s="118">
        <f>SUMIF(CONFERÊNCIA!A:A,A158,CONFERÊNCIA!J:J)</f>
        <v>902.11</v>
      </c>
      <c r="H158" s="120">
        <f t="shared" si="7"/>
        <v>-76.560000000000059</v>
      </c>
      <c r="I158" s="171" t="s">
        <v>1234</v>
      </c>
    </row>
    <row r="159" spans="1:9" s="125" customFormat="1" ht="13.5" customHeight="1" x14ac:dyDescent="0.2">
      <c r="A159" s="243">
        <v>113553</v>
      </c>
      <c r="B159" s="244" t="s">
        <v>847</v>
      </c>
      <c r="C159" s="244" t="s">
        <v>2</v>
      </c>
      <c r="D159" s="244" t="s">
        <v>8</v>
      </c>
      <c r="E159" s="245">
        <v>43617</v>
      </c>
      <c r="F159" s="118">
        <v>1016.96</v>
      </c>
      <c r="G159" s="118">
        <f>SUMIF(CONFERÊNCIA!A:A,A159,CONFERÊNCIA!J:J)</f>
        <v>1016.96</v>
      </c>
      <c r="H159" s="120">
        <f t="shared" si="7"/>
        <v>0</v>
      </c>
      <c r="I159" s="171" t="s">
        <v>1235</v>
      </c>
    </row>
    <row r="160" spans="1:9" s="110" customFormat="1" ht="13.5" customHeight="1" x14ac:dyDescent="0.2">
      <c r="A160" s="243">
        <v>119644</v>
      </c>
      <c r="B160" s="244" t="s">
        <v>1462</v>
      </c>
      <c r="C160" s="244" t="s">
        <v>5</v>
      </c>
      <c r="D160" s="244" t="s">
        <v>19</v>
      </c>
      <c r="E160" s="245">
        <v>44725</v>
      </c>
      <c r="F160" s="118">
        <v>1016.96</v>
      </c>
      <c r="G160" s="118">
        <f>SUMIF(CONFERÊNCIA!A:A,A160,CONFERÊNCIA!J:J)</f>
        <v>1016.96</v>
      </c>
      <c r="H160" s="119">
        <f t="shared" si="7"/>
        <v>0</v>
      </c>
      <c r="I160" s="171" t="s">
        <v>1234</v>
      </c>
    </row>
    <row r="161" spans="1:9" s="110" customFormat="1" ht="13.5" customHeight="1" x14ac:dyDescent="0.2">
      <c r="A161" s="243">
        <v>113558</v>
      </c>
      <c r="B161" s="244" t="s">
        <v>849</v>
      </c>
      <c r="C161" s="244" t="s">
        <v>2</v>
      </c>
      <c r="D161" s="244" t="s">
        <v>0</v>
      </c>
      <c r="E161" s="245">
        <v>43617</v>
      </c>
      <c r="F161" s="118">
        <v>1016.96</v>
      </c>
      <c r="G161" s="118">
        <f>SUMIF(CONFERÊNCIA!A:A,A161,CONFERÊNCIA!J:J)</f>
        <v>1016.96</v>
      </c>
      <c r="H161" s="119">
        <f t="shared" si="7"/>
        <v>0</v>
      </c>
      <c r="I161" s="171" t="s">
        <v>1234</v>
      </c>
    </row>
    <row r="162" spans="1:9" s="125" customFormat="1" ht="13.5" customHeight="1" x14ac:dyDescent="0.2">
      <c r="A162" s="243">
        <v>113561</v>
      </c>
      <c r="B162" s="244" t="s">
        <v>852</v>
      </c>
      <c r="C162" s="244" t="s">
        <v>2</v>
      </c>
      <c r="D162" s="244" t="s">
        <v>10</v>
      </c>
      <c r="E162" s="245">
        <v>43617</v>
      </c>
      <c r="F162" s="118">
        <v>1016.96</v>
      </c>
      <c r="G162" s="118">
        <f>SUMIF(CONFERÊNCIA!A:A,A162,CONFERÊNCIA!J:J)</f>
        <v>1016.96</v>
      </c>
      <c r="H162" s="120">
        <f t="shared" si="7"/>
        <v>0</v>
      </c>
      <c r="I162" s="171" t="s">
        <v>1234</v>
      </c>
    </row>
    <row r="163" spans="1:9" s="110" customFormat="1" ht="13.5" customHeight="1" x14ac:dyDescent="0.2">
      <c r="A163" s="243">
        <v>114973</v>
      </c>
      <c r="B163" s="244" t="s">
        <v>1136</v>
      </c>
      <c r="C163" s="244" t="s">
        <v>282</v>
      </c>
      <c r="D163" s="244" t="s">
        <v>1589</v>
      </c>
      <c r="E163" s="245">
        <v>43917</v>
      </c>
      <c r="F163" s="118">
        <v>1016.96</v>
      </c>
      <c r="G163" s="118">
        <f>SUMIF(CONFERÊNCIA!A:A,A163,CONFERÊNCIA!J:J)</f>
        <v>1016.96</v>
      </c>
      <c r="H163" s="119">
        <f t="shared" si="7"/>
        <v>0</v>
      </c>
      <c r="I163" s="171" t="s">
        <v>1234</v>
      </c>
    </row>
    <row r="164" spans="1:9" s="110" customFormat="1" ht="13.5" customHeight="1" x14ac:dyDescent="0.2">
      <c r="A164" s="243">
        <v>113588</v>
      </c>
      <c r="B164" s="244" t="s">
        <v>864</v>
      </c>
      <c r="C164" s="244" t="s">
        <v>2</v>
      </c>
      <c r="D164" s="244" t="s">
        <v>8</v>
      </c>
      <c r="E164" s="245">
        <v>43617</v>
      </c>
      <c r="F164" s="118">
        <v>1016.96</v>
      </c>
      <c r="G164" s="118">
        <f>SUMIF(CONFERÊNCIA!A:A,A164,CONFERÊNCIA!J:J)</f>
        <v>1016.96</v>
      </c>
      <c r="H164" s="119">
        <f t="shared" si="7"/>
        <v>0</v>
      </c>
      <c r="I164" s="171" t="s">
        <v>1235</v>
      </c>
    </row>
    <row r="165" spans="1:9" s="125" customFormat="1" ht="13.5" customHeight="1" x14ac:dyDescent="0.2">
      <c r="A165" s="243">
        <v>113625</v>
      </c>
      <c r="B165" s="244" t="s">
        <v>881</v>
      </c>
      <c r="C165" s="244" t="s">
        <v>5</v>
      </c>
      <c r="D165" s="244" t="s">
        <v>0</v>
      </c>
      <c r="E165" s="245">
        <v>43617</v>
      </c>
      <c r="F165" s="118">
        <v>1016.96</v>
      </c>
      <c r="G165" s="118">
        <f>SUMIF(CONFERÊNCIA!A:A,A165,CONFERÊNCIA!J:J)</f>
        <v>1016.96</v>
      </c>
      <c r="H165" s="120">
        <f t="shared" si="7"/>
        <v>0</v>
      </c>
      <c r="I165" s="171" t="s">
        <v>1234</v>
      </c>
    </row>
    <row r="166" spans="1:9" s="110" customFormat="1" ht="13.5" customHeight="1" x14ac:dyDescent="0.2">
      <c r="A166" s="243">
        <v>113631</v>
      </c>
      <c r="B166" s="244" t="s">
        <v>886</v>
      </c>
      <c r="C166" s="244" t="s">
        <v>2</v>
      </c>
      <c r="D166" s="244" t="s">
        <v>10</v>
      </c>
      <c r="E166" s="245">
        <v>43617</v>
      </c>
      <c r="F166" s="118">
        <v>1016.96</v>
      </c>
      <c r="G166" s="118">
        <f>SUMIF(CONFERÊNCIA!A:A,A166,CONFERÊNCIA!J:J)</f>
        <v>1016.96</v>
      </c>
      <c r="H166" s="119">
        <f t="shared" si="7"/>
        <v>0</v>
      </c>
      <c r="I166" s="171" t="s">
        <v>1234</v>
      </c>
    </row>
    <row r="167" spans="1:9" s="110" customFormat="1" ht="13.5" customHeight="1" x14ac:dyDescent="0.2">
      <c r="A167" s="243">
        <v>113666</v>
      </c>
      <c r="B167" s="244" t="s">
        <v>906</v>
      </c>
      <c r="C167" s="244" t="s">
        <v>255</v>
      </c>
      <c r="D167" s="244" t="s">
        <v>1589</v>
      </c>
      <c r="E167" s="245">
        <v>43617</v>
      </c>
      <c r="F167" s="118">
        <v>1016.96</v>
      </c>
      <c r="G167" s="118">
        <f>SUMIF(CONFERÊNCIA!A:A,A167,CONFERÊNCIA!J:J)</f>
        <v>1016.96</v>
      </c>
      <c r="H167" s="119">
        <f t="shared" si="7"/>
        <v>0</v>
      </c>
      <c r="I167" s="171" t="s">
        <v>1234</v>
      </c>
    </row>
    <row r="168" spans="1:9" s="125" customFormat="1" ht="13.5" customHeight="1" x14ac:dyDescent="0.2">
      <c r="A168" s="243">
        <v>113677</v>
      </c>
      <c r="B168" s="244" t="s">
        <v>913</v>
      </c>
      <c r="C168" s="244" t="s">
        <v>2</v>
      </c>
      <c r="D168" s="244" t="s">
        <v>10</v>
      </c>
      <c r="E168" s="245">
        <v>43617</v>
      </c>
      <c r="F168" s="118">
        <v>1016.96</v>
      </c>
      <c r="G168" s="118">
        <f>SUMIF(CONFERÊNCIA!A:A,A168,CONFERÊNCIA!J:J)</f>
        <v>1016.96</v>
      </c>
      <c r="H168" s="120">
        <f t="shared" si="7"/>
        <v>0</v>
      </c>
      <c r="I168" s="171" t="s">
        <v>1234</v>
      </c>
    </row>
    <row r="169" spans="1:9" s="125" customFormat="1" ht="13.5" customHeight="1" x14ac:dyDescent="0.2">
      <c r="A169" s="243">
        <v>113694</v>
      </c>
      <c r="B169" s="244" t="s">
        <v>923</v>
      </c>
      <c r="C169" s="244" t="s">
        <v>15</v>
      </c>
      <c r="D169" s="244" t="s">
        <v>1589</v>
      </c>
      <c r="E169" s="245">
        <v>43617</v>
      </c>
      <c r="F169" s="118">
        <v>1016.96</v>
      </c>
      <c r="G169" s="118">
        <f>SUMIF(CONFERÊNCIA!A:A,A169,CONFERÊNCIA!J:J)</f>
        <v>1016.96</v>
      </c>
      <c r="H169" s="120">
        <f t="shared" si="7"/>
        <v>0</v>
      </c>
      <c r="I169" s="171" t="s">
        <v>1234</v>
      </c>
    </row>
    <row r="170" spans="1:9" s="110" customFormat="1" ht="13.5" customHeight="1" x14ac:dyDescent="0.2">
      <c r="A170" s="243">
        <v>113696</v>
      </c>
      <c r="B170" s="244" t="s">
        <v>924</v>
      </c>
      <c r="C170" s="244" t="s">
        <v>5</v>
      </c>
      <c r="D170" s="244" t="s">
        <v>19</v>
      </c>
      <c r="E170" s="245">
        <v>43617</v>
      </c>
      <c r="F170" s="118">
        <v>1016.96</v>
      </c>
      <c r="G170" s="118">
        <f>SUMIF(CONFERÊNCIA!A:A,A170,CONFERÊNCIA!J:J)</f>
        <v>1016.96</v>
      </c>
      <c r="H170" s="119">
        <f t="shared" si="7"/>
        <v>0</v>
      </c>
      <c r="I170" s="171" t="s">
        <v>1234</v>
      </c>
    </row>
    <row r="171" spans="1:9" s="125" customFormat="1" ht="13.5" customHeight="1" x14ac:dyDescent="0.2">
      <c r="A171" s="243">
        <v>113693</v>
      </c>
      <c r="B171" s="244" t="s">
        <v>922</v>
      </c>
      <c r="C171" s="244" t="s">
        <v>2</v>
      </c>
      <c r="D171" s="244" t="s">
        <v>0</v>
      </c>
      <c r="E171" s="245">
        <v>43617</v>
      </c>
      <c r="F171" s="118">
        <v>1016.96</v>
      </c>
      <c r="G171" s="118">
        <f>SUMIF(CONFERÊNCIA!A:A,A171,CONFERÊNCIA!J:J)</f>
        <v>1016.96</v>
      </c>
      <c r="H171" s="120">
        <f t="shared" si="7"/>
        <v>0</v>
      </c>
      <c r="I171" s="171" t="s">
        <v>1234</v>
      </c>
    </row>
    <row r="172" spans="1:9" s="110" customFormat="1" ht="13.5" customHeight="1" x14ac:dyDescent="0.2">
      <c r="A172" s="243">
        <v>113686</v>
      </c>
      <c r="B172" s="244" t="s">
        <v>437</v>
      </c>
      <c r="C172" s="244" t="s">
        <v>2</v>
      </c>
      <c r="D172" s="244" t="s">
        <v>32</v>
      </c>
      <c r="E172" s="245">
        <v>43617</v>
      </c>
      <c r="F172" s="118">
        <v>1016.96</v>
      </c>
      <c r="G172" s="118">
        <f>SUMIF(CONFERÊNCIA!A:A,A172,CONFERÊNCIA!J:J)</f>
        <v>1016.96</v>
      </c>
      <c r="H172" s="119">
        <f t="shared" si="7"/>
        <v>0</v>
      </c>
      <c r="I172" s="171" t="s">
        <v>1234</v>
      </c>
    </row>
    <row r="173" spans="1:9" s="125" customFormat="1" ht="13.5" customHeight="1" x14ac:dyDescent="0.2">
      <c r="A173" s="243">
        <v>113681</v>
      </c>
      <c r="B173" s="244" t="s">
        <v>915</v>
      </c>
      <c r="C173" s="244" t="s">
        <v>2</v>
      </c>
      <c r="D173" s="244" t="s">
        <v>0</v>
      </c>
      <c r="E173" s="245">
        <v>43617</v>
      </c>
      <c r="F173" s="118">
        <v>1016.96</v>
      </c>
      <c r="G173" s="118">
        <f>SUMIF(CONFERÊNCIA!A:A,A173,CONFERÊNCIA!J:J)</f>
        <v>1016.96</v>
      </c>
      <c r="H173" s="120">
        <f t="shared" si="7"/>
        <v>0</v>
      </c>
      <c r="I173" s="171" t="s">
        <v>1234</v>
      </c>
    </row>
    <row r="174" spans="1:9" s="110" customFormat="1" ht="13.5" customHeight="1" x14ac:dyDescent="0.2">
      <c r="A174" s="243">
        <v>113698</v>
      </c>
      <c r="B174" s="244" t="s">
        <v>925</v>
      </c>
      <c r="C174" s="244" t="s">
        <v>5</v>
      </c>
      <c r="D174" s="244" t="s">
        <v>1589</v>
      </c>
      <c r="E174" s="245">
        <v>43617</v>
      </c>
      <c r="F174" s="118">
        <v>1016.96</v>
      </c>
      <c r="G174" s="118">
        <f>SUMIF(CONFERÊNCIA!A:A,A174,CONFERÊNCIA!J:J)</f>
        <v>1016.96</v>
      </c>
      <c r="H174" s="119">
        <f t="shared" si="7"/>
        <v>0</v>
      </c>
      <c r="I174" s="171" t="s">
        <v>1234</v>
      </c>
    </row>
    <row r="175" spans="1:9" s="125" customFormat="1" ht="13.5" customHeight="1" x14ac:dyDescent="0.2">
      <c r="A175" s="243">
        <v>114523</v>
      </c>
      <c r="B175" s="244" t="s">
        <v>1049</v>
      </c>
      <c r="C175" s="244" t="s">
        <v>15</v>
      </c>
      <c r="D175" s="244" t="s">
        <v>1589</v>
      </c>
      <c r="E175" s="245">
        <v>43813</v>
      </c>
      <c r="F175" s="118">
        <v>1016.96</v>
      </c>
      <c r="G175" s="118">
        <f>SUMIF(CONFERÊNCIA!A:A,A175,CONFERÊNCIA!J:J)</f>
        <v>1016.96</v>
      </c>
      <c r="H175" s="120">
        <f t="shared" si="7"/>
        <v>0</v>
      </c>
      <c r="I175" s="171" t="s">
        <v>1234</v>
      </c>
    </row>
    <row r="176" spans="1:9" s="110" customFormat="1" ht="13.5" customHeight="1" x14ac:dyDescent="0.2">
      <c r="A176" s="243">
        <v>113704</v>
      </c>
      <c r="B176" s="244" t="s">
        <v>927</v>
      </c>
      <c r="C176" s="244" t="s">
        <v>2</v>
      </c>
      <c r="D176" s="244" t="s">
        <v>8</v>
      </c>
      <c r="E176" s="245">
        <v>43617</v>
      </c>
      <c r="F176" s="118">
        <v>1016.96</v>
      </c>
      <c r="G176" s="118">
        <f>SUMIF(CONFERÊNCIA!A:A,A176,CONFERÊNCIA!J:J)</f>
        <v>1016.96</v>
      </c>
      <c r="H176" s="119">
        <f t="shared" si="7"/>
        <v>0</v>
      </c>
      <c r="I176" s="171" t="s">
        <v>1235</v>
      </c>
    </row>
    <row r="177" spans="1:9" s="125" customFormat="1" ht="13.5" customHeight="1" x14ac:dyDescent="0.2">
      <c r="A177" s="243">
        <v>113690</v>
      </c>
      <c r="B177" s="244" t="s">
        <v>920</v>
      </c>
      <c r="C177" s="244" t="s">
        <v>2</v>
      </c>
      <c r="D177" s="244" t="s">
        <v>8</v>
      </c>
      <c r="E177" s="245">
        <v>43617</v>
      </c>
      <c r="F177" s="118">
        <v>1016.96</v>
      </c>
      <c r="G177" s="118">
        <f>SUMIF(CONFERÊNCIA!A:A,A177,CONFERÊNCIA!J:J)</f>
        <v>1016.96</v>
      </c>
      <c r="H177" s="120">
        <f t="shared" si="7"/>
        <v>0</v>
      </c>
      <c r="I177" s="171" t="s">
        <v>1234</v>
      </c>
    </row>
    <row r="178" spans="1:9" s="110" customFormat="1" ht="13.5" customHeight="1" x14ac:dyDescent="0.2">
      <c r="A178" s="243">
        <v>121849</v>
      </c>
      <c r="B178" s="244" t="s">
        <v>1613</v>
      </c>
      <c r="C178" s="244" t="s">
        <v>5</v>
      </c>
      <c r="D178" s="244" t="s">
        <v>0</v>
      </c>
      <c r="E178" s="245">
        <v>45022</v>
      </c>
      <c r="F178" s="118">
        <v>1016.96</v>
      </c>
      <c r="G178" s="118">
        <f>SUMIF(CONFERÊNCIA!A:A,A178,CONFERÊNCIA!J:J)</f>
        <v>978.67000000000007</v>
      </c>
      <c r="H178" s="119">
        <f t="shared" ref="H178:H194" si="8">G178-F178</f>
        <v>-38.289999999999964</v>
      </c>
      <c r="I178" s="171" t="s">
        <v>1234</v>
      </c>
    </row>
    <row r="179" spans="1:9" s="125" customFormat="1" ht="13.5" customHeight="1" x14ac:dyDescent="0.2">
      <c r="A179" s="243">
        <v>119754</v>
      </c>
      <c r="B179" s="244" t="s">
        <v>1463</v>
      </c>
      <c r="C179" s="244" t="s">
        <v>1464</v>
      </c>
      <c r="D179" s="244" t="s">
        <v>1591</v>
      </c>
      <c r="E179" s="245">
        <v>44734</v>
      </c>
      <c r="F179" s="118">
        <v>657.5</v>
      </c>
      <c r="G179" s="118">
        <f>SUMIF(CONFERÊNCIA!A:A,A179,CONFERÊNCIA!J:J)</f>
        <v>657.5</v>
      </c>
      <c r="H179" s="120">
        <f t="shared" si="8"/>
        <v>0</v>
      </c>
      <c r="I179" s="171" t="s">
        <v>1234</v>
      </c>
    </row>
    <row r="180" spans="1:9" s="110" customFormat="1" ht="13.5" customHeight="1" x14ac:dyDescent="0.2">
      <c r="A180" s="243">
        <v>118056</v>
      </c>
      <c r="B180" s="244" t="s">
        <v>1401</v>
      </c>
      <c r="C180" s="244" t="s">
        <v>5</v>
      </c>
      <c r="D180" s="244" t="s">
        <v>0</v>
      </c>
      <c r="E180" s="245">
        <v>44567</v>
      </c>
      <c r="F180" s="118">
        <v>1016.96</v>
      </c>
      <c r="G180" s="118">
        <f>SUMIF(CONFERÊNCIA!A:A,A180,CONFERÊNCIA!J:J)</f>
        <v>1016.96</v>
      </c>
      <c r="H180" s="119">
        <f t="shared" si="8"/>
        <v>0</v>
      </c>
      <c r="I180" s="171" t="s">
        <v>1234</v>
      </c>
    </row>
    <row r="181" spans="1:9" s="110" customFormat="1" ht="13.5" customHeight="1" x14ac:dyDescent="0.2">
      <c r="A181" s="243">
        <v>113682</v>
      </c>
      <c r="B181" s="244" t="s">
        <v>916</v>
      </c>
      <c r="C181" s="244" t="s">
        <v>5</v>
      </c>
      <c r="D181" s="244" t="s">
        <v>1589</v>
      </c>
      <c r="E181" s="245">
        <v>43617</v>
      </c>
      <c r="F181" s="118">
        <v>1016.96</v>
      </c>
      <c r="G181" s="118">
        <f>SUMIF(CONFERÊNCIA!A:A,A181,CONFERÊNCIA!J:J)</f>
        <v>1016.96</v>
      </c>
      <c r="H181" s="119">
        <f t="shared" si="8"/>
        <v>0</v>
      </c>
      <c r="I181" s="171" t="s">
        <v>1234</v>
      </c>
    </row>
    <row r="182" spans="1:9" s="125" customFormat="1" ht="13.5" customHeight="1" x14ac:dyDescent="0.2">
      <c r="A182" s="243">
        <v>113678</v>
      </c>
      <c r="B182" s="244" t="s">
        <v>914</v>
      </c>
      <c r="C182" s="244" t="s">
        <v>5</v>
      </c>
      <c r="D182" s="244" t="s">
        <v>0</v>
      </c>
      <c r="E182" s="245">
        <v>43617</v>
      </c>
      <c r="F182" s="118">
        <v>1016.96</v>
      </c>
      <c r="G182" s="118">
        <f>SUMIF(CONFERÊNCIA!A:A,A182,CONFERÊNCIA!J:J)</f>
        <v>978.67000000000007</v>
      </c>
      <c r="H182" s="120">
        <f t="shared" si="8"/>
        <v>-38.289999999999964</v>
      </c>
      <c r="I182" s="171" t="s">
        <v>1234</v>
      </c>
    </row>
    <row r="183" spans="1:9" s="125" customFormat="1" ht="13.5" customHeight="1" x14ac:dyDescent="0.2">
      <c r="A183" s="243">
        <v>113930</v>
      </c>
      <c r="B183" s="244" t="s">
        <v>995</v>
      </c>
      <c r="C183" s="244" t="s">
        <v>996</v>
      </c>
      <c r="D183" s="244" t="s">
        <v>1591</v>
      </c>
      <c r="E183" s="245">
        <v>43682</v>
      </c>
      <c r="F183" s="118">
        <v>1016.96</v>
      </c>
      <c r="G183" s="118">
        <f>SUMIF(CONFERÊNCIA!A:A,A183,CONFERÊNCIA!J:J)</f>
        <v>1016.96</v>
      </c>
      <c r="H183" s="120">
        <f t="shared" si="8"/>
        <v>0</v>
      </c>
      <c r="I183" s="171" t="s">
        <v>1234</v>
      </c>
    </row>
    <row r="184" spans="1:9" s="110" customFormat="1" ht="13.5" customHeight="1" x14ac:dyDescent="0.2">
      <c r="A184" s="243">
        <v>113692</v>
      </c>
      <c r="B184" s="244" t="s">
        <v>921</v>
      </c>
      <c r="C184" s="244" t="s">
        <v>282</v>
      </c>
      <c r="D184" s="244" t="s">
        <v>1589</v>
      </c>
      <c r="E184" s="245">
        <v>43617</v>
      </c>
      <c r="F184" s="118">
        <v>1016.96</v>
      </c>
      <c r="G184" s="118">
        <f>SUMIF(CONFERÊNCIA!A:A,A184,CONFERÊNCIA!J:J)</f>
        <v>1016.96</v>
      </c>
      <c r="H184" s="119">
        <f t="shared" si="8"/>
        <v>0</v>
      </c>
      <c r="I184" s="171" t="s">
        <v>1234</v>
      </c>
    </row>
    <row r="185" spans="1:9" s="125" customFormat="1" ht="13.5" customHeight="1" x14ac:dyDescent="0.2">
      <c r="A185" s="243">
        <v>113683</v>
      </c>
      <c r="B185" s="244" t="s">
        <v>917</v>
      </c>
      <c r="C185" s="244" t="s">
        <v>2</v>
      </c>
      <c r="D185" s="244" t="s">
        <v>0</v>
      </c>
      <c r="E185" s="245">
        <v>43617</v>
      </c>
      <c r="F185" s="118">
        <v>1016.96</v>
      </c>
      <c r="G185" s="118">
        <f>SUMIF(CONFERÊNCIA!A:A,A185,CONFERÊNCIA!J:J)</f>
        <v>1016.96</v>
      </c>
      <c r="H185" s="120">
        <f t="shared" si="8"/>
        <v>0</v>
      </c>
      <c r="I185" s="171" t="s">
        <v>1235</v>
      </c>
    </row>
    <row r="186" spans="1:9" s="125" customFormat="1" ht="13.5" customHeight="1" x14ac:dyDescent="0.2">
      <c r="A186" s="243">
        <v>113585</v>
      </c>
      <c r="B186" s="244" t="s">
        <v>861</v>
      </c>
      <c r="C186" s="244" t="s">
        <v>2</v>
      </c>
      <c r="D186" s="244" t="s">
        <v>19</v>
      </c>
      <c r="E186" s="245">
        <v>43617</v>
      </c>
      <c r="F186" s="118">
        <v>1016.96</v>
      </c>
      <c r="G186" s="118">
        <f>SUMIF(CONFERÊNCIA!A:A,A186,CONFERÊNCIA!J:J)</f>
        <v>1016.96</v>
      </c>
      <c r="H186" s="120">
        <f t="shared" si="8"/>
        <v>0</v>
      </c>
      <c r="I186" s="171" t="s">
        <v>1234</v>
      </c>
    </row>
    <row r="187" spans="1:9" s="110" customFormat="1" ht="13.5" customHeight="1" x14ac:dyDescent="0.2">
      <c r="A187" s="243">
        <v>116972</v>
      </c>
      <c r="B187" s="244" t="s">
        <v>1241</v>
      </c>
      <c r="C187" s="244" t="s">
        <v>5</v>
      </c>
      <c r="D187" s="244" t="s">
        <v>0</v>
      </c>
      <c r="E187" s="245">
        <v>44419</v>
      </c>
      <c r="F187" s="118">
        <v>1016.96</v>
      </c>
      <c r="G187" s="118">
        <f>SUMIF(CONFERÊNCIA!A:A,A187,CONFERÊNCIA!J:J)</f>
        <v>1016.96</v>
      </c>
      <c r="H187" s="119">
        <f t="shared" si="8"/>
        <v>0</v>
      </c>
      <c r="I187" s="171" t="s">
        <v>1234</v>
      </c>
    </row>
    <row r="188" spans="1:9" s="125" customFormat="1" ht="13.5" customHeight="1" x14ac:dyDescent="0.2">
      <c r="A188" s="243">
        <v>113763</v>
      </c>
      <c r="B188" s="244" t="s">
        <v>969</v>
      </c>
      <c r="C188" s="244" t="s">
        <v>416</v>
      </c>
      <c r="D188" s="244" t="s">
        <v>1589</v>
      </c>
      <c r="E188" s="245">
        <v>43621</v>
      </c>
      <c r="F188" s="118">
        <v>1016.96</v>
      </c>
      <c r="G188" s="118">
        <f>SUMIF(CONFERÊNCIA!A:A,A188,CONFERÊNCIA!J:J)</f>
        <v>1016.96</v>
      </c>
      <c r="H188" s="120">
        <f t="shared" si="8"/>
        <v>0</v>
      </c>
      <c r="I188" s="171" t="s">
        <v>1234</v>
      </c>
    </row>
    <row r="189" spans="1:9" s="125" customFormat="1" ht="13.5" customHeight="1" x14ac:dyDescent="0.2">
      <c r="A189" s="243">
        <v>122028</v>
      </c>
      <c r="B189" s="244" t="s">
        <v>1636</v>
      </c>
      <c r="C189" s="244" t="s">
        <v>120</v>
      </c>
      <c r="D189" s="244" t="s">
        <v>1589</v>
      </c>
      <c r="E189" s="245">
        <v>45054</v>
      </c>
      <c r="F189" s="118">
        <v>1016.96</v>
      </c>
      <c r="G189" s="118">
        <f>SUMIF(CONFERÊNCIA!A:A,A189,CONFERÊNCIA!J:J)</f>
        <v>1016.96</v>
      </c>
      <c r="H189" s="120">
        <f t="shared" si="8"/>
        <v>0</v>
      </c>
      <c r="I189" s="171" t="s">
        <v>1234</v>
      </c>
    </row>
    <row r="190" spans="1:9" s="125" customFormat="1" ht="13.5" customHeight="1" x14ac:dyDescent="0.2">
      <c r="A190" s="243">
        <v>117238</v>
      </c>
      <c r="B190" s="244" t="s">
        <v>1260</v>
      </c>
      <c r="C190" s="244" t="s">
        <v>5</v>
      </c>
      <c r="D190" s="244" t="s">
        <v>1589</v>
      </c>
      <c r="E190" s="245">
        <v>44487</v>
      </c>
      <c r="F190" s="118">
        <v>1016.96</v>
      </c>
      <c r="G190" s="118">
        <f>SUMIF(CONFERÊNCIA!A:A,A190,CONFERÊNCIA!J:J)</f>
        <v>1016.96</v>
      </c>
      <c r="H190" s="120">
        <f t="shared" si="8"/>
        <v>0</v>
      </c>
      <c r="I190" s="171" t="s">
        <v>1234</v>
      </c>
    </row>
    <row r="191" spans="1:9" s="110" customFormat="1" ht="13.5" customHeight="1" x14ac:dyDescent="0.2">
      <c r="A191" s="243">
        <v>121320</v>
      </c>
      <c r="B191" s="244" t="s">
        <v>1532</v>
      </c>
      <c r="C191" s="244" t="s">
        <v>2</v>
      </c>
      <c r="D191" s="244" t="s">
        <v>10</v>
      </c>
      <c r="E191" s="245">
        <v>44945</v>
      </c>
      <c r="F191" s="118">
        <v>1016.96</v>
      </c>
      <c r="G191" s="118">
        <f>SUMIF(CONFERÊNCIA!A:A,A191,CONFERÊNCIA!J:J)</f>
        <v>1016.96</v>
      </c>
      <c r="H191" s="119">
        <f t="shared" si="8"/>
        <v>0</v>
      </c>
      <c r="I191" s="171" t="s">
        <v>1234</v>
      </c>
    </row>
    <row r="192" spans="1:9" s="110" customFormat="1" ht="13.5" customHeight="1" x14ac:dyDescent="0.2">
      <c r="A192" s="243">
        <v>114266</v>
      </c>
      <c r="B192" s="244" t="s">
        <v>1031</v>
      </c>
      <c r="C192" s="244" t="s">
        <v>2</v>
      </c>
      <c r="D192" s="244" t="s">
        <v>0</v>
      </c>
      <c r="E192" s="245">
        <v>43804</v>
      </c>
      <c r="F192" s="118">
        <v>1016.96</v>
      </c>
      <c r="G192" s="118">
        <f>SUMIF(CONFERÊNCIA!A:A,A192,CONFERÊNCIA!J:J)</f>
        <v>1016.96</v>
      </c>
      <c r="H192" s="119">
        <f t="shared" si="8"/>
        <v>0</v>
      </c>
      <c r="I192" s="171" t="s">
        <v>1234</v>
      </c>
    </row>
    <row r="193" spans="1:9" s="110" customFormat="1" ht="13.5" customHeight="1" x14ac:dyDescent="0.2">
      <c r="A193" s="243">
        <v>113568</v>
      </c>
      <c r="B193" s="244" t="s">
        <v>855</v>
      </c>
      <c r="C193" s="244" t="s">
        <v>15</v>
      </c>
      <c r="D193" s="244" t="s">
        <v>1589</v>
      </c>
      <c r="E193" s="245">
        <v>43617</v>
      </c>
      <c r="F193" s="118">
        <v>1016.96</v>
      </c>
      <c r="G193" s="118">
        <f>SUMIF(CONFERÊNCIA!A:A,A193,CONFERÊNCIA!J:J)</f>
        <v>1016.96</v>
      </c>
      <c r="H193" s="119">
        <f t="shared" si="8"/>
        <v>0</v>
      </c>
      <c r="I193" s="171" t="s">
        <v>1234</v>
      </c>
    </row>
    <row r="194" spans="1:9" s="110" customFormat="1" ht="13.5" customHeight="1" x14ac:dyDescent="0.2">
      <c r="A194" s="243">
        <v>121857</v>
      </c>
      <c r="B194" s="244" t="s">
        <v>1614</v>
      </c>
      <c r="C194" s="244" t="s">
        <v>5</v>
      </c>
      <c r="D194" s="244" t="s">
        <v>0</v>
      </c>
      <c r="E194" s="245">
        <v>45022</v>
      </c>
      <c r="F194" s="118">
        <v>978.67000000000007</v>
      </c>
      <c r="G194" s="118">
        <f>SUMIF(CONFERÊNCIA!A:A,A194,CONFERÊNCIA!J:J)</f>
        <v>1016.96</v>
      </c>
      <c r="H194" s="119">
        <f t="shared" si="8"/>
        <v>38.289999999999964</v>
      </c>
      <c r="I194" s="171" t="s">
        <v>1234</v>
      </c>
    </row>
    <row r="195" spans="1:9" s="125" customFormat="1" ht="13.5" customHeight="1" x14ac:dyDescent="0.2">
      <c r="A195" s="243">
        <v>113560</v>
      </c>
      <c r="B195" s="244" t="s">
        <v>851</v>
      </c>
      <c r="C195" s="244" t="s">
        <v>5</v>
      </c>
      <c r="D195" s="244" t="s">
        <v>10</v>
      </c>
      <c r="E195" s="245">
        <v>43617</v>
      </c>
      <c r="F195" s="118">
        <v>978.67000000000007</v>
      </c>
      <c r="G195" s="118">
        <f>SUMIF(CONFERÊNCIA!A:A,A195,CONFERÊNCIA!J:J)</f>
        <v>1016.96</v>
      </c>
      <c r="H195" s="120">
        <f t="shared" ref="H195:H219" si="9">G195-F195</f>
        <v>38.289999999999964</v>
      </c>
      <c r="I195" s="171" t="s">
        <v>1234</v>
      </c>
    </row>
    <row r="196" spans="1:9" s="125" customFormat="1" ht="13.5" customHeight="1" x14ac:dyDescent="0.2">
      <c r="A196" s="243">
        <v>113550</v>
      </c>
      <c r="B196" s="244" t="s">
        <v>844</v>
      </c>
      <c r="C196" s="244" t="s">
        <v>5</v>
      </c>
      <c r="D196" s="244" t="s">
        <v>10</v>
      </c>
      <c r="E196" s="245">
        <v>43617</v>
      </c>
      <c r="F196" s="118">
        <v>1016.96</v>
      </c>
      <c r="G196" s="118">
        <f>SUMIF(CONFERÊNCIA!A:A,A196,CONFERÊNCIA!J:J)</f>
        <v>1016.96</v>
      </c>
      <c r="H196" s="120">
        <f t="shared" si="9"/>
        <v>0</v>
      </c>
      <c r="I196" s="171" t="s">
        <v>1234</v>
      </c>
    </row>
    <row r="197" spans="1:9" s="125" customFormat="1" ht="13.5" customHeight="1" x14ac:dyDescent="0.2">
      <c r="A197" s="243">
        <v>113546</v>
      </c>
      <c r="B197" s="244" t="s">
        <v>840</v>
      </c>
      <c r="C197" s="244" t="s">
        <v>22</v>
      </c>
      <c r="D197" s="244" t="s">
        <v>1589</v>
      </c>
      <c r="E197" s="245">
        <v>43617</v>
      </c>
      <c r="F197" s="118">
        <v>1016.96</v>
      </c>
      <c r="G197" s="118">
        <f>SUMIF(CONFERÊNCIA!A:A,A197,CONFERÊNCIA!J:J)</f>
        <v>1016.96</v>
      </c>
      <c r="H197" s="120">
        <f t="shared" si="9"/>
        <v>0</v>
      </c>
      <c r="I197" s="171" t="s">
        <v>1235</v>
      </c>
    </row>
    <row r="198" spans="1:9" s="110" customFormat="1" ht="13.5" customHeight="1" x14ac:dyDescent="0.2">
      <c r="A198" s="243">
        <v>113545</v>
      </c>
      <c r="B198" s="244" t="s">
        <v>839</v>
      </c>
      <c r="C198" s="244" t="s">
        <v>2</v>
      </c>
      <c r="D198" s="244" t="s">
        <v>8</v>
      </c>
      <c r="E198" s="245">
        <v>43617</v>
      </c>
      <c r="F198" s="118">
        <v>1016.96</v>
      </c>
      <c r="G198" s="118">
        <f>SUMIF(CONFERÊNCIA!A:A,A198,CONFERÊNCIA!J:J)</f>
        <v>1016.96</v>
      </c>
      <c r="H198" s="119">
        <f t="shared" si="9"/>
        <v>0</v>
      </c>
      <c r="I198" s="171" t="s">
        <v>1234</v>
      </c>
    </row>
    <row r="199" spans="1:9" s="110" customFormat="1" ht="13.5" customHeight="1" x14ac:dyDescent="0.2">
      <c r="A199" s="243">
        <v>121947</v>
      </c>
      <c r="B199" s="244" t="s">
        <v>1615</v>
      </c>
      <c r="C199" s="244" t="s">
        <v>1464</v>
      </c>
      <c r="D199" s="244" t="s">
        <v>1591</v>
      </c>
      <c r="E199" s="245">
        <v>45040</v>
      </c>
      <c r="F199" s="118">
        <v>657.5</v>
      </c>
      <c r="G199" s="118">
        <f>SUMIF(CONFERÊNCIA!A:A,A199,CONFERÊNCIA!J:J)</f>
        <v>657.5</v>
      </c>
      <c r="H199" s="119">
        <f t="shared" si="9"/>
        <v>0</v>
      </c>
      <c r="I199" s="171" t="s">
        <v>1234</v>
      </c>
    </row>
    <row r="200" spans="1:9" s="125" customFormat="1" ht="13.5" customHeight="1" x14ac:dyDescent="0.2">
      <c r="A200" s="243">
        <v>113540</v>
      </c>
      <c r="B200" s="244" t="s">
        <v>836</v>
      </c>
      <c r="C200" s="244" t="s">
        <v>15</v>
      </c>
      <c r="D200" s="244" t="s">
        <v>1589</v>
      </c>
      <c r="E200" s="245">
        <v>43617</v>
      </c>
      <c r="F200" s="118">
        <v>1016.96</v>
      </c>
      <c r="G200" s="118">
        <f>SUMIF(CONFERÊNCIA!A:A,A200,CONFERÊNCIA!J:J)</f>
        <v>1016.96</v>
      </c>
      <c r="H200" s="120">
        <f t="shared" si="9"/>
        <v>0</v>
      </c>
      <c r="I200" s="171" t="s">
        <v>1234</v>
      </c>
    </row>
    <row r="201" spans="1:9" s="110" customFormat="1" ht="13.5" customHeight="1" x14ac:dyDescent="0.2">
      <c r="A201" s="243">
        <v>120356</v>
      </c>
      <c r="B201" s="244" t="s">
        <v>1512</v>
      </c>
      <c r="C201" s="244" t="s">
        <v>5</v>
      </c>
      <c r="D201" s="244" t="s">
        <v>32</v>
      </c>
      <c r="E201" s="245">
        <v>44820</v>
      </c>
      <c r="F201" s="118">
        <v>1016.96</v>
      </c>
      <c r="G201" s="118">
        <f>SUMIF(CONFERÊNCIA!A:A,A201,CONFERÊNCIA!J:J)</f>
        <v>1016.96</v>
      </c>
      <c r="H201" s="119">
        <f t="shared" si="9"/>
        <v>0</v>
      </c>
      <c r="I201" s="171" t="s">
        <v>1234</v>
      </c>
    </row>
    <row r="202" spans="1:9" s="125" customFormat="1" ht="13.5" customHeight="1" x14ac:dyDescent="0.2">
      <c r="A202" s="243">
        <v>122410</v>
      </c>
      <c r="B202" s="244" t="s">
        <v>1695</v>
      </c>
      <c r="C202" s="244" t="s">
        <v>5</v>
      </c>
      <c r="D202" s="244" t="s">
        <v>1589</v>
      </c>
      <c r="E202" s="245">
        <v>45117</v>
      </c>
      <c r="F202" s="118">
        <v>1016.96</v>
      </c>
      <c r="G202" s="118">
        <f>SUMIF(CONFERÊNCIA!A:A,A202,CONFERÊNCIA!J:J)</f>
        <v>1016.96</v>
      </c>
      <c r="H202" s="120">
        <f t="shared" si="9"/>
        <v>0</v>
      </c>
      <c r="I202" s="171" t="s">
        <v>1234</v>
      </c>
    </row>
    <row r="203" spans="1:9" s="125" customFormat="1" ht="13.5" customHeight="1" x14ac:dyDescent="0.2">
      <c r="A203" s="243">
        <v>113740</v>
      </c>
      <c r="B203" s="244" t="s">
        <v>962</v>
      </c>
      <c r="C203" s="244" t="s">
        <v>1436</v>
      </c>
      <c r="D203" s="244" t="s">
        <v>1591</v>
      </c>
      <c r="E203" s="245">
        <v>43619</v>
      </c>
      <c r="F203" s="118">
        <v>1016.96</v>
      </c>
      <c r="G203" s="118">
        <f>SUMIF(CONFERÊNCIA!A:A,A203,CONFERÊNCIA!J:J)</f>
        <v>0</v>
      </c>
      <c r="H203" s="120">
        <f t="shared" si="9"/>
        <v>-1016.96</v>
      </c>
      <c r="I203" s="171" t="s">
        <v>1293</v>
      </c>
    </row>
    <row r="204" spans="1:9" s="125" customFormat="1" ht="13.5" customHeight="1" x14ac:dyDescent="0.2">
      <c r="A204" s="243">
        <v>121848</v>
      </c>
      <c r="B204" s="244" t="s">
        <v>1616</v>
      </c>
      <c r="C204" s="244" t="s">
        <v>5</v>
      </c>
      <c r="D204" s="244" t="s">
        <v>8</v>
      </c>
      <c r="E204" s="245">
        <v>45022</v>
      </c>
      <c r="F204" s="118">
        <v>1016.96</v>
      </c>
      <c r="G204" s="118">
        <f>SUMIF(CONFERÊNCIA!A:A,A204,CONFERÊNCIA!J:J)</f>
        <v>1016.96</v>
      </c>
      <c r="H204" s="120">
        <f t="shared" si="9"/>
        <v>0</v>
      </c>
      <c r="I204" s="171" t="s">
        <v>1234</v>
      </c>
    </row>
    <row r="205" spans="1:9" s="110" customFormat="1" ht="13.5" customHeight="1" x14ac:dyDescent="0.2">
      <c r="A205" s="243">
        <v>112169</v>
      </c>
      <c r="B205" s="244" t="s">
        <v>1</v>
      </c>
      <c r="C205" s="244" t="s">
        <v>2</v>
      </c>
      <c r="D205" s="244" t="s">
        <v>0</v>
      </c>
      <c r="E205" s="245">
        <v>43617</v>
      </c>
      <c r="F205" s="118">
        <v>1016.96</v>
      </c>
      <c r="G205" s="118">
        <f>SUMIF(CONFERÊNCIA!A:A,A205,CONFERÊNCIA!J:J)</f>
        <v>1016.96</v>
      </c>
      <c r="H205" s="119">
        <f t="shared" si="9"/>
        <v>0</v>
      </c>
      <c r="I205" s="171" t="s">
        <v>1234</v>
      </c>
    </row>
    <row r="206" spans="1:9" s="125" customFormat="1" ht="13.5" customHeight="1" x14ac:dyDescent="0.2">
      <c r="A206" s="243">
        <v>112170</v>
      </c>
      <c r="B206" s="244" t="s">
        <v>3</v>
      </c>
      <c r="C206" s="244" t="s">
        <v>2</v>
      </c>
      <c r="D206" s="244" t="s">
        <v>0</v>
      </c>
      <c r="E206" s="245">
        <v>43617</v>
      </c>
      <c r="F206" s="118">
        <v>1016.96</v>
      </c>
      <c r="G206" s="118">
        <f>SUMIF(CONFERÊNCIA!A:A,A206,CONFERÊNCIA!J:J)</f>
        <v>1016.96</v>
      </c>
      <c r="H206" s="120">
        <f t="shared" si="9"/>
        <v>0</v>
      </c>
      <c r="I206" s="171" t="s">
        <v>1234</v>
      </c>
    </row>
    <row r="207" spans="1:9" s="110" customFormat="1" ht="13.5" customHeight="1" x14ac:dyDescent="0.2">
      <c r="A207" s="243">
        <v>114549</v>
      </c>
      <c r="B207" s="244" t="s">
        <v>1060</v>
      </c>
      <c r="C207" s="244" t="s">
        <v>2</v>
      </c>
      <c r="D207" s="244" t="s">
        <v>0</v>
      </c>
      <c r="E207" s="245">
        <v>43817</v>
      </c>
      <c r="F207" s="118">
        <v>1016.96</v>
      </c>
      <c r="G207" s="118">
        <f>SUMIF(CONFERÊNCIA!A:A,A207,CONFERÊNCIA!J:J)</f>
        <v>1016.96</v>
      </c>
      <c r="H207" s="119">
        <f t="shared" si="9"/>
        <v>0</v>
      </c>
      <c r="I207" s="171" t="s">
        <v>1234</v>
      </c>
    </row>
    <row r="208" spans="1:9" s="125" customFormat="1" ht="13.5" customHeight="1" x14ac:dyDescent="0.2">
      <c r="A208" s="243">
        <v>116026</v>
      </c>
      <c r="B208" s="244" t="s">
        <v>1180</v>
      </c>
      <c r="C208" s="244" t="s">
        <v>5</v>
      </c>
      <c r="D208" s="244" t="s">
        <v>0</v>
      </c>
      <c r="E208" s="245">
        <v>44207</v>
      </c>
      <c r="F208" s="118">
        <v>359.46</v>
      </c>
      <c r="G208" s="118">
        <f>SUMIF(CONFERÊNCIA!A:A,A208,CONFERÊNCIA!J:J)</f>
        <v>249.55</v>
      </c>
      <c r="H208" s="120">
        <f t="shared" si="9"/>
        <v>-109.90999999999997</v>
      </c>
      <c r="I208" s="171" t="s">
        <v>1731</v>
      </c>
    </row>
    <row r="209" spans="1:9" s="110" customFormat="1" ht="13.5" customHeight="1" x14ac:dyDescent="0.2">
      <c r="A209" s="243">
        <v>112177</v>
      </c>
      <c r="B209" s="244" t="s">
        <v>14</v>
      </c>
      <c r="C209" s="244" t="s">
        <v>15</v>
      </c>
      <c r="D209" s="244" t="s">
        <v>1589</v>
      </c>
      <c r="E209" s="245">
        <v>43617</v>
      </c>
      <c r="F209" s="118">
        <v>1016.96</v>
      </c>
      <c r="G209" s="118">
        <f>SUMIF(CONFERÊNCIA!A:A,A209,CONFERÊNCIA!J:J)</f>
        <v>1016.96</v>
      </c>
      <c r="H209" s="119">
        <f t="shared" si="9"/>
        <v>0</v>
      </c>
      <c r="I209" s="171" t="s">
        <v>1234</v>
      </c>
    </row>
    <row r="210" spans="1:9" s="125" customFormat="1" ht="13.5" customHeight="1" x14ac:dyDescent="0.2">
      <c r="A210" s="243">
        <v>112179</v>
      </c>
      <c r="B210" s="244" t="s">
        <v>17</v>
      </c>
      <c r="C210" s="244" t="s">
        <v>5</v>
      </c>
      <c r="D210" s="244" t="s">
        <v>10</v>
      </c>
      <c r="E210" s="245">
        <v>43617</v>
      </c>
      <c r="F210" s="118">
        <v>1016.96</v>
      </c>
      <c r="G210" s="118">
        <f>SUMIF(CONFERÊNCIA!A:A,A210,CONFERÊNCIA!J:J)</f>
        <v>1016.96</v>
      </c>
      <c r="H210" s="120">
        <f t="shared" si="9"/>
        <v>0</v>
      </c>
      <c r="I210" s="171" t="s">
        <v>1234</v>
      </c>
    </row>
    <row r="211" spans="1:9" s="110" customFormat="1" ht="13.5" customHeight="1" x14ac:dyDescent="0.2">
      <c r="A211" s="243">
        <v>115413</v>
      </c>
      <c r="B211" s="244" t="s">
        <v>1163</v>
      </c>
      <c r="C211" s="244" t="s">
        <v>5</v>
      </c>
      <c r="D211" s="244" t="s">
        <v>19</v>
      </c>
      <c r="E211" s="245">
        <v>44048</v>
      </c>
      <c r="F211" s="118">
        <v>1016.96</v>
      </c>
      <c r="G211" s="118">
        <f>SUMIF(CONFERÊNCIA!A:A,A211,CONFERÊNCIA!J:J)</f>
        <v>1016.96</v>
      </c>
      <c r="H211" s="119">
        <f t="shared" si="9"/>
        <v>0</v>
      </c>
      <c r="I211" s="171" t="s">
        <v>1234</v>
      </c>
    </row>
    <row r="212" spans="1:9" s="110" customFormat="1" ht="13.5" customHeight="1" x14ac:dyDescent="0.2">
      <c r="A212" s="243">
        <v>116008</v>
      </c>
      <c r="B212" s="244" t="s">
        <v>1175</v>
      </c>
      <c r="C212" s="244" t="s">
        <v>5</v>
      </c>
      <c r="D212" s="244" t="s">
        <v>0</v>
      </c>
      <c r="E212" s="245">
        <v>44207</v>
      </c>
      <c r="F212" s="118">
        <v>978.67000000000007</v>
      </c>
      <c r="G212" s="118">
        <f>SUMIF(CONFERÊNCIA!A:A,A212,CONFERÊNCIA!J:J)</f>
        <v>1016.96</v>
      </c>
      <c r="H212" s="119">
        <f t="shared" si="9"/>
        <v>38.289999999999964</v>
      </c>
      <c r="I212" s="171" t="s">
        <v>1234</v>
      </c>
    </row>
    <row r="213" spans="1:9" s="110" customFormat="1" ht="13.5" customHeight="1" x14ac:dyDescent="0.2">
      <c r="A213" s="243">
        <v>112183</v>
      </c>
      <c r="B213" s="244" t="s">
        <v>18</v>
      </c>
      <c r="C213" s="244" t="s">
        <v>5</v>
      </c>
      <c r="D213" s="244" t="s">
        <v>10</v>
      </c>
      <c r="E213" s="245">
        <v>43617</v>
      </c>
      <c r="F213" s="118">
        <v>1016.96</v>
      </c>
      <c r="G213" s="118">
        <f>SUMIF(CONFERÊNCIA!A:A,A213,CONFERÊNCIA!J:J)</f>
        <v>1016.96</v>
      </c>
      <c r="H213" s="119">
        <f t="shared" si="9"/>
        <v>0</v>
      </c>
      <c r="I213" s="171" t="s">
        <v>1234</v>
      </c>
    </row>
    <row r="214" spans="1:9" s="125" customFormat="1" ht="13.5" customHeight="1" x14ac:dyDescent="0.2">
      <c r="A214" s="243">
        <v>112184</v>
      </c>
      <c r="B214" s="244" t="s">
        <v>20</v>
      </c>
      <c r="C214" s="244" t="s">
        <v>2</v>
      </c>
      <c r="D214" s="244" t="s">
        <v>19</v>
      </c>
      <c r="E214" s="245">
        <v>43617</v>
      </c>
      <c r="F214" s="118">
        <v>1016.96</v>
      </c>
      <c r="G214" s="118">
        <f>SUMIF(CONFERÊNCIA!A:A,A214,CONFERÊNCIA!J:J)</f>
        <v>1016.96</v>
      </c>
      <c r="H214" s="120">
        <f t="shared" si="9"/>
        <v>0</v>
      </c>
      <c r="I214" s="171" t="s">
        <v>1234</v>
      </c>
    </row>
    <row r="215" spans="1:9" s="110" customFormat="1" ht="13.5" customHeight="1" x14ac:dyDescent="0.2">
      <c r="A215" s="243">
        <v>121436</v>
      </c>
      <c r="B215" s="244" t="s">
        <v>1560</v>
      </c>
      <c r="C215" s="244" t="s">
        <v>5</v>
      </c>
      <c r="D215" s="244" t="s">
        <v>1589</v>
      </c>
      <c r="E215" s="245">
        <v>44967</v>
      </c>
      <c r="F215" s="118">
        <v>1016.96</v>
      </c>
      <c r="G215" s="118">
        <f>SUMIF(CONFERÊNCIA!A:A,A215,CONFERÊNCIA!J:J)</f>
        <v>1016.96</v>
      </c>
      <c r="H215" s="119">
        <f t="shared" si="9"/>
        <v>0</v>
      </c>
      <c r="I215" s="171" t="s">
        <v>1234</v>
      </c>
    </row>
    <row r="216" spans="1:9" s="125" customFormat="1" ht="13.5" customHeight="1" x14ac:dyDescent="0.2">
      <c r="A216" s="243">
        <v>118650</v>
      </c>
      <c r="B216" s="244" t="s">
        <v>1402</v>
      </c>
      <c r="C216" s="244" t="s">
        <v>5</v>
      </c>
      <c r="D216" s="244" t="s">
        <v>1589</v>
      </c>
      <c r="E216" s="245">
        <v>44582</v>
      </c>
      <c r="F216" s="118">
        <v>1016.96</v>
      </c>
      <c r="G216" s="118">
        <f>SUMIF(CONFERÊNCIA!A:A,A216,CONFERÊNCIA!J:J)</f>
        <v>1016.96</v>
      </c>
      <c r="H216" s="120">
        <f t="shared" si="9"/>
        <v>0</v>
      </c>
      <c r="I216" s="171" t="s">
        <v>1234</v>
      </c>
    </row>
    <row r="217" spans="1:9" s="110" customFormat="1" ht="13.5" customHeight="1" x14ac:dyDescent="0.2">
      <c r="A217" s="243">
        <v>114253</v>
      </c>
      <c r="B217" s="244" t="s">
        <v>1021</v>
      </c>
      <c r="C217" s="244" t="s">
        <v>5</v>
      </c>
      <c r="D217" s="244" t="s">
        <v>0</v>
      </c>
      <c r="E217" s="245">
        <v>43804</v>
      </c>
      <c r="F217" s="118">
        <v>1016.96</v>
      </c>
      <c r="G217" s="118">
        <f>SUMIF(CONFERÊNCIA!A:A,A217,CONFERÊNCIA!J:J)</f>
        <v>1016.96</v>
      </c>
      <c r="H217" s="119">
        <f t="shared" si="9"/>
        <v>0</v>
      </c>
      <c r="I217" s="171" t="s">
        <v>1234</v>
      </c>
    </row>
    <row r="218" spans="1:9" s="125" customFormat="1" ht="13.5" customHeight="1" x14ac:dyDescent="0.2">
      <c r="A218" s="243">
        <v>114691</v>
      </c>
      <c r="B218" s="244" t="s">
        <v>1072</v>
      </c>
      <c r="C218" s="244" t="s">
        <v>5</v>
      </c>
      <c r="D218" s="244" t="s">
        <v>0</v>
      </c>
      <c r="E218" s="245">
        <v>43874</v>
      </c>
      <c r="F218" s="118">
        <v>442.73</v>
      </c>
      <c r="G218" s="118">
        <f>SUMIF(CONFERÊNCIA!A:A,A218,CONFERÊNCIA!J:J)</f>
        <v>969.03</v>
      </c>
      <c r="H218" s="120">
        <f t="shared" si="9"/>
        <v>526.29999999999995</v>
      </c>
      <c r="I218" s="171" t="s">
        <v>1235</v>
      </c>
    </row>
    <row r="219" spans="1:9" s="125" customFormat="1" ht="13.5" customHeight="1" x14ac:dyDescent="0.2">
      <c r="A219" s="243">
        <v>112186</v>
      </c>
      <c r="B219" s="244" t="s">
        <v>1561</v>
      </c>
      <c r="C219" s="244" t="s">
        <v>5</v>
      </c>
      <c r="D219" s="244" t="s">
        <v>1589</v>
      </c>
      <c r="E219" s="245">
        <v>43620</v>
      </c>
      <c r="F219" s="118">
        <v>1016.96</v>
      </c>
      <c r="G219" s="118">
        <f>SUMIF(CONFERÊNCIA!A:A,A219,CONFERÊNCIA!J:J)</f>
        <v>1016.96</v>
      </c>
      <c r="H219" s="120">
        <f t="shared" si="9"/>
        <v>0</v>
      </c>
      <c r="I219" s="171" t="s">
        <v>1234</v>
      </c>
    </row>
    <row r="220" spans="1:9" s="110" customFormat="1" ht="13.5" customHeight="1" x14ac:dyDescent="0.2">
      <c r="A220" s="243">
        <v>112187</v>
      </c>
      <c r="B220" s="244" t="s">
        <v>21</v>
      </c>
      <c r="C220" s="244" t="s">
        <v>22</v>
      </c>
      <c r="D220" s="244" t="s">
        <v>1589</v>
      </c>
      <c r="E220" s="245">
        <v>43617</v>
      </c>
      <c r="F220" s="118">
        <v>1016.96</v>
      </c>
      <c r="G220" s="118">
        <f>SUMIF(CONFERÊNCIA!A:A,A220,CONFERÊNCIA!J:J)</f>
        <v>1016.96</v>
      </c>
      <c r="H220" s="119">
        <f t="shared" ref="H220:H248" si="10">G220-F220</f>
        <v>0</v>
      </c>
      <c r="I220" s="171" t="s">
        <v>1234</v>
      </c>
    </row>
    <row r="221" spans="1:9" s="125" customFormat="1" ht="13.5" customHeight="1" x14ac:dyDescent="0.2">
      <c r="A221" s="243">
        <v>121674</v>
      </c>
      <c r="B221" s="244" t="s">
        <v>1595</v>
      </c>
      <c r="C221" s="244" t="s">
        <v>5</v>
      </c>
      <c r="D221" s="244" t="s">
        <v>1589</v>
      </c>
      <c r="E221" s="245">
        <v>44994</v>
      </c>
      <c r="F221" s="118">
        <v>1016.96</v>
      </c>
      <c r="G221" s="118">
        <f>SUMIF(CONFERÊNCIA!A:A,A221,CONFERÊNCIA!J:J)</f>
        <v>1016.96</v>
      </c>
      <c r="H221" s="120">
        <f t="shared" si="10"/>
        <v>0</v>
      </c>
      <c r="I221" s="171" t="s">
        <v>1234</v>
      </c>
    </row>
    <row r="222" spans="1:9" s="110" customFormat="1" ht="13.5" customHeight="1" x14ac:dyDescent="0.2">
      <c r="A222" s="243">
        <v>114504</v>
      </c>
      <c r="B222" s="244" t="s">
        <v>1045</v>
      </c>
      <c r="C222" s="244" t="s">
        <v>2</v>
      </c>
      <c r="D222" s="244" t="s">
        <v>0</v>
      </c>
      <c r="E222" s="245">
        <v>43811</v>
      </c>
      <c r="F222" s="118">
        <v>1016.96</v>
      </c>
      <c r="G222" s="118">
        <f>SUMIF(CONFERÊNCIA!A:A,A222,CONFERÊNCIA!J:J)</f>
        <v>1016.96</v>
      </c>
      <c r="H222" s="119">
        <f t="shared" si="10"/>
        <v>0</v>
      </c>
      <c r="I222" s="171" t="s">
        <v>1234</v>
      </c>
    </row>
    <row r="223" spans="1:9" s="125" customFormat="1" ht="13.5" customHeight="1" x14ac:dyDescent="0.2">
      <c r="A223" s="243">
        <v>112318</v>
      </c>
      <c r="B223" s="244" t="s">
        <v>104</v>
      </c>
      <c r="C223" s="244" t="s">
        <v>2</v>
      </c>
      <c r="D223" s="244" t="s">
        <v>8</v>
      </c>
      <c r="E223" s="245">
        <v>43617</v>
      </c>
      <c r="F223" s="118">
        <v>1016.96</v>
      </c>
      <c r="G223" s="118">
        <f>SUMIF(CONFERÊNCIA!A:A,A223,CONFERÊNCIA!J:J)</f>
        <v>1016.96</v>
      </c>
      <c r="H223" s="120">
        <f t="shared" si="10"/>
        <v>0</v>
      </c>
      <c r="I223" s="171" t="s">
        <v>1235</v>
      </c>
    </row>
    <row r="224" spans="1:9" s="110" customFormat="1" ht="13.5" customHeight="1" x14ac:dyDescent="0.2">
      <c r="A224" s="243">
        <v>112324</v>
      </c>
      <c r="B224" s="244" t="s">
        <v>107</v>
      </c>
      <c r="C224" s="244" t="s">
        <v>2</v>
      </c>
      <c r="D224" s="244" t="s">
        <v>0</v>
      </c>
      <c r="E224" s="245">
        <v>43617</v>
      </c>
      <c r="F224" s="118">
        <v>1016.96</v>
      </c>
      <c r="G224" s="118">
        <f>SUMIF(CONFERÊNCIA!A:A,A224,CONFERÊNCIA!J:J)</f>
        <v>1016.96</v>
      </c>
      <c r="H224" s="119">
        <f t="shared" si="10"/>
        <v>0</v>
      </c>
      <c r="I224" s="171" t="s">
        <v>1235</v>
      </c>
    </row>
    <row r="225" spans="1:9" s="125" customFormat="1" ht="13.5" customHeight="1" x14ac:dyDescent="0.2">
      <c r="A225" s="243">
        <v>112327</v>
      </c>
      <c r="B225" s="244" t="s">
        <v>109</v>
      </c>
      <c r="C225" s="244" t="s">
        <v>5</v>
      </c>
      <c r="D225" s="244" t="s">
        <v>19</v>
      </c>
      <c r="E225" s="245">
        <v>43617</v>
      </c>
      <c r="F225" s="118">
        <v>1016.96</v>
      </c>
      <c r="G225" s="118">
        <f>SUMIF(CONFERÊNCIA!A:A,A225,CONFERÊNCIA!J:J)</f>
        <v>1016.96</v>
      </c>
      <c r="H225" s="120">
        <f t="shared" si="10"/>
        <v>0</v>
      </c>
      <c r="I225" s="171" t="s">
        <v>1234</v>
      </c>
    </row>
    <row r="226" spans="1:9" s="110" customFormat="1" ht="13.5" customHeight="1" x14ac:dyDescent="0.2">
      <c r="A226" s="243">
        <v>112334</v>
      </c>
      <c r="B226" s="244" t="s">
        <v>116</v>
      </c>
      <c r="C226" s="244" t="s">
        <v>2</v>
      </c>
      <c r="D226" s="244" t="s">
        <v>19</v>
      </c>
      <c r="E226" s="245">
        <v>43617</v>
      </c>
      <c r="F226" s="118">
        <v>1016.96</v>
      </c>
      <c r="G226" s="118">
        <f>SUMIF(CONFERÊNCIA!A:A,A226,CONFERÊNCIA!J:J)</f>
        <v>1016.96</v>
      </c>
      <c r="H226" s="119">
        <f t="shared" si="10"/>
        <v>0</v>
      </c>
      <c r="I226" s="171" t="s">
        <v>1235</v>
      </c>
    </row>
    <row r="227" spans="1:9" s="110" customFormat="1" ht="13.5" customHeight="1" x14ac:dyDescent="0.2">
      <c r="A227" s="243">
        <v>112340</v>
      </c>
      <c r="B227" s="244" t="s">
        <v>119</v>
      </c>
      <c r="C227" s="244" t="s">
        <v>146</v>
      </c>
      <c r="D227" s="244" t="s">
        <v>0</v>
      </c>
      <c r="E227" s="245">
        <v>43617</v>
      </c>
      <c r="F227" s="118">
        <v>1016.96</v>
      </c>
      <c r="G227" s="118">
        <f>SUMIF(CONFERÊNCIA!A:A,A227,CONFERÊNCIA!J:J)</f>
        <v>1016.96</v>
      </c>
      <c r="H227" s="119">
        <f t="shared" si="10"/>
        <v>0</v>
      </c>
      <c r="I227" s="171" t="s">
        <v>1234</v>
      </c>
    </row>
    <row r="228" spans="1:9" s="125" customFormat="1" ht="13.5" customHeight="1" x14ac:dyDescent="0.2">
      <c r="A228" s="243">
        <v>112348</v>
      </c>
      <c r="B228" s="244" t="s">
        <v>124</v>
      </c>
      <c r="C228" s="244" t="s">
        <v>2</v>
      </c>
      <c r="D228" s="244" t="s">
        <v>8</v>
      </c>
      <c r="E228" s="245">
        <v>43617</v>
      </c>
      <c r="F228" s="118">
        <v>1016.96</v>
      </c>
      <c r="G228" s="118">
        <f>SUMIF(CONFERÊNCIA!A:A,A228,CONFERÊNCIA!J:J)</f>
        <v>1016.96</v>
      </c>
      <c r="H228" s="120">
        <f t="shared" si="10"/>
        <v>0</v>
      </c>
      <c r="I228" s="171" t="s">
        <v>1235</v>
      </c>
    </row>
    <row r="229" spans="1:9" s="125" customFormat="1" ht="13.5" customHeight="1" x14ac:dyDescent="0.2">
      <c r="A229" s="243">
        <v>122343</v>
      </c>
      <c r="B229" s="244" t="s">
        <v>1664</v>
      </c>
      <c r="C229" s="244" t="s">
        <v>2</v>
      </c>
      <c r="D229" s="244" t="s">
        <v>8</v>
      </c>
      <c r="E229" s="245">
        <v>45098</v>
      </c>
      <c r="F229" s="118">
        <v>1016.96</v>
      </c>
      <c r="G229" s="118">
        <f>SUMIF(CONFERÊNCIA!A:A,A229,CONFERÊNCIA!J:J)</f>
        <v>1016.96</v>
      </c>
      <c r="H229" s="120">
        <f t="shared" si="10"/>
        <v>0</v>
      </c>
      <c r="I229" s="171" t="s">
        <v>1234</v>
      </c>
    </row>
    <row r="230" spans="1:9" s="125" customFormat="1" ht="13.5" customHeight="1" x14ac:dyDescent="0.2">
      <c r="A230" s="243">
        <v>112443</v>
      </c>
      <c r="B230" s="244" t="s">
        <v>184</v>
      </c>
      <c r="C230" s="244" t="s">
        <v>5</v>
      </c>
      <c r="D230" s="244" t="s">
        <v>19</v>
      </c>
      <c r="E230" s="245">
        <v>43617</v>
      </c>
      <c r="F230" s="118">
        <v>1016.96</v>
      </c>
      <c r="G230" s="118">
        <f>SUMIF(CONFERÊNCIA!A:A,A230,CONFERÊNCIA!J:J)</f>
        <v>1016.96</v>
      </c>
      <c r="H230" s="120">
        <f t="shared" si="10"/>
        <v>0</v>
      </c>
      <c r="I230" s="171" t="s">
        <v>1235</v>
      </c>
    </row>
    <row r="231" spans="1:9" s="125" customFormat="1" ht="13.5" customHeight="1" x14ac:dyDescent="0.2">
      <c r="A231" s="243">
        <v>112490</v>
      </c>
      <c r="B231" s="244" t="s">
        <v>212</v>
      </c>
      <c r="C231" s="244" t="s">
        <v>22</v>
      </c>
      <c r="D231" s="244" t="s">
        <v>1589</v>
      </c>
      <c r="E231" s="245">
        <v>43617</v>
      </c>
      <c r="F231" s="118">
        <v>1016.96</v>
      </c>
      <c r="G231" s="118">
        <f>SUMIF(CONFERÊNCIA!A:A,A231,CONFERÊNCIA!J:J)</f>
        <v>1016.96</v>
      </c>
      <c r="H231" s="120">
        <f t="shared" si="10"/>
        <v>0</v>
      </c>
      <c r="I231" s="171" t="s">
        <v>1234</v>
      </c>
    </row>
    <row r="232" spans="1:9" s="110" customFormat="1" ht="13.5" customHeight="1" x14ac:dyDescent="0.2">
      <c r="A232" s="243">
        <v>112502</v>
      </c>
      <c r="B232" s="244" t="s">
        <v>220</v>
      </c>
      <c r="C232" s="244" t="s">
        <v>15</v>
      </c>
      <c r="D232" s="244" t="s">
        <v>1589</v>
      </c>
      <c r="E232" s="245">
        <v>43617</v>
      </c>
      <c r="F232" s="118">
        <v>1016.96</v>
      </c>
      <c r="G232" s="118">
        <f>SUMIF(CONFERÊNCIA!A:A,A232,CONFERÊNCIA!J:J)</f>
        <v>1016.96</v>
      </c>
      <c r="H232" s="119">
        <f t="shared" si="10"/>
        <v>0</v>
      </c>
      <c r="I232" s="171" t="s">
        <v>1235</v>
      </c>
    </row>
    <row r="233" spans="1:9" s="110" customFormat="1" ht="13.5" customHeight="1" x14ac:dyDescent="0.2">
      <c r="A233" s="243">
        <v>112521</v>
      </c>
      <c r="B233" s="244" t="s">
        <v>236</v>
      </c>
      <c r="C233" s="244" t="s">
        <v>2</v>
      </c>
      <c r="D233" s="244" t="s">
        <v>8</v>
      </c>
      <c r="E233" s="245">
        <v>43617</v>
      </c>
      <c r="F233" s="118">
        <v>1016.96</v>
      </c>
      <c r="G233" s="118">
        <f>SUMIF(CONFERÊNCIA!A:A,A233,CONFERÊNCIA!J:J)</f>
        <v>1016.96</v>
      </c>
      <c r="H233" s="119">
        <f t="shared" si="10"/>
        <v>0</v>
      </c>
      <c r="I233" s="171" t="s">
        <v>1234</v>
      </c>
    </row>
    <row r="234" spans="1:9" s="110" customFormat="1" ht="13.5" customHeight="1" x14ac:dyDescent="0.2">
      <c r="A234" s="243">
        <v>113305</v>
      </c>
      <c r="B234" s="244" t="s">
        <v>698</v>
      </c>
      <c r="C234" s="244" t="s">
        <v>2</v>
      </c>
      <c r="D234" s="244" t="s">
        <v>0</v>
      </c>
      <c r="E234" s="245">
        <v>43617</v>
      </c>
      <c r="F234" s="118">
        <v>1016.96</v>
      </c>
      <c r="G234" s="118">
        <f>SUMIF(CONFERÊNCIA!A:A,A234,CONFERÊNCIA!J:J)</f>
        <v>1016.96</v>
      </c>
      <c r="H234" s="119">
        <f t="shared" si="10"/>
        <v>0</v>
      </c>
      <c r="I234" s="171" t="s">
        <v>1234</v>
      </c>
    </row>
    <row r="235" spans="1:9" s="125" customFormat="1" ht="13.5" customHeight="1" x14ac:dyDescent="0.2">
      <c r="A235" s="243">
        <v>112525</v>
      </c>
      <c r="B235" s="244" t="s">
        <v>238</v>
      </c>
      <c r="C235" s="244" t="s">
        <v>15</v>
      </c>
      <c r="D235" s="244" t="s">
        <v>1589</v>
      </c>
      <c r="E235" s="245">
        <v>43617</v>
      </c>
      <c r="F235" s="118">
        <v>1016.96</v>
      </c>
      <c r="G235" s="118">
        <f>SUMIF(CONFERÊNCIA!A:A,A235,CONFERÊNCIA!J:J)</f>
        <v>1016.96</v>
      </c>
      <c r="H235" s="120">
        <f t="shared" si="10"/>
        <v>0</v>
      </c>
      <c r="I235" s="171" t="s">
        <v>1234</v>
      </c>
    </row>
    <row r="236" spans="1:9" s="110" customFormat="1" ht="13.5" customHeight="1" x14ac:dyDescent="0.2">
      <c r="A236" s="243">
        <v>112527</v>
      </c>
      <c r="B236" s="244" t="s">
        <v>240</v>
      </c>
      <c r="C236" s="244" t="s">
        <v>15</v>
      </c>
      <c r="D236" s="244" t="s">
        <v>1589</v>
      </c>
      <c r="E236" s="245">
        <v>43617</v>
      </c>
      <c r="F236" s="118">
        <v>1016.96</v>
      </c>
      <c r="G236" s="118">
        <f>SUMIF(CONFERÊNCIA!A:A,A236,CONFERÊNCIA!J:J)</f>
        <v>1016.96</v>
      </c>
      <c r="H236" s="119">
        <f t="shared" si="10"/>
        <v>0</v>
      </c>
      <c r="I236" s="171" t="s">
        <v>1234</v>
      </c>
    </row>
    <row r="237" spans="1:9" s="110" customFormat="1" ht="13.5" customHeight="1" x14ac:dyDescent="0.2">
      <c r="A237" s="243">
        <v>112530</v>
      </c>
      <c r="B237" s="244" t="s">
        <v>242</v>
      </c>
      <c r="C237" s="244" t="s">
        <v>15</v>
      </c>
      <c r="D237" s="244" t="s">
        <v>1589</v>
      </c>
      <c r="E237" s="245">
        <v>43617</v>
      </c>
      <c r="F237" s="118">
        <v>1016.96</v>
      </c>
      <c r="G237" s="118">
        <f>SUMIF(CONFERÊNCIA!A:A,A237,CONFERÊNCIA!J:J)</f>
        <v>1016.96</v>
      </c>
      <c r="H237" s="119">
        <f t="shared" si="10"/>
        <v>0</v>
      </c>
      <c r="I237" s="171" t="s">
        <v>1234</v>
      </c>
    </row>
    <row r="238" spans="1:9" s="125" customFormat="1" ht="13.5" customHeight="1" x14ac:dyDescent="0.2">
      <c r="A238" s="243">
        <v>112532</v>
      </c>
      <c r="B238" s="244" t="s">
        <v>244</v>
      </c>
      <c r="C238" s="244" t="s">
        <v>2</v>
      </c>
      <c r="D238" s="244" t="s">
        <v>10</v>
      </c>
      <c r="E238" s="245">
        <v>43617</v>
      </c>
      <c r="F238" s="118">
        <v>1016.96</v>
      </c>
      <c r="G238" s="118">
        <f>SUMIF(CONFERÊNCIA!A:A,A238,CONFERÊNCIA!J:J)</f>
        <v>1016.96</v>
      </c>
      <c r="H238" s="120">
        <f t="shared" si="10"/>
        <v>0</v>
      </c>
      <c r="I238" s="171" t="s">
        <v>1234</v>
      </c>
    </row>
    <row r="239" spans="1:9" s="110" customFormat="1" ht="13.5" customHeight="1" x14ac:dyDescent="0.2">
      <c r="A239" s="243">
        <v>112533</v>
      </c>
      <c r="B239" s="244" t="s">
        <v>245</v>
      </c>
      <c r="C239" s="244" t="s">
        <v>2</v>
      </c>
      <c r="D239" s="244" t="s">
        <v>0</v>
      </c>
      <c r="E239" s="245">
        <v>43617</v>
      </c>
      <c r="F239" s="118">
        <v>1016.96</v>
      </c>
      <c r="G239" s="118">
        <f>SUMIF(CONFERÊNCIA!A:A,A239,CONFERÊNCIA!J:J)</f>
        <v>1016.96</v>
      </c>
      <c r="H239" s="119">
        <f t="shared" si="10"/>
        <v>0</v>
      </c>
      <c r="I239" s="171" t="s">
        <v>1234</v>
      </c>
    </row>
    <row r="240" spans="1:9" s="125" customFormat="1" ht="13.5" customHeight="1" x14ac:dyDescent="0.2">
      <c r="A240" s="243">
        <v>112535</v>
      </c>
      <c r="B240" s="244" t="s">
        <v>247</v>
      </c>
      <c r="C240" s="244" t="s">
        <v>2</v>
      </c>
      <c r="D240" s="244" t="s">
        <v>8</v>
      </c>
      <c r="E240" s="245">
        <v>43617</v>
      </c>
      <c r="F240" s="118">
        <v>1016.96</v>
      </c>
      <c r="G240" s="118">
        <f>SUMIF(CONFERÊNCIA!A:A,A240,CONFERÊNCIA!J:J)</f>
        <v>1016.96</v>
      </c>
      <c r="H240" s="120">
        <f t="shared" si="10"/>
        <v>0</v>
      </c>
      <c r="I240" s="171" t="s">
        <v>1235</v>
      </c>
    </row>
    <row r="241" spans="1:9" s="110" customFormat="1" ht="13.5" customHeight="1" x14ac:dyDescent="0.2">
      <c r="A241" s="243">
        <v>112538</v>
      </c>
      <c r="B241" s="244" t="s">
        <v>249</v>
      </c>
      <c r="C241" s="244" t="s">
        <v>2</v>
      </c>
      <c r="D241" s="244" t="s">
        <v>10</v>
      </c>
      <c r="E241" s="245">
        <v>43617</v>
      </c>
      <c r="F241" s="118">
        <v>1016.96</v>
      </c>
      <c r="G241" s="118">
        <f>SUMIF(CONFERÊNCIA!A:A,A241,CONFERÊNCIA!J:J)</f>
        <v>1016.96</v>
      </c>
      <c r="H241" s="119">
        <f t="shared" si="10"/>
        <v>0</v>
      </c>
      <c r="I241" s="171" t="s">
        <v>1234</v>
      </c>
    </row>
    <row r="242" spans="1:9" s="125" customFormat="1" ht="13.5" customHeight="1" x14ac:dyDescent="0.2">
      <c r="A242" s="243">
        <v>114537</v>
      </c>
      <c r="B242" s="244" t="s">
        <v>1054</v>
      </c>
      <c r="C242" s="244" t="s">
        <v>5</v>
      </c>
      <c r="D242" s="244" t="s">
        <v>8</v>
      </c>
      <c r="E242" s="245">
        <v>43817</v>
      </c>
      <c r="F242" s="118">
        <v>1016.96</v>
      </c>
      <c r="G242" s="118">
        <f>SUMIF(CONFERÊNCIA!A:A,A242,CONFERÊNCIA!J:J)</f>
        <v>1016.96</v>
      </c>
      <c r="H242" s="120">
        <f t="shared" si="10"/>
        <v>0</v>
      </c>
      <c r="I242" s="171" t="s">
        <v>1235</v>
      </c>
    </row>
    <row r="243" spans="1:9" s="110" customFormat="1" ht="13.5" customHeight="1" x14ac:dyDescent="0.2">
      <c r="A243" s="243">
        <v>115218</v>
      </c>
      <c r="B243" s="244" t="s">
        <v>1147</v>
      </c>
      <c r="C243" s="244" t="s">
        <v>5</v>
      </c>
      <c r="D243" s="244" t="s">
        <v>19</v>
      </c>
      <c r="E243" s="245">
        <v>44018</v>
      </c>
      <c r="F243" s="118">
        <v>1016.96</v>
      </c>
      <c r="G243" s="118">
        <f>SUMIF(CONFERÊNCIA!A:A,A243,CONFERÊNCIA!J:J)</f>
        <v>1016.96</v>
      </c>
      <c r="H243" s="119">
        <f t="shared" si="10"/>
        <v>0</v>
      </c>
      <c r="I243" s="171" t="s">
        <v>1234</v>
      </c>
    </row>
    <row r="244" spans="1:9" s="110" customFormat="1" ht="13.5" customHeight="1" x14ac:dyDescent="0.2">
      <c r="A244" s="243">
        <v>112548</v>
      </c>
      <c r="B244" s="244" t="s">
        <v>258</v>
      </c>
      <c r="C244" s="244" t="s">
        <v>39</v>
      </c>
      <c r="D244" s="244" t="s">
        <v>32</v>
      </c>
      <c r="E244" s="245">
        <v>43617</v>
      </c>
      <c r="F244" s="118">
        <v>1016.96</v>
      </c>
      <c r="G244" s="118">
        <f>SUMIF(CONFERÊNCIA!A:A,A244,CONFERÊNCIA!J:J)</f>
        <v>1016.96</v>
      </c>
      <c r="H244" s="119">
        <f t="shared" si="10"/>
        <v>0</v>
      </c>
      <c r="I244" s="171" t="s">
        <v>1234</v>
      </c>
    </row>
    <row r="245" spans="1:9" s="110" customFormat="1" ht="13.5" customHeight="1" x14ac:dyDescent="0.2">
      <c r="A245" s="243">
        <v>116072</v>
      </c>
      <c r="B245" s="244" t="s">
        <v>1183</v>
      </c>
      <c r="C245" s="244" t="s">
        <v>228</v>
      </c>
      <c r="D245" s="244" t="s">
        <v>1589</v>
      </c>
      <c r="E245" s="245">
        <v>44216</v>
      </c>
      <c r="F245" s="118">
        <v>1016.96</v>
      </c>
      <c r="G245" s="118">
        <f>SUMIF(CONFERÊNCIA!A:A,A245,CONFERÊNCIA!J:J)</f>
        <v>1016.96</v>
      </c>
      <c r="H245" s="119">
        <f t="shared" si="10"/>
        <v>0</v>
      </c>
      <c r="I245" s="171" t="s">
        <v>1234</v>
      </c>
    </row>
    <row r="246" spans="1:9" s="125" customFormat="1" ht="13.5" customHeight="1" x14ac:dyDescent="0.2">
      <c r="A246" s="243">
        <v>112551</v>
      </c>
      <c r="B246" s="244" t="s">
        <v>260</v>
      </c>
      <c r="C246" s="244" t="s">
        <v>39</v>
      </c>
      <c r="D246" s="244" t="s">
        <v>19</v>
      </c>
      <c r="E246" s="245">
        <v>43617</v>
      </c>
      <c r="F246" s="118">
        <v>1016.96</v>
      </c>
      <c r="G246" s="118">
        <f>SUMIF(CONFERÊNCIA!A:A,A246,CONFERÊNCIA!J:J)</f>
        <v>1016.96</v>
      </c>
      <c r="H246" s="120">
        <f t="shared" si="10"/>
        <v>0</v>
      </c>
      <c r="I246" s="171" t="s">
        <v>1234</v>
      </c>
    </row>
    <row r="247" spans="1:9" s="125" customFormat="1" ht="13.5" customHeight="1" x14ac:dyDescent="0.2">
      <c r="A247" s="243">
        <v>115415</v>
      </c>
      <c r="B247" s="244" t="s">
        <v>1164</v>
      </c>
      <c r="C247" s="244" t="s">
        <v>5</v>
      </c>
      <c r="D247" s="244" t="s">
        <v>0</v>
      </c>
      <c r="E247" s="245">
        <v>44048</v>
      </c>
      <c r="F247" s="118">
        <v>1016.96</v>
      </c>
      <c r="G247" s="118">
        <f>SUMIF(CONFERÊNCIA!A:A,A247,CONFERÊNCIA!J:J)</f>
        <v>1016.96</v>
      </c>
      <c r="H247" s="120">
        <f t="shared" si="10"/>
        <v>0</v>
      </c>
      <c r="I247" s="171" t="s">
        <v>1234</v>
      </c>
    </row>
    <row r="248" spans="1:9" s="110" customFormat="1" ht="13.5" customHeight="1" x14ac:dyDescent="0.2">
      <c r="A248" s="243">
        <v>112553</v>
      </c>
      <c r="B248" s="244" t="s">
        <v>261</v>
      </c>
      <c r="C248" s="244" t="s">
        <v>2</v>
      </c>
      <c r="D248" s="244" t="s">
        <v>8</v>
      </c>
      <c r="E248" s="245">
        <v>43617</v>
      </c>
      <c r="F248" s="118">
        <v>1016.96</v>
      </c>
      <c r="G248" s="118">
        <f>SUMIF(CONFERÊNCIA!A:A,A248,CONFERÊNCIA!J:J)</f>
        <v>1016.96</v>
      </c>
      <c r="H248" s="119">
        <f t="shared" si="10"/>
        <v>0</v>
      </c>
      <c r="I248" s="171" t="s">
        <v>1235</v>
      </c>
    </row>
    <row r="249" spans="1:9" s="110" customFormat="1" ht="13.5" customHeight="1" x14ac:dyDescent="0.2">
      <c r="A249" s="243">
        <v>112555</v>
      </c>
      <c r="B249" s="244" t="s">
        <v>262</v>
      </c>
      <c r="C249" s="244" t="s">
        <v>2</v>
      </c>
      <c r="D249" s="244" t="s">
        <v>8</v>
      </c>
      <c r="E249" s="245">
        <v>43617</v>
      </c>
      <c r="F249" s="118">
        <v>1016.96</v>
      </c>
      <c r="G249" s="118">
        <f>SUMIF(CONFERÊNCIA!A:A,A249,CONFERÊNCIA!J:J)</f>
        <v>1016.96</v>
      </c>
      <c r="H249" s="119">
        <f t="shared" ref="H249:H268" si="11">G249-F249</f>
        <v>0</v>
      </c>
      <c r="I249" s="171" t="s">
        <v>1235</v>
      </c>
    </row>
    <row r="250" spans="1:9" s="110" customFormat="1" ht="13.5" customHeight="1" x14ac:dyDescent="0.2">
      <c r="A250" s="243">
        <v>112557</v>
      </c>
      <c r="B250" s="244" t="s">
        <v>263</v>
      </c>
      <c r="C250" s="244" t="s">
        <v>22</v>
      </c>
      <c r="D250" s="244" t="s">
        <v>1589</v>
      </c>
      <c r="E250" s="245">
        <v>43617</v>
      </c>
      <c r="F250" s="118">
        <v>1016.96</v>
      </c>
      <c r="G250" s="118">
        <f>SUMIF(CONFERÊNCIA!A:A,A250,CONFERÊNCIA!J:J)</f>
        <v>1016.96</v>
      </c>
      <c r="H250" s="119">
        <f t="shared" si="11"/>
        <v>0</v>
      </c>
      <c r="I250" s="171" t="s">
        <v>1234</v>
      </c>
    </row>
    <row r="251" spans="1:9" s="125" customFormat="1" ht="13.5" customHeight="1" x14ac:dyDescent="0.2">
      <c r="A251" s="243">
        <v>112559</v>
      </c>
      <c r="B251" s="244" t="s">
        <v>265</v>
      </c>
      <c r="C251" s="244" t="s">
        <v>2</v>
      </c>
      <c r="D251" s="244" t="s">
        <v>0</v>
      </c>
      <c r="E251" s="245">
        <v>43617</v>
      </c>
      <c r="F251" s="118">
        <v>1016.96</v>
      </c>
      <c r="G251" s="118">
        <f>SUMIF(CONFERÊNCIA!A:A,A251,CONFERÊNCIA!J:J)</f>
        <v>1016.96</v>
      </c>
      <c r="H251" s="120">
        <f t="shared" si="11"/>
        <v>0</v>
      </c>
      <c r="I251" s="171" t="s">
        <v>1234</v>
      </c>
    </row>
    <row r="252" spans="1:9" s="110" customFormat="1" ht="13.5" customHeight="1" x14ac:dyDescent="0.2">
      <c r="A252" s="243">
        <v>112561</v>
      </c>
      <c r="B252" s="244" t="s">
        <v>266</v>
      </c>
      <c r="C252" s="244" t="s">
        <v>2</v>
      </c>
      <c r="D252" s="244" t="s">
        <v>10</v>
      </c>
      <c r="E252" s="245">
        <v>43617</v>
      </c>
      <c r="F252" s="118">
        <v>1016.96</v>
      </c>
      <c r="G252" s="118">
        <f>SUMIF(CONFERÊNCIA!A:A,A252,CONFERÊNCIA!J:J)</f>
        <v>1016.96</v>
      </c>
      <c r="H252" s="119">
        <f t="shared" si="11"/>
        <v>0</v>
      </c>
      <c r="I252" s="171" t="s">
        <v>1234</v>
      </c>
    </row>
    <row r="253" spans="1:9" s="125" customFormat="1" ht="13.5" customHeight="1" x14ac:dyDescent="0.2">
      <c r="A253" s="243">
        <v>116731</v>
      </c>
      <c r="B253" s="244" t="s">
        <v>1227</v>
      </c>
      <c r="C253" s="244" t="s">
        <v>15</v>
      </c>
      <c r="D253" s="244" t="s">
        <v>1589</v>
      </c>
      <c r="E253" s="245">
        <v>44368</v>
      </c>
      <c r="F253" s="118">
        <v>1016.96</v>
      </c>
      <c r="G253" s="118">
        <f>SUMIF(CONFERÊNCIA!A:A,A253,CONFERÊNCIA!J:J)</f>
        <v>1016.96</v>
      </c>
      <c r="H253" s="120">
        <f t="shared" si="11"/>
        <v>0</v>
      </c>
      <c r="I253" s="171" t="s">
        <v>1234</v>
      </c>
    </row>
    <row r="254" spans="1:9" s="125" customFormat="1" ht="13.5" customHeight="1" x14ac:dyDescent="0.2">
      <c r="A254" s="243">
        <v>112563</v>
      </c>
      <c r="B254" s="244" t="s">
        <v>267</v>
      </c>
      <c r="C254" s="244" t="s">
        <v>2</v>
      </c>
      <c r="D254" s="244" t="s">
        <v>0</v>
      </c>
      <c r="E254" s="245">
        <v>43617</v>
      </c>
      <c r="F254" s="118">
        <v>1016.96</v>
      </c>
      <c r="G254" s="118">
        <f>SUMIF(CONFERÊNCIA!A:A,A254,CONFERÊNCIA!J:J)</f>
        <v>1016.96</v>
      </c>
      <c r="H254" s="120">
        <f t="shared" si="11"/>
        <v>0</v>
      </c>
      <c r="I254" s="171" t="s">
        <v>1234</v>
      </c>
    </row>
    <row r="255" spans="1:9" s="110" customFormat="1" ht="13.5" customHeight="1" x14ac:dyDescent="0.2">
      <c r="A255" s="243">
        <v>119109</v>
      </c>
      <c r="B255" s="244" t="s">
        <v>1440</v>
      </c>
      <c r="C255" s="244" t="s">
        <v>5</v>
      </c>
      <c r="D255" s="244" t="s">
        <v>1589</v>
      </c>
      <c r="E255" s="245">
        <v>44630</v>
      </c>
      <c r="F255" s="118">
        <v>978.67000000000007</v>
      </c>
      <c r="G255" s="118">
        <f>SUMIF(CONFERÊNCIA!A:A,A255,CONFERÊNCIA!J:J)</f>
        <v>1016.96</v>
      </c>
      <c r="H255" s="119">
        <f t="shared" si="11"/>
        <v>38.289999999999964</v>
      </c>
      <c r="I255" s="171" t="s">
        <v>1234</v>
      </c>
    </row>
    <row r="256" spans="1:9" s="125" customFormat="1" ht="13.5" customHeight="1" x14ac:dyDescent="0.2">
      <c r="A256" s="243">
        <v>116315</v>
      </c>
      <c r="B256" s="244" t="s">
        <v>1204</v>
      </c>
      <c r="C256" s="244" t="s">
        <v>5</v>
      </c>
      <c r="D256" s="244" t="s">
        <v>32</v>
      </c>
      <c r="E256" s="245">
        <v>44308</v>
      </c>
      <c r="F256" s="118">
        <v>1016.96</v>
      </c>
      <c r="G256" s="118">
        <f>SUMIF(CONFERÊNCIA!A:A,A256,CONFERÊNCIA!J:J)</f>
        <v>1016.96</v>
      </c>
      <c r="H256" s="120">
        <f t="shared" si="11"/>
        <v>0</v>
      </c>
      <c r="I256" s="171" t="s">
        <v>1234</v>
      </c>
    </row>
    <row r="257" spans="1:9" s="110" customFormat="1" ht="13.5" customHeight="1" x14ac:dyDescent="0.2">
      <c r="A257" s="243">
        <v>112568</v>
      </c>
      <c r="B257" s="244" t="s">
        <v>270</v>
      </c>
      <c r="C257" s="244" t="s">
        <v>15</v>
      </c>
      <c r="D257" s="244" t="s">
        <v>1589</v>
      </c>
      <c r="E257" s="245">
        <v>43617</v>
      </c>
      <c r="F257" s="118">
        <v>1016.96</v>
      </c>
      <c r="G257" s="118">
        <f>SUMIF(CONFERÊNCIA!A:A,A257,CONFERÊNCIA!J:J)</f>
        <v>1016.96</v>
      </c>
      <c r="H257" s="119">
        <f t="shared" si="11"/>
        <v>0</v>
      </c>
      <c r="I257" s="171" t="s">
        <v>1234</v>
      </c>
    </row>
    <row r="258" spans="1:9" s="125" customFormat="1" ht="13.5" customHeight="1" x14ac:dyDescent="0.2">
      <c r="A258" s="243">
        <v>115406</v>
      </c>
      <c r="B258" s="244" t="s">
        <v>1160</v>
      </c>
      <c r="C258" s="244" t="s">
        <v>5</v>
      </c>
      <c r="D258" s="244" t="s">
        <v>0</v>
      </c>
      <c r="E258" s="245">
        <v>44048</v>
      </c>
      <c r="F258" s="118">
        <v>1016.96</v>
      </c>
      <c r="G258" s="118">
        <f>SUMIF(CONFERÊNCIA!A:A,A258,CONFERÊNCIA!J:J)</f>
        <v>1016.96</v>
      </c>
      <c r="H258" s="120">
        <f t="shared" si="11"/>
        <v>0</v>
      </c>
      <c r="I258" s="171" t="s">
        <v>1234</v>
      </c>
    </row>
    <row r="259" spans="1:9" s="110" customFormat="1" ht="13.5" customHeight="1" x14ac:dyDescent="0.2">
      <c r="A259" s="243">
        <v>112576</v>
      </c>
      <c r="B259" s="244" t="s">
        <v>273</v>
      </c>
      <c r="C259" s="244" t="s">
        <v>2</v>
      </c>
      <c r="D259" s="244" t="s">
        <v>8</v>
      </c>
      <c r="E259" s="245">
        <v>43617</v>
      </c>
      <c r="F259" s="118">
        <v>1016.96</v>
      </c>
      <c r="G259" s="118">
        <f>SUMIF(CONFERÊNCIA!A:A,A259,CONFERÊNCIA!J:J)</f>
        <v>1016.96</v>
      </c>
      <c r="H259" s="119">
        <f t="shared" si="11"/>
        <v>0</v>
      </c>
      <c r="I259" s="171" t="s">
        <v>1235</v>
      </c>
    </row>
    <row r="260" spans="1:9" s="110" customFormat="1" ht="13.5" customHeight="1" x14ac:dyDescent="0.2">
      <c r="A260" s="243">
        <v>112581</v>
      </c>
      <c r="B260" s="244" t="s">
        <v>277</v>
      </c>
      <c r="C260" s="244" t="s">
        <v>5</v>
      </c>
      <c r="D260" s="244" t="s">
        <v>1589</v>
      </c>
      <c r="E260" s="245">
        <v>43617</v>
      </c>
      <c r="F260" s="118">
        <v>1016.96</v>
      </c>
      <c r="G260" s="118">
        <f>SUMIF(CONFERÊNCIA!A:A,A260,CONFERÊNCIA!J:J)</f>
        <v>1016.96</v>
      </c>
      <c r="H260" s="119">
        <f t="shared" si="11"/>
        <v>0</v>
      </c>
      <c r="I260" s="171" t="s">
        <v>1234</v>
      </c>
    </row>
    <row r="261" spans="1:9" s="125" customFormat="1" ht="13.5" customHeight="1" x14ac:dyDescent="0.2">
      <c r="A261" s="243">
        <v>112587</v>
      </c>
      <c r="B261" s="244" t="s">
        <v>280</v>
      </c>
      <c r="C261" s="244" t="s">
        <v>2</v>
      </c>
      <c r="D261" s="244" t="s">
        <v>0</v>
      </c>
      <c r="E261" s="245">
        <v>43617</v>
      </c>
      <c r="F261" s="118">
        <v>1016.96</v>
      </c>
      <c r="G261" s="118">
        <f>SUMIF(CONFERÊNCIA!A:A,A261,CONFERÊNCIA!J:J)</f>
        <v>1016.96</v>
      </c>
      <c r="H261" s="120">
        <f t="shared" si="11"/>
        <v>0</v>
      </c>
      <c r="I261" s="171" t="s">
        <v>1234</v>
      </c>
    </row>
    <row r="262" spans="1:9" s="110" customFormat="1" ht="13.5" customHeight="1" x14ac:dyDescent="0.2">
      <c r="A262" s="243">
        <v>114805</v>
      </c>
      <c r="B262" s="244" t="s">
        <v>1107</v>
      </c>
      <c r="C262" s="244" t="s">
        <v>15</v>
      </c>
      <c r="D262" s="244" t="s">
        <v>1589</v>
      </c>
      <c r="E262" s="245">
        <v>43881</v>
      </c>
      <c r="F262" s="118">
        <v>1016.96</v>
      </c>
      <c r="G262" s="118">
        <f>SUMIF(CONFERÊNCIA!A:A,A262,CONFERÊNCIA!J:J)</f>
        <v>1016.96</v>
      </c>
      <c r="H262" s="119">
        <f t="shared" si="11"/>
        <v>0</v>
      </c>
      <c r="I262" s="171" t="s">
        <v>1234</v>
      </c>
    </row>
    <row r="263" spans="1:9" s="125" customFormat="1" ht="13.5" customHeight="1" x14ac:dyDescent="0.2">
      <c r="A263" s="243">
        <v>114526</v>
      </c>
      <c r="B263" s="244" t="s">
        <v>1051</v>
      </c>
      <c r="C263" s="244" t="s">
        <v>15</v>
      </c>
      <c r="D263" s="244" t="s">
        <v>1589</v>
      </c>
      <c r="E263" s="245">
        <v>43813</v>
      </c>
      <c r="F263" s="118">
        <v>1016.96</v>
      </c>
      <c r="G263" s="118">
        <f>SUMIF(CONFERÊNCIA!A:A,A263,CONFERÊNCIA!J:J)</f>
        <v>1016.96</v>
      </c>
      <c r="H263" s="120">
        <f t="shared" si="11"/>
        <v>0</v>
      </c>
      <c r="I263" s="171" t="s">
        <v>1234</v>
      </c>
    </row>
    <row r="264" spans="1:9" s="110" customFormat="1" ht="13.5" customHeight="1" x14ac:dyDescent="0.2">
      <c r="A264" s="243">
        <v>121328</v>
      </c>
      <c r="B264" s="244" t="s">
        <v>1533</v>
      </c>
      <c r="C264" s="244" t="s">
        <v>5</v>
      </c>
      <c r="D264" s="244" t="s">
        <v>8</v>
      </c>
      <c r="E264" s="245">
        <v>44945</v>
      </c>
      <c r="F264" s="118">
        <v>1016.96</v>
      </c>
      <c r="G264" s="118">
        <f>SUMIF(CONFERÊNCIA!A:A,A264,CONFERÊNCIA!J:J)</f>
        <v>1016.96</v>
      </c>
      <c r="H264" s="119">
        <f t="shared" si="11"/>
        <v>0</v>
      </c>
      <c r="I264" s="171" t="s">
        <v>1234</v>
      </c>
    </row>
    <row r="265" spans="1:9" s="125" customFormat="1" ht="13.5" customHeight="1" x14ac:dyDescent="0.2">
      <c r="A265" s="243">
        <v>112594</v>
      </c>
      <c r="B265" s="244" t="s">
        <v>284</v>
      </c>
      <c r="C265" s="244" t="s">
        <v>2</v>
      </c>
      <c r="D265" s="244" t="s">
        <v>32</v>
      </c>
      <c r="E265" s="245">
        <v>43617</v>
      </c>
      <c r="F265" s="118">
        <v>1016.96</v>
      </c>
      <c r="G265" s="118">
        <f>SUMIF(CONFERÊNCIA!A:A,A265,CONFERÊNCIA!J:J)</f>
        <v>1016.96</v>
      </c>
      <c r="H265" s="120">
        <f t="shared" si="11"/>
        <v>0</v>
      </c>
      <c r="I265" s="171" t="s">
        <v>1234</v>
      </c>
    </row>
    <row r="266" spans="1:9" s="110" customFormat="1" ht="13.5" customHeight="1" x14ac:dyDescent="0.2">
      <c r="A266" s="243">
        <v>114693</v>
      </c>
      <c r="B266" s="244" t="s">
        <v>1073</v>
      </c>
      <c r="C266" s="244" t="s">
        <v>5</v>
      </c>
      <c r="D266" s="244" t="s">
        <v>0</v>
      </c>
      <c r="E266" s="245">
        <v>43874</v>
      </c>
      <c r="F266" s="118">
        <v>1016.96</v>
      </c>
      <c r="G266" s="118">
        <f>SUMIF(CONFERÊNCIA!A:A,A266,CONFERÊNCIA!J:J)</f>
        <v>1016.96</v>
      </c>
      <c r="H266" s="119">
        <f t="shared" si="11"/>
        <v>0</v>
      </c>
      <c r="I266" s="171" t="s">
        <v>1234</v>
      </c>
    </row>
    <row r="267" spans="1:9" s="110" customFormat="1" ht="13.5" customHeight="1" x14ac:dyDescent="0.2">
      <c r="A267" s="243">
        <v>112610</v>
      </c>
      <c r="B267" s="244" t="s">
        <v>295</v>
      </c>
      <c r="C267" s="244" t="s">
        <v>5</v>
      </c>
      <c r="D267" s="244" t="s">
        <v>19</v>
      </c>
      <c r="E267" s="245">
        <v>43617</v>
      </c>
      <c r="F267" s="118">
        <v>1016.96</v>
      </c>
      <c r="G267" s="118">
        <f>SUMIF(CONFERÊNCIA!A:A,A267,CONFERÊNCIA!J:J)</f>
        <v>1016.96</v>
      </c>
      <c r="H267" s="119">
        <f t="shared" si="11"/>
        <v>0</v>
      </c>
      <c r="I267" s="171" t="s">
        <v>1234</v>
      </c>
    </row>
    <row r="268" spans="1:9" s="125" customFormat="1" ht="13.5" customHeight="1" x14ac:dyDescent="0.2">
      <c r="A268" s="243">
        <v>112613</v>
      </c>
      <c r="B268" s="244" t="s">
        <v>298</v>
      </c>
      <c r="C268" s="244" t="s">
        <v>5</v>
      </c>
      <c r="D268" s="244" t="s">
        <v>8</v>
      </c>
      <c r="E268" s="245">
        <v>43617</v>
      </c>
      <c r="F268" s="118">
        <v>1016.96</v>
      </c>
      <c r="G268" s="118">
        <f>SUMIF(CONFERÊNCIA!A:A,A268,CONFERÊNCIA!J:J)</f>
        <v>1016.96</v>
      </c>
      <c r="H268" s="120">
        <f t="shared" si="11"/>
        <v>0</v>
      </c>
      <c r="I268" s="171" t="s">
        <v>1234</v>
      </c>
    </row>
    <row r="269" spans="1:9" s="110" customFormat="1" ht="13.5" customHeight="1" x14ac:dyDescent="0.2">
      <c r="A269" s="243">
        <v>112620</v>
      </c>
      <c r="B269" s="244" t="s">
        <v>304</v>
      </c>
      <c r="C269" s="244" t="s">
        <v>5</v>
      </c>
      <c r="D269" s="244" t="s">
        <v>10</v>
      </c>
      <c r="E269" s="245">
        <v>43617</v>
      </c>
      <c r="F269" s="118">
        <v>1016.96</v>
      </c>
      <c r="G269" s="118">
        <f>SUMIF(CONFERÊNCIA!A:A,A269,CONFERÊNCIA!J:J)</f>
        <v>1016.96</v>
      </c>
      <c r="H269" s="119">
        <f t="shared" ref="H269:H298" si="12">G269-F269</f>
        <v>0</v>
      </c>
      <c r="I269" s="171" t="s">
        <v>1234</v>
      </c>
    </row>
    <row r="270" spans="1:9" s="125" customFormat="1" ht="13.5" customHeight="1" x14ac:dyDescent="0.2">
      <c r="A270" s="243">
        <v>112634</v>
      </c>
      <c r="B270" s="244" t="s">
        <v>312</v>
      </c>
      <c r="C270" s="244" t="s">
        <v>2</v>
      </c>
      <c r="D270" s="244" t="s">
        <v>0</v>
      </c>
      <c r="E270" s="245">
        <v>43617</v>
      </c>
      <c r="F270" s="118">
        <v>1016.95</v>
      </c>
      <c r="G270" s="118">
        <f>SUMIF(CONFERÊNCIA!A:A,A270,CONFERÊNCIA!J:J)</f>
        <v>1016.96</v>
      </c>
      <c r="H270" s="120">
        <f t="shared" si="12"/>
        <v>9.9999999999909051E-3</v>
      </c>
      <c r="I270" s="171" t="s">
        <v>1234</v>
      </c>
    </row>
    <row r="271" spans="1:9" s="110" customFormat="1" ht="13.5" customHeight="1" x14ac:dyDescent="0.2">
      <c r="A271" s="243">
        <v>116712</v>
      </c>
      <c r="B271" s="244" t="s">
        <v>1218</v>
      </c>
      <c r="C271" s="244" t="s">
        <v>5</v>
      </c>
      <c r="D271" s="244" t="s">
        <v>10</v>
      </c>
      <c r="E271" s="245">
        <v>44368</v>
      </c>
      <c r="F271" s="118">
        <v>1016.96</v>
      </c>
      <c r="G271" s="118">
        <f>SUMIF(CONFERÊNCIA!A:A,A271,CONFERÊNCIA!J:J)</f>
        <v>1016.96</v>
      </c>
      <c r="H271" s="119">
        <f t="shared" si="12"/>
        <v>0</v>
      </c>
      <c r="I271" s="171" t="s">
        <v>1234</v>
      </c>
    </row>
    <row r="272" spans="1:9" s="125" customFormat="1" ht="13.5" customHeight="1" x14ac:dyDescent="0.2">
      <c r="A272" s="243">
        <v>116973</v>
      </c>
      <c r="B272" s="244" t="s">
        <v>1242</v>
      </c>
      <c r="C272" s="244" t="s">
        <v>5</v>
      </c>
      <c r="D272" s="244" t="s">
        <v>0</v>
      </c>
      <c r="E272" s="245">
        <v>44419</v>
      </c>
      <c r="F272" s="118">
        <v>978.67000000000007</v>
      </c>
      <c r="G272" s="118">
        <f>SUMIF(CONFERÊNCIA!A:A,A272,CONFERÊNCIA!J:J)</f>
        <v>940.39</v>
      </c>
      <c r="H272" s="120">
        <f t="shared" si="12"/>
        <v>-38.280000000000086</v>
      </c>
      <c r="I272" s="171" t="s">
        <v>1234</v>
      </c>
    </row>
    <row r="273" spans="1:9" s="110" customFormat="1" ht="13.5" customHeight="1" x14ac:dyDescent="0.2">
      <c r="A273" s="243">
        <v>112797</v>
      </c>
      <c r="B273" s="244" t="s">
        <v>417</v>
      </c>
      <c r="C273" s="244" t="s">
        <v>2</v>
      </c>
      <c r="D273" s="244" t="s">
        <v>0</v>
      </c>
      <c r="E273" s="245">
        <v>43617</v>
      </c>
      <c r="F273" s="118">
        <v>1016.96</v>
      </c>
      <c r="G273" s="118">
        <f>SUMIF(CONFERÊNCIA!A:A,A273,CONFERÊNCIA!J:J)</f>
        <v>1016.96</v>
      </c>
      <c r="H273" s="119">
        <f t="shared" si="12"/>
        <v>0</v>
      </c>
      <c r="I273" s="171" t="s">
        <v>1234</v>
      </c>
    </row>
    <row r="274" spans="1:9" s="110" customFormat="1" ht="13.5" customHeight="1" x14ac:dyDescent="0.2">
      <c r="A274" s="243">
        <v>112851</v>
      </c>
      <c r="B274" s="244" t="s">
        <v>454</v>
      </c>
      <c r="C274" s="244" t="s">
        <v>5</v>
      </c>
      <c r="D274" s="244" t="s">
        <v>8</v>
      </c>
      <c r="E274" s="245">
        <v>43617</v>
      </c>
      <c r="F274" s="118">
        <v>1016.96</v>
      </c>
      <c r="G274" s="118">
        <f>SUMIF(CONFERÊNCIA!A:A,A274,CONFERÊNCIA!J:J)</f>
        <v>1016.96</v>
      </c>
      <c r="H274" s="119">
        <f t="shared" si="12"/>
        <v>0</v>
      </c>
      <c r="I274" s="171" t="s">
        <v>1234</v>
      </c>
    </row>
    <row r="275" spans="1:9" s="125" customFormat="1" ht="13.5" customHeight="1" x14ac:dyDescent="0.2">
      <c r="A275" s="243">
        <v>112855</v>
      </c>
      <c r="B275" s="244" t="s">
        <v>456</v>
      </c>
      <c r="C275" s="244" t="s">
        <v>5</v>
      </c>
      <c r="D275" s="244" t="s">
        <v>0</v>
      </c>
      <c r="E275" s="245">
        <v>43617</v>
      </c>
      <c r="F275" s="118">
        <v>1016.96</v>
      </c>
      <c r="G275" s="118">
        <f>SUMIF(CONFERÊNCIA!A:A,A275,CONFERÊNCIA!J:J)</f>
        <v>1016.96</v>
      </c>
      <c r="H275" s="120">
        <f t="shared" si="12"/>
        <v>0</v>
      </c>
      <c r="I275" s="171" t="s">
        <v>1234</v>
      </c>
    </row>
    <row r="276" spans="1:9" s="110" customFormat="1" ht="13.5" customHeight="1" x14ac:dyDescent="0.2">
      <c r="A276" s="243">
        <v>112860</v>
      </c>
      <c r="B276" s="244" t="s">
        <v>458</v>
      </c>
      <c r="C276" s="244" t="s">
        <v>5</v>
      </c>
      <c r="D276" s="244" t="s">
        <v>1589</v>
      </c>
      <c r="E276" s="245">
        <v>43617</v>
      </c>
      <c r="F276" s="118">
        <v>1016.96</v>
      </c>
      <c r="G276" s="118">
        <f>SUMIF(CONFERÊNCIA!A:A,A276,CONFERÊNCIA!J:J)</f>
        <v>1016.96</v>
      </c>
      <c r="H276" s="119">
        <f t="shared" si="12"/>
        <v>0</v>
      </c>
      <c r="I276" s="171" t="s">
        <v>1234</v>
      </c>
    </row>
    <row r="277" spans="1:9" s="110" customFormat="1" ht="13.5" customHeight="1" x14ac:dyDescent="0.2">
      <c r="A277" s="243">
        <v>112865</v>
      </c>
      <c r="B277" s="244" t="s">
        <v>461</v>
      </c>
      <c r="C277" s="244" t="s">
        <v>2</v>
      </c>
      <c r="D277" s="244" t="s">
        <v>19</v>
      </c>
      <c r="E277" s="245">
        <v>43617</v>
      </c>
      <c r="F277" s="118">
        <v>1016.96</v>
      </c>
      <c r="G277" s="118">
        <f>SUMIF(CONFERÊNCIA!A:A,A277,CONFERÊNCIA!J:J)</f>
        <v>1016.96</v>
      </c>
      <c r="H277" s="119">
        <f t="shared" si="12"/>
        <v>0</v>
      </c>
      <c r="I277" s="171" t="s">
        <v>1234</v>
      </c>
    </row>
    <row r="278" spans="1:9" s="110" customFormat="1" ht="13.5" customHeight="1" x14ac:dyDescent="0.2">
      <c r="A278" s="243">
        <v>113769</v>
      </c>
      <c r="B278" s="244" t="s">
        <v>973</v>
      </c>
      <c r="C278" s="244" t="s">
        <v>974</v>
      </c>
      <c r="D278" s="244" t="s">
        <v>1589</v>
      </c>
      <c r="E278" s="245">
        <v>43622</v>
      </c>
      <c r="F278" s="118">
        <v>1016.96</v>
      </c>
      <c r="G278" s="118">
        <f>SUMIF(CONFERÊNCIA!A:A,A278,CONFERÊNCIA!J:J)</f>
        <v>1016.96</v>
      </c>
      <c r="H278" s="119">
        <f t="shared" si="12"/>
        <v>0</v>
      </c>
      <c r="I278" s="171" t="s">
        <v>1234</v>
      </c>
    </row>
    <row r="279" spans="1:9" s="125" customFormat="1" ht="13.5" customHeight="1" x14ac:dyDescent="0.2">
      <c r="A279" s="243">
        <v>114988</v>
      </c>
      <c r="B279" s="244" t="s">
        <v>1141</v>
      </c>
      <c r="C279" s="244" t="s">
        <v>282</v>
      </c>
      <c r="D279" s="244" t="s">
        <v>1589</v>
      </c>
      <c r="E279" s="245">
        <v>43918</v>
      </c>
      <c r="F279" s="118">
        <v>1016.96</v>
      </c>
      <c r="G279" s="118">
        <f>SUMIF(CONFERÊNCIA!A:A,A279,CONFERÊNCIA!J:J)</f>
        <v>1016.96</v>
      </c>
      <c r="H279" s="120">
        <f t="shared" si="12"/>
        <v>0</v>
      </c>
      <c r="I279" s="171" t="s">
        <v>1234</v>
      </c>
    </row>
    <row r="280" spans="1:9" s="125" customFormat="1" ht="13.5" customHeight="1" x14ac:dyDescent="0.2">
      <c r="A280" s="243">
        <v>112875</v>
      </c>
      <c r="B280" s="244" t="s">
        <v>468</v>
      </c>
      <c r="C280" s="244" t="s">
        <v>15</v>
      </c>
      <c r="D280" s="244" t="s">
        <v>1589</v>
      </c>
      <c r="E280" s="245">
        <v>43620</v>
      </c>
      <c r="F280" s="118">
        <v>1016.96</v>
      </c>
      <c r="G280" s="118">
        <f>SUMIF(CONFERÊNCIA!A:A,A280,CONFERÊNCIA!J:J)</f>
        <v>1016.96</v>
      </c>
      <c r="H280" s="120">
        <f t="shared" si="12"/>
        <v>0</v>
      </c>
      <c r="I280" s="171" t="s">
        <v>1234</v>
      </c>
    </row>
    <row r="281" spans="1:9" s="110" customFormat="1" ht="13.5" customHeight="1" x14ac:dyDescent="0.2">
      <c r="A281" s="243">
        <v>113766</v>
      </c>
      <c r="B281" s="244" t="s">
        <v>971</v>
      </c>
      <c r="C281" s="244" t="s">
        <v>722</v>
      </c>
      <c r="D281" s="244" t="s">
        <v>1589</v>
      </c>
      <c r="E281" s="245">
        <v>43622</v>
      </c>
      <c r="F281" s="118">
        <v>1016.96</v>
      </c>
      <c r="G281" s="118">
        <f>SUMIF(CONFERÊNCIA!A:A,A281,CONFERÊNCIA!J:J)</f>
        <v>1016.96</v>
      </c>
      <c r="H281" s="119">
        <f t="shared" si="12"/>
        <v>0</v>
      </c>
      <c r="I281" s="171" t="s">
        <v>1234</v>
      </c>
    </row>
    <row r="282" spans="1:9" s="125" customFormat="1" ht="13.5" customHeight="1" x14ac:dyDescent="0.2">
      <c r="A282" s="243">
        <v>112883</v>
      </c>
      <c r="B282" s="244" t="s">
        <v>475</v>
      </c>
      <c r="C282" s="244" t="s">
        <v>5</v>
      </c>
      <c r="D282" s="244" t="s">
        <v>0</v>
      </c>
      <c r="E282" s="245">
        <v>43617</v>
      </c>
      <c r="F282" s="118">
        <v>1016.96</v>
      </c>
      <c r="G282" s="118">
        <f>SUMIF(CONFERÊNCIA!A:A,A282,CONFERÊNCIA!J:J)</f>
        <v>1016.96</v>
      </c>
      <c r="H282" s="120">
        <f t="shared" si="12"/>
        <v>0</v>
      </c>
      <c r="I282" s="171" t="s">
        <v>1234</v>
      </c>
    </row>
    <row r="283" spans="1:9" s="110" customFormat="1" ht="13.5" customHeight="1" x14ac:dyDescent="0.2">
      <c r="A283" s="243">
        <v>112891</v>
      </c>
      <c r="B283" s="244" t="s">
        <v>479</v>
      </c>
      <c r="C283" s="244" t="s">
        <v>2</v>
      </c>
      <c r="D283" s="244" t="s">
        <v>19</v>
      </c>
      <c r="E283" s="245">
        <v>43617</v>
      </c>
      <c r="F283" s="118">
        <v>1016.96</v>
      </c>
      <c r="G283" s="118">
        <f>SUMIF(CONFERÊNCIA!A:A,A283,CONFERÊNCIA!J:J)</f>
        <v>1016.96</v>
      </c>
      <c r="H283" s="119">
        <f t="shared" si="12"/>
        <v>0</v>
      </c>
      <c r="I283" s="171" t="s">
        <v>1235</v>
      </c>
    </row>
    <row r="284" spans="1:9" s="125" customFormat="1" ht="13.5" customHeight="1" x14ac:dyDescent="0.2">
      <c r="A284" s="243">
        <v>112900</v>
      </c>
      <c r="B284" s="244" t="s">
        <v>487</v>
      </c>
      <c r="C284" s="244" t="s">
        <v>5</v>
      </c>
      <c r="D284" s="244" t="s">
        <v>10</v>
      </c>
      <c r="E284" s="245">
        <v>43617</v>
      </c>
      <c r="F284" s="118">
        <v>1016.96</v>
      </c>
      <c r="G284" s="118">
        <f>SUMIF(CONFERÊNCIA!A:A,A284,CONFERÊNCIA!J:J)</f>
        <v>1016.96</v>
      </c>
      <c r="H284" s="120">
        <f t="shared" si="12"/>
        <v>0</v>
      </c>
      <c r="I284" s="171" t="s">
        <v>1234</v>
      </c>
    </row>
    <row r="285" spans="1:9" s="125" customFormat="1" ht="13.5" customHeight="1" x14ac:dyDescent="0.2">
      <c r="A285" s="243">
        <v>112916</v>
      </c>
      <c r="B285" s="244" t="s">
        <v>496</v>
      </c>
      <c r="C285" s="244" t="s">
        <v>2</v>
      </c>
      <c r="D285" s="244" t="s">
        <v>19</v>
      </c>
      <c r="E285" s="245">
        <v>43617</v>
      </c>
      <c r="F285" s="118">
        <v>1016.96</v>
      </c>
      <c r="G285" s="118">
        <f>SUMIF(CONFERÊNCIA!A:A,A285,CONFERÊNCIA!J:J)</f>
        <v>1016.96</v>
      </c>
      <c r="H285" s="120">
        <f t="shared" si="12"/>
        <v>0</v>
      </c>
      <c r="I285" s="171" t="s">
        <v>1235</v>
      </c>
    </row>
    <row r="286" spans="1:9" s="125" customFormat="1" ht="13.5" customHeight="1" x14ac:dyDescent="0.2">
      <c r="A286" s="243">
        <v>112534</v>
      </c>
      <c r="B286" s="244" t="s">
        <v>246</v>
      </c>
      <c r="C286" s="244" t="s">
        <v>5</v>
      </c>
      <c r="D286" s="244" t="s">
        <v>1589</v>
      </c>
      <c r="E286" s="245">
        <v>43617</v>
      </c>
      <c r="F286" s="118">
        <v>1016.96</v>
      </c>
      <c r="G286" s="118">
        <f>SUMIF(CONFERÊNCIA!A:A,A286,CONFERÊNCIA!J:J)</f>
        <v>1016.96</v>
      </c>
      <c r="H286" s="120">
        <f t="shared" si="12"/>
        <v>0</v>
      </c>
      <c r="I286" s="171" t="s">
        <v>1234</v>
      </c>
    </row>
    <row r="287" spans="1:9" s="110" customFormat="1" ht="13.5" customHeight="1" x14ac:dyDescent="0.2">
      <c r="A287" s="243">
        <v>114913</v>
      </c>
      <c r="B287" s="244" t="s">
        <v>1110</v>
      </c>
      <c r="C287" s="244" t="s">
        <v>481</v>
      </c>
      <c r="D287" s="244" t="s">
        <v>1589</v>
      </c>
      <c r="E287" s="245">
        <v>43916</v>
      </c>
      <c r="F287" s="118">
        <v>1016.96</v>
      </c>
      <c r="G287" s="118">
        <f>SUMIF(CONFERÊNCIA!A:A,A287,CONFERÊNCIA!J:J)</f>
        <v>1016.96</v>
      </c>
      <c r="H287" s="119">
        <f t="shared" si="12"/>
        <v>0</v>
      </c>
      <c r="I287" s="171" t="s">
        <v>1234</v>
      </c>
    </row>
    <row r="288" spans="1:9" s="110" customFormat="1" ht="13.5" customHeight="1" x14ac:dyDescent="0.2">
      <c r="A288" s="243">
        <v>112537</v>
      </c>
      <c r="B288" s="244" t="s">
        <v>248</v>
      </c>
      <c r="C288" s="244" t="s">
        <v>5</v>
      </c>
      <c r="D288" s="244" t="s">
        <v>10</v>
      </c>
      <c r="E288" s="245">
        <v>43617</v>
      </c>
      <c r="F288" s="118">
        <v>1016.96</v>
      </c>
      <c r="G288" s="118">
        <f>SUMIF(CONFERÊNCIA!A:A,A288,CONFERÊNCIA!J:J)</f>
        <v>1016.96</v>
      </c>
      <c r="H288" s="119">
        <f t="shared" si="12"/>
        <v>0</v>
      </c>
      <c r="I288" s="171" t="s">
        <v>1234</v>
      </c>
    </row>
    <row r="289" spans="1:9" s="125" customFormat="1" ht="13.5" customHeight="1" x14ac:dyDescent="0.2">
      <c r="A289" s="243">
        <v>112539</v>
      </c>
      <c r="B289" s="244" t="s">
        <v>250</v>
      </c>
      <c r="C289" s="244" t="s">
        <v>2</v>
      </c>
      <c r="D289" s="244" t="s">
        <v>0</v>
      </c>
      <c r="E289" s="245">
        <v>43617</v>
      </c>
      <c r="F289" s="118">
        <v>1016.96</v>
      </c>
      <c r="G289" s="118">
        <f>SUMIF(CONFERÊNCIA!A:A,A289,CONFERÊNCIA!J:J)</f>
        <v>1016.96</v>
      </c>
      <c r="H289" s="120">
        <f t="shared" si="12"/>
        <v>0</v>
      </c>
      <c r="I289" s="171" t="s">
        <v>1234</v>
      </c>
    </row>
    <row r="290" spans="1:9" s="110" customFormat="1" ht="13.5" customHeight="1" x14ac:dyDescent="0.2">
      <c r="A290" s="243">
        <v>112540</v>
      </c>
      <c r="B290" s="244" t="s">
        <v>251</v>
      </c>
      <c r="C290" s="244" t="s">
        <v>5</v>
      </c>
      <c r="D290" s="244" t="s">
        <v>0</v>
      </c>
      <c r="E290" s="245">
        <v>43617</v>
      </c>
      <c r="F290" s="118">
        <v>1016.96</v>
      </c>
      <c r="G290" s="118">
        <f>SUMIF(CONFERÊNCIA!A:A,A290,CONFERÊNCIA!J:J)</f>
        <v>1016.96</v>
      </c>
      <c r="H290" s="119">
        <f t="shared" si="12"/>
        <v>0</v>
      </c>
      <c r="I290" s="171" t="s">
        <v>1234</v>
      </c>
    </row>
    <row r="291" spans="1:9" s="125" customFormat="1" ht="13.5" customHeight="1" x14ac:dyDescent="0.2">
      <c r="A291" s="243">
        <v>113775</v>
      </c>
      <c r="B291" s="244" t="s">
        <v>976</v>
      </c>
      <c r="C291" s="244" t="s">
        <v>977</v>
      </c>
      <c r="D291" s="244" t="s">
        <v>1589</v>
      </c>
      <c r="E291" s="245">
        <v>43623</v>
      </c>
      <c r="F291" s="118">
        <v>1016.96</v>
      </c>
      <c r="G291" s="118">
        <f>SUMIF(CONFERÊNCIA!A:A,A291,CONFERÊNCIA!J:J)</f>
        <v>1016.96</v>
      </c>
      <c r="H291" s="120">
        <f t="shared" si="12"/>
        <v>0</v>
      </c>
      <c r="I291" s="171" t="s">
        <v>1234</v>
      </c>
    </row>
    <row r="292" spans="1:9" s="110" customFormat="1" ht="13.5" customHeight="1" x14ac:dyDescent="0.2">
      <c r="A292" s="243">
        <v>122573</v>
      </c>
      <c r="B292" s="244" t="s">
        <v>1696</v>
      </c>
      <c r="C292" s="244" t="s">
        <v>15</v>
      </c>
      <c r="D292" s="244" t="s">
        <v>1589</v>
      </c>
      <c r="E292" s="245">
        <v>45131</v>
      </c>
      <c r="F292" s="118">
        <v>1290.76</v>
      </c>
      <c r="G292" s="118">
        <f>SUMIF(CONFERÊNCIA!A:A,A292,CONFERÊNCIA!J:J)</f>
        <v>1016.96</v>
      </c>
      <c r="H292" s="119">
        <f t="shared" si="12"/>
        <v>-273.79999999999995</v>
      </c>
      <c r="I292" s="171" t="s">
        <v>1234</v>
      </c>
    </row>
    <row r="293" spans="1:9" s="125" customFormat="1" ht="13.5" customHeight="1" x14ac:dyDescent="0.2">
      <c r="A293" s="243">
        <v>112821</v>
      </c>
      <c r="B293" s="244" t="s">
        <v>435</v>
      </c>
      <c r="C293" s="244" t="s">
        <v>15</v>
      </c>
      <c r="D293" s="244" t="s">
        <v>1589</v>
      </c>
      <c r="E293" s="245">
        <v>43617</v>
      </c>
      <c r="F293" s="118">
        <v>1016.96</v>
      </c>
      <c r="G293" s="118">
        <f>SUMIF(CONFERÊNCIA!A:A,A293,CONFERÊNCIA!J:J)</f>
        <v>1016.96</v>
      </c>
      <c r="H293" s="120">
        <f t="shared" si="12"/>
        <v>0</v>
      </c>
      <c r="I293" s="171" t="s">
        <v>1234</v>
      </c>
    </row>
    <row r="294" spans="1:9" s="110" customFormat="1" ht="13.5" customHeight="1" x14ac:dyDescent="0.2">
      <c r="A294" s="243">
        <v>114907</v>
      </c>
      <c r="B294" s="244" t="s">
        <v>1108</v>
      </c>
      <c r="C294" s="244" t="s">
        <v>5</v>
      </c>
      <c r="D294" s="244" t="s">
        <v>1589</v>
      </c>
      <c r="E294" s="245">
        <v>43916</v>
      </c>
      <c r="F294" s="118">
        <v>1016.96</v>
      </c>
      <c r="G294" s="118">
        <f>SUMIF(CONFERÊNCIA!A:A,A294,CONFERÊNCIA!J:J)</f>
        <v>1016.96</v>
      </c>
      <c r="H294" s="119">
        <f t="shared" si="12"/>
        <v>0</v>
      </c>
      <c r="I294" s="171" t="s">
        <v>1234</v>
      </c>
    </row>
    <row r="295" spans="1:9" s="125" customFormat="1" ht="13.5" customHeight="1" x14ac:dyDescent="0.2">
      <c r="A295" s="243">
        <v>112827</v>
      </c>
      <c r="B295" s="244" t="s">
        <v>440</v>
      </c>
      <c r="C295" s="244" t="s">
        <v>22</v>
      </c>
      <c r="D295" s="244" t="s">
        <v>1589</v>
      </c>
      <c r="E295" s="245">
        <v>43617</v>
      </c>
      <c r="F295" s="118">
        <v>1016.96</v>
      </c>
      <c r="G295" s="118">
        <f>SUMIF(CONFERÊNCIA!A:A,A295,CONFERÊNCIA!J:J)</f>
        <v>1016.96</v>
      </c>
      <c r="H295" s="120">
        <f t="shared" si="12"/>
        <v>0</v>
      </c>
      <c r="I295" s="171" t="s">
        <v>1234</v>
      </c>
    </row>
    <row r="296" spans="1:9" s="110" customFormat="1" ht="13.5" customHeight="1" x14ac:dyDescent="0.2">
      <c r="A296" s="243">
        <v>112834</v>
      </c>
      <c r="B296" s="244" t="s">
        <v>445</v>
      </c>
      <c r="C296" s="244" t="s">
        <v>2</v>
      </c>
      <c r="D296" s="244" t="s">
        <v>8</v>
      </c>
      <c r="E296" s="245">
        <v>43617</v>
      </c>
      <c r="F296" s="118">
        <v>1016.96</v>
      </c>
      <c r="G296" s="118">
        <f>SUMIF(CONFERÊNCIA!A:A,A296,CONFERÊNCIA!J:J)</f>
        <v>1016.96</v>
      </c>
      <c r="H296" s="119">
        <f t="shared" si="12"/>
        <v>0</v>
      </c>
      <c r="I296" s="171" t="s">
        <v>1234</v>
      </c>
    </row>
    <row r="297" spans="1:9" s="110" customFormat="1" ht="13.5" customHeight="1" x14ac:dyDescent="0.2">
      <c r="A297" s="243">
        <v>112843</v>
      </c>
      <c r="B297" s="244" t="s">
        <v>449</v>
      </c>
      <c r="C297" s="244" t="s">
        <v>5</v>
      </c>
      <c r="D297" s="244" t="s">
        <v>0</v>
      </c>
      <c r="E297" s="245">
        <v>43617</v>
      </c>
      <c r="F297" s="118">
        <v>1016.96</v>
      </c>
      <c r="G297" s="118">
        <f>SUMIF(CONFERÊNCIA!A:A,A297,CONFERÊNCIA!J:J)</f>
        <v>978.67000000000007</v>
      </c>
      <c r="H297" s="119">
        <f t="shared" si="12"/>
        <v>-38.289999999999964</v>
      </c>
      <c r="I297" s="171" t="s">
        <v>1235</v>
      </c>
    </row>
    <row r="298" spans="1:9" s="125" customFormat="1" ht="13.5" customHeight="1" x14ac:dyDescent="0.2">
      <c r="A298" s="243">
        <v>112922</v>
      </c>
      <c r="B298" s="244" t="s">
        <v>500</v>
      </c>
      <c r="C298" s="244" t="s">
        <v>22</v>
      </c>
      <c r="D298" s="244" t="s">
        <v>1589</v>
      </c>
      <c r="E298" s="245">
        <v>43617</v>
      </c>
      <c r="F298" s="118">
        <v>1016.96</v>
      </c>
      <c r="G298" s="118">
        <f>SUMIF(CONFERÊNCIA!A:A,A298,CONFERÊNCIA!J:J)</f>
        <v>1016.96</v>
      </c>
      <c r="H298" s="120">
        <f t="shared" si="12"/>
        <v>0</v>
      </c>
      <c r="I298" s="171" t="s">
        <v>1235</v>
      </c>
    </row>
    <row r="299" spans="1:9" s="110" customFormat="1" ht="13.5" customHeight="1" x14ac:dyDescent="0.2">
      <c r="A299" s="243">
        <v>112930</v>
      </c>
      <c r="B299" s="244" t="s">
        <v>505</v>
      </c>
      <c r="C299" s="244" t="s">
        <v>5</v>
      </c>
      <c r="D299" s="244" t="s">
        <v>10</v>
      </c>
      <c r="E299" s="245">
        <v>43617</v>
      </c>
      <c r="F299" s="118">
        <v>359.46</v>
      </c>
      <c r="G299" s="118">
        <f>SUMIF(CONFERÊNCIA!A:A,A299,CONFERÊNCIA!J:J)</f>
        <v>359.46</v>
      </c>
      <c r="H299" s="119">
        <f t="shared" ref="H299:H319" si="13">G299-F299</f>
        <v>0</v>
      </c>
      <c r="I299" s="171" t="s">
        <v>1731</v>
      </c>
    </row>
    <row r="300" spans="1:9" s="110" customFormat="1" ht="13.5" customHeight="1" x14ac:dyDescent="0.2">
      <c r="A300" s="243">
        <v>116331</v>
      </c>
      <c r="B300" s="244" t="s">
        <v>1563</v>
      </c>
      <c r="C300" s="244" t="s">
        <v>5</v>
      </c>
      <c r="D300" s="244" t="s">
        <v>0</v>
      </c>
      <c r="E300" s="245">
        <v>44308</v>
      </c>
      <c r="F300" s="118">
        <v>634.14</v>
      </c>
      <c r="G300" s="118">
        <f>SUMIF(CONFERÊNCIA!A:A,A300,CONFERÊNCIA!J:J)</f>
        <v>174.75</v>
      </c>
      <c r="H300" s="119">
        <f t="shared" si="13"/>
        <v>-459.39</v>
      </c>
      <c r="I300" s="171" t="s">
        <v>1234</v>
      </c>
    </row>
    <row r="301" spans="1:9" s="125" customFormat="1" ht="13.5" customHeight="1" x14ac:dyDescent="0.2">
      <c r="A301" s="243">
        <v>114418</v>
      </c>
      <c r="B301" s="244" t="s">
        <v>1040</v>
      </c>
      <c r="C301" s="244" t="s">
        <v>2</v>
      </c>
      <c r="D301" s="244" t="s">
        <v>0</v>
      </c>
      <c r="E301" s="245">
        <v>43811</v>
      </c>
      <c r="F301" s="118">
        <v>1016.96</v>
      </c>
      <c r="G301" s="118">
        <f>SUMIF(CONFERÊNCIA!A:A,A301,CONFERÊNCIA!J:J)</f>
        <v>1016.96</v>
      </c>
      <c r="H301" s="120">
        <f t="shared" si="13"/>
        <v>0</v>
      </c>
      <c r="I301" s="171" t="s">
        <v>1234</v>
      </c>
    </row>
    <row r="302" spans="1:9" s="110" customFormat="1" ht="13.5" customHeight="1" x14ac:dyDescent="0.2">
      <c r="A302" s="243">
        <v>112936</v>
      </c>
      <c r="B302" s="244" t="s">
        <v>507</v>
      </c>
      <c r="C302" s="244" t="s">
        <v>2</v>
      </c>
      <c r="D302" s="244" t="s">
        <v>19</v>
      </c>
      <c r="E302" s="245">
        <v>43617</v>
      </c>
      <c r="F302" s="118">
        <v>1016.96</v>
      </c>
      <c r="G302" s="118">
        <f>SUMIF(CONFERÊNCIA!A:A,A302,CONFERÊNCIA!J:J)</f>
        <v>1016.96</v>
      </c>
      <c r="H302" s="119">
        <f t="shared" si="13"/>
        <v>0</v>
      </c>
      <c r="I302" s="171" t="s">
        <v>1235</v>
      </c>
    </row>
    <row r="303" spans="1:9" s="125" customFormat="1" ht="13.5" customHeight="1" x14ac:dyDescent="0.2">
      <c r="A303" s="243">
        <v>112942</v>
      </c>
      <c r="B303" s="244" t="s">
        <v>511</v>
      </c>
      <c r="C303" s="244" t="s">
        <v>15</v>
      </c>
      <c r="D303" s="244" t="s">
        <v>1589</v>
      </c>
      <c r="E303" s="245">
        <v>43620</v>
      </c>
      <c r="F303" s="118">
        <v>1016.96</v>
      </c>
      <c r="G303" s="118">
        <f>SUMIF(CONFERÊNCIA!A:A,A303,CONFERÊNCIA!J:J)</f>
        <v>1016.96</v>
      </c>
      <c r="H303" s="120">
        <f t="shared" si="13"/>
        <v>0</v>
      </c>
      <c r="I303" s="171" t="s">
        <v>1234</v>
      </c>
    </row>
    <row r="304" spans="1:9" s="110" customFormat="1" ht="13.5" customHeight="1" x14ac:dyDescent="0.2">
      <c r="A304" s="243">
        <v>113774</v>
      </c>
      <c r="B304" s="244" t="s">
        <v>975</v>
      </c>
      <c r="C304" s="244" t="s">
        <v>146</v>
      </c>
      <c r="D304" s="244" t="s">
        <v>10</v>
      </c>
      <c r="E304" s="245">
        <v>43623</v>
      </c>
      <c r="F304" s="118">
        <v>1016.96</v>
      </c>
      <c r="G304" s="118">
        <f>SUMIF(CONFERÊNCIA!A:A,A304,CONFERÊNCIA!J:J)</f>
        <v>1016.96</v>
      </c>
      <c r="H304" s="119">
        <f t="shared" si="13"/>
        <v>0</v>
      </c>
      <c r="I304" s="171" t="s">
        <v>1234</v>
      </c>
    </row>
    <row r="305" spans="1:9" s="125" customFormat="1" ht="13.5" customHeight="1" x14ac:dyDescent="0.2">
      <c r="A305" s="243">
        <v>116716</v>
      </c>
      <c r="B305" s="244" t="s">
        <v>1220</v>
      </c>
      <c r="C305" s="244" t="s">
        <v>2</v>
      </c>
      <c r="D305" s="244" t="s">
        <v>8</v>
      </c>
      <c r="E305" s="245">
        <v>44368</v>
      </c>
      <c r="F305" s="118">
        <v>1016.96</v>
      </c>
      <c r="G305" s="118">
        <f>SUMIF(CONFERÊNCIA!A:A,A305,CONFERÊNCIA!J:J)</f>
        <v>1016.96</v>
      </c>
      <c r="H305" s="120">
        <f t="shared" si="13"/>
        <v>0</v>
      </c>
      <c r="I305" s="171" t="s">
        <v>1234</v>
      </c>
    </row>
    <row r="306" spans="1:9" s="110" customFormat="1" ht="13.5" customHeight="1" x14ac:dyDescent="0.2">
      <c r="A306" s="243">
        <v>121948</v>
      </c>
      <c r="B306" s="244" t="s">
        <v>1617</v>
      </c>
      <c r="C306" s="244" t="s">
        <v>1464</v>
      </c>
      <c r="D306" s="244" t="s">
        <v>1591</v>
      </c>
      <c r="E306" s="245">
        <v>45040</v>
      </c>
      <c r="F306" s="118">
        <v>657.5</v>
      </c>
      <c r="G306" s="118">
        <f>SUMIF(CONFERÊNCIA!A:A,A306,CONFERÊNCIA!J:J)</f>
        <v>657.5</v>
      </c>
      <c r="H306" s="119">
        <f t="shared" si="13"/>
        <v>0</v>
      </c>
      <c r="I306" s="171" t="s">
        <v>1234</v>
      </c>
    </row>
    <row r="307" spans="1:9" s="110" customFormat="1" ht="13.5" customHeight="1" x14ac:dyDescent="0.2">
      <c r="A307" s="243">
        <v>112950</v>
      </c>
      <c r="B307" s="244" t="s">
        <v>516</v>
      </c>
      <c r="C307" s="244" t="s">
        <v>2</v>
      </c>
      <c r="D307" s="244" t="s">
        <v>0</v>
      </c>
      <c r="E307" s="245">
        <v>43617</v>
      </c>
      <c r="F307" s="118">
        <v>1016.96</v>
      </c>
      <c r="G307" s="118">
        <f>SUMIF(CONFERÊNCIA!A:A,A307,CONFERÊNCIA!J:J)</f>
        <v>1016.96</v>
      </c>
      <c r="H307" s="119">
        <f t="shared" si="13"/>
        <v>0</v>
      </c>
      <c r="I307" s="171" t="s">
        <v>1234</v>
      </c>
    </row>
    <row r="308" spans="1:9" s="125" customFormat="1" ht="13.5" customHeight="1" x14ac:dyDescent="0.2">
      <c r="A308" s="243">
        <v>114695</v>
      </c>
      <c r="B308" s="244" t="s">
        <v>1074</v>
      </c>
      <c r="C308" s="244" t="s">
        <v>2</v>
      </c>
      <c r="D308" s="244" t="s">
        <v>19</v>
      </c>
      <c r="E308" s="245">
        <v>43874</v>
      </c>
      <c r="F308" s="118">
        <v>1016.96</v>
      </c>
      <c r="G308" s="118">
        <f>SUMIF(CONFERÊNCIA!A:A,A308,CONFERÊNCIA!J:J)</f>
        <v>1016.96</v>
      </c>
      <c r="H308" s="120">
        <f t="shared" si="13"/>
        <v>0</v>
      </c>
      <c r="I308" s="171" t="s">
        <v>1234</v>
      </c>
    </row>
    <row r="309" spans="1:9" s="125" customFormat="1" ht="13.5" customHeight="1" x14ac:dyDescent="0.2">
      <c r="A309" s="243">
        <v>112954</v>
      </c>
      <c r="B309" s="244" t="s">
        <v>519</v>
      </c>
      <c r="C309" s="244" t="s">
        <v>2</v>
      </c>
      <c r="D309" s="244" t="s">
        <v>8</v>
      </c>
      <c r="E309" s="245">
        <v>43617</v>
      </c>
      <c r="F309" s="118">
        <v>1016.96</v>
      </c>
      <c r="G309" s="118">
        <f>SUMIF(CONFERÊNCIA!A:A,A309,CONFERÊNCIA!J:J)</f>
        <v>1016.96</v>
      </c>
      <c r="H309" s="120">
        <f t="shared" si="13"/>
        <v>0</v>
      </c>
      <c r="I309" s="171" t="s">
        <v>1234</v>
      </c>
    </row>
    <row r="310" spans="1:9" s="110" customFormat="1" ht="13.5" customHeight="1" x14ac:dyDescent="0.2">
      <c r="A310" s="243">
        <v>112956</v>
      </c>
      <c r="B310" s="244" t="s">
        <v>520</v>
      </c>
      <c r="C310" s="244" t="s">
        <v>5</v>
      </c>
      <c r="D310" s="244" t="s">
        <v>19</v>
      </c>
      <c r="E310" s="245">
        <v>43617</v>
      </c>
      <c r="F310" s="118">
        <v>1016.96</v>
      </c>
      <c r="G310" s="118">
        <f>SUMIF(CONFERÊNCIA!A:A,A310,CONFERÊNCIA!J:J)</f>
        <v>1016.96</v>
      </c>
      <c r="H310" s="119">
        <f t="shared" si="13"/>
        <v>0</v>
      </c>
      <c r="I310" s="171" t="s">
        <v>1234</v>
      </c>
    </row>
    <row r="311" spans="1:9" s="125" customFormat="1" ht="13.5" customHeight="1" x14ac:dyDescent="0.2">
      <c r="A311" s="243">
        <v>118052</v>
      </c>
      <c r="B311" s="244" t="s">
        <v>1403</v>
      </c>
      <c r="C311" s="244" t="s">
        <v>5</v>
      </c>
      <c r="D311" s="244" t="s">
        <v>0</v>
      </c>
      <c r="E311" s="245">
        <v>44567</v>
      </c>
      <c r="F311" s="118">
        <v>1016.96</v>
      </c>
      <c r="G311" s="118">
        <f>SUMIF(CONFERÊNCIA!A:A,A311,CONFERÊNCIA!J:J)</f>
        <v>0</v>
      </c>
      <c r="H311" s="120">
        <f t="shared" si="13"/>
        <v>-1016.96</v>
      </c>
      <c r="I311" s="171" t="s">
        <v>1293</v>
      </c>
    </row>
    <row r="312" spans="1:9" s="110" customFormat="1" ht="13.5" customHeight="1" x14ac:dyDescent="0.2">
      <c r="A312" s="243">
        <v>112961</v>
      </c>
      <c r="B312" s="244" t="s">
        <v>523</v>
      </c>
      <c r="C312" s="244" t="s">
        <v>15</v>
      </c>
      <c r="D312" s="244" t="s">
        <v>1589</v>
      </c>
      <c r="E312" s="245">
        <v>43617</v>
      </c>
      <c r="F312" s="118">
        <v>1016.96</v>
      </c>
      <c r="G312" s="118">
        <f>SUMIF(CONFERÊNCIA!A:A,A312,CONFERÊNCIA!J:J)</f>
        <v>1016.96</v>
      </c>
      <c r="H312" s="119">
        <f t="shared" si="13"/>
        <v>0</v>
      </c>
      <c r="I312" s="171" t="s">
        <v>1234</v>
      </c>
    </row>
    <row r="313" spans="1:9" s="110" customFormat="1" ht="13.5" customHeight="1" x14ac:dyDescent="0.2">
      <c r="A313" s="243">
        <v>114500</v>
      </c>
      <c r="B313" s="244" t="s">
        <v>1044</v>
      </c>
      <c r="C313" s="244" t="s">
        <v>5</v>
      </c>
      <c r="D313" s="244" t="s">
        <v>0</v>
      </c>
      <c r="E313" s="245">
        <v>43811</v>
      </c>
      <c r="F313" s="118">
        <v>863.83</v>
      </c>
      <c r="G313" s="118">
        <f>SUMIF(CONFERÊNCIA!A:A,A313,CONFERÊNCIA!J:J)</f>
        <v>940.39</v>
      </c>
      <c r="H313" s="119">
        <f t="shared" si="13"/>
        <v>76.559999999999945</v>
      </c>
      <c r="I313" s="171" t="s">
        <v>1234</v>
      </c>
    </row>
    <row r="314" spans="1:9" s="125" customFormat="1" ht="13.5" customHeight="1" x14ac:dyDescent="0.2">
      <c r="A314" s="243">
        <v>116326</v>
      </c>
      <c r="B314" s="244" t="s">
        <v>1210</v>
      </c>
      <c r="C314" s="244" t="s">
        <v>5</v>
      </c>
      <c r="D314" s="244" t="s">
        <v>10</v>
      </c>
      <c r="E314" s="245">
        <v>44308</v>
      </c>
      <c r="F314" s="118">
        <v>1016.96</v>
      </c>
      <c r="G314" s="118">
        <f>SUMIF(CONFERÊNCIA!A:A,A314,CONFERÊNCIA!J:J)</f>
        <v>1016.96</v>
      </c>
      <c r="H314" s="120">
        <f t="shared" si="13"/>
        <v>0</v>
      </c>
      <c r="I314" s="171" t="s">
        <v>1234</v>
      </c>
    </row>
    <row r="315" spans="1:9" s="110" customFormat="1" ht="13.5" customHeight="1" x14ac:dyDescent="0.2">
      <c r="A315" s="243">
        <v>113023</v>
      </c>
      <c r="B315" s="244" t="s">
        <v>547</v>
      </c>
      <c r="C315" s="244" t="s">
        <v>15</v>
      </c>
      <c r="D315" s="244" t="s">
        <v>1589</v>
      </c>
      <c r="E315" s="245">
        <v>43617</v>
      </c>
      <c r="F315" s="118">
        <v>1016.96</v>
      </c>
      <c r="G315" s="118">
        <f>SUMIF(CONFERÊNCIA!A:A,A315,CONFERÊNCIA!J:J)</f>
        <v>1016.96</v>
      </c>
      <c r="H315" s="119">
        <f t="shared" si="13"/>
        <v>0</v>
      </c>
      <c r="I315" s="171" t="s">
        <v>1234</v>
      </c>
    </row>
    <row r="316" spans="1:9" s="125" customFormat="1" ht="13.5" customHeight="1" x14ac:dyDescent="0.2">
      <c r="A316" s="243">
        <v>113068</v>
      </c>
      <c r="B316" s="244" t="s">
        <v>569</v>
      </c>
      <c r="C316" s="244" t="s">
        <v>22</v>
      </c>
      <c r="D316" s="244" t="s">
        <v>1589</v>
      </c>
      <c r="E316" s="245">
        <v>43617</v>
      </c>
      <c r="F316" s="118">
        <v>1016.96</v>
      </c>
      <c r="G316" s="118">
        <f>SUMIF(CONFERÊNCIA!A:A,A316,CONFERÊNCIA!J:J)</f>
        <v>1016.96</v>
      </c>
      <c r="H316" s="120">
        <f t="shared" si="13"/>
        <v>0</v>
      </c>
      <c r="I316" s="171" t="s">
        <v>1234</v>
      </c>
    </row>
    <row r="317" spans="1:9" s="125" customFormat="1" ht="13.5" customHeight="1" x14ac:dyDescent="0.2">
      <c r="A317" s="243">
        <v>121030</v>
      </c>
      <c r="B317" s="244" t="s">
        <v>1521</v>
      </c>
      <c r="C317" s="244" t="s">
        <v>2</v>
      </c>
      <c r="D317" s="244" t="s">
        <v>10</v>
      </c>
      <c r="E317" s="245">
        <v>44900</v>
      </c>
      <c r="F317" s="118">
        <v>1016.96</v>
      </c>
      <c r="G317" s="118">
        <f>SUMIF(CONFERÊNCIA!A:A,A317,CONFERÊNCIA!J:J)</f>
        <v>1016.96</v>
      </c>
      <c r="H317" s="120">
        <f t="shared" si="13"/>
        <v>0</v>
      </c>
      <c r="I317" s="171" t="s">
        <v>1234</v>
      </c>
    </row>
    <row r="318" spans="1:9" s="125" customFormat="1" ht="13.5" customHeight="1" x14ac:dyDescent="0.2">
      <c r="A318" s="243">
        <v>113107</v>
      </c>
      <c r="B318" s="244" t="s">
        <v>589</v>
      </c>
      <c r="C318" s="244" t="s">
        <v>2</v>
      </c>
      <c r="D318" s="244" t="s">
        <v>8</v>
      </c>
      <c r="E318" s="245">
        <v>43617</v>
      </c>
      <c r="F318" s="118">
        <v>1016.96</v>
      </c>
      <c r="G318" s="118">
        <f>SUMIF(CONFERÊNCIA!A:A,A318,CONFERÊNCIA!J:J)</f>
        <v>1016.96</v>
      </c>
      <c r="H318" s="120">
        <f t="shared" si="13"/>
        <v>0</v>
      </c>
      <c r="I318" s="171" t="s">
        <v>1234</v>
      </c>
    </row>
    <row r="319" spans="1:9" s="110" customFormat="1" ht="13.5" customHeight="1" x14ac:dyDescent="0.2">
      <c r="A319" s="243">
        <v>113119</v>
      </c>
      <c r="B319" s="244" t="s">
        <v>597</v>
      </c>
      <c r="C319" s="244" t="s">
        <v>22</v>
      </c>
      <c r="D319" s="244" t="s">
        <v>1589</v>
      </c>
      <c r="E319" s="245">
        <v>43617</v>
      </c>
      <c r="F319" s="118">
        <v>1016.96</v>
      </c>
      <c r="G319" s="118">
        <f>SUMIF(CONFERÊNCIA!A:A,A319,CONFERÊNCIA!J:J)</f>
        <v>1016.96</v>
      </c>
      <c r="H319" s="119">
        <f t="shared" si="13"/>
        <v>0</v>
      </c>
      <c r="I319" s="171" t="s">
        <v>1234</v>
      </c>
    </row>
    <row r="320" spans="1:9" s="110" customFormat="1" ht="13.5" customHeight="1" x14ac:dyDescent="0.2">
      <c r="A320" s="243">
        <v>113157</v>
      </c>
      <c r="B320" s="244" t="s">
        <v>618</v>
      </c>
      <c r="C320" s="244" t="s">
        <v>2</v>
      </c>
      <c r="D320" s="244" t="s">
        <v>32</v>
      </c>
      <c r="E320" s="245">
        <v>43617</v>
      </c>
      <c r="F320" s="118">
        <v>1016.96</v>
      </c>
      <c r="G320" s="118">
        <f>SUMIF(CONFERÊNCIA!A:A,A320,CONFERÊNCIA!J:J)</f>
        <v>1016.96</v>
      </c>
      <c r="H320" s="119">
        <f t="shared" ref="H320:H323" si="14">G320-F320</f>
        <v>0</v>
      </c>
      <c r="I320" s="171" t="s">
        <v>1234</v>
      </c>
    </row>
    <row r="321" spans="1:9" s="125" customFormat="1" ht="13.5" customHeight="1" x14ac:dyDescent="0.2">
      <c r="A321" s="243">
        <v>113204</v>
      </c>
      <c r="B321" s="244" t="s">
        <v>646</v>
      </c>
      <c r="C321" s="244" t="s">
        <v>5</v>
      </c>
      <c r="D321" s="244" t="s">
        <v>0</v>
      </c>
      <c r="E321" s="245">
        <v>43617</v>
      </c>
      <c r="F321" s="118">
        <v>1016.96</v>
      </c>
      <c r="G321" s="118">
        <f>SUMIF(CONFERÊNCIA!A:A,A321,CONFERÊNCIA!J:J)</f>
        <v>1016.96</v>
      </c>
      <c r="H321" s="120">
        <f t="shared" si="14"/>
        <v>0</v>
      </c>
      <c r="I321" s="171" t="s">
        <v>1234</v>
      </c>
    </row>
    <row r="322" spans="1:9" s="125" customFormat="1" ht="13.5" customHeight="1" x14ac:dyDescent="0.2">
      <c r="A322" s="243">
        <v>116001</v>
      </c>
      <c r="B322" s="244" t="s">
        <v>1170</v>
      </c>
      <c r="C322" s="244" t="s">
        <v>2</v>
      </c>
      <c r="D322" s="244" t="s">
        <v>0</v>
      </c>
      <c r="E322" s="245">
        <v>44207</v>
      </c>
      <c r="F322" s="118">
        <v>1016.96</v>
      </c>
      <c r="G322" s="118">
        <f>SUMIF(CONFERÊNCIA!A:A,A322,CONFERÊNCIA!J:J)</f>
        <v>1016.96</v>
      </c>
      <c r="H322" s="120">
        <f t="shared" si="14"/>
        <v>0</v>
      </c>
      <c r="I322" s="171" t="s">
        <v>1234</v>
      </c>
    </row>
    <row r="323" spans="1:9" s="110" customFormat="1" ht="13.5" customHeight="1" x14ac:dyDescent="0.2">
      <c r="A323" s="243">
        <v>113712</v>
      </c>
      <c r="B323" s="244" t="s">
        <v>931</v>
      </c>
      <c r="C323" s="244" t="s">
        <v>5</v>
      </c>
      <c r="D323" s="244" t="s">
        <v>10</v>
      </c>
      <c r="E323" s="245">
        <v>43619</v>
      </c>
      <c r="F323" s="118">
        <v>1016.96</v>
      </c>
      <c r="G323" s="118">
        <f>SUMIF(CONFERÊNCIA!A:A,A323,CONFERÊNCIA!J:J)</f>
        <v>1016.96</v>
      </c>
      <c r="H323" s="119">
        <f t="shared" si="14"/>
        <v>0</v>
      </c>
      <c r="I323" s="171" t="s">
        <v>1234</v>
      </c>
    </row>
    <row r="324" spans="1:9" s="110" customFormat="1" ht="13.5" customHeight="1" x14ac:dyDescent="0.2">
      <c r="A324" s="243">
        <v>121486</v>
      </c>
      <c r="B324" s="244" t="s">
        <v>1564</v>
      </c>
      <c r="C324" s="244" t="s">
        <v>15</v>
      </c>
      <c r="D324" s="244" t="s">
        <v>1589</v>
      </c>
      <c r="E324" s="245">
        <v>44967</v>
      </c>
      <c r="F324" s="118">
        <v>1016.96</v>
      </c>
      <c r="G324" s="118">
        <f>SUMIF(CONFERÊNCIA!A:A,A324,CONFERÊNCIA!J:J)</f>
        <v>1016.96</v>
      </c>
      <c r="H324" s="119">
        <f t="shared" ref="H324" si="15">G324-F324</f>
        <v>0</v>
      </c>
      <c r="I324" s="171" t="s">
        <v>1234</v>
      </c>
    </row>
    <row r="325" spans="1:9" s="125" customFormat="1" ht="13.5" customHeight="1" x14ac:dyDescent="0.2">
      <c r="A325" s="243">
        <v>113309</v>
      </c>
      <c r="B325" s="244" t="s">
        <v>701</v>
      </c>
      <c r="C325" s="244" t="s">
        <v>2</v>
      </c>
      <c r="D325" s="244" t="s">
        <v>0</v>
      </c>
      <c r="E325" s="245">
        <v>43617</v>
      </c>
      <c r="F325" s="118">
        <v>1016.96</v>
      </c>
      <c r="G325" s="118">
        <f>SUMIF(CONFERÊNCIA!A:A,A325,CONFERÊNCIA!J:J)</f>
        <v>1016.96</v>
      </c>
      <c r="H325" s="120">
        <f t="shared" ref="H325:H336" si="16">G325-F325</f>
        <v>0</v>
      </c>
      <c r="I325" s="171" t="s">
        <v>1234</v>
      </c>
    </row>
    <row r="326" spans="1:9" s="110" customFormat="1" ht="13.5" customHeight="1" x14ac:dyDescent="0.2">
      <c r="A326" s="243">
        <v>113318</v>
      </c>
      <c r="B326" s="244" t="s">
        <v>705</v>
      </c>
      <c r="C326" s="244" t="s">
        <v>2</v>
      </c>
      <c r="D326" s="244" t="s">
        <v>19</v>
      </c>
      <c r="E326" s="245">
        <v>43617</v>
      </c>
      <c r="F326" s="118">
        <v>1016.96</v>
      </c>
      <c r="G326" s="118">
        <f>SUMIF(CONFERÊNCIA!A:A,A326,CONFERÊNCIA!J:J)</f>
        <v>1016.96</v>
      </c>
      <c r="H326" s="119">
        <f t="shared" si="16"/>
        <v>0</v>
      </c>
      <c r="I326" s="171" t="s">
        <v>1234</v>
      </c>
    </row>
    <row r="327" spans="1:9" s="110" customFormat="1" ht="13.5" customHeight="1" x14ac:dyDescent="0.2">
      <c r="A327" s="243">
        <v>122334</v>
      </c>
      <c r="B327" s="244" t="s">
        <v>1665</v>
      </c>
      <c r="C327" s="244" t="s">
        <v>15</v>
      </c>
      <c r="D327" s="244" t="s">
        <v>1589</v>
      </c>
      <c r="E327" s="245">
        <v>45098</v>
      </c>
      <c r="F327" s="118">
        <v>1016.96</v>
      </c>
      <c r="G327" s="118">
        <f>SUMIF(CONFERÊNCIA!A:A,A327,CONFERÊNCIA!J:J)</f>
        <v>1016.96</v>
      </c>
      <c r="H327" s="119">
        <f t="shared" si="16"/>
        <v>0</v>
      </c>
      <c r="I327" s="171" t="s">
        <v>1234</v>
      </c>
    </row>
    <row r="328" spans="1:9" s="110" customFormat="1" ht="13.5" customHeight="1" x14ac:dyDescent="0.2">
      <c r="A328" s="243">
        <v>116085</v>
      </c>
      <c r="B328" s="244" t="s">
        <v>1185</v>
      </c>
      <c r="C328" s="244" t="s">
        <v>15</v>
      </c>
      <c r="D328" s="244" t="s">
        <v>1589</v>
      </c>
      <c r="E328" s="245">
        <v>44235</v>
      </c>
      <c r="F328" s="118">
        <v>1016.96</v>
      </c>
      <c r="G328" s="118">
        <f>SUMIF(CONFERÊNCIA!A:A,A328,CONFERÊNCIA!J:J)</f>
        <v>1016.96</v>
      </c>
      <c r="H328" s="119">
        <f t="shared" si="16"/>
        <v>0</v>
      </c>
      <c r="I328" s="171" t="s">
        <v>1234</v>
      </c>
    </row>
    <row r="329" spans="1:9" s="125" customFormat="1" ht="13.5" customHeight="1" x14ac:dyDescent="0.2">
      <c r="A329" s="243">
        <v>116225</v>
      </c>
      <c r="B329" s="244" t="s">
        <v>1194</v>
      </c>
      <c r="C329" s="244" t="s">
        <v>5</v>
      </c>
      <c r="D329" s="244" t="s">
        <v>0</v>
      </c>
      <c r="E329" s="245">
        <v>44273</v>
      </c>
      <c r="F329" s="118">
        <v>359.46</v>
      </c>
      <c r="G329" s="118">
        <f>SUMIF(CONFERÊNCIA!A:A,A329,CONFERÊNCIA!J:J)</f>
        <v>359.46</v>
      </c>
      <c r="H329" s="120">
        <f t="shared" si="16"/>
        <v>0</v>
      </c>
      <c r="I329" s="171" t="s">
        <v>1731</v>
      </c>
    </row>
    <row r="330" spans="1:9" s="125" customFormat="1" ht="13.5" customHeight="1" x14ac:dyDescent="0.2">
      <c r="A330" s="243">
        <v>113331</v>
      </c>
      <c r="B330" s="244" t="s">
        <v>713</v>
      </c>
      <c r="C330" s="244" t="s">
        <v>5</v>
      </c>
      <c r="D330" s="244" t="s">
        <v>1589</v>
      </c>
      <c r="E330" s="245">
        <v>43617</v>
      </c>
      <c r="F330" s="118">
        <v>1016.96</v>
      </c>
      <c r="G330" s="118">
        <f>SUMIF(CONFERÊNCIA!A:A,A330,CONFERÊNCIA!J:J)</f>
        <v>1016.96</v>
      </c>
      <c r="H330" s="120">
        <f t="shared" si="16"/>
        <v>0</v>
      </c>
      <c r="I330" s="171" t="s">
        <v>1234</v>
      </c>
    </row>
    <row r="331" spans="1:9" s="125" customFormat="1" ht="13.5" customHeight="1" x14ac:dyDescent="0.2">
      <c r="A331" s="243">
        <v>113341</v>
      </c>
      <c r="B331" s="244" t="s">
        <v>718</v>
      </c>
      <c r="C331" s="244" t="s">
        <v>2</v>
      </c>
      <c r="D331" s="244" t="s">
        <v>8</v>
      </c>
      <c r="E331" s="245">
        <v>43617</v>
      </c>
      <c r="F331" s="118">
        <v>1016.96</v>
      </c>
      <c r="G331" s="118">
        <f>SUMIF(CONFERÊNCIA!A:A,A331,CONFERÊNCIA!J:J)</f>
        <v>1016.96</v>
      </c>
      <c r="H331" s="120">
        <f t="shared" si="16"/>
        <v>0</v>
      </c>
      <c r="I331" s="171" t="s">
        <v>1234</v>
      </c>
    </row>
    <row r="332" spans="1:9" s="125" customFormat="1" ht="13.5" customHeight="1" x14ac:dyDescent="0.2">
      <c r="A332" s="243">
        <v>113349</v>
      </c>
      <c r="B332" s="244" t="s">
        <v>1287</v>
      </c>
      <c r="C332" s="244" t="s">
        <v>15</v>
      </c>
      <c r="D332" s="244" t="s">
        <v>1589</v>
      </c>
      <c r="E332" s="245">
        <v>43617</v>
      </c>
      <c r="F332" s="118">
        <v>1016.96</v>
      </c>
      <c r="G332" s="118">
        <f>SUMIF(CONFERÊNCIA!A:A,A332,CONFERÊNCIA!J:J)</f>
        <v>1016.96</v>
      </c>
      <c r="H332" s="120">
        <f t="shared" si="16"/>
        <v>0</v>
      </c>
      <c r="I332" s="171" t="s">
        <v>1234</v>
      </c>
    </row>
    <row r="333" spans="1:9" s="110" customFormat="1" ht="13.5" customHeight="1" x14ac:dyDescent="0.2">
      <c r="A333" s="243">
        <v>113354</v>
      </c>
      <c r="B333" s="244" t="s">
        <v>724</v>
      </c>
      <c r="C333" s="244" t="s">
        <v>5</v>
      </c>
      <c r="D333" s="244" t="s">
        <v>19</v>
      </c>
      <c r="E333" s="245">
        <v>43617</v>
      </c>
      <c r="F333" s="118">
        <v>1016.96</v>
      </c>
      <c r="G333" s="118">
        <f>SUMIF(CONFERÊNCIA!A:A,A333,CONFERÊNCIA!J:J)</f>
        <v>1016.96</v>
      </c>
      <c r="H333" s="119">
        <f t="shared" si="16"/>
        <v>0</v>
      </c>
      <c r="I333" s="171" t="s">
        <v>1234</v>
      </c>
    </row>
    <row r="334" spans="1:9" s="125" customFormat="1" ht="13.5" customHeight="1" x14ac:dyDescent="0.2">
      <c r="A334" s="243">
        <v>116974</v>
      </c>
      <c r="B334" s="244" t="s">
        <v>1243</v>
      </c>
      <c r="C334" s="244" t="s">
        <v>5</v>
      </c>
      <c r="D334" s="244" t="s">
        <v>10</v>
      </c>
      <c r="E334" s="245">
        <v>44419</v>
      </c>
      <c r="F334" s="118">
        <v>1016.96</v>
      </c>
      <c r="G334" s="118">
        <f>SUMIF(CONFERÊNCIA!A:A,A334,CONFERÊNCIA!J:J)</f>
        <v>1016.96</v>
      </c>
      <c r="H334" s="120">
        <f t="shared" si="16"/>
        <v>0</v>
      </c>
      <c r="I334" s="171" t="s">
        <v>1234</v>
      </c>
    </row>
    <row r="335" spans="1:9" s="110" customFormat="1" ht="13.5" customHeight="1" x14ac:dyDescent="0.2">
      <c r="A335" s="243">
        <v>113739</v>
      </c>
      <c r="B335" s="244" t="s">
        <v>961</v>
      </c>
      <c r="C335" s="244" t="s">
        <v>1437</v>
      </c>
      <c r="D335" s="244" t="s">
        <v>1591</v>
      </c>
      <c r="E335" s="245">
        <v>43619</v>
      </c>
      <c r="F335" s="118">
        <v>1016.96</v>
      </c>
      <c r="G335" s="118">
        <f>SUMIF(CONFERÊNCIA!A:A,A335,CONFERÊNCIA!J:J)</f>
        <v>1016.96</v>
      </c>
      <c r="H335" s="119">
        <f t="shared" si="16"/>
        <v>0</v>
      </c>
      <c r="I335" s="171" t="s">
        <v>1234</v>
      </c>
    </row>
    <row r="336" spans="1:9" s="125" customFormat="1" ht="13.5" customHeight="1" x14ac:dyDescent="0.2">
      <c r="A336" s="243">
        <v>113361</v>
      </c>
      <c r="B336" s="244" t="s">
        <v>729</v>
      </c>
      <c r="C336" s="244" t="s">
        <v>15</v>
      </c>
      <c r="D336" s="244" t="s">
        <v>1589</v>
      </c>
      <c r="E336" s="245">
        <v>43620</v>
      </c>
      <c r="F336" s="118">
        <v>1016.96</v>
      </c>
      <c r="G336" s="118">
        <f>SUMIF(CONFERÊNCIA!A:A,A336,CONFERÊNCIA!J:J)</f>
        <v>1016.96</v>
      </c>
      <c r="H336" s="120">
        <f t="shared" si="16"/>
        <v>0</v>
      </c>
      <c r="I336" s="171" t="s">
        <v>1234</v>
      </c>
    </row>
    <row r="337" spans="1:9" s="110" customFormat="1" ht="13.5" customHeight="1" x14ac:dyDescent="0.2">
      <c r="A337" s="243">
        <v>113364</v>
      </c>
      <c r="B337" s="244" t="s">
        <v>732</v>
      </c>
      <c r="C337" s="244" t="s">
        <v>2</v>
      </c>
      <c r="D337" s="244" t="s">
        <v>19</v>
      </c>
      <c r="E337" s="245">
        <v>43617</v>
      </c>
      <c r="F337" s="118">
        <v>1016.96</v>
      </c>
      <c r="G337" s="118">
        <f>SUMIF(CONFERÊNCIA!A:A,A337,CONFERÊNCIA!J:J)</f>
        <v>1016.96</v>
      </c>
      <c r="H337" s="119">
        <f t="shared" ref="H337:H351" si="17">G337-F337</f>
        <v>0</v>
      </c>
      <c r="I337" s="171" t="s">
        <v>1234</v>
      </c>
    </row>
    <row r="338" spans="1:9" s="125" customFormat="1" ht="13.5" customHeight="1" x14ac:dyDescent="0.2">
      <c r="A338" s="243">
        <v>113368</v>
      </c>
      <c r="B338" s="244" t="s">
        <v>735</v>
      </c>
      <c r="C338" s="244" t="s">
        <v>2</v>
      </c>
      <c r="D338" s="244" t="s">
        <v>19</v>
      </c>
      <c r="E338" s="245">
        <v>43617</v>
      </c>
      <c r="F338" s="118">
        <v>1016.96</v>
      </c>
      <c r="G338" s="118">
        <f>SUMIF(CONFERÊNCIA!A:A,A338,CONFERÊNCIA!J:J)</f>
        <v>1016.96</v>
      </c>
      <c r="H338" s="120">
        <f t="shared" si="17"/>
        <v>0</v>
      </c>
      <c r="I338" s="171" t="s">
        <v>1234</v>
      </c>
    </row>
    <row r="339" spans="1:9" s="110" customFormat="1" ht="13.5" customHeight="1" x14ac:dyDescent="0.2">
      <c r="A339" s="243">
        <v>113374</v>
      </c>
      <c r="B339" s="244" t="s">
        <v>738</v>
      </c>
      <c r="C339" s="244" t="s">
        <v>2</v>
      </c>
      <c r="D339" s="244" t="s">
        <v>8</v>
      </c>
      <c r="E339" s="245">
        <v>43617</v>
      </c>
      <c r="F339" s="118">
        <v>1016.96</v>
      </c>
      <c r="G339" s="118">
        <f>SUMIF(CONFERÊNCIA!A:A,A339,CONFERÊNCIA!J:J)</f>
        <v>1016.96</v>
      </c>
      <c r="H339" s="119">
        <f t="shared" si="17"/>
        <v>0</v>
      </c>
      <c r="I339" s="171" t="s">
        <v>1234</v>
      </c>
    </row>
    <row r="340" spans="1:9" s="125" customFormat="1" ht="13.5" customHeight="1" x14ac:dyDescent="0.2">
      <c r="A340" s="243">
        <v>117358</v>
      </c>
      <c r="B340" s="244" t="s">
        <v>1268</v>
      </c>
      <c r="C340" s="244" t="s">
        <v>15</v>
      </c>
      <c r="D340" s="244" t="s">
        <v>1589</v>
      </c>
      <c r="E340" s="245">
        <v>44508</v>
      </c>
      <c r="F340" s="118">
        <v>1016.96</v>
      </c>
      <c r="G340" s="118">
        <f>SUMIF(CONFERÊNCIA!A:A,A340,CONFERÊNCIA!J:J)</f>
        <v>1016.96</v>
      </c>
      <c r="H340" s="120">
        <f t="shared" si="17"/>
        <v>0</v>
      </c>
      <c r="I340" s="171" t="s">
        <v>1234</v>
      </c>
    </row>
    <row r="341" spans="1:9" s="110" customFormat="1" ht="13.5" customHeight="1" x14ac:dyDescent="0.2">
      <c r="A341" s="243">
        <v>121675</v>
      </c>
      <c r="B341" s="244" t="s">
        <v>1596</v>
      </c>
      <c r="C341" s="244" t="s">
        <v>5</v>
      </c>
      <c r="D341" s="244" t="s">
        <v>10</v>
      </c>
      <c r="E341" s="245">
        <v>44994</v>
      </c>
      <c r="F341" s="118">
        <v>1016.96</v>
      </c>
      <c r="G341" s="118">
        <f>SUMIF(CONFERÊNCIA!A:A,A341,CONFERÊNCIA!J:J)</f>
        <v>1016.96</v>
      </c>
      <c r="H341" s="119">
        <f t="shared" si="17"/>
        <v>0</v>
      </c>
      <c r="I341" s="171" t="s">
        <v>1234</v>
      </c>
    </row>
    <row r="342" spans="1:9" s="125" customFormat="1" ht="13.5" customHeight="1" x14ac:dyDescent="0.2">
      <c r="A342" s="243">
        <v>119645</v>
      </c>
      <c r="B342" s="244" t="s">
        <v>1465</v>
      </c>
      <c r="C342" s="244" t="s">
        <v>5</v>
      </c>
      <c r="D342" s="244" t="s">
        <v>0</v>
      </c>
      <c r="E342" s="245">
        <v>44725</v>
      </c>
      <c r="F342" s="118">
        <v>1016.96</v>
      </c>
      <c r="G342" s="118">
        <f>SUMIF(CONFERÊNCIA!A:A,A342,CONFERÊNCIA!J:J)</f>
        <v>1016.96</v>
      </c>
      <c r="H342" s="120">
        <f t="shared" si="17"/>
        <v>0</v>
      </c>
      <c r="I342" s="171" t="s">
        <v>1234</v>
      </c>
    </row>
    <row r="343" spans="1:9" s="110" customFormat="1" ht="13.5" customHeight="1" x14ac:dyDescent="0.2">
      <c r="A343" s="243">
        <v>116226</v>
      </c>
      <c r="B343" s="244" t="s">
        <v>1195</v>
      </c>
      <c r="C343" s="244" t="s">
        <v>5</v>
      </c>
      <c r="D343" s="244" t="s">
        <v>0</v>
      </c>
      <c r="E343" s="245">
        <v>44273</v>
      </c>
      <c r="F343" s="118">
        <v>863.83</v>
      </c>
      <c r="G343" s="118">
        <f>SUMIF(CONFERÊNCIA!A:A,A343,CONFERÊNCIA!J:J)</f>
        <v>863.83</v>
      </c>
      <c r="H343" s="119">
        <f t="shared" si="17"/>
        <v>0</v>
      </c>
      <c r="I343" s="171" t="s">
        <v>1234</v>
      </c>
    </row>
    <row r="344" spans="1:9" s="125" customFormat="1" ht="13.5" customHeight="1" x14ac:dyDescent="0.2">
      <c r="A344" s="243">
        <v>113390</v>
      </c>
      <c r="B344" s="244" t="s">
        <v>749</v>
      </c>
      <c r="C344" s="244" t="s">
        <v>470</v>
      </c>
      <c r="D344" s="244" t="s">
        <v>10</v>
      </c>
      <c r="E344" s="245">
        <v>43617</v>
      </c>
      <c r="F344" s="118">
        <v>1016.96</v>
      </c>
      <c r="G344" s="118">
        <f>SUMIF(CONFERÊNCIA!A:A,A344,CONFERÊNCIA!J:J)</f>
        <v>1016.96</v>
      </c>
      <c r="H344" s="120">
        <f t="shared" si="17"/>
        <v>0</v>
      </c>
      <c r="I344" s="171" t="s">
        <v>1234</v>
      </c>
    </row>
    <row r="345" spans="1:9" s="110" customFormat="1" ht="13.5" customHeight="1" x14ac:dyDescent="0.2">
      <c r="A345" s="243">
        <v>113392</v>
      </c>
      <c r="B345" s="244" t="s">
        <v>752</v>
      </c>
      <c r="C345" s="244" t="s">
        <v>2</v>
      </c>
      <c r="D345" s="244" t="s">
        <v>10</v>
      </c>
      <c r="E345" s="245">
        <v>43617</v>
      </c>
      <c r="F345" s="118">
        <v>1016.96</v>
      </c>
      <c r="G345" s="118">
        <f>SUMIF(CONFERÊNCIA!A:A,A345,CONFERÊNCIA!J:J)</f>
        <v>1016.96</v>
      </c>
      <c r="H345" s="119">
        <f t="shared" si="17"/>
        <v>0</v>
      </c>
      <c r="I345" s="171" t="s">
        <v>1234</v>
      </c>
    </row>
    <row r="346" spans="1:9" s="125" customFormat="1" ht="13.5" customHeight="1" x14ac:dyDescent="0.2">
      <c r="A346" s="243">
        <v>113404</v>
      </c>
      <c r="B346" s="244" t="s">
        <v>750</v>
      </c>
      <c r="C346" s="244" t="s">
        <v>182</v>
      </c>
      <c r="D346" s="244" t="s">
        <v>8</v>
      </c>
      <c r="E346" s="245">
        <v>43617</v>
      </c>
      <c r="F346" s="118">
        <v>1016.96</v>
      </c>
      <c r="G346" s="118">
        <f>SUMIF(CONFERÊNCIA!A:A,A346,CONFERÊNCIA!J:J)</f>
        <v>1016.96</v>
      </c>
      <c r="H346" s="120">
        <f t="shared" si="17"/>
        <v>0</v>
      </c>
      <c r="I346" s="171" t="s">
        <v>1234</v>
      </c>
    </row>
    <row r="347" spans="1:9" s="125" customFormat="1" ht="13.5" customHeight="1" x14ac:dyDescent="0.2">
      <c r="A347" s="243">
        <v>112825</v>
      </c>
      <c r="B347" s="244" t="s">
        <v>439</v>
      </c>
      <c r="C347" s="244" t="s">
        <v>15</v>
      </c>
      <c r="D347" s="244" t="s">
        <v>1589</v>
      </c>
      <c r="E347" s="245">
        <v>43617</v>
      </c>
      <c r="F347" s="118">
        <v>902.11</v>
      </c>
      <c r="G347" s="118">
        <f>SUMIF(CONFERÊNCIA!A:A,A347,CONFERÊNCIA!J:J)</f>
        <v>1016.96</v>
      </c>
      <c r="H347" s="120">
        <f t="shared" si="17"/>
        <v>114.85000000000002</v>
      </c>
      <c r="I347" s="171" t="s">
        <v>1234</v>
      </c>
    </row>
    <row r="348" spans="1:9" s="110" customFormat="1" ht="13.5" customHeight="1" x14ac:dyDescent="0.2">
      <c r="A348" s="243">
        <v>112830</v>
      </c>
      <c r="B348" s="244" t="s">
        <v>442</v>
      </c>
      <c r="C348" s="244" t="s">
        <v>5</v>
      </c>
      <c r="D348" s="244" t="s">
        <v>10</v>
      </c>
      <c r="E348" s="245">
        <v>43617</v>
      </c>
      <c r="F348" s="118">
        <v>1016.96</v>
      </c>
      <c r="G348" s="118">
        <f>SUMIF(CONFERÊNCIA!A:A,A348,CONFERÊNCIA!J:J)</f>
        <v>1016.96</v>
      </c>
      <c r="H348" s="119">
        <f t="shared" si="17"/>
        <v>0</v>
      </c>
      <c r="I348" s="171" t="s">
        <v>1234</v>
      </c>
    </row>
    <row r="349" spans="1:9" s="125" customFormat="1" ht="13.5" customHeight="1" x14ac:dyDescent="0.2">
      <c r="A349" s="243">
        <v>112838</v>
      </c>
      <c r="B349" s="244" t="s">
        <v>447</v>
      </c>
      <c r="C349" s="244" t="s">
        <v>15</v>
      </c>
      <c r="D349" s="244" t="s">
        <v>1589</v>
      </c>
      <c r="E349" s="245">
        <v>43617</v>
      </c>
      <c r="F349" s="118">
        <v>1016.96</v>
      </c>
      <c r="G349" s="118">
        <f>SUMIF(CONFERÊNCIA!A:A,A349,CONFERÊNCIA!J:J)</f>
        <v>1016.96</v>
      </c>
      <c r="H349" s="120">
        <f t="shared" si="17"/>
        <v>0</v>
      </c>
      <c r="I349" s="171" t="s">
        <v>1234</v>
      </c>
    </row>
    <row r="350" spans="1:9" s="125" customFormat="1" ht="13.5" customHeight="1" x14ac:dyDescent="0.2">
      <c r="A350" s="243">
        <v>113726</v>
      </c>
      <c r="B350" s="244" t="s">
        <v>945</v>
      </c>
      <c r="C350" s="244" t="s">
        <v>5</v>
      </c>
      <c r="D350" s="244" t="s">
        <v>0</v>
      </c>
      <c r="E350" s="245">
        <v>43619</v>
      </c>
      <c r="F350" s="118">
        <v>1016.96</v>
      </c>
      <c r="G350" s="118">
        <f>SUMIF(CONFERÊNCIA!A:A,A350,CONFERÊNCIA!J:J)</f>
        <v>1016.96</v>
      </c>
      <c r="H350" s="120">
        <f t="shared" si="17"/>
        <v>0</v>
      </c>
      <c r="I350" s="171" t="s">
        <v>1234</v>
      </c>
    </row>
    <row r="351" spans="1:9" s="110" customFormat="1" ht="13.5" customHeight="1" x14ac:dyDescent="0.2">
      <c r="A351" s="243">
        <v>112847</v>
      </c>
      <c r="B351" s="244" t="s">
        <v>451</v>
      </c>
      <c r="C351" s="244" t="s">
        <v>39</v>
      </c>
      <c r="D351" s="244" t="s">
        <v>10</v>
      </c>
      <c r="E351" s="245">
        <v>43617</v>
      </c>
      <c r="F351" s="118">
        <v>1016.96</v>
      </c>
      <c r="G351" s="118">
        <f>SUMIF(CONFERÊNCIA!A:A,A351,CONFERÊNCIA!J:J)</f>
        <v>1016.96</v>
      </c>
      <c r="H351" s="119">
        <f t="shared" si="17"/>
        <v>0</v>
      </c>
      <c r="I351" s="171" t="s">
        <v>1235</v>
      </c>
    </row>
    <row r="352" spans="1:9" s="110" customFormat="1" ht="13.5" customHeight="1" x14ac:dyDescent="0.2">
      <c r="A352" s="243">
        <v>112850</v>
      </c>
      <c r="B352" s="244" t="s">
        <v>453</v>
      </c>
      <c r="C352" s="244" t="s">
        <v>15</v>
      </c>
      <c r="D352" s="244" t="s">
        <v>1589</v>
      </c>
      <c r="E352" s="245">
        <v>43617</v>
      </c>
      <c r="F352" s="118">
        <v>1016.96</v>
      </c>
      <c r="G352" s="118">
        <f>SUMIF(CONFERÊNCIA!A:A,A352,CONFERÊNCIA!J:J)</f>
        <v>1016.96</v>
      </c>
      <c r="H352" s="119">
        <f t="shared" ref="H352:H367" si="18">G352-F352</f>
        <v>0</v>
      </c>
      <c r="I352" s="171" t="s">
        <v>1234</v>
      </c>
    </row>
    <row r="353" spans="1:9" s="125" customFormat="1" ht="13.5" customHeight="1" x14ac:dyDescent="0.2">
      <c r="A353" s="243">
        <v>112858</v>
      </c>
      <c r="B353" s="244" t="s">
        <v>457</v>
      </c>
      <c r="C353" s="244" t="s">
        <v>15</v>
      </c>
      <c r="D353" s="244" t="s">
        <v>1589</v>
      </c>
      <c r="E353" s="245">
        <v>43617</v>
      </c>
      <c r="F353" s="118">
        <v>1016.96</v>
      </c>
      <c r="G353" s="118">
        <f>SUMIF(CONFERÊNCIA!A:A,A353,CONFERÊNCIA!J:J)</f>
        <v>1016.96</v>
      </c>
      <c r="H353" s="120">
        <f t="shared" si="18"/>
        <v>0</v>
      </c>
      <c r="I353" s="171" t="s">
        <v>1234</v>
      </c>
    </row>
    <row r="354" spans="1:9" s="125" customFormat="1" ht="13.5" customHeight="1" x14ac:dyDescent="0.2">
      <c r="A354" s="243">
        <v>112866</v>
      </c>
      <c r="B354" s="244" t="s">
        <v>462</v>
      </c>
      <c r="C354" s="244" t="s">
        <v>2</v>
      </c>
      <c r="D354" s="244" t="s">
        <v>8</v>
      </c>
      <c r="E354" s="245">
        <v>43617</v>
      </c>
      <c r="F354" s="118">
        <v>1016.96</v>
      </c>
      <c r="G354" s="118">
        <f>SUMIF(CONFERÊNCIA!A:A,A354,CONFERÊNCIA!J:J)</f>
        <v>1016.96</v>
      </c>
      <c r="H354" s="120">
        <f t="shared" si="18"/>
        <v>0</v>
      </c>
      <c r="I354" s="171" t="s">
        <v>1234</v>
      </c>
    </row>
    <row r="355" spans="1:9" s="125" customFormat="1" ht="13.5" customHeight="1" x14ac:dyDescent="0.2">
      <c r="A355" s="243">
        <v>112867</v>
      </c>
      <c r="B355" s="244" t="s">
        <v>463</v>
      </c>
      <c r="C355" s="244" t="s">
        <v>2</v>
      </c>
      <c r="D355" s="244" t="s">
        <v>8</v>
      </c>
      <c r="E355" s="245">
        <v>43617</v>
      </c>
      <c r="F355" s="118">
        <v>1016.96</v>
      </c>
      <c r="G355" s="118">
        <f>SUMIF(CONFERÊNCIA!A:A,A355,CONFERÊNCIA!J:J)</f>
        <v>1016.96</v>
      </c>
      <c r="H355" s="120">
        <f t="shared" si="18"/>
        <v>0</v>
      </c>
      <c r="I355" s="171" t="s">
        <v>1234</v>
      </c>
    </row>
    <row r="356" spans="1:9" s="110" customFormat="1" ht="13.5" customHeight="1" x14ac:dyDescent="0.2">
      <c r="A356" s="243">
        <v>112874</v>
      </c>
      <c r="B356" s="244" t="s">
        <v>467</v>
      </c>
      <c r="C356" s="244" t="s">
        <v>15</v>
      </c>
      <c r="D356" s="244" t="s">
        <v>1589</v>
      </c>
      <c r="E356" s="245">
        <v>43617</v>
      </c>
      <c r="F356" s="118">
        <v>1016.96</v>
      </c>
      <c r="G356" s="118">
        <f>SUMIF(CONFERÊNCIA!A:A,A356,CONFERÊNCIA!J:J)</f>
        <v>1016.96</v>
      </c>
      <c r="H356" s="119">
        <f t="shared" si="18"/>
        <v>0</v>
      </c>
      <c r="I356" s="171" t="s">
        <v>1234</v>
      </c>
    </row>
    <row r="357" spans="1:9" s="125" customFormat="1" ht="13.5" customHeight="1" x14ac:dyDescent="0.2">
      <c r="A357" s="243">
        <v>112881</v>
      </c>
      <c r="B357" s="244" t="s">
        <v>473</v>
      </c>
      <c r="C357" s="244" t="s">
        <v>2</v>
      </c>
      <c r="D357" s="244" t="s">
        <v>0</v>
      </c>
      <c r="E357" s="245">
        <v>43617</v>
      </c>
      <c r="F357" s="118">
        <v>1016.96</v>
      </c>
      <c r="G357" s="118">
        <f>SUMIF(CONFERÊNCIA!A:A,A357,CONFERÊNCIA!J:J)</f>
        <v>1016.96</v>
      </c>
      <c r="H357" s="120">
        <f t="shared" si="18"/>
        <v>0</v>
      </c>
      <c r="I357" s="171" t="s">
        <v>1234</v>
      </c>
    </row>
    <row r="358" spans="1:9" s="110" customFormat="1" ht="13.5" customHeight="1" x14ac:dyDescent="0.2">
      <c r="A358" s="243">
        <v>112878</v>
      </c>
      <c r="B358" s="244" t="s">
        <v>472</v>
      </c>
      <c r="C358" s="244" t="s">
        <v>15</v>
      </c>
      <c r="D358" s="244" t="s">
        <v>1589</v>
      </c>
      <c r="E358" s="245">
        <v>43617</v>
      </c>
      <c r="F358" s="118">
        <v>1016.96</v>
      </c>
      <c r="G358" s="118">
        <f>SUMIF(CONFERÊNCIA!A:A,A358,CONFERÊNCIA!J:J)</f>
        <v>1016.96</v>
      </c>
      <c r="H358" s="119">
        <f t="shared" si="18"/>
        <v>0</v>
      </c>
      <c r="I358" s="171" t="s">
        <v>1234</v>
      </c>
    </row>
    <row r="359" spans="1:9" s="125" customFormat="1" ht="13.5" customHeight="1" x14ac:dyDescent="0.2">
      <c r="A359" s="243">
        <v>119662</v>
      </c>
      <c r="B359" s="244" t="s">
        <v>1466</v>
      </c>
      <c r="C359" s="244" t="s">
        <v>15</v>
      </c>
      <c r="D359" s="244" t="s">
        <v>1589</v>
      </c>
      <c r="E359" s="245">
        <v>44725</v>
      </c>
      <c r="F359" s="118">
        <v>1016.96</v>
      </c>
      <c r="G359" s="118">
        <f>SUMIF(CONFERÊNCIA!A:A,A359,CONFERÊNCIA!J:J)</f>
        <v>1016.96</v>
      </c>
      <c r="H359" s="120">
        <f t="shared" si="18"/>
        <v>0</v>
      </c>
      <c r="I359" s="171" t="s">
        <v>1234</v>
      </c>
    </row>
    <row r="360" spans="1:9" s="110" customFormat="1" ht="13.5" customHeight="1" x14ac:dyDescent="0.2">
      <c r="A360" s="243">
        <v>115231</v>
      </c>
      <c r="B360" s="244" t="s">
        <v>1152</v>
      </c>
      <c r="C360" s="244" t="s">
        <v>5</v>
      </c>
      <c r="D360" s="244" t="s">
        <v>1589</v>
      </c>
      <c r="E360" s="245">
        <v>44018</v>
      </c>
      <c r="F360" s="118">
        <v>1016.96</v>
      </c>
      <c r="G360" s="118">
        <f>SUMIF(CONFERÊNCIA!A:A,A360,CONFERÊNCIA!J:J)</f>
        <v>1016.96</v>
      </c>
      <c r="H360" s="119">
        <f t="shared" si="18"/>
        <v>0</v>
      </c>
      <c r="I360" s="171" t="s">
        <v>1234</v>
      </c>
    </row>
    <row r="361" spans="1:9" s="125" customFormat="1" ht="13.5" customHeight="1" x14ac:dyDescent="0.2">
      <c r="A361" s="243">
        <v>113416</v>
      </c>
      <c r="B361" s="244" t="s">
        <v>767</v>
      </c>
      <c r="C361" s="244" t="s">
        <v>2</v>
      </c>
      <c r="D361" s="244" t="s">
        <v>0</v>
      </c>
      <c r="E361" s="245">
        <v>43617</v>
      </c>
      <c r="F361" s="118">
        <v>1016.96</v>
      </c>
      <c r="G361" s="118">
        <f>SUMIF(CONFERÊNCIA!A:A,A361,CONFERÊNCIA!J:J)</f>
        <v>1016.96</v>
      </c>
      <c r="H361" s="120">
        <f t="shared" si="18"/>
        <v>0</v>
      </c>
      <c r="I361" s="171" t="s">
        <v>1234</v>
      </c>
    </row>
    <row r="362" spans="1:9" s="110" customFormat="1" ht="13.5" customHeight="1" x14ac:dyDescent="0.2">
      <c r="A362" s="243">
        <v>117359</v>
      </c>
      <c r="B362" s="244" t="s">
        <v>1269</v>
      </c>
      <c r="C362" s="244" t="s">
        <v>15</v>
      </c>
      <c r="D362" s="244" t="s">
        <v>1589</v>
      </c>
      <c r="E362" s="245">
        <v>44508</v>
      </c>
      <c r="F362" s="118">
        <v>1016.96</v>
      </c>
      <c r="G362" s="118">
        <f>SUMIF(CONFERÊNCIA!A:A,A362,CONFERÊNCIA!J:J)</f>
        <v>1016.96</v>
      </c>
      <c r="H362" s="119">
        <f t="shared" si="18"/>
        <v>0</v>
      </c>
      <c r="I362" s="171" t="s">
        <v>1234</v>
      </c>
    </row>
    <row r="363" spans="1:9" s="125" customFormat="1" ht="13.5" customHeight="1" x14ac:dyDescent="0.2">
      <c r="A363" s="243">
        <v>114977</v>
      </c>
      <c r="B363" s="244" t="s">
        <v>1138</v>
      </c>
      <c r="C363" s="244" t="s">
        <v>5</v>
      </c>
      <c r="D363" s="244" t="s">
        <v>1589</v>
      </c>
      <c r="E363" s="245">
        <v>43917</v>
      </c>
      <c r="F363" s="118">
        <v>1016.96</v>
      </c>
      <c r="G363" s="118">
        <f>SUMIF(CONFERÊNCIA!A:A,A363,CONFERÊNCIA!J:J)</f>
        <v>1016.96</v>
      </c>
      <c r="H363" s="120">
        <f t="shared" si="18"/>
        <v>0</v>
      </c>
      <c r="I363" s="171" t="s">
        <v>1234</v>
      </c>
    </row>
    <row r="364" spans="1:9" s="110" customFormat="1" ht="13.5" customHeight="1" x14ac:dyDescent="0.2">
      <c r="A364" s="243">
        <v>113442</v>
      </c>
      <c r="B364" s="244" t="s">
        <v>784</v>
      </c>
      <c r="C364" s="244" t="s">
        <v>2</v>
      </c>
      <c r="D364" s="244" t="s">
        <v>0</v>
      </c>
      <c r="E364" s="245">
        <v>43617</v>
      </c>
      <c r="F364" s="118">
        <v>1016.96</v>
      </c>
      <c r="G364" s="118">
        <f>SUMIF(CONFERÊNCIA!A:A,A364,CONFERÊNCIA!J:J)</f>
        <v>1016.96</v>
      </c>
      <c r="H364" s="119">
        <f t="shared" si="18"/>
        <v>0</v>
      </c>
      <c r="I364" s="171" t="s">
        <v>1234</v>
      </c>
    </row>
    <row r="365" spans="1:9" s="125" customFormat="1" ht="13.5" customHeight="1" x14ac:dyDescent="0.2">
      <c r="A365" s="243">
        <v>115216</v>
      </c>
      <c r="B365" s="244" t="s">
        <v>1146</v>
      </c>
      <c r="C365" s="244" t="s">
        <v>5</v>
      </c>
      <c r="D365" s="244" t="s">
        <v>8</v>
      </c>
      <c r="E365" s="245">
        <v>44018</v>
      </c>
      <c r="F365" s="118">
        <v>1016.96</v>
      </c>
      <c r="G365" s="118">
        <f>SUMIF(CONFERÊNCIA!A:A,A365,CONFERÊNCIA!J:J)</f>
        <v>1016.96</v>
      </c>
      <c r="H365" s="120">
        <f t="shared" si="18"/>
        <v>0</v>
      </c>
      <c r="I365" s="171" t="s">
        <v>1234</v>
      </c>
    </row>
    <row r="366" spans="1:9" s="110" customFormat="1" ht="13.5" customHeight="1" x14ac:dyDescent="0.2">
      <c r="A366" s="243">
        <v>113447</v>
      </c>
      <c r="B366" s="244" t="s">
        <v>786</v>
      </c>
      <c r="C366" s="244" t="s">
        <v>722</v>
      </c>
      <c r="D366" s="244" t="s">
        <v>1589</v>
      </c>
      <c r="E366" s="245">
        <v>43617</v>
      </c>
      <c r="F366" s="118">
        <v>1016.96</v>
      </c>
      <c r="G366" s="118">
        <f>SUMIF(CONFERÊNCIA!A:A,A366,CONFERÊNCIA!J:J)</f>
        <v>1016.96</v>
      </c>
      <c r="H366" s="119">
        <f t="shared" si="18"/>
        <v>0</v>
      </c>
      <c r="I366" s="171" t="s">
        <v>1234</v>
      </c>
    </row>
    <row r="367" spans="1:9" s="110" customFormat="1" ht="13.5" customHeight="1" x14ac:dyDescent="0.2">
      <c r="A367" s="243">
        <v>113457</v>
      </c>
      <c r="B367" s="244" t="s">
        <v>790</v>
      </c>
      <c r="C367" s="244" t="s">
        <v>2</v>
      </c>
      <c r="D367" s="244" t="s">
        <v>32</v>
      </c>
      <c r="E367" s="245">
        <v>43617</v>
      </c>
      <c r="F367" s="118">
        <v>1016.96</v>
      </c>
      <c r="G367" s="118">
        <f>SUMIF(CONFERÊNCIA!A:A,A367,CONFERÊNCIA!J:J)</f>
        <v>1016.96</v>
      </c>
      <c r="H367" s="119">
        <f t="shared" si="18"/>
        <v>0</v>
      </c>
      <c r="I367" s="171" t="s">
        <v>1234</v>
      </c>
    </row>
    <row r="368" spans="1:9" s="125" customFormat="1" ht="13.5" customHeight="1" x14ac:dyDescent="0.2">
      <c r="A368" s="243">
        <v>122574</v>
      </c>
      <c r="B368" s="244" t="s">
        <v>1697</v>
      </c>
      <c r="C368" s="244" t="s">
        <v>15</v>
      </c>
      <c r="D368" s="244" t="s">
        <v>1589</v>
      </c>
      <c r="E368" s="245">
        <v>45131</v>
      </c>
      <c r="F368" s="118">
        <v>1290.76</v>
      </c>
      <c r="G368" s="118">
        <f>SUMIF(CONFERÊNCIA!A:A,A368,CONFERÊNCIA!J:J)</f>
        <v>1016.96</v>
      </c>
      <c r="H368" s="120">
        <f t="shared" ref="H368:H383" si="19">G368-F368</f>
        <v>-273.79999999999995</v>
      </c>
      <c r="I368" s="171" t="s">
        <v>1234</v>
      </c>
    </row>
    <row r="369" spans="1:9" s="110" customFormat="1" ht="13.5" customHeight="1" x14ac:dyDescent="0.2">
      <c r="A369" s="243">
        <v>113460</v>
      </c>
      <c r="B369" s="244" t="s">
        <v>793</v>
      </c>
      <c r="C369" s="244" t="s">
        <v>22</v>
      </c>
      <c r="D369" s="244" t="s">
        <v>1589</v>
      </c>
      <c r="E369" s="245">
        <v>43617</v>
      </c>
      <c r="F369" s="118">
        <v>1016.96</v>
      </c>
      <c r="G369" s="118">
        <f>SUMIF(CONFERÊNCIA!A:A,A369,CONFERÊNCIA!J:J)</f>
        <v>1016.96</v>
      </c>
      <c r="H369" s="119">
        <f t="shared" si="19"/>
        <v>0</v>
      </c>
      <c r="I369" s="171" t="s">
        <v>1234</v>
      </c>
    </row>
    <row r="370" spans="1:9" s="110" customFormat="1" ht="13.5" customHeight="1" x14ac:dyDescent="0.2">
      <c r="A370" s="243">
        <v>113469</v>
      </c>
      <c r="B370" s="244" t="s">
        <v>798</v>
      </c>
      <c r="C370" s="244" t="s">
        <v>5</v>
      </c>
      <c r="D370" s="244" t="s">
        <v>0</v>
      </c>
      <c r="E370" s="245">
        <v>43617</v>
      </c>
      <c r="F370" s="118">
        <v>1016.96</v>
      </c>
      <c r="G370" s="118">
        <f>SUMIF(CONFERÊNCIA!A:A,A370,CONFERÊNCIA!J:J)</f>
        <v>1016.96</v>
      </c>
      <c r="H370" s="119">
        <f t="shared" si="19"/>
        <v>0</v>
      </c>
      <c r="I370" s="171" t="s">
        <v>1234</v>
      </c>
    </row>
    <row r="371" spans="1:9" s="125" customFormat="1" ht="13.5" customHeight="1" x14ac:dyDescent="0.2">
      <c r="A371" s="243">
        <v>113491</v>
      </c>
      <c r="B371" s="244" t="s">
        <v>810</v>
      </c>
      <c r="C371" s="244" t="s">
        <v>5</v>
      </c>
      <c r="D371" s="244" t="s">
        <v>32</v>
      </c>
      <c r="E371" s="245">
        <v>43617</v>
      </c>
      <c r="F371" s="118">
        <v>1016.96</v>
      </c>
      <c r="G371" s="118">
        <f>SUMIF(CONFERÊNCIA!A:A,A371,CONFERÊNCIA!J:J)</f>
        <v>1016.96</v>
      </c>
      <c r="H371" s="120">
        <f t="shared" si="19"/>
        <v>0</v>
      </c>
      <c r="I371" s="171" t="s">
        <v>1234</v>
      </c>
    </row>
    <row r="372" spans="1:9" s="125" customFormat="1" ht="13.5" customHeight="1" x14ac:dyDescent="0.2">
      <c r="A372" s="243">
        <v>113498</v>
      </c>
      <c r="B372" s="244" t="s">
        <v>813</v>
      </c>
      <c r="C372" s="244" t="s">
        <v>5</v>
      </c>
      <c r="D372" s="244" t="s">
        <v>19</v>
      </c>
      <c r="E372" s="245">
        <v>43617</v>
      </c>
      <c r="F372" s="118">
        <v>1016.96</v>
      </c>
      <c r="G372" s="118">
        <f>SUMIF(CONFERÊNCIA!A:A,A372,CONFERÊNCIA!J:J)</f>
        <v>1016.96</v>
      </c>
      <c r="H372" s="120">
        <f t="shared" si="19"/>
        <v>0</v>
      </c>
      <c r="I372" s="171" t="s">
        <v>1234</v>
      </c>
    </row>
    <row r="373" spans="1:9" s="125" customFormat="1" ht="13.5" customHeight="1" x14ac:dyDescent="0.2">
      <c r="A373" s="243">
        <v>113510</v>
      </c>
      <c r="B373" s="244" t="s">
        <v>819</v>
      </c>
      <c r="C373" s="244" t="s">
        <v>15</v>
      </c>
      <c r="D373" s="244" t="s">
        <v>1589</v>
      </c>
      <c r="E373" s="245">
        <v>43617</v>
      </c>
      <c r="F373" s="118">
        <v>1016.96</v>
      </c>
      <c r="G373" s="118">
        <f>SUMIF(CONFERÊNCIA!A:A,A373,CONFERÊNCIA!J:J)</f>
        <v>1016.96</v>
      </c>
      <c r="H373" s="120">
        <f t="shared" si="19"/>
        <v>0</v>
      </c>
      <c r="I373" s="171" t="s">
        <v>1234</v>
      </c>
    </row>
    <row r="374" spans="1:9" s="110" customFormat="1" ht="13.5" customHeight="1" x14ac:dyDescent="0.2">
      <c r="A374" s="243">
        <v>113512</v>
      </c>
      <c r="B374" s="244" t="s">
        <v>820</v>
      </c>
      <c r="C374" s="244" t="s">
        <v>5</v>
      </c>
      <c r="D374" s="244" t="s">
        <v>8</v>
      </c>
      <c r="E374" s="245">
        <v>43617</v>
      </c>
      <c r="F374" s="118">
        <v>1016.96</v>
      </c>
      <c r="G374" s="118">
        <f>SUMIF(CONFERÊNCIA!A:A,A374,CONFERÊNCIA!J:J)</f>
        <v>1016.96</v>
      </c>
      <c r="H374" s="119">
        <f t="shared" si="19"/>
        <v>0</v>
      </c>
      <c r="I374" s="171" t="s">
        <v>1234</v>
      </c>
    </row>
    <row r="375" spans="1:9" s="125" customFormat="1" ht="13.5" customHeight="1" x14ac:dyDescent="0.2">
      <c r="A375" s="243">
        <v>113516</v>
      </c>
      <c r="B375" s="244" t="s">
        <v>822</v>
      </c>
      <c r="C375" s="244" t="s">
        <v>2</v>
      </c>
      <c r="D375" s="244" t="s">
        <v>10</v>
      </c>
      <c r="E375" s="245">
        <v>43617</v>
      </c>
      <c r="F375" s="118">
        <v>1016.96</v>
      </c>
      <c r="G375" s="118">
        <f>SUMIF(CONFERÊNCIA!A:A,A375,CONFERÊNCIA!J:J)</f>
        <v>1016.96</v>
      </c>
      <c r="H375" s="120">
        <f t="shared" si="19"/>
        <v>0</v>
      </c>
      <c r="I375" s="171" t="s">
        <v>1234</v>
      </c>
    </row>
    <row r="376" spans="1:9" s="110" customFormat="1" ht="13.5" customHeight="1" x14ac:dyDescent="0.2">
      <c r="A376" s="243">
        <v>114108</v>
      </c>
      <c r="B376" s="244" t="s">
        <v>1012</v>
      </c>
      <c r="C376" s="244" t="s">
        <v>5</v>
      </c>
      <c r="D376" s="244" t="s">
        <v>8</v>
      </c>
      <c r="E376" s="245">
        <v>43728</v>
      </c>
      <c r="F376" s="118">
        <v>1016.96</v>
      </c>
      <c r="G376" s="118">
        <f>SUMIF(CONFERÊNCIA!A:A,A376,CONFERÊNCIA!J:J)</f>
        <v>1016.96</v>
      </c>
      <c r="H376" s="119">
        <f t="shared" si="19"/>
        <v>0</v>
      </c>
      <c r="I376" s="171" t="s">
        <v>1234</v>
      </c>
    </row>
    <row r="377" spans="1:9" s="125" customFormat="1" ht="13.5" customHeight="1" x14ac:dyDescent="0.2">
      <c r="A377" s="243">
        <v>113521</v>
      </c>
      <c r="B377" s="244" t="s">
        <v>825</v>
      </c>
      <c r="C377" s="244" t="s">
        <v>2</v>
      </c>
      <c r="D377" s="244" t="s">
        <v>0</v>
      </c>
      <c r="E377" s="245">
        <v>43617</v>
      </c>
      <c r="F377" s="118">
        <v>1016.96</v>
      </c>
      <c r="G377" s="118">
        <f>SUMIF(CONFERÊNCIA!A:A,A377,CONFERÊNCIA!J:J)</f>
        <v>1016.96</v>
      </c>
      <c r="H377" s="120">
        <f t="shared" si="19"/>
        <v>0</v>
      </c>
      <c r="I377" s="171" t="s">
        <v>1234</v>
      </c>
    </row>
    <row r="378" spans="1:9" s="110" customFormat="1" ht="13.5" customHeight="1" x14ac:dyDescent="0.2">
      <c r="A378" s="243">
        <v>116327</v>
      </c>
      <c r="B378" s="244" t="s">
        <v>1522</v>
      </c>
      <c r="C378" s="244" t="s">
        <v>5</v>
      </c>
      <c r="D378" s="244" t="s">
        <v>0</v>
      </c>
      <c r="E378" s="245">
        <v>44308</v>
      </c>
      <c r="F378" s="118">
        <v>940.39</v>
      </c>
      <c r="G378" s="118">
        <f>SUMIF(CONFERÊNCIA!A:A,A378,CONFERÊNCIA!J:J)</f>
        <v>1016.96</v>
      </c>
      <c r="H378" s="119">
        <f t="shared" si="19"/>
        <v>76.57000000000005</v>
      </c>
      <c r="I378" s="171" t="s">
        <v>1234</v>
      </c>
    </row>
    <row r="379" spans="1:9" s="125" customFormat="1" ht="13.5" customHeight="1" x14ac:dyDescent="0.2">
      <c r="A379" s="243">
        <v>113524</v>
      </c>
      <c r="B379" s="244" t="s">
        <v>826</v>
      </c>
      <c r="C379" s="244" t="s">
        <v>5</v>
      </c>
      <c r="D379" s="244" t="s">
        <v>19</v>
      </c>
      <c r="E379" s="245">
        <v>43617</v>
      </c>
      <c r="F379" s="118">
        <v>1016.96</v>
      </c>
      <c r="G379" s="118">
        <f>SUMIF(CONFERÊNCIA!A:A,A379,CONFERÊNCIA!J:J)</f>
        <v>1016.96</v>
      </c>
      <c r="H379" s="120">
        <f t="shared" si="19"/>
        <v>0</v>
      </c>
      <c r="I379" s="171" t="s">
        <v>1234</v>
      </c>
    </row>
    <row r="380" spans="1:9" s="110" customFormat="1" ht="13.5" customHeight="1" x14ac:dyDescent="0.2">
      <c r="A380" s="243">
        <v>113530</v>
      </c>
      <c r="B380" s="244" t="s">
        <v>829</v>
      </c>
      <c r="C380" s="244" t="s">
        <v>2</v>
      </c>
      <c r="D380" s="244" t="s">
        <v>0</v>
      </c>
      <c r="E380" s="245">
        <v>43617</v>
      </c>
      <c r="F380" s="118">
        <v>1016.96</v>
      </c>
      <c r="G380" s="118">
        <f>SUMIF(CONFERÊNCIA!A:A,A380,CONFERÊNCIA!J:J)</f>
        <v>1016.96</v>
      </c>
      <c r="H380" s="119">
        <f t="shared" si="19"/>
        <v>0</v>
      </c>
      <c r="I380" s="171" t="s">
        <v>1234</v>
      </c>
    </row>
    <row r="381" spans="1:9" s="125" customFormat="1" ht="13.5" customHeight="1" x14ac:dyDescent="0.2">
      <c r="A381" s="243">
        <v>113532</v>
      </c>
      <c r="B381" s="244" t="s">
        <v>831</v>
      </c>
      <c r="C381" s="244" t="s">
        <v>5</v>
      </c>
      <c r="D381" s="244" t="s">
        <v>10</v>
      </c>
      <c r="E381" s="245">
        <v>43617</v>
      </c>
      <c r="F381" s="118">
        <v>1016.96</v>
      </c>
      <c r="G381" s="118">
        <f>SUMIF(CONFERÊNCIA!A:A,A381,CONFERÊNCIA!J:J)</f>
        <v>1016.96</v>
      </c>
      <c r="H381" s="120">
        <f t="shared" si="19"/>
        <v>0</v>
      </c>
      <c r="I381" s="171" t="s">
        <v>1234</v>
      </c>
    </row>
    <row r="382" spans="1:9" s="110" customFormat="1" ht="13.5" customHeight="1" x14ac:dyDescent="0.2">
      <c r="A382" s="243">
        <v>113535</v>
      </c>
      <c r="B382" s="244" t="s">
        <v>833</v>
      </c>
      <c r="C382" s="244" t="s">
        <v>1449</v>
      </c>
      <c r="D382" s="244" t="s">
        <v>1589</v>
      </c>
      <c r="E382" s="245">
        <v>43617</v>
      </c>
      <c r="F382" s="118">
        <v>1016.96</v>
      </c>
      <c r="G382" s="118">
        <f>SUMIF(CONFERÊNCIA!A:A,A382,CONFERÊNCIA!J:J)</f>
        <v>1016.96</v>
      </c>
      <c r="H382" s="119">
        <f t="shared" si="19"/>
        <v>0</v>
      </c>
      <c r="I382" s="171" t="s">
        <v>1234</v>
      </c>
    </row>
    <row r="383" spans="1:9" s="125" customFormat="1" ht="13.5" customHeight="1" x14ac:dyDescent="0.2">
      <c r="A383" s="243">
        <v>113537</v>
      </c>
      <c r="B383" s="244" t="s">
        <v>835</v>
      </c>
      <c r="C383" s="244" t="s">
        <v>2</v>
      </c>
      <c r="D383" s="244" t="s">
        <v>0</v>
      </c>
      <c r="E383" s="245">
        <v>43617</v>
      </c>
      <c r="F383" s="118">
        <v>1016.96</v>
      </c>
      <c r="G383" s="118">
        <f>SUMIF(CONFERÊNCIA!A:A,A383,CONFERÊNCIA!J:J)</f>
        <v>1016.96</v>
      </c>
      <c r="H383" s="120">
        <f t="shared" si="19"/>
        <v>0</v>
      </c>
      <c r="I383" s="171" t="s">
        <v>1234</v>
      </c>
    </row>
    <row r="384" spans="1:9" s="110" customFormat="1" ht="13.5" customHeight="1" x14ac:dyDescent="0.2">
      <c r="A384" s="243">
        <v>113541</v>
      </c>
      <c r="B384" s="244" t="s">
        <v>837</v>
      </c>
      <c r="C384" s="244" t="s">
        <v>7</v>
      </c>
      <c r="D384" s="244" t="s">
        <v>1589</v>
      </c>
      <c r="E384" s="245">
        <v>43617</v>
      </c>
      <c r="F384" s="118">
        <v>1016.96</v>
      </c>
      <c r="G384" s="118">
        <f>SUMIF(CONFERÊNCIA!A:A,A384,CONFERÊNCIA!J:J)</f>
        <v>1016.96</v>
      </c>
      <c r="H384" s="119">
        <f t="shared" ref="H384:H401" si="20">G384-F384</f>
        <v>0</v>
      </c>
      <c r="I384" s="171" t="s">
        <v>1234</v>
      </c>
    </row>
    <row r="385" spans="1:9" s="125" customFormat="1" ht="13.5" customHeight="1" x14ac:dyDescent="0.2">
      <c r="A385" s="243">
        <v>113548</v>
      </c>
      <c r="B385" s="244" t="s">
        <v>842</v>
      </c>
      <c r="C385" s="244" t="s">
        <v>5</v>
      </c>
      <c r="D385" s="244" t="s">
        <v>0</v>
      </c>
      <c r="E385" s="245">
        <v>43617</v>
      </c>
      <c r="F385" s="118">
        <v>1016.96</v>
      </c>
      <c r="G385" s="118">
        <f>SUMIF(CONFERÊNCIA!A:A,A385,CONFERÊNCIA!J:J)</f>
        <v>1016.96</v>
      </c>
      <c r="H385" s="120">
        <f t="shared" si="20"/>
        <v>0</v>
      </c>
      <c r="I385" s="171" t="s">
        <v>1234</v>
      </c>
    </row>
    <row r="386" spans="1:9" s="110" customFormat="1" ht="13.5" customHeight="1" x14ac:dyDescent="0.2">
      <c r="A386" s="243">
        <v>113551</v>
      </c>
      <c r="B386" s="244" t="s">
        <v>845</v>
      </c>
      <c r="C386" s="244" t="s">
        <v>2</v>
      </c>
      <c r="D386" s="244" t="s">
        <v>0</v>
      </c>
      <c r="E386" s="245">
        <v>43617</v>
      </c>
      <c r="F386" s="118">
        <v>1016.96</v>
      </c>
      <c r="G386" s="118">
        <f>SUMIF(CONFERÊNCIA!A:A,A386,CONFERÊNCIA!J:J)</f>
        <v>1016.96</v>
      </c>
      <c r="H386" s="119">
        <f t="shared" si="20"/>
        <v>0</v>
      </c>
      <c r="I386" s="171" t="s">
        <v>1234</v>
      </c>
    </row>
    <row r="387" spans="1:9" s="125" customFormat="1" ht="13.5" customHeight="1" x14ac:dyDescent="0.2">
      <c r="A387" s="243">
        <v>114697</v>
      </c>
      <c r="B387" s="244" t="s">
        <v>1075</v>
      </c>
      <c r="C387" s="244" t="s">
        <v>39</v>
      </c>
      <c r="D387" s="244" t="s">
        <v>32</v>
      </c>
      <c r="E387" s="245">
        <v>43874</v>
      </c>
      <c r="F387" s="118">
        <v>1016.96</v>
      </c>
      <c r="G387" s="118">
        <f>SUMIF(CONFERÊNCIA!A:A,A387,CONFERÊNCIA!J:J)</f>
        <v>1016.96</v>
      </c>
      <c r="H387" s="120">
        <f t="shared" si="20"/>
        <v>0</v>
      </c>
      <c r="I387" s="171" t="s">
        <v>1234</v>
      </c>
    </row>
    <row r="388" spans="1:9" s="110" customFormat="1" ht="13.5" customHeight="1" x14ac:dyDescent="0.2">
      <c r="A388" s="243">
        <v>113594</v>
      </c>
      <c r="B388" s="244" t="s">
        <v>867</v>
      </c>
      <c r="C388" s="244" t="s">
        <v>5</v>
      </c>
      <c r="D388" s="244" t="s">
        <v>0</v>
      </c>
      <c r="E388" s="245">
        <v>43617</v>
      </c>
      <c r="F388" s="118">
        <v>1016.96</v>
      </c>
      <c r="G388" s="118">
        <f>SUMIF(CONFERÊNCIA!A:A,A388,CONFERÊNCIA!J:J)</f>
        <v>1016.96</v>
      </c>
      <c r="H388" s="119">
        <f t="shared" si="20"/>
        <v>0</v>
      </c>
      <c r="I388" s="171" t="s">
        <v>1234</v>
      </c>
    </row>
    <row r="389" spans="1:9" s="125" customFormat="1" ht="13.5" customHeight="1" x14ac:dyDescent="0.2">
      <c r="A389" s="243">
        <v>113566</v>
      </c>
      <c r="B389" s="244" t="s">
        <v>854</v>
      </c>
      <c r="C389" s="244" t="s">
        <v>2</v>
      </c>
      <c r="D389" s="244" t="s">
        <v>0</v>
      </c>
      <c r="E389" s="245">
        <v>43617</v>
      </c>
      <c r="F389" s="118">
        <v>1016.96</v>
      </c>
      <c r="G389" s="118">
        <f>SUMIF(CONFERÊNCIA!A:A,A389,CONFERÊNCIA!J:J)</f>
        <v>1016.96</v>
      </c>
      <c r="H389" s="120">
        <f t="shared" si="20"/>
        <v>0</v>
      </c>
      <c r="I389" s="171" t="s">
        <v>1234</v>
      </c>
    </row>
    <row r="390" spans="1:9" s="125" customFormat="1" ht="13.5" customHeight="1" x14ac:dyDescent="0.2">
      <c r="A390" s="243">
        <v>113597</v>
      </c>
      <c r="B390" s="244" t="s">
        <v>868</v>
      </c>
      <c r="C390" s="244" t="s">
        <v>2</v>
      </c>
      <c r="D390" s="244" t="s">
        <v>8</v>
      </c>
      <c r="E390" s="245">
        <v>43617</v>
      </c>
      <c r="F390" s="118">
        <v>1016.96</v>
      </c>
      <c r="G390" s="118">
        <f>SUMIF(CONFERÊNCIA!A:A,A390,CONFERÊNCIA!J:J)</f>
        <v>1016.96</v>
      </c>
      <c r="H390" s="120">
        <f t="shared" si="20"/>
        <v>0</v>
      </c>
      <c r="I390" s="171" t="s">
        <v>1234</v>
      </c>
    </row>
    <row r="391" spans="1:9" s="110" customFormat="1" ht="13.5" customHeight="1" x14ac:dyDescent="0.2">
      <c r="A391" s="243">
        <v>113579</v>
      </c>
      <c r="B391" s="244" t="s">
        <v>858</v>
      </c>
      <c r="C391" s="244" t="s">
        <v>2</v>
      </c>
      <c r="D391" s="244" t="s">
        <v>8</v>
      </c>
      <c r="E391" s="245">
        <v>43617</v>
      </c>
      <c r="F391" s="118">
        <v>1016.96</v>
      </c>
      <c r="G391" s="118">
        <f>SUMIF(CONFERÊNCIA!A:A,A391,CONFERÊNCIA!J:J)</f>
        <v>1016.96</v>
      </c>
      <c r="H391" s="119">
        <f t="shared" si="20"/>
        <v>0</v>
      </c>
      <c r="I391" s="171" t="s">
        <v>1234</v>
      </c>
    </row>
    <row r="392" spans="1:9" s="125" customFormat="1" ht="13.5" customHeight="1" x14ac:dyDescent="0.2">
      <c r="A392" s="243">
        <v>114730</v>
      </c>
      <c r="B392" s="244" t="s">
        <v>1085</v>
      </c>
      <c r="C392" s="244" t="s">
        <v>5</v>
      </c>
      <c r="D392" s="244" t="s">
        <v>10</v>
      </c>
      <c r="E392" s="245">
        <v>43874</v>
      </c>
      <c r="F392" s="118">
        <v>978.67000000000007</v>
      </c>
      <c r="G392" s="118">
        <f>SUMIF(CONFERÊNCIA!A:A,A392,CONFERÊNCIA!J:J)</f>
        <v>0</v>
      </c>
      <c r="H392" s="120">
        <f t="shared" si="20"/>
        <v>-978.67000000000007</v>
      </c>
      <c r="I392" s="171" t="s">
        <v>1293</v>
      </c>
    </row>
    <row r="393" spans="1:9" s="110" customFormat="1" ht="13.5" customHeight="1" x14ac:dyDescent="0.2">
      <c r="A393" s="243">
        <v>113584</v>
      </c>
      <c r="B393" s="244" t="s">
        <v>860</v>
      </c>
      <c r="C393" s="244" t="s">
        <v>39</v>
      </c>
      <c r="D393" s="244" t="s">
        <v>0</v>
      </c>
      <c r="E393" s="245">
        <v>43617</v>
      </c>
      <c r="F393" s="118">
        <v>1016.96</v>
      </c>
      <c r="G393" s="118">
        <f>SUMIF(CONFERÊNCIA!A:A,A393,CONFERÊNCIA!J:J)</f>
        <v>1016.96</v>
      </c>
      <c r="H393" s="119">
        <f t="shared" si="20"/>
        <v>0</v>
      </c>
      <c r="I393" s="171" t="s">
        <v>1234</v>
      </c>
    </row>
    <row r="394" spans="1:9" s="125" customFormat="1" ht="13.5" customHeight="1" x14ac:dyDescent="0.2">
      <c r="A394" s="243">
        <v>113586</v>
      </c>
      <c r="B394" s="244" t="s">
        <v>862</v>
      </c>
      <c r="C394" s="244" t="s">
        <v>2</v>
      </c>
      <c r="D394" s="244" t="s">
        <v>10</v>
      </c>
      <c r="E394" s="245">
        <v>43617</v>
      </c>
      <c r="F394" s="118">
        <v>1016.96</v>
      </c>
      <c r="G394" s="118">
        <f>SUMIF(CONFERÊNCIA!A:A,A394,CONFERÊNCIA!J:J)</f>
        <v>1016.96</v>
      </c>
      <c r="H394" s="120">
        <f t="shared" si="20"/>
        <v>0</v>
      </c>
      <c r="I394" s="171" t="s">
        <v>1234</v>
      </c>
    </row>
    <row r="395" spans="1:9" s="110" customFormat="1" ht="13.5" customHeight="1" x14ac:dyDescent="0.2">
      <c r="A395" s="243">
        <v>113589</v>
      </c>
      <c r="B395" s="244" t="s">
        <v>1404</v>
      </c>
      <c r="C395" s="244" t="s">
        <v>5</v>
      </c>
      <c r="D395" s="244" t="s">
        <v>10</v>
      </c>
      <c r="E395" s="245">
        <v>43617</v>
      </c>
      <c r="F395" s="118">
        <v>1016.96</v>
      </c>
      <c r="G395" s="118">
        <f>SUMIF(CONFERÊNCIA!A:A,A395,CONFERÊNCIA!J:J)</f>
        <v>1016.96</v>
      </c>
      <c r="H395" s="119">
        <f t="shared" si="20"/>
        <v>0</v>
      </c>
      <c r="I395" s="171" t="s">
        <v>1234</v>
      </c>
    </row>
    <row r="396" spans="1:9" s="110" customFormat="1" ht="13.5" customHeight="1" x14ac:dyDescent="0.2">
      <c r="A396" s="243">
        <v>120190</v>
      </c>
      <c r="B396" s="244" t="s">
        <v>1500</v>
      </c>
      <c r="C396" s="244" t="s">
        <v>5</v>
      </c>
      <c r="D396" s="244" t="s">
        <v>0</v>
      </c>
      <c r="E396" s="245">
        <v>44791</v>
      </c>
      <c r="F396" s="118">
        <v>519.29</v>
      </c>
      <c r="G396" s="118">
        <f>SUMIF(CONFERÊNCIA!A:A,A396,CONFERÊNCIA!J:J)</f>
        <v>0</v>
      </c>
      <c r="H396" s="119">
        <f t="shared" si="20"/>
        <v>-519.29</v>
      </c>
      <c r="I396" s="171" t="s">
        <v>1293</v>
      </c>
    </row>
    <row r="397" spans="1:9" s="125" customFormat="1" ht="13.5" customHeight="1" x14ac:dyDescent="0.2">
      <c r="A397" s="243">
        <v>114525</v>
      </c>
      <c r="B397" s="244" t="s">
        <v>1050</v>
      </c>
      <c r="C397" s="244" t="s">
        <v>15</v>
      </c>
      <c r="D397" s="244" t="s">
        <v>1589</v>
      </c>
      <c r="E397" s="245">
        <v>43813</v>
      </c>
      <c r="F397" s="118">
        <v>978.67000000000007</v>
      </c>
      <c r="G397" s="118">
        <f>SUMIF(CONFERÊNCIA!A:A,A397,CONFERÊNCIA!J:J)</f>
        <v>1016.96</v>
      </c>
      <c r="H397" s="120">
        <f t="shared" si="20"/>
        <v>38.289999999999964</v>
      </c>
      <c r="I397" s="171" t="s">
        <v>1234</v>
      </c>
    </row>
    <row r="398" spans="1:9" s="110" customFormat="1" ht="13.5" customHeight="1" x14ac:dyDescent="0.2">
      <c r="A398" s="243">
        <v>113590</v>
      </c>
      <c r="B398" s="244" t="s">
        <v>865</v>
      </c>
      <c r="C398" s="244" t="s">
        <v>5</v>
      </c>
      <c r="D398" s="244" t="s">
        <v>10</v>
      </c>
      <c r="E398" s="245">
        <v>43617</v>
      </c>
      <c r="F398" s="118">
        <v>1016.96</v>
      </c>
      <c r="G398" s="118">
        <f>SUMIF(CONFERÊNCIA!A:A,A398,CONFERÊNCIA!J:J)</f>
        <v>1016.96</v>
      </c>
      <c r="H398" s="119">
        <f t="shared" si="20"/>
        <v>0</v>
      </c>
      <c r="I398" s="171" t="s">
        <v>1234</v>
      </c>
    </row>
    <row r="399" spans="1:9" s="125" customFormat="1" ht="13.5" customHeight="1" x14ac:dyDescent="0.2">
      <c r="A399" s="243">
        <v>122085</v>
      </c>
      <c r="B399" s="244" t="s">
        <v>1637</v>
      </c>
      <c r="C399" s="244" t="s">
        <v>5</v>
      </c>
      <c r="D399" s="244" t="s">
        <v>8</v>
      </c>
      <c r="E399" s="245">
        <v>45061</v>
      </c>
      <c r="F399" s="118">
        <v>787.26</v>
      </c>
      <c r="G399" s="118">
        <f>SUMIF(CONFERÊNCIA!A:A,A399,CONFERÊNCIA!J:J)</f>
        <v>0</v>
      </c>
      <c r="H399" s="120">
        <f t="shared" si="20"/>
        <v>-787.26</v>
      </c>
      <c r="I399" s="171" t="s">
        <v>1234</v>
      </c>
    </row>
    <row r="400" spans="1:9" s="110" customFormat="1" ht="13.5" customHeight="1" x14ac:dyDescent="0.2">
      <c r="A400" s="243">
        <v>113592</v>
      </c>
      <c r="B400" s="244" t="s">
        <v>866</v>
      </c>
      <c r="C400" s="244" t="s">
        <v>15</v>
      </c>
      <c r="D400" s="244" t="s">
        <v>1589</v>
      </c>
      <c r="E400" s="245">
        <v>43617</v>
      </c>
      <c r="F400" s="118">
        <v>1016.96</v>
      </c>
      <c r="G400" s="118">
        <f>SUMIF(CONFERÊNCIA!A:A,A400,CONFERÊNCIA!J:J)</f>
        <v>1016.96</v>
      </c>
      <c r="H400" s="119">
        <f t="shared" si="20"/>
        <v>0</v>
      </c>
      <c r="I400" s="171" t="s">
        <v>1234</v>
      </c>
    </row>
    <row r="401" spans="1:9" s="110" customFormat="1" ht="13.5" customHeight="1" x14ac:dyDescent="0.2">
      <c r="A401" s="243">
        <v>121428</v>
      </c>
      <c r="B401" s="244" t="s">
        <v>1566</v>
      </c>
      <c r="C401" s="244" t="s">
        <v>5</v>
      </c>
      <c r="D401" s="244" t="s">
        <v>1589</v>
      </c>
      <c r="E401" s="245">
        <v>44967</v>
      </c>
      <c r="F401" s="118">
        <v>1016.96</v>
      </c>
      <c r="G401" s="118">
        <f>SUMIF(CONFERÊNCIA!A:A,A401,CONFERÊNCIA!J:J)</f>
        <v>1016.96</v>
      </c>
      <c r="H401" s="119">
        <f t="shared" si="20"/>
        <v>0</v>
      </c>
      <c r="I401" s="171" t="s">
        <v>1234</v>
      </c>
    </row>
    <row r="402" spans="1:9" s="110" customFormat="1" ht="13.5" customHeight="1" x14ac:dyDescent="0.2">
      <c r="A402" s="243">
        <v>113603</v>
      </c>
      <c r="B402" s="244" t="s">
        <v>871</v>
      </c>
      <c r="C402" s="244" t="s">
        <v>39</v>
      </c>
      <c r="D402" s="244" t="s">
        <v>8</v>
      </c>
      <c r="E402" s="245">
        <v>43617</v>
      </c>
      <c r="F402" s="118">
        <v>1016.96</v>
      </c>
      <c r="G402" s="118">
        <f>SUMIF(CONFERÊNCIA!A:A,A402,CONFERÊNCIA!J:J)</f>
        <v>978.67000000000007</v>
      </c>
      <c r="H402" s="119">
        <f t="shared" ref="H402:H414" si="21">G402-F402</f>
        <v>-38.289999999999964</v>
      </c>
      <c r="I402" s="171" t="s">
        <v>1234</v>
      </c>
    </row>
    <row r="403" spans="1:9" s="110" customFormat="1" ht="13.5" customHeight="1" x14ac:dyDescent="0.2">
      <c r="A403" s="243">
        <v>113607</v>
      </c>
      <c r="B403" s="244" t="s">
        <v>872</v>
      </c>
      <c r="C403" s="244" t="s">
        <v>15</v>
      </c>
      <c r="D403" s="244" t="s">
        <v>1589</v>
      </c>
      <c r="E403" s="245">
        <v>43617</v>
      </c>
      <c r="F403" s="118">
        <v>1016.96</v>
      </c>
      <c r="G403" s="118">
        <f>SUMIF(CONFERÊNCIA!A:A,A403,CONFERÊNCIA!J:J)</f>
        <v>1016.96</v>
      </c>
      <c r="H403" s="119">
        <f t="shared" si="21"/>
        <v>0</v>
      </c>
      <c r="I403" s="171" t="s">
        <v>1234</v>
      </c>
    </row>
    <row r="404" spans="1:9" s="125" customFormat="1" ht="13.5" customHeight="1" x14ac:dyDescent="0.2">
      <c r="A404" s="243">
        <v>113609</v>
      </c>
      <c r="B404" s="244" t="s">
        <v>874</v>
      </c>
      <c r="C404" s="244" t="s">
        <v>5</v>
      </c>
      <c r="D404" s="244" t="s">
        <v>10</v>
      </c>
      <c r="E404" s="245">
        <v>43617</v>
      </c>
      <c r="F404" s="118">
        <v>1016.96</v>
      </c>
      <c r="G404" s="118">
        <f>SUMIF(CONFERÊNCIA!A:A,A404,CONFERÊNCIA!J:J)</f>
        <v>1016.96</v>
      </c>
      <c r="H404" s="120">
        <f t="shared" si="21"/>
        <v>0</v>
      </c>
      <c r="I404" s="171" t="s">
        <v>1234</v>
      </c>
    </row>
    <row r="405" spans="1:9" s="125" customFormat="1" ht="13.5" customHeight="1" x14ac:dyDescent="0.2">
      <c r="A405" s="243">
        <v>113661</v>
      </c>
      <c r="B405" s="244" t="s">
        <v>903</v>
      </c>
      <c r="C405" s="244" t="s">
        <v>2</v>
      </c>
      <c r="D405" s="244" t="s">
        <v>8</v>
      </c>
      <c r="E405" s="245">
        <v>43617</v>
      </c>
      <c r="F405" s="118">
        <v>1016.96</v>
      </c>
      <c r="G405" s="118">
        <f>SUMIF(CONFERÊNCIA!A:A,A405,CONFERÊNCIA!J:J)</f>
        <v>1016.96</v>
      </c>
      <c r="H405" s="120">
        <f t="shared" si="21"/>
        <v>0</v>
      </c>
      <c r="I405" s="171" t="s">
        <v>1234</v>
      </c>
    </row>
    <row r="406" spans="1:9" s="110" customFormat="1" ht="13.5" customHeight="1" x14ac:dyDescent="0.2">
      <c r="A406" s="243">
        <v>113612</v>
      </c>
      <c r="B406" s="244" t="s">
        <v>876</v>
      </c>
      <c r="C406" s="244" t="s">
        <v>2</v>
      </c>
      <c r="D406" s="244" t="s">
        <v>8</v>
      </c>
      <c r="E406" s="245">
        <v>43617</v>
      </c>
      <c r="F406" s="118">
        <v>1016.96</v>
      </c>
      <c r="G406" s="118">
        <f>SUMIF(CONFERÊNCIA!A:A,A406,CONFERÊNCIA!J:J)</f>
        <v>1016.96</v>
      </c>
      <c r="H406" s="119">
        <f t="shared" si="21"/>
        <v>0</v>
      </c>
      <c r="I406" s="171" t="s">
        <v>1234</v>
      </c>
    </row>
    <row r="407" spans="1:9" s="110" customFormat="1" ht="13.5" customHeight="1" x14ac:dyDescent="0.2">
      <c r="A407" s="243">
        <v>113619</v>
      </c>
      <c r="B407" s="244" t="s">
        <v>879</v>
      </c>
      <c r="C407" s="244" t="s">
        <v>5</v>
      </c>
      <c r="D407" s="244" t="s">
        <v>8</v>
      </c>
      <c r="E407" s="245">
        <v>43617</v>
      </c>
      <c r="F407" s="118">
        <v>1016.96</v>
      </c>
      <c r="G407" s="118">
        <f>SUMIF(CONFERÊNCIA!A:A,A407,CONFERÊNCIA!J:J)</f>
        <v>1016.96</v>
      </c>
      <c r="H407" s="119">
        <f t="shared" si="21"/>
        <v>0</v>
      </c>
      <c r="I407" s="171" t="s">
        <v>1234</v>
      </c>
    </row>
    <row r="408" spans="1:9" s="125" customFormat="1" ht="13.5" customHeight="1" x14ac:dyDescent="0.2">
      <c r="A408" s="243">
        <v>113623</v>
      </c>
      <c r="B408" s="244" t="s">
        <v>880</v>
      </c>
      <c r="C408" s="244" t="s">
        <v>2</v>
      </c>
      <c r="D408" s="244" t="s">
        <v>19</v>
      </c>
      <c r="E408" s="245">
        <v>43617</v>
      </c>
      <c r="F408" s="118">
        <v>1016.96</v>
      </c>
      <c r="G408" s="118">
        <f>SUMIF(CONFERÊNCIA!A:A,A408,CONFERÊNCIA!J:J)</f>
        <v>1016.96</v>
      </c>
      <c r="H408" s="120">
        <f t="shared" si="21"/>
        <v>0</v>
      </c>
      <c r="I408" s="171" t="s">
        <v>1234</v>
      </c>
    </row>
    <row r="409" spans="1:9" s="110" customFormat="1" ht="13.5" customHeight="1" x14ac:dyDescent="0.2">
      <c r="A409" s="243">
        <v>113626</v>
      </c>
      <c r="B409" s="244" t="s">
        <v>882</v>
      </c>
      <c r="C409" s="244" t="s">
        <v>411</v>
      </c>
      <c r="D409" s="244" t="s">
        <v>1589</v>
      </c>
      <c r="E409" s="245">
        <v>43617</v>
      </c>
      <c r="F409" s="118">
        <v>359.46</v>
      </c>
      <c r="G409" s="118">
        <f>SUMIF(CONFERÊNCIA!A:A,A409,CONFERÊNCIA!J:J)</f>
        <v>1309.18</v>
      </c>
      <c r="H409" s="119">
        <f t="shared" si="21"/>
        <v>949.72</v>
      </c>
      <c r="I409" s="171" t="s">
        <v>1234</v>
      </c>
    </row>
    <row r="410" spans="1:9" s="125" customFormat="1" ht="13.5" customHeight="1" x14ac:dyDescent="0.2">
      <c r="A410" s="243">
        <v>113636</v>
      </c>
      <c r="B410" s="244" t="s">
        <v>890</v>
      </c>
      <c r="C410" s="244" t="s">
        <v>5</v>
      </c>
      <c r="D410" s="244" t="s">
        <v>19</v>
      </c>
      <c r="E410" s="245">
        <v>43617</v>
      </c>
      <c r="F410" s="118">
        <v>1016.96</v>
      </c>
      <c r="G410" s="118">
        <f>SUMIF(CONFERÊNCIA!A:A,A410,CONFERÊNCIA!J:J)</f>
        <v>1016.96</v>
      </c>
      <c r="H410" s="120">
        <f t="shared" si="21"/>
        <v>0</v>
      </c>
      <c r="I410" s="171" t="s">
        <v>1234</v>
      </c>
    </row>
    <row r="411" spans="1:9" s="125" customFormat="1" ht="13.5" customHeight="1" x14ac:dyDescent="0.2">
      <c r="A411" s="243">
        <v>113674</v>
      </c>
      <c r="B411" s="244" t="s">
        <v>911</v>
      </c>
      <c r="C411" s="244" t="s">
        <v>2</v>
      </c>
      <c r="D411" s="244" t="s">
        <v>8</v>
      </c>
      <c r="E411" s="245">
        <v>43617</v>
      </c>
      <c r="F411" s="118">
        <v>1016.96</v>
      </c>
      <c r="G411" s="118">
        <f>SUMIF(CONFERÊNCIA!A:A,A411,CONFERÊNCIA!J:J)</f>
        <v>1016.96</v>
      </c>
      <c r="H411" s="120">
        <f t="shared" si="21"/>
        <v>0</v>
      </c>
      <c r="I411" s="171" t="s">
        <v>1234</v>
      </c>
    </row>
    <row r="412" spans="1:9" s="125" customFormat="1" ht="13.5" customHeight="1" x14ac:dyDescent="0.2">
      <c r="A412" s="243">
        <v>122081</v>
      </c>
      <c r="B412" s="244" t="s">
        <v>1638</v>
      </c>
      <c r="C412" s="244" t="s">
        <v>5</v>
      </c>
      <c r="D412" s="244" t="s">
        <v>10</v>
      </c>
      <c r="E412" s="245">
        <v>45061</v>
      </c>
      <c r="F412" s="118">
        <v>1016.96</v>
      </c>
      <c r="G412" s="118">
        <f>SUMIF(CONFERÊNCIA!A:A,A412,CONFERÊNCIA!J:J)</f>
        <v>1016.96</v>
      </c>
      <c r="H412" s="120">
        <f t="shared" si="21"/>
        <v>0</v>
      </c>
      <c r="I412" s="171" t="s">
        <v>1234</v>
      </c>
    </row>
    <row r="413" spans="1:9" s="110" customFormat="1" ht="13.5" customHeight="1" x14ac:dyDescent="0.2">
      <c r="A413" s="243">
        <v>113785</v>
      </c>
      <c r="B413" s="244" t="s">
        <v>983</v>
      </c>
      <c r="C413" s="244" t="s">
        <v>15</v>
      </c>
      <c r="D413" s="244" t="s">
        <v>1589</v>
      </c>
      <c r="E413" s="245">
        <v>43624</v>
      </c>
      <c r="F413" s="118">
        <v>1016.96</v>
      </c>
      <c r="G413" s="118">
        <f>SUMIF(CONFERÊNCIA!A:A,A413,CONFERÊNCIA!J:J)</f>
        <v>1016.96</v>
      </c>
      <c r="H413" s="119">
        <f t="shared" si="21"/>
        <v>0</v>
      </c>
      <c r="I413" s="171" t="s">
        <v>1234</v>
      </c>
    </row>
    <row r="414" spans="1:9" s="125" customFormat="1" ht="13.5" customHeight="1" x14ac:dyDescent="0.2">
      <c r="A414" s="243">
        <v>121404</v>
      </c>
      <c r="B414" s="244" t="s">
        <v>1567</v>
      </c>
      <c r="C414" s="244" t="s">
        <v>5</v>
      </c>
      <c r="D414" s="244" t="s">
        <v>1589</v>
      </c>
      <c r="E414" s="245">
        <v>44967</v>
      </c>
      <c r="F414" s="118">
        <v>1016.96</v>
      </c>
      <c r="G414" s="118">
        <f>SUMIF(CONFERÊNCIA!A:A,A414,CONFERÊNCIA!J:J)</f>
        <v>1016.96</v>
      </c>
      <c r="H414" s="120">
        <f t="shared" si="21"/>
        <v>0</v>
      </c>
      <c r="I414" s="171" t="s">
        <v>1234</v>
      </c>
    </row>
    <row r="415" spans="1:9" s="110" customFormat="1" ht="13.5" customHeight="1" x14ac:dyDescent="0.2">
      <c r="A415" s="243">
        <v>113728</v>
      </c>
      <c r="B415" s="244" t="s">
        <v>946</v>
      </c>
      <c r="C415" s="244" t="s">
        <v>5</v>
      </c>
      <c r="D415" s="244" t="s">
        <v>19</v>
      </c>
      <c r="E415" s="245">
        <v>43619</v>
      </c>
      <c r="F415" s="118">
        <v>1016.96</v>
      </c>
      <c r="G415" s="118">
        <f>SUMIF(CONFERÊNCIA!A:A,A415,CONFERÊNCIA!J:J)</f>
        <v>1016.96</v>
      </c>
      <c r="H415" s="119">
        <f t="shared" ref="H415:H422" si="22">G415-F415</f>
        <v>0</v>
      </c>
      <c r="I415" s="171" t="s">
        <v>1234</v>
      </c>
    </row>
    <row r="416" spans="1:9" s="110" customFormat="1" ht="13.5" customHeight="1" x14ac:dyDescent="0.2">
      <c r="A416" s="243">
        <v>113646</v>
      </c>
      <c r="B416" s="244" t="s">
        <v>895</v>
      </c>
      <c r="C416" s="244" t="s">
        <v>2</v>
      </c>
      <c r="D416" s="244" t="s">
        <v>32</v>
      </c>
      <c r="E416" s="245">
        <v>43617</v>
      </c>
      <c r="F416" s="118">
        <v>1016.96</v>
      </c>
      <c r="G416" s="118">
        <f>SUMIF(CONFERÊNCIA!A:A,A416,CONFERÊNCIA!J:J)</f>
        <v>1016.96</v>
      </c>
      <c r="H416" s="119">
        <f t="shared" si="22"/>
        <v>0</v>
      </c>
      <c r="I416" s="171" t="s">
        <v>1235</v>
      </c>
    </row>
    <row r="417" spans="1:9" s="110" customFormat="1" ht="13.5" customHeight="1" x14ac:dyDescent="0.2">
      <c r="A417" s="243">
        <v>113656</v>
      </c>
      <c r="B417" s="244" t="s">
        <v>901</v>
      </c>
      <c r="C417" s="244" t="s">
        <v>2</v>
      </c>
      <c r="D417" s="244" t="s">
        <v>0</v>
      </c>
      <c r="E417" s="245">
        <v>43617</v>
      </c>
      <c r="F417" s="118">
        <v>1016.96</v>
      </c>
      <c r="G417" s="118">
        <f>SUMIF(CONFERÊNCIA!A:A,A417,CONFERÊNCIA!J:J)</f>
        <v>1016.96</v>
      </c>
      <c r="H417" s="119">
        <f t="shared" si="22"/>
        <v>0</v>
      </c>
      <c r="I417" s="171" t="s">
        <v>1235</v>
      </c>
    </row>
    <row r="418" spans="1:9" s="110" customFormat="1" ht="13.5" customHeight="1" x14ac:dyDescent="0.2">
      <c r="A418" s="243">
        <v>114698</v>
      </c>
      <c r="B418" s="244" t="s">
        <v>1076</v>
      </c>
      <c r="C418" s="244" t="s">
        <v>5</v>
      </c>
      <c r="D418" s="244" t="s">
        <v>0</v>
      </c>
      <c r="E418" s="245">
        <v>43874</v>
      </c>
      <c r="F418" s="118">
        <v>1016.96</v>
      </c>
      <c r="G418" s="118">
        <f>SUMIF(CONFERÊNCIA!A:A,A418,CONFERÊNCIA!J:J)</f>
        <v>1016.96</v>
      </c>
      <c r="H418" s="119">
        <f t="shared" si="22"/>
        <v>0</v>
      </c>
      <c r="I418" s="171" t="s">
        <v>1235</v>
      </c>
    </row>
    <row r="419" spans="1:9" s="110" customFormat="1" ht="13.5" customHeight="1" x14ac:dyDescent="0.2">
      <c r="A419" s="243">
        <v>114385</v>
      </c>
      <c r="B419" s="244" t="s">
        <v>1038</v>
      </c>
      <c r="C419" s="244" t="s">
        <v>120</v>
      </c>
      <c r="D419" s="244" t="s">
        <v>1589</v>
      </c>
      <c r="E419" s="245">
        <v>43811</v>
      </c>
      <c r="F419" s="118">
        <v>1016.96</v>
      </c>
      <c r="G419" s="118">
        <f>SUMIF(CONFERÊNCIA!A:A,A419,CONFERÊNCIA!J:J)</f>
        <v>1016.96</v>
      </c>
      <c r="H419" s="119">
        <f t="shared" si="22"/>
        <v>0</v>
      </c>
      <c r="I419" s="171" t="s">
        <v>1234</v>
      </c>
    </row>
    <row r="420" spans="1:9" s="110" customFormat="1" ht="13.5" customHeight="1" x14ac:dyDescent="0.2">
      <c r="A420" s="243">
        <v>112288</v>
      </c>
      <c r="B420" s="244" t="s">
        <v>90</v>
      </c>
      <c r="C420" s="244" t="s">
        <v>2</v>
      </c>
      <c r="D420" s="244" t="s">
        <v>19</v>
      </c>
      <c r="E420" s="245">
        <v>43617</v>
      </c>
      <c r="F420" s="118">
        <v>1016.96</v>
      </c>
      <c r="G420" s="118">
        <f>SUMIF(CONFERÊNCIA!A:A,A420,CONFERÊNCIA!J:J)</f>
        <v>1016.96</v>
      </c>
      <c r="H420" s="119">
        <f t="shared" si="22"/>
        <v>0</v>
      </c>
      <c r="I420" s="171" t="s">
        <v>1234</v>
      </c>
    </row>
    <row r="421" spans="1:9" s="125" customFormat="1" ht="13.5" customHeight="1" x14ac:dyDescent="0.2">
      <c r="A421" s="243">
        <v>118051</v>
      </c>
      <c r="B421" s="244" t="s">
        <v>1405</v>
      </c>
      <c r="C421" s="244" t="s">
        <v>5</v>
      </c>
      <c r="D421" s="244" t="s">
        <v>19</v>
      </c>
      <c r="E421" s="245">
        <v>44567</v>
      </c>
      <c r="F421" s="118">
        <v>1016.96</v>
      </c>
      <c r="G421" s="118">
        <f>SUMIF(CONFERÊNCIA!A:A,A421,CONFERÊNCIA!J:J)</f>
        <v>1016.96</v>
      </c>
      <c r="H421" s="120">
        <f t="shared" si="22"/>
        <v>0</v>
      </c>
      <c r="I421" s="171" t="s">
        <v>1234</v>
      </c>
    </row>
    <row r="422" spans="1:9" s="125" customFormat="1" ht="13.5" customHeight="1" x14ac:dyDescent="0.2">
      <c r="A422" s="243">
        <v>112297</v>
      </c>
      <c r="B422" s="244" t="s">
        <v>95</v>
      </c>
      <c r="C422" s="244" t="s">
        <v>15</v>
      </c>
      <c r="D422" s="244" t="s">
        <v>1589</v>
      </c>
      <c r="E422" s="245">
        <v>43617</v>
      </c>
      <c r="F422" s="118">
        <v>1016.96</v>
      </c>
      <c r="G422" s="118">
        <f>SUMIF(CONFERÊNCIA!A:A,A422,CONFERÊNCIA!J:J)</f>
        <v>1016.96</v>
      </c>
      <c r="H422" s="120">
        <f t="shared" si="22"/>
        <v>0</v>
      </c>
      <c r="I422" s="171" t="s">
        <v>1234</v>
      </c>
    </row>
    <row r="423" spans="1:9" s="110" customFormat="1" ht="13.5" customHeight="1" x14ac:dyDescent="0.2">
      <c r="A423" s="243">
        <v>112359</v>
      </c>
      <c r="B423" s="244" t="s">
        <v>130</v>
      </c>
      <c r="C423" s="244" t="s">
        <v>2</v>
      </c>
      <c r="D423" s="244" t="s">
        <v>0</v>
      </c>
      <c r="E423" s="245">
        <v>43617</v>
      </c>
      <c r="F423" s="118">
        <v>1016.96</v>
      </c>
      <c r="G423" s="118">
        <f>SUMIF(CONFERÊNCIA!A:A,A423,CONFERÊNCIA!J:J)</f>
        <v>1016.96</v>
      </c>
      <c r="H423" s="119">
        <f t="shared" ref="H423:H439" si="23">G423-F423</f>
        <v>0</v>
      </c>
      <c r="I423" s="171" t="s">
        <v>1234</v>
      </c>
    </row>
    <row r="424" spans="1:9" s="125" customFormat="1" ht="13.5" customHeight="1" x14ac:dyDescent="0.2">
      <c r="A424" s="243">
        <v>112366</v>
      </c>
      <c r="B424" s="244" t="s">
        <v>133</v>
      </c>
      <c r="C424" s="244" t="s">
        <v>15</v>
      </c>
      <c r="D424" s="244" t="s">
        <v>1589</v>
      </c>
      <c r="E424" s="245">
        <v>43617</v>
      </c>
      <c r="F424" s="118">
        <v>978.67000000000007</v>
      </c>
      <c r="G424" s="118">
        <f>SUMIF(CONFERÊNCIA!A:A,A424,CONFERÊNCIA!J:J)</f>
        <v>1016.96</v>
      </c>
      <c r="H424" s="120">
        <f t="shared" si="23"/>
        <v>38.289999999999964</v>
      </c>
      <c r="I424" s="171" t="s">
        <v>1234</v>
      </c>
    </row>
    <row r="425" spans="1:9" s="110" customFormat="1" ht="13.5" customHeight="1" x14ac:dyDescent="0.2">
      <c r="A425" s="243">
        <v>112372</v>
      </c>
      <c r="B425" s="244" t="s">
        <v>136</v>
      </c>
      <c r="C425" s="244" t="s">
        <v>2</v>
      </c>
      <c r="D425" s="244" t="s">
        <v>0</v>
      </c>
      <c r="E425" s="245">
        <v>43617</v>
      </c>
      <c r="F425" s="118">
        <v>1016.96</v>
      </c>
      <c r="G425" s="118">
        <f>SUMIF(CONFERÊNCIA!A:A,A425,CONFERÊNCIA!J:J)</f>
        <v>1016.96</v>
      </c>
      <c r="H425" s="119">
        <f t="shared" si="23"/>
        <v>0</v>
      </c>
      <c r="I425" s="171" t="s">
        <v>1234</v>
      </c>
    </row>
    <row r="426" spans="1:9" s="125" customFormat="1" ht="13.5" customHeight="1" x14ac:dyDescent="0.2">
      <c r="A426" s="243">
        <v>112378</v>
      </c>
      <c r="B426" s="244" t="s">
        <v>141</v>
      </c>
      <c r="C426" s="244" t="s">
        <v>2</v>
      </c>
      <c r="D426" s="244" t="s">
        <v>0</v>
      </c>
      <c r="E426" s="245">
        <v>43617</v>
      </c>
      <c r="F426" s="118">
        <v>1016.96</v>
      </c>
      <c r="G426" s="118">
        <f>SUMIF(CONFERÊNCIA!A:A,A426,CONFERÊNCIA!J:J)</f>
        <v>1016.96</v>
      </c>
      <c r="H426" s="120">
        <f t="shared" si="23"/>
        <v>0</v>
      </c>
      <c r="I426" s="171" t="s">
        <v>1234</v>
      </c>
    </row>
    <row r="427" spans="1:9" s="110" customFormat="1" ht="13.5" customHeight="1" x14ac:dyDescent="0.2">
      <c r="A427" s="243">
        <v>112382</v>
      </c>
      <c r="B427" s="244" t="s">
        <v>145</v>
      </c>
      <c r="C427" s="244" t="s">
        <v>146</v>
      </c>
      <c r="D427" s="244" t="s">
        <v>19</v>
      </c>
      <c r="E427" s="245">
        <v>43617</v>
      </c>
      <c r="F427" s="118">
        <v>1016.96</v>
      </c>
      <c r="G427" s="118">
        <f>SUMIF(CONFERÊNCIA!A:A,A427,CONFERÊNCIA!J:J)</f>
        <v>1016.96</v>
      </c>
      <c r="H427" s="119">
        <f t="shared" si="23"/>
        <v>0</v>
      </c>
      <c r="I427" s="171" t="s">
        <v>1234</v>
      </c>
    </row>
    <row r="428" spans="1:9" s="125" customFormat="1" ht="13.5" customHeight="1" x14ac:dyDescent="0.2">
      <c r="A428" s="243">
        <v>114916</v>
      </c>
      <c r="B428" s="244" t="s">
        <v>1111</v>
      </c>
      <c r="C428" s="244" t="s">
        <v>378</v>
      </c>
      <c r="D428" s="244" t="s">
        <v>1589</v>
      </c>
      <c r="E428" s="245">
        <v>43916</v>
      </c>
      <c r="F428" s="118">
        <v>1016.96</v>
      </c>
      <c r="G428" s="118">
        <f>SUMIF(CONFERÊNCIA!A:A,A428,CONFERÊNCIA!J:J)</f>
        <v>1016.96</v>
      </c>
      <c r="H428" s="120">
        <f t="shared" si="23"/>
        <v>0</v>
      </c>
      <c r="I428" s="171" t="s">
        <v>1234</v>
      </c>
    </row>
    <row r="429" spans="1:9" s="110" customFormat="1" ht="13.5" customHeight="1" x14ac:dyDescent="0.2">
      <c r="A429" s="243">
        <v>119649</v>
      </c>
      <c r="B429" s="244" t="s">
        <v>1467</v>
      </c>
      <c r="C429" s="244" t="s">
        <v>5</v>
      </c>
      <c r="D429" s="244" t="s">
        <v>0</v>
      </c>
      <c r="E429" s="245">
        <v>44725</v>
      </c>
      <c r="F429" s="118">
        <v>978.67000000000007</v>
      </c>
      <c r="G429" s="118">
        <f>SUMIF(CONFERÊNCIA!A:A,A429,CONFERÊNCIA!J:J)</f>
        <v>978.67000000000007</v>
      </c>
      <c r="H429" s="119">
        <f t="shared" si="23"/>
        <v>0</v>
      </c>
      <c r="I429" s="171" t="s">
        <v>1234</v>
      </c>
    </row>
    <row r="430" spans="1:9" s="125" customFormat="1" ht="13.5" customHeight="1" x14ac:dyDescent="0.2">
      <c r="A430" s="243">
        <v>114315</v>
      </c>
      <c r="B430" s="244" t="s">
        <v>1035</v>
      </c>
      <c r="C430" s="244" t="s">
        <v>5</v>
      </c>
      <c r="D430" s="244" t="s">
        <v>0</v>
      </c>
      <c r="E430" s="245">
        <v>43811</v>
      </c>
      <c r="F430" s="118">
        <v>1016.96</v>
      </c>
      <c r="G430" s="118">
        <f>SUMIF(CONFERÊNCIA!A:A,A430,CONFERÊNCIA!J:J)</f>
        <v>1016.96</v>
      </c>
      <c r="H430" s="120">
        <f t="shared" si="23"/>
        <v>0</v>
      </c>
      <c r="I430" s="171" t="s">
        <v>1235</v>
      </c>
    </row>
    <row r="431" spans="1:9" s="110" customFormat="1" ht="13.5" customHeight="1" x14ac:dyDescent="0.2">
      <c r="A431" s="243">
        <v>112400</v>
      </c>
      <c r="B431" s="244" t="s">
        <v>156</v>
      </c>
      <c r="C431" s="244" t="s">
        <v>967</v>
      </c>
      <c r="D431" s="244" t="s">
        <v>1589</v>
      </c>
      <c r="E431" s="245">
        <v>43617</v>
      </c>
      <c r="F431" s="118">
        <v>1016.96</v>
      </c>
      <c r="G431" s="118">
        <f>SUMIF(CONFERÊNCIA!A:A,A431,CONFERÊNCIA!J:J)</f>
        <v>1016.96</v>
      </c>
      <c r="H431" s="119">
        <f t="shared" si="23"/>
        <v>0</v>
      </c>
      <c r="I431" s="171" t="s">
        <v>1234</v>
      </c>
    </row>
    <row r="432" spans="1:9" s="110" customFormat="1" ht="13.5" customHeight="1" x14ac:dyDescent="0.2">
      <c r="A432" s="243">
        <v>122415</v>
      </c>
      <c r="B432" s="244" t="s">
        <v>1698</v>
      </c>
      <c r="C432" s="244" t="s">
        <v>5</v>
      </c>
      <c r="D432" s="244" t="s">
        <v>1589</v>
      </c>
      <c r="E432" s="245">
        <v>45117</v>
      </c>
      <c r="F432" s="118">
        <v>1016.96</v>
      </c>
      <c r="G432" s="118">
        <f>SUMIF(CONFERÊNCIA!A:A,A432,CONFERÊNCIA!J:J)</f>
        <v>1016.96</v>
      </c>
      <c r="H432" s="119">
        <f t="shared" si="23"/>
        <v>0</v>
      </c>
      <c r="I432" s="171" t="s">
        <v>1234</v>
      </c>
    </row>
    <row r="433" spans="1:9" s="125" customFormat="1" ht="13.5" customHeight="1" x14ac:dyDescent="0.2">
      <c r="A433" s="243">
        <v>112410</v>
      </c>
      <c r="B433" s="244" t="s">
        <v>163</v>
      </c>
      <c r="C433" s="244" t="s">
        <v>15</v>
      </c>
      <c r="D433" s="244" t="s">
        <v>1589</v>
      </c>
      <c r="E433" s="245">
        <v>43617</v>
      </c>
      <c r="F433" s="118">
        <v>1016.96</v>
      </c>
      <c r="G433" s="118">
        <f>SUMIF(CONFERÊNCIA!A:A,A433,CONFERÊNCIA!J:J)</f>
        <v>1016.96</v>
      </c>
      <c r="H433" s="120">
        <f t="shared" si="23"/>
        <v>0</v>
      </c>
      <c r="I433" s="171" t="s">
        <v>1234</v>
      </c>
    </row>
    <row r="434" spans="1:9" s="110" customFormat="1" ht="13.5" customHeight="1" x14ac:dyDescent="0.2">
      <c r="A434" s="243">
        <v>114548</v>
      </c>
      <c r="B434" s="244" t="s">
        <v>1059</v>
      </c>
      <c r="C434" s="244" t="s">
        <v>2</v>
      </c>
      <c r="D434" s="244" t="s">
        <v>19</v>
      </c>
      <c r="E434" s="245">
        <v>43817</v>
      </c>
      <c r="F434" s="118">
        <v>1016.96</v>
      </c>
      <c r="G434" s="118">
        <f>SUMIF(CONFERÊNCIA!A:A,A434,CONFERÊNCIA!J:J)</f>
        <v>978.67000000000007</v>
      </c>
      <c r="H434" s="119">
        <f t="shared" si="23"/>
        <v>-38.289999999999964</v>
      </c>
      <c r="I434" s="171" t="s">
        <v>1234</v>
      </c>
    </row>
    <row r="435" spans="1:9" s="110" customFormat="1" ht="13.5" customHeight="1" x14ac:dyDescent="0.2">
      <c r="A435" s="243">
        <v>112413</v>
      </c>
      <c r="B435" s="244" t="s">
        <v>164</v>
      </c>
      <c r="C435" s="244" t="s">
        <v>15</v>
      </c>
      <c r="D435" s="244" t="s">
        <v>1589</v>
      </c>
      <c r="E435" s="245">
        <v>43617</v>
      </c>
      <c r="F435" s="118">
        <v>1016.96</v>
      </c>
      <c r="G435" s="118">
        <f>SUMIF(CONFERÊNCIA!A:A,A435,CONFERÊNCIA!J:J)</f>
        <v>1016.96</v>
      </c>
      <c r="H435" s="119">
        <f t="shared" si="23"/>
        <v>0</v>
      </c>
      <c r="I435" s="171" t="s">
        <v>1234</v>
      </c>
    </row>
    <row r="436" spans="1:9" s="125" customFormat="1" ht="13.5" customHeight="1" x14ac:dyDescent="0.2">
      <c r="A436" s="243">
        <v>112417</v>
      </c>
      <c r="B436" s="244" t="s">
        <v>167</v>
      </c>
      <c r="C436" s="244" t="s">
        <v>2</v>
      </c>
      <c r="D436" s="244" t="s">
        <v>0</v>
      </c>
      <c r="E436" s="245">
        <v>43617</v>
      </c>
      <c r="F436" s="118">
        <v>1016.96</v>
      </c>
      <c r="G436" s="118">
        <f>SUMIF(CONFERÊNCIA!A:A,A436,CONFERÊNCIA!J:J)</f>
        <v>1016.96</v>
      </c>
      <c r="H436" s="120">
        <f t="shared" si="23"/>
        <v>0</v>
      </c>
      <c r="I436" s="171" t="s">
        <v>1234</v>
      </c>
    </row>
    <row r="437" spans="1:9" s="110" customFormat="1" ht="13.5" customHeight="1" x14ac:dyDescent="0.2">
      <c r="A437" s="243">
        <v>112439</v>
      </c>
      <c r="B437" s="244" t="s">
        <v>180</v>
      </c>
      <c r="C437" s="244" t="s">
        <v>22</v>
      </c>
      <c r="D437" s="244" t="s">
        <v>1589</v>
      </c>
      <c r="E437" s="245">
        <v>43617</v>
      </c>
      <c r="F437" s="118">
        <v>1016.96</v>
      </c>
      <c r="G437" s="118">
        <f>SUMIF(CONFERÊNCIA!A:A,A437,CONFERÊNCIA!J:J)</f>
        <v>1016.96</v>
      </c>
      <c r="H437" s="119">
        <f t="shared" si="23"/>
        <v>0</v>
      </c>
      <c r="I437" s="171" t="s">
        <v>1234</v>
      </c>
    </row>
    <row r="438" spans="1:9" s="125" customFormat="1" ht="13.5" customHeight="1" x14ac:dyDescent="0.2">
      <c r="A438" s="243">
        <v>112449</v>
      </c>
      <c r="B438" s="244" t="s">
        <v>188</v>
      </c>
      <c r="C438" s="244" t="s">
        <v>2</v>
      </c>
      <c r="D438" s="244" t="s">
        <v>0</v>
      </c>
      <c r="E438" s="245">
        <v>43617</v>
      </c>
      <c r="F438" s="118">
        <v>1016.96</v>
      </c>
      <c r="G438" s="118">
        <f>SUMIF(CONFERÊNCIA!A:A,A438,CONFERÊNCIA!J:J)</f>
        <v>1016.96</v>
      </c>
      <c r="H438" s="120">
        <f t="shared" si="23"/>
        <v>0</v>
      </c>
      <c r="I438" s="171" t="s">
        <v>1234</v>
      </c>
    </row>
    <row r="439" spans="1:9" s="110" customFormat="1" ht="13.5" customHeight="1" x14ac:dyDescent="0.2">
      <c r="A439" s="243">
        <v>112471</v>
      </c>
      <c r="B439" s="244" t="s">
        <v>200</v>
      </c>
      <c r="C439" s="244" t="s">
        <v>5</v>
      </c>
      <c r="D439" s="244" t="s">
        <v>8</v>
      </c>
      <c r="E439" s="245">
        <v>43617</v>
      </c>
      <c r="F439" s="118">
        <v>1016.96</v>
      </c>
      <c r="G439" s="118">
        <f>SUMIF(CONFERÊNCIA!A:A,A439,CONFERÊNCIA!J:J)</f>
        <v>1016.96</v>
      </c>
      <c r="H439" s="119">
        <f t="shared" si="23"/>
        <v>0</v>
      </c>
      <c r="I439" s="171" t="s">
        <v>1234</v>
      </c>
    </row>
    <row r="440" spans="1:9" s="125" customFormat="1" ht="13.5" customHeight="1" x14ac:dyDescent="0.2">
      <c r="A440" s="243">
        <v>114255</v>
      </c>
      <c r="B440" s="244" t="s">
        <v>1023</v>
      </c>
      <c r="C440" s="244" t="s">
        <v>5</v>
      </c>
      <c r="D440" s="244" t="s">
        <v>1589</v>
      </c>
      <c r="E440" s="245">
        <v>43804</v>
      </c>
      <c r="F440" s="118">
        <v>1016.96</v>
      </c>
      <c r="G440" s="118">
        <f>SUMIF(CONFERÊNCIA!A:A,A440,CONFERÊNCIA!J:J)</f>
        <v>1016.96</v>
      </c>
      <c r="H440" s="120">
        <f t="shared" ref="H440:H451" si="24">G440-F440</f>
        <v>0</v>
      </c>
      <c r="I440" s="171" t="s">
        <v>1234</v>
      </c>
    </row>
    <row r="441" spans="1:9" s="125" customFormat="1" ht="13.5" customHeight="1" x14ac:dyDescent="0.2">
      <c r="A441" s="243">
        <v>116726</v>
      </c>
      <c r="B441" s="244" t="s">
        <v>1223</v>
      </c>
      <c r="C441" s="244" t="s">
        <v>2</v>
      </c>
      <c r="D441" s="244" t="s">
        <v>19</v>
      </c>
      <c r="E441" s="245">
        <v>44368</v>
      </c>
      <c r="F441" s="118">
        <v>327.88</v>
      </c>
      <c r="G441" s="118">
        <f>SUMIF(CONFERÊNCIA!A:A,A441,CONFERÊNCIA!J:J)</f>
        <v>885.46</v>
      </c>
      <c r="H441" s="120">
        <f t="shared" si="24"/>
        <v>557.58000000000004</v>
      </c>
      <c r="I441" s="171" t="s">
        <v>1235</v>
      </c>
    </row>
    <row r="442" spans="1:9" s="125" customFormat="1" ht="13.5" customHeight="1" x14ac:dyDescent="0.2">
      <c r="A442" s="243">
        <v>112473</v>
      </c>
      <c r="B442" s="244" t="s">
        <v>202</v>
      </c>
      <c r="C442" s="244" t="s">
        <v>2</v>
      </c>
      <c r="D442" s="244" t="s">
        <v>0</v>
      </c>
      <c r="E442" s="245">
        <v>43617</v>
      </c>
      <c r="F442" s="118">
        <v>1016.96</v>
      </c>
      <c r="G442" s="118">
        <f>SUMIF(CONFERÊNCIA!A:A,A442,CONFERÊNCIA!J:J)</f>
        <v>1016.96</v>
      </c>
      <c r="H442" s="120">
        <f t="shared" si="24"/>
        <v>0</v>
      </c>
      <c r="I442" s="171" t="s">
        <v>1234</v>
      </c>
    </row>
    <row r="443" spans="1:9" s="125" customFormat="1" ht="13.5" customHeight="1" x14ac:dyDescent="0.2">
      <c r="A443" s="243">
        <v>114699</v>
      </c>
      <c r="B443" s="244" t="s">
        <v>1077</v>
      </c>
      <c r="C443" s="244" t="s">
        <v>5</v>
      </c>
      <c r="D443" s="244" t="s">
        <v>0</v>
      </c>
      <c r="E443" s="245">
        <v>43874</v>
      </c>
      <c r="F443" s="118">
        <v>1016.96</v>
      </c>
      <c r="G443" s="118">
        <f>SUMIF(CONFERÊNCIA!A:A,A443,CONFERÊNCIA!J:J)</f>
        <v>1016.96</v>
      </c>
      <c r="H443" s="120">
        <f t="shared" si="24"/>
        <v>0</v>
      </c>
      <c r="I443" s="171" t="s">
        <v>1234</v>
      </c>
    </row>
    <row r="444" spans="1:9" s="110" customFormat="1" ht="13.5" customHeight="1" x14ac:dyDescent="0.2">
      <c r="A444" s="243">
        <v>119652</v>
      </c>
      <c r="B444" s="244" t="s">
        <v>1468</v>
      </c>
      <c r="C444" s="244" t="s">
        <v>2</v>
      </c>
      <c r="D444" s="244" t="s">
        <v>0</v>
      </c>
      <c r="E444" s="245">
        <v>44725</v>
      </c>
      <c r="F444" s="118">
        <v>1016.96</v>
      </c>
      <c r="G444" s="118">
        <f>SUMIF(CONFERÊNCIA!A:A,A444,CONFERÊNCIA!J:J)</f>
        <v>1016.96</v>
      </c>
      <c r="H444" s="119">
        <f t="shared" si="24"/>
        <v>0</v>
      </c>
      <c r="I444" s="171" t="s">
        <v>1234</v>
      </c>
    </row>
    <row r="445" spans="1:9" s="125" customFormat="1" ht="13.5" customHeight="1" x14ac:dyDescent="0.2">
      <c r="A445" s="243">
        <v>112494</v>
      </c>
      <c r="B445" s="244" t="s">
        <v>214</v>
      </c>
      <c r="C445" s="244" t="s">
        <v>39</v>
      </c>
      <c r="D445" s="244" t="s">
        <v>0</v>
      </c>
      <c r="E445" s="245">
        <v>43617</v>
      </c>
      <c r="F445" s="118">
        <v>1016.96</v>
      </c>
      <c r="G445" s="118">
        <f>SUMIF(CONFERÊNCIA!A:A,A445,CONFERÊNCIA!J:J)</f>
        <v>1016.96</v>
      </c>
      <c r="H445" s="120">
        <f t="shared" si="24"/>
        <v>0</v>
      </c>
      <c r="I445" s="171" t="s">
        <v>1234</v>
      </c>
    </row>
    <row r="446" spans="1:9" s="110" customFormat="1" ht="13.5" customHeight="1" x14ac:dyDescent="0.2">
      <c r="A446" s="243">
        <v>113776</v>
      </c>
      <c r="B446" s="244" t="s">
        <v>978</v>
      </c>
      <c r="C446" s="244" t="s">
        <v>977</v>
      </c>
      <c r="D446" s="244" t="s">
        <v>1589</v>
      </c>
      <c r="E446" s="245">
        <v>43623</v>
      </c>
      <c r="F446" s="118">
        <v>1016.96</v>
      </c>
      <c r="G446" s="118">
        <f>SUMIF(CONFERÊNCIA!A:A,A446,CONFERÊNCIA!J:J)</f>
        <v>1016.96</v>
      </c>
      <c r="H446" s="119">
        <f t="shared" si="24"/>
        <v>0</v>
      </c>
      <c r="I446" s="171" t="s">
        <v>1235</v>
      </c>
    </row>
    <row r="447" spans="1:9" s="125" customFormat="1" ht="13.5" customHeight="1" x14ac:dyDescent="0.2">
      <c r="A447" s="243">
        <v>112500</v>
      </c>
      <c r="B447" s="244" t="s">
        <v>219</v>
      </c>
      <c r="C447" s="244" t="s">
        <v>5</v>
      </c>
      <c r="D447" s="244" t="s">
        <v>19</v>
      </c>
      <c r="E447" s="245">
        <v>43617</v>
      </c>
      <c r="F447" s="118">
        <v>1016.96</v>
      </c>
      <c r="G447" s="118">
        <f>SUMIF(CONFERÊNCIA!A:A,A447,CONFERÊNCIA!J:J)</f>
        <v>1016.96</v>
      </c>
      <c r="H447" s="120">
        <f t="shared" si="24"/>
        <v>0</v>
      </c>
      <c r="I447" s="171" t="s">
        <v>1234</v>
      </c>
    </row>
    <row r="448" spans="1:9" s="110" customFormat="1" ht="13.5" customHeight="1" x14ac:dyDescent="0.2">
      <c r="A448" s="243">
        <v>112506</v>
      </c>
      <c r="B448" s="244" t="s">
        <v>224</v>
      </c>
      <c r="C448" s="244" t="s">
        <v>15</v>
      </c>
      <c r="D448" s="244" t="s">
        <v>1589</v>
      </c>
      <c r="E448" s="245">
        <v>43617</v>
      </c>
      <c r="F448" s="118">
        <v>1016.96</v>
      </c>
      <c r="G448" s="118">
        <f>SUMIF(CONFERÊNCIA!A:A,A448,CONFERÊNCIA!J:J)</f>
        <v>1016.96</v>
      </c>
      <c r="H448" s="119">
        <f t="shared" si="24"/>
        <v>0</v>
      </c>
      <c r="I448" s="171" t="s">
        <v>1234</v>
      </c>
    </row>
    <row r="449" spans="1:9" s="125" customFormat="1" ht="13.5" customHeight="1" x14ac:dyDescent="0.2">
      <c r="A449" s="243">
        <v>112510</v>
      </c>
      <c r="B449" s="244" t="s">
        <v>227</v>
      </c>
      <c r="C449" s="244" t="s">
        <v>5</v>
      </c>
      <c r="D449" s="244" t="s">
        <v>10</v>
      </c>
      <c r="E449" s="245">
        <v>43617</v>
      </c>
      <c r="F449" s="118">
        <v>1016.96</v>
      </c>
      <c r="G449" s="118">
        <f>SUMIF(CONFERÊNCIA!A:A,A449,CONFERÊNCIA!J:J)</f>
        <v>1016.96</v>
      </c>
      <c r="H449" s="120">
        <f t="shared" si="24"/>
        <v>0</v>
      </c>
      <c r="I449" s="171" t="s">
        <v>1234</v>
      </c>
    </row>
    <row r="450" spans="1:9" s="110" customFormat="1" ht="13.5" customHeight="1" x14ac:dyDescent="0.2">
      <c r="A450" s="243">
        <v>112514</v>
      </c>
      <c r="B450" s="244" t="s">
        <v>231</v>
      </c>
      <c r="C450" s="244" t="s">
        <v>39</v>
      </c>
      <c r="D450" s="244" t="s">
        <v>8</v>
      </c>
      <c r="E450" s="245">
        <v>43617</v>
      </c>
      <c r="F450" s="118">
        <v>1016.96</v>
      </c>
      <c r="G450" s="118">
        <f>SUMIF(CONFERÊNCIA!A:A,A450,CONFERÊNCIA!J:J)</f>
        <v>1016.96</v>
      </c>
      <c r="H450" s="119">
        <f t="shared" si="24"/>
        <v>0</v>
      </c>
      <c r="I450" s="171" t="s">
        <v>1235</v>
      </c>
    </row>
    <row r="451" spans="1:9" s="125" customFormat="1" ht="13.5" customHeight="1" x14ac:dyDescent="0.2">
      <c r="A451" s="243">
        <v>112518</v>
      </c>
      <c r="B451" s="244" t="s">
        <v>234</v>
      </c>
      <c r="C451" s="244" t="s">
        <v>15</v>
      </c>
      <c r="D451" s="244" t="s">
        <v>1589</v>
      </c>
      <c r="E451" s="245">
        <v>43617</v>
      </c>
      <c r="F451" s="118">
        <v>1016.96</v>
      </c>
      <c r="G451" s="118">
        <f>SUMIF(CONFERÊNCIA!A:A,A451,CONFERÊNCIA!J:J)</f>
        <v>1016.96</v>
      </c>
      <c r="H451" s="120">
        <f t="shared" si="24"/>
        <v>0</v>
      </c>
      <c r="I451" s="171" t="s">
        <v>1234</v>
      </c>
    </row>
    <row r="452" spans="1:9" s="110" customFormat="1" ht="13.5" customHeight="1" x14ac:dyDescent="0.2">
      <c r="A452" s="243">
        <v>112520</v>
      </c>
      <c r="B452" s="244" t="s">
        <v>235</v>
      </c>
      <c r="C452" s="244" t="s">
        <v>2</v>
      </c>
      <c r="D452" s="244" t="s">
        <v>0</v>
      </c>
      <c r="E452" s="245">
        <v>43617</v>
      </c>
      <c r="F452" s="118">
        <v>1016.96</v>
      </c>
      <c r="G452" s="118">
        <f>SUMIF(CONFERÊNCIA!A:A,A452,CONFERÊNCIA!J:J)</f>
        <v>1016.96</v>
      </c>
      <c r="H452" s="119">
        <f t="shared" ref="H452:H467" si="25">G452-F452</f>
        <v>0</v>
      </c>
      <c r="I452" s="171" t="s">
        <v>1234</v>
      </c>
    </row>
    <row r="453" spans="1:9" s="125" customFormat="1" ht="13.5" customHeight="1" x14ac:dyDescent="0.2">
      <c r="A453" s="243">
        <v>112522</v>
      </c>
      <c r="B453" s="244" t="s">
        <v>237</v>
      </c>
      <c r="C453" s="244" t="s">
        <v>2</v>
      </c>
      <c r="D453" s="244" t="s">
        <v>10</v>
      </c>
      <c r="E453" s="245">
        <v>43617</v>
      </c>
      <c r="F453" s="118">
        <v>1016.96</v>
      </c>
      <c r="G453" s="118">
        <f>SUMIF(CONFERÊNCIA!A:A,A453,CONFERÊNCIA!J:J)</f>
        <v>1016.96</v>
      </c>
      <c r="H453" s="120">
        <f t="shared" si="25"/>
        <v>0</v>
      </c>
      <c r="I453" s="171" t="s">
        <v>1234</v>
      </c>
    </row>
    <row r="454" spans="1:9" s="110" customFormat="1" ht="13.5" customHeight="1" x14ac:dyDescent="0.2">
      <c r="A454" s="243">
        <v>112586</v>
      </c>
      <c r="B454" s="244" t="s">
        <v>279</v>
      </c>
      <c r="C454" s="244" t="s">
        <v>2</v>
      </c>
      <c r="D454" s="244" t="s">
        <v>10</v>
      </c>
      <c r="E454" s="245">
        <v>43617</v>
      </c>
      <c r="F454" s="118">
        <v>1016.96</v>
      </c>
      <c r="G454" s="118">
        <f>SUMIF(CONFERÊNCIA!A:A,A454,CONFERÊNCIA!J:J)</f>
        <v>1016.96</v>
      </c>
      <c r="H454" s="119">
        <f t="shared" si="25"/>
        <v>0</v>
      </c>
      <c r="I454" s="171" t="s">
        <v>1234</v>
      </c>
    </row>
    <row r="455" spans="1:9" s="125" customFormat="1" ht="13.5" customHeight="1" x14ac:dyDescent="0.2">
      <c r="A455" s="243">
        <v>112590</v>
      </c>
      <c r="B455" s="244" t="s">
        <v>283</v>
      </c>
      <c r="C455" s="244" t="s">
        <v>22</v>
      </c>
      <c r="D455" s="244" t="s">
        <v>1589</v>
      </c>
      <c r="E455" s="245">
        <v>43617</v>
      </c>
      <c r="F455" s="118">
        <v>1016.96</v>
      </c>
      <c r="G455" s="118">
        <f>SUMIF(CONFERÊNCIA!A:A,A455,CONFERÊNCIA!J:J)</f>
        <v>1016.96</v>
      </c>
      <c r="H455" s="120">
        <f t="shared" si="25"/>
        <v>0</v>
      </c>
      <c r="I455" s="171" t="s">
        <v>1234</v>
      </c>
    </row>
    <row r="456" spans="1:9" s="110" customFormat="1" ht="13.5" customHeight="1" x14ac:dyDescent="0.2">
      <c r="A456" s="243">
        <v>112598</v>
      </c>
      <c r="B456" s="244" t="s">
        <v>287</v>
      </c>
      <c r="C456" s="244" t="s">
        <v>15</v>
      </c>
      <c r="D456" s="244" t="s">
        <v>1589</v>
      </c>
      <c r="E456" s="245">
        <v>43617</v>
      </c>
      <c r="F456" s="118">
        <v>1016.96</v>
      </c>
      <c r="G456" s="118">
        <f>SUMIF(CONFERÊNCIA!A:A,A456,CONFERÊNCIA!J:J)</f>
        <v>1016.96</v>
      </c>
      <c r="H456" s="119">
        <f t="shared" ref="H456:H461" si="26">G456-F456</f>
        <v>0</v>
      </c>
      <c r="I456" s="171" t="s">
        <v>1234</v>
      </c>
    </row>
    <row r="457" spans="1:9" s="125" customFormat="1" ht="13.5" customHeight="1" x14ac:dyDescent="0.2">
      <c r="A457" s="243">
        <v>112602</v>
      </c>
      <c r="B457" s="244" t="s">
        <v>289</v>
      </c>
      <c r="C457" s="244" t="s">
        <v>146</v>
      </c>
      <c r="D457" s="244" t="s">
        <v>8</v>
      </c>
      <c r="E457" s="245">
        <v>43617</v>
      </c>
      <c r="F457" s="118">
        <v>1016.96</v>
      </c>
      <c r="G457" s="118">
        <f>SUMIF(CONFERÊNCIA!A:A,A457,CONFERÊNCIA!J:J)</f>
        <v>1016.96</v>
      </c>
      <c r="H457" s="120">
        <f t="shared" si="26"/>
        <v>0</v>
      </c>
      <c r="I457" s="171" t="s">
        <v>1234</v>
      </c>
    </row>
    <row r="458" spans="1:9" s="110" customFormat="1" ht="13.5" customHeight="1" x14ac:dyDescent="0.2">
      <c r="A458" s="243">
        <v>112606</v>
      </c>
      <c r="B458" s="244" t="s">
        <v>291</v>
      </c>
      <c r="C458" s="244" t="s">
        <v>22</v>
      </c>
      <c r="D458" s="244" t="s">
        <v>1589</v>
      </c>
      <c r="E458" s="245">
        <v>43617</v>
      </c>
      <c r="F458" s="118">
        <v>1016.96</v>
      </c>
      <c r="G458" s="118">
        <f>SUMIF(CONFERÊNCIA!A:A,A458,CONFERÊNCIA!J:J)</f>
        <v>1016.96</v>
      </c>
      <c r="H458" s="119">
        <f t="shared" si="26"/>
        <v>0</v>
      </c>
      <c r="I458" s="171" t="s">
        <v>1234</v>
      </c>
    </row>
    <row r="459" spans="1:9" s="125" customFormat="1" ht="13.5" customHeight="1" x14ac:dyDescent="0.2">
      <c r="A459" s="243">
        <v>112609</v>
      </c>
      <c r="B459" s="244" t="s">
        <v>294</v>
      </c>
      <c r="C459" s="244" t="s">
        <v>2</v>
      </c>
      <c r="D459" s="244" t="s">
        <v>8</v>
      </c>
      <c r="E459" s="245">
        <v>43617</v>
      </c>
      <c r="F459" s="118">
        <v>1016.96</v>
      </c>
      <c r="G459" s="118">
        <f>SUMIF(CONFERÊNCIA!A:A,A459,CONFERÊNCIA!J:J)</f>
        <v>1016.96</v>
      </c>
      <c r="H459" s="120">
        <f t="shared" si="26"/>
        <v>0</v>
      </c>
      <c r="I459" s="171" t="s">
        <v>1234</v>
      </c>
    </row>
    <row r="460" spans="1:9" s="125" customFormat="1" ht="13.5" customHeight="1" x14ac:dyDescent="0.2">
      <c r="A460" s="243">
        <v>112619</v>
      </c>
      <c r="B460" s="244" t="s">
        <v>303</v>
      </c>
      <c r="C460" s="244" t="s">
        <v>5</v>
      </c>
      <c r="D460" s="244" t="s">
        <v>8</v>
      </c>
      <c r="E460" s="245">
        <v>43617</v>
      </c>
      <c r="F460" s="118">
        <v>978.67000000000007</v>
      </c>
      <c r="G460" s="118">
        <f>SUMIF(CONFERÊNCIA!A:A,A460,CONFERÊNCIA!J:J)</f>
        <v>1016.96</v>
      </c>
      <c r="H460" s="120">
        <f t="shared" si="26"/>
        <v>38.289999999999964</v>
      </c>
      <c r="I460" s="171" t="s">
        <v>1234</v>
      </c>
    </row>
    <row r="461" spans="1:9" s="125" customFormat="1" ht="13.5" customHeight="1" x14ac:dyDescent="0.2">
      <c r="A461" s="243">
        <v>116027</v>
      </c>
      <c r="B461" s="244" t="s">
        <v>1181</v>
      </c>
      <c r="C461" s="244" t="s">
        <v>5</v>
      </c>
      <c r="D461" s="244" t="s">
        <v>10</v>
      </c>
      <c r="E461" s="245">
        <v>44207</v>
      </c>
      <c r="F461" s="118">
        <v>978.67000000000007</v>
      </c>
      <c r="G461" s="118">
        <f>SUMIF(CONFERÊNCIA!A:A,A461,CONFERÊNCIA!J:J)</f>
        <v>940.39</v>
      </c>
      <c r="H461" s="120">
        <f t="shared" si="26"/>
        <v>-38.280000000000086</v>
      </c>
      <c r="I461" s="171" t="s">
        <v>1234</v>
      </c>
    </row>
    <row r="462" spans="1:9" s="110" customFormat="1" ht="13.5" customHeight="1" x14ac:dyDescent="0.2">
      <c r="A462" s="243">
        <v>121525</v>
      </c>
      <c r="B462" s="244" t="s">
        <v>1568</v>
      </c>
      <c r="C462" s="244" t="s">
        <v>5</v>
      </c>
      <c r="D462" s="244" t="s">
        <v>19</v>
      </c>
      <c r="E462" s="245">
        <v>44972</v>
      </c>
      <c r="F462" s="118">
        <v>1016.96</v>
      </c>
      <c r="G462" s="118">
        <f>SUMIF(CONFERÊNCIA!A:A,A462,CONFERÊNCIA!J:J)</f>
        <v>978.67000000000007</v>
      </c>
      <c r="H462" s="119">
        <f t="shared" si="25"/>
        <v>-38.289999999999964</v>
      </c>
      <c r="I462" s="171" t="s">
        <v>1234</v>
      </c>
    </row>
    <row r="463" spans="1:9" s="125" customFormat="1" ht="13.5" customHeight="1" x14ac:dyDescent="0.2">
      <c r="A463" s="243">
        <v>112629</v>
      </c>
      <c r="B463" s="244" t="s">
        <v>309</v>
      </c>
      <c r="C463" s="244" t="s">
        <v>2</v>
      </c>
      <c r="D463" s="244" t="s">
        <v>0</v>
      </c>
      <c r="E463" s="245">
        <v>43617</v>
      </c>
      <c r="F463" s="118">
        <v>1016.96</v>
      </c>
      <c r="G463" s="118">
        <f>SUMIF(CONFERÊNCIA!A:A,A463,CONFERÊNCIA!J:J)</f>
        <v>1016.96</v>
      </c>
      <c r="H463" s="120">
        <f t="shared" si="25"/>
        <v>0</v>
      </c>
      <c r="I463" s="171" t="s">
        <v>1234</v>
      </c>
    </row>
    <row r="464" spans="1:9" s="110" customFormat="1" ht="13.5" customHeight="1" x14ac:dyDescent="0.2">
      <c r="A464" s="243">
        <v>117398</v>
      </c>
      <c r="B464" s="244" t="s">
        <v>1273</v>
      </c>
      <c r="C464" s="244" t="s">
        <v>1271</v>
      </c>
      <c r="D464" s="244" t="s">
        <v>1589</v>
      </c>
      <c r="E464" s="245">
        <v>44522</v>
      </c>
      <c r="F464" s="118">
        <v>1016.96</v>
      </c>
      <c r="G464" s="118">
        <f>SUMIF(CONFERÊNCIA!A:A,A464,CONFERÊNCIA!J:J)</f>
        <v>1016.96</v>
      </c>
      <c r="H464" s="119">
        <f t="shared" si="25"/>
        <v>0</v>
      </c>
      <c r="I464" s="171" t="s">
        <v>1234</v>
      </c>
    </row>
    <row r="465" spans="1:9" s="125" customFormat="1" ht="13.5" customHeight="1" x14ac:dyDescent="0.2">
      <c r="A465" s="243">
        <v>114538</v>
      </c>
      <c r="B465" s="244" t="s">
        <v>1290</v>
      </c>
      <c r="C465" s="244" t="s">
        <v>182</v>
      </c>
      <c r="D465" s="244" t="s">
        <v>0</v>
      </c>
      <c r="E465" s="245">
        <v>43817</v>
      </c>
      <c r="F465" s="118">
        <v>1016.96</v>
      </c>
      <c r="G465" s="118">
        <f>SUMIF(CONFERÊNCIA!A:A,A465,CONFERÊNCIA!J:J)</f>
        <v>1016.96</v>
      </c>
      <c r="H465" s="120">
        <f t="shared" si="25"/>
        <v>0</v>
      </c>
      <c r="I465" s="171" t="s">
        <v>1234</v>
      </c>
    </row>
    <row r="466" spans="1:9" s="125" customFormat="1" ht="13.5" customHeight="1" x14ac:dyDescent="0.2">
      <c r="A466" s="243">
        <v>112638</v>
      </c>
      <c r="B466" s="244" t="s">
        <v>314</v>
      </c>
      <c r="C466" s="244" t="s">
        <v>5</v>
      </c>
      <c r="D466" s="244" t="s">
        <v>8</v>
      </c>
      <c r="E466" s="245">
        <v>43617</v>
      </c>
      <c r="F466" s="118">
        <v>1016.96</v>
      </c>
      <c r="G466" s="118">
        <f>SUMIF(CONFERÊNCIA!A:A,A466,CONFERÊNCIA!J:J)</f>
        <v>1016.96</v>
      </c>
      <c r="H466" s="120">
        <f t="shared" si="25"/>
        <v>0</v>
      </c>
      <c r="I466" s="171" t="s">
        <v>1234</v>
      </c>
    </row>
    <row r="467" spans="1:9" s="110" customFormat="1" ht="13.5" customHeight="1" x14ac:dyDescent="0.2">
      <c r="A467" s="243">
        <v>119642</v>
      </c>
      <c r="B467" s="244" t="s">
        <v>1469</v>
      </c>
      <c r="C467" s="244" t="s">
        <v>5</v>
      </c>
      <c r="D467" s="244" t="s">
        <v>19</v>
      </c>
      <c r="E467" s="245">
        <v>44725</v>
      </c>
      <c r="F467" s="118">
        <v>1016.96</v>
      </c>
      <c r="G467" s="118">
        <f>SUMIF(CONFERÊNCIA!A:A,A467,CONFERÊNCIA!J:J)</f>
        <v>1016.96</v>
      </c>
      <c r="H467" s="119">
        <f t="shared" si="25"/>
        <v>0</v>
      </c>
      <c r="I467" s="171" t="s">
        <v>1234</v>
      </c>
    </row>
    <row r="468" spans="1:9" s="110" customFormat="1" ht="13.5" customHeight="1" x14ac:dyDescent="0.2">
      <c r="A468" s="243">
        <v>112643</v>
      </c>
      <c r="B468" s="244" t="s">
        <v>317</v>
      </c>
      <c r="C468" s="244" t="s">
        <v>146</v>
      </c>
      <c r="D468" s="244" t="s">
        <v>32</v>
      </c>
      <c r="E468" s="245">
        <v>43617</v>
      </c>
      <c r="F468" s="118">
        <v>1016.96</v>
      </c>
      <c r="G468" s="118">
        <f>SUMIF(CONFERÊNCIA!A:A,A468,CONFERÊNCIA!J:J)</f>
        <v>1016.96</v>
      </c>
      <c r="H468" s="119">
        <f t="shared" ref="H468:H486" si="27">G468-F468</f>
        <v>0</v>
      </c>
      <c r="I468" s="171" t="s">
        <v>1234</v>
      </c>
    </row>
    <row r="469" spans="1:9" s="110" customFormat="1" ht="13.5" customHeight="1" x14ac:dyDescent="0.2">
      <c r="A469" s="243">
        <v>112650</v>
      </c>
      <c r="B469" s="244" t="s">
        <v>320</v>
      </c>
      <c r="C469" s="244" t="s">
        <v>2</v>
      </c>
      <c r="D469" s="244" t="s">
        <v>8</v>
      </c>
      <c r="E469" s="245">
        <v>43617</v>
      </c>
      <c r="F469" s="118">
        <v>1016.96</v>
      </c>
      <c r="G469" s="118">
        <f>SUMIF(CONFERÊNCIA!A:A,A469,CONFERÊNCIA!J:J)</f>
        <v>1016.96</v>
      </c>
      <c r="H469" s="119">
        <f t="shared" si="27"/>
        <v>0</v>
      </c>
      <c r="I469" s="171" t="s">
        <v>1234</v>
      </c>
    </row>
    <row r="470" spans="1:9" s="110" customFormat="1" ht="13.5" customHeight="1" x14ac:dyDescent="0.2">
      <c r="A470" s="243">
        <v>114702</v>
      </c>
      <c r="B470" s="244" t="s">
        <v>1079</v>
      </c>
      <c r="C470" s="244" t="s">
        <v>2</v>
      </c>
      <c r="D470" s="244" t="s">
        <v>10</v>
      </c>
      <c r="E470" s="245">
        <v>43874</v>
      </c>
      <c r="F470" s="118">
        <v>940.39</v>
      </c>
      <c r="G470" s="118">
        <f>SUMIF(CONFERÊNCIA!A:A,A470,CONFERÊNCIA!J:J)</f>
        <v>978.67000000000007</v>
      </c>
      <c r="H470" s="119">
        <f t="shared" si="27"/>
        <v>38.280000000000086</v>
      </c>
      <c r="I470" s="171" t="s">
        <v>1234</v>
      </c>
    </row>
    <row r="471" spans="1:9" s="125" customFormat="1" ht="13.5" customHeight="1" x14ac:dyDescent="0.2">
      <c r="A471" s="243">
        <v>114260</v>
      </c>
      <c r="B471" s="244" t="s">
        <v>1027</v>
      </c>
      <c r="C471" s="244" t="s">
        <v>5</v>
      </c>
      <c r="D471" s="244" t="s">
        <v>0</v>
      </c>
      <c r="E471" s="245">
        <v>43804</v>
      </c>
      <c r="F471" s="118">
        <v>1016.96</v>
      </c>
      <c r="G471" s="118">
        <f>SUMIF(CONFERÊNCIA!A:A,A471,CONFERÊNCIA!J:J)</f>
        <v>1016.96</v>
      </c>
      <c r="H471" s="120">
        <f t="shared" si="27"/>
        <v>0</v>
      </c>
      <c r="I471" s="171" t="s">
        <v>1234</v>
      </c>
    </row>
    <row r="472" spans="1:9" s="125" customFormat="1" ht="13.5" customHeight="1" x14ac:dyDescent="0.2">
      <c r="A472" s="243">
        <v>112654</v>
      </c>
      <c r="B472" s="244" t="s">
        <v>322</v>
      </c>
      <c r="C472" s="244" t="s">
        <v>15</v>
      </c>
      <c r="D472" s="244" t="s">
        <v>1589</v>
      </c>
      <c r="E472" s="245">
        <v>43620</v>
      </c>
      <c r="F472" s="118">
        <v>1016.96</v>
      </c>
      <c r="G472" s="118">
        <f>SUMIF(CONFERÊNCIA!A:A,A472,CONFERÊNCIA!J:J)</f>
        <v>1016.96</v>
      </c>
      <c r="H472" s="120">
        <f t="shared" si="27"/>
        <v>0</v>
      </c>
      <c r="I472" s="171" t="s">
        <v>1235</v>
      </c>
    </row>
    <row r="473" spans="1:9" s="110" customFormat="1" ht="13.5" customHeight="1" x14ac:dyDescent="0.2">
      <c r="A473" s="243">
        <v>113735</v>
      </c>
      <c r="B473" s="244" t="s">
        <v>953</v>
      </c>
      <c r="C473" s="244" t="s">
        <v>954</v>
      </c>
      <c r="D473" s="244" t="s">
        <v>1589</v>
      </c>
      <c r="E473" s="245">
        <v>43619</v>
      </c>
      <c r="F473" s="118">
        <v>1016.96</v>
      </c>
      <c r="G473" s="118">
        <f>SUMIF(CONFERÊNCIA!A:A,A473,CONFERÊNCIA!J:J)</f>
        <v>1016.96</v>
      </c>
      <c r="H473" s="119">
        <f t="shared" si="27"/>
        <v>0</v>
      </c>
      <c r="I473" s="171" t="s">
        <v>1234</v>
      </c>
    </row>
    <row r="474" spans="1:9" s="110" customFormat="1" ht="13.5" customHeight="1" x14ac:dyDescent="0.2">
      <c r="A474" s="243">
        <v>112661</v>
      </c>
      <c r="B474" s="244" t="s">
        <v>326</v>
      </c>
      <c r="C474" s="244" t="s">
        <v>282</v>
      </c>
      <c r="D474" s="244" t="s">
        <v>1589</v>
      </c>
      <c r="E474" s="245">
        <v>43617</v>
      </c>
      <c r="F474" s="118">
        <v>1016.96</v>
      </c>
      <c r="G474" s="118">
        <f>SUMIF(CONFERÊNCIA!A:A,A474,CONFERÊNCIA!J:J)</f>
        <v>1016.96</v>
      </c>
      <c r="H474" s="119">
        <f t="shared" si="27"/>
        <v>0</v>
      </c>
      <c r="I474" s="171" t="s">
        <v>1234</v>
      </c>
    </row>
    <row r="475" spans="1:9" s="110" customFormat="1" ht="13.5" customHeight="1" x14ac:dyDescent="0.2">
      <c r="A475" s="243">
        <v>112668</v>
      </c>
      <c r="B475" s="244" t="s">
        <v>330</v>
      </c>
      <c r="C475" s="244" t="s">
        <v>2</v>
      </c>
      <c r="D475" s="244" t="s">
        <v>19</v>
      </c>
      <c r="E475" s="245">
        <v>43617</v>
      </c>
      <c r="F475" s="118">
        <v>1016.96</v>
      </c>
      <c r="G475" s="118">
        <f>SUMIF(CONFERÊNCIA!A:A,A475,CONFERÊNCIA!J:J)</f>
        <v>1016.96</v>
      </c>
      <c r="H475" s="119">
        <f t="shared" si="27"/>
        <v>0</v>
      </c>
      <c r="I475" s="171" t="s">
        <v>1234</v>
      </c>
    </row>
    <row r="476" spans="1:9" s="125" customFormat="1" ht="13.5" customHeight="1" x14ac:dyDescent="0.2">
      <c r="A476" s="243">
        <v>114700</v>
      </c>
      <c r="B476" s="244" t="s">
        <v>1078</v>
      </c>
      <c r="C476" s="244" t="s">
        <v>2</v>
      </c>
      <c r="D476" s="244" t="s">
        <v>0</v>
      </c>
      <c r="E476" s="245">
        <v>43874</v>
      </c>
      <c r="F476" s="118">
        <v>863.83</v>
      </c>
      <c r="G476" s="118">
        <f>SUMIF(CONFERÊNCIA!A:A,A476,CONFERÊNCIA!J:J)</f>
        <v>940.39</v>
      </c>
      <c r="H476" s="120">
        <f t="shared" si="27"/>
        <v>76.559999999999945</v>
      </c>
      <c r="I476" s="171" t="s">
        <v>1234</v>
      </c>
    </row>
    <row r="477" spans="1:9" s="110" customFormat="1" ht="13.5" customHeight="1" x14ac:dyDescent="0.2">
      <c r="A477" s="243">
        <v>112680</v>
      </c>
      <c r="B477" s="244" t="s">
        <v>336</v>
      </c>
      <c r="C477" s="244" t="s">
        <v>146</v>
      </c>
      <c r="D477" s="244" t="s">
        <v>0</v>
      </c>
      <c r="E477" s="245">
        <v>43617</v>
      </c>
      <c r="F477" s="118">
        <v>1016.96</v>
      </c>
      <c r="G477" s="118">
        <f>SUMIF(CONFERÊNCIA!A:A,A477,CONFERÊNCIA!J:J)</f>
        <v>1016.96</v>
      </c>
      <c r="H477" s="119">
        <f t="shared" si="27"/>
        <v>0</v>
      </c>
      <c r="I477" s="171" t="s">
        <v>1234</v>
      </c>
    </row>
    <row r="478" spans="1:9" s="110" customFormat="1" ht="13.5" customHeight="1" x14ac:dyDescent="0.2">
      <c r="A478" s="243">
        <v>114506</v>
      </c>
      <c r="B478" s="244" t="s">
        <v>1046</v>
      </c>
      <c r="C478" s="244" t="s">
        <v>1047</v>
      </c>
      <c r="D478" s="244" t="s">
        <v>1589</v>
      </c>
      <c r="E478" s="245">
        <v>43811</v>
      </c>
      <c r="F478" s="118">
        <v>1016.96</v>
      </c>
      <c r="G478" s="118">
        <f>SUMIF(CONFERÊNCIA!A:A,A478,CONFERÊNCIA!J:J)</f>
        <v>1016.96</v>
      </c>
      <c r="H478" s="119">
        <f t="shared" si="27"/>
        <v>0</v>
      </c>
      <c r="I478" s="171" t="s">
        <v>1234</v>
      </c>
    </row>
    <row r="479" spans="1:9" s="125" customFormat="1" ht="13.5" customHeight="1" x14ac:dyDescent="0.2">
      <c r="A479" s="243">
        <v>112709</v>
      </c>
      <c r="B479" s="244" t="s">
        <v>1534</v>
      </c>
      <c r="C479" s="244" t="s">
        <v>15</v>
      </c>
      <c r="D479" s="244" t="s">
        <v>1589</v>
      </c>
      <c r="E479" s="245">
        <v>43617</v>
      </c>
      <c r="F479" s="118">
        <v>1016.96</v>
      </c>
      <c r="G479" s="118">
        <f>SUMIF(CONFERÊNCIA!A:A,A479,CONFERÊNCIA!J:J)</f>
        <v>1016.96</v>
      </c>
      <c r="H479" s="120">
        <f t="shared" si="27"/>
        <v>0</v>
      </c>
      <c r="I479" s="171" t="s">
        <v>1234</v>
      </c>
    </row>
    <row r="480" spans="1:9" s="110" customFormat="1" ht="13.5" customHeight="1" x14ac:dyDescent="0.2">
      <c r="A480" s="243">
        <v>112713</v>
      </c>
      <c r="B480" s="244" t="s">
        <v>358</v>
      </c>
      <c r="C480" s="244" t="s">
        <v>282</v>
      </c>
      <c r="D480" s="244" t="s">
        <v>1589</v>
      </c>
      <c r="E480" s="245">
        <v>43617</v>
      </c>
      <c r="F480" s="118">
        <v>1016.96</v>
      </c>
      <c r="G480" s="118">
        <f>SUMIF(CONFERÊNCIA!A:A,A480,CONFERÊNCIA!J:J)</f>
        <v>1016.96</v>
      </c>
      <c r="H480" s="119">
        <f t="shared" si="27"/>
        <v>0</v>
      </c>
      <c r="I480" s="171" t="s">
        <v>1234</v>
      </c>
    </row>
    <row r="481" spans="1:9" s="110" customFormat="1" ht="13.5" customHeight="1" x14ac:dyDescent="0.2">
      <c r="A481" s="243">
        <v>112716</v>
      </c>
      <c r="B481" s="244" t="s">
        <v>360</v>
      </c>
      <c r="C481" s="244" t="s">
        <v>2</v>
      </c>
      <c r="D481" s="244" t="s">
        <v>10</v>
      </c>
      <c r="E481" s="245">
        <v>43617</v>
      </c>
      <c r="F481" s="118">
        <v>1016.96</v>
      </c>
      <c r="G481" s="118">
        <f>SUMIF(CONFERÊNCIA!A:A,A481,CONFERÊNCIA!J:J)</f>
        <v>1016.96</v>
      </c>
      <c r="H481" s="119">
        <f t="shared" si="27"/>
        <v>0</v>
      </c>
      <c r="I481" s="171" t="s">
        <v>1234</v>
      </c>
    </row>
    <row r="482" spans="1:9" s="125" customFormat="1" ht="13.5" customHeight="1" x14ac:dyDescent="0.2">
      <c r="A482" s="243">
        <v>112720</v>
      </c>
      <c r="B482" s="244" t="s">
        <v>364</v>
      </c>
      <c r="C482" s="244" t="s">
        <v>2</v>
      </c>
      <c r="D482" s="244" t="s">
        <v>0</v>
      </c>
      <c r="E482" s="245">
        <v>43617</v>
      </c>
      <c r="F482" s="118">
        <v>1016.96</v>
      </c>
      <c r="G482" s="118">
        <f>SUMIF(CONFERÊNCIA!A:A,A482,CONFERÊNCIA!J:J)</f>
        <v>1016.96</v>
      </c>
      <c r="H482" s="120">
        <f t="shared" si="27"/>
        <v>0</v>
      </c>
      <c r="I482" s="171" t="s">
        <v>1234</v>
      </c>
    </row>
    <row r="483" spans="1:9" s="110" customFormat="1" ht="13.5" customHeight="1" x14ac:dyDescent="0.2">
      <c r="A483" s="243">
        <v>112724</v>
      </c>
      <c r="B483" s="244" t="s">
        <v>366</v>
      </c>
      <c r="C483" s="244" t="s">
        <v>5</v>
      </c>
      <c r="D483" s="244" t="s">
        <v>32</v>
      </c>
      <c r="E483" s="245">
        <v>43617</v>
      </c>
      <c r="F483" s="118">
        <v>1016.96</v>
      </c>
      <c r="G483" s="118">
        <f>SUMIF(CONFERÊNCIA!A:A,A483,CONFERÊNCIA!J:J)</f>
        <v>1016.96</v>
      </c>
      <c r="H483" s="119">
        <f t="shared" si="27"/>
        <v>0</v>
      </c>
      <c r="I483" s="171" t="s">
        <v>1234</v>
      </c>
    </row>
    <row r="484" spans="1:9" s="110" customFormat="1" ht="13.5" customHeight="1" x14ac:dyDescent="0.2">
      <c r="A484" s="243">
        <v>114120</v>
      </c>
      <c r="B484" s="244" t="s">
        <v>1014</v>
      </c>
      <c r="C484" s="244" t="s">
        <v>413</v>
      </c>
      <c r="D484" s="244" t="s">
        <v>1589</v>
      </c>
      <c r="E484" s="245">
        <v>43739</v>
      </c>
      <c r="F484" s="118">
        <v>1016.96</v>
      </c>
      <c r="G484" s="118">
        <f>SUMIF(CONFERÊNCIA!A:A,A484,CONFERÊNCIA!J:J)</f>
        <v>1016.96</v>
      </c>
      <c r="H484" s="119">
        <f t="shared" si="27"/>
        <v>0</v>
      </c>
      <c r="I484" s="171" t="s">
        <v>1234</v>
      </c>
    </row>
    <row r="485" spans="1:9" s="125" customFormat="1" ht="13.5" customHeight="1" x14ac:dyDescent="0.2">
      <c r="A485" s="243">
        <v>112737</v>
      </c>
      <c r="B485" s="244" t="s">
        <v>375</v>
      </c>
      <c r="C485" s="244" t="s">
        <v>2</v>
      </c>
      <c r="D485" s="244" t="s">
        <v>0</v>
      </c>
      <c r="E485" s="245">
        <v>43617</v>
      </c>
      <c r="F485" s="118">
        <v>1016.96</v>
      </c>
      <c r="G485" s="118">
        <f>SUMIF(CONFERÊNCIA!A:A,A485,CONFERÊNCIA!J:J)</f>
        <v>1016.96</v>
      </c>
      <c r="H485" s="120">
        <f t="shared" si="27"/>
        <v>0</v>
      </c>
      <c r="I485" s="171" t="s">
        <v>1234</v>
      </c>
    </row>
    <row r="486" spans="1:9" s="110" customFormat="1" ht="13.5" customHeight="1" x14ac:dyDescent="0.2">
      <c r="A486" s="243">
        <v>112742</v>
      </c>
      <c r="B486" s="244" t="s">
        <v>377</v>
      </c>
      <c r="C486" s="244" t="s">
        <v>146</v>
      </c>
      <c r="D486" s="244" t="s">
        <v>1589</v>
      </c>
      <c r="E486" s="245">
        <v>43617</v>
      </c>
      <c r="F486" s="118">
        <v>1016.96</v>
      </c>
      <c r="G486" s="118">
        <f>SUMIF(CONFERÊNCIA!A:A,A486,CONFERÊNCIA!J:J)</f>
        <v>1016.96</v>
      </c>
      <c r="H486" s="119">
        <f t="shared" si="27"/>
        <v>0</v>
      </c>
      <c r="I486" s="171" t="s">
        <v>1234</v>
      </c>
    </row>
    <row r="487" spans="1:9" s="125" customFormat="1" ht="13.5" customHeight="1" x14ac:dyDescent="0.2">
      <c r="A487" s="243">
        <v>121956</v>
      </c>
      <c r="B487" s="244" t="s">
        <v>1618</v>
      </c>
      <c r="C487" s="244" t="s">
        <v>5</v>
      </c>
      <c r="D487" s="244" t="s">
        <v>8</v>
      </c>
      <c r="E487" s="245">
        <v>45040</v>
      </c>
      <c r="F487" s="118">
        <v>1016.96</v>
      </c>
      <c r="G487" s="118">
        <f>SUMIF(CONFERÊNCIA!A:A,A487,CONFERÊNCIA!J:J)</f>
        <v>1016.96</v>
      </c>
      <c r="H487" s="120">
        <f t="shared" ref="H487:H503" si="28">G487-F487</f>
        <v>0</v>
      </c>
      <c r="I487" s="171" t="s">
        <v>1234</v>
      </c>
    </row>
    <row r="488" spans="1:9" s="125" customFormat="1" ht="13.5" customHeight="1" x14ac:dyDescent="0.2">
      <c r="A488" s="243">
        <v>112745</v>
      </c>
      <c r="B488" s="244" t="s">
        <v>380</v>
      </c>
      <c r="C488" s="244" t="s">
        <v>139</v>
      </c>
      <c r="D488" s="244" t="s">
        <v>1589</v>
      </c>
      <c r="E488" s="245">
        <v>43617</v>
      </c>
      <c r="F488" s="118">
        <v>978.67000000000007</v>
      </c>
      <c r="G488" s="118">
        <f>SUMIF(CONFERÊNCIA!A:A,A488,CONFERÊNCIA!J:J)</f>
        <v>1016.96</v>
      </c>
      <c r="H488" s="120">
        <f t="shared" si="28"/>
        <v>38.289999999999964</v>
      </c>
      <c r="I488" s="171" t="s">
        <v>1234</v>
      </c>
    </row>
    <row r="489" spans="1:9" s="125" customFormat="1" ht="13.5" customHeight="1" x14ac:dyDescent="0.2">
      <c r="A489" s="243">
        <v>114606</v>
      </c>
      <c r="B489" s="244" t="s">
        <v>1062</v>
      </c>
      <c r="C489" s="244" t="s">
        <v>2</v>
      </c>
      <c r="D489" s="244" t="s">
        <v>0</v>
      </c>
      <c r="E489" s="245">
        <v>43836</v>
      </c>
      <c r="F489" s="118">
        <v>1016.96</v>
      </c>
      <c r="G489" s="118">
        <f>SUMIF(CONFERÊNCIA!A:A,A489,CONFERÊNCIA!J:J)</f>
        <v>1016.96</v>
      </c>
      <c r="H489" s="120">
        <f t="shared" si="28"/>
        <v>0</v>
      </c>
      <c r="I489" s="171" t="s">
        <v>1234</v>
      </c>
    </row>
    <row r="490" spans="1:9" s="110" customFormat="1" ht="13.5" customHeight="1" x14ac:dyDescent="0.2">
      <c r="A490" s="243">
        <v>112749</v>
      </c>
      <c r="B490" s="244" t="s">
        <v>383</v>
      </c>
      <c r="C490" s="244" t="s">
        <v>2</v>
      </c>
      <c r="D490" s="244" t="s">
        <v>0</v>
      </c>
      <c r="E490" s="245">
        <v>43617</v>
      </c>
      <c r="F490" s="118">
        <v>1016.96</v>
      </c>
      <c r="G490" s="118">
        <f>SUMIF(CONFERÊNCIA!A:A,A490,CONFERÊNCIA!J:J)</f>
        <v>1016.96</v>
      </c>
      <c r="H490" s="119">
        <f t="shared" si="28"/>
        <v>0</v>
      </c>
      <c r="I490" s="171" t="s">
        <v>1234</v>
      </c>
    </row>
    <row r="491" spans="1:9" s="125" customFormat="1" ht="13.5" customHeight="1" x14ac:dyDescent="0.2">
      <c r="A491" s="243">
        <v>112753</v>
      </c>
      <c r="B491" s="244" t="s">
        <v>384</v>
      </c>
      <c r="C491" s="244" t="s">
        <v>385</v>
      </c>
      <c r="D491" s="244" t="s">
        <v>1589</v>
      </c>
      <c r="E491" s="245">
        <v>43617</v>
      </c>
      <c r="F491" s="118">
        <v>1016.96</v>
      </c>
      <c r="G491" s="118">
        <f>SUMIF(CONFERÊNCIA!A:A,A491,CONFERÊNCIA!J:J)</f>
        <v>1016.96</v>
      </c>
      <c r="H491" s="120">
        <f t="shared" si="28"/>
        <v>0</v>
      </c>
      <c r="I491" s="171" t="s">
        <v>1234</v>
      </c>
    </row>
    <row r="492" spans="1:9" s="110" customFormat="1" ht="13.5" customHeight="1" x14ac:dyDescent="0.2">
      <c r="A492" s="243">
        <v>112757</v>
      </c>
      <c r="B492" s="244" t="s">
        <v>387</v>
      </c>
      <c r="C492" s="244" t="s">
        <v>15</v>
      </c>
      <c r="D492" s="244" t="s">
        <v>1589</v>
      </c>
      <c r="E492" s="245">
        <v>43617</v>
      </c>
      <c r="F492" s="118">
        <v>1016.96</v>
      </c>
      <c r="G492" s="118">
        <f>SUMIF(CONFERÊNCIA!A:A,A492,CONFERÊNCIA!J:J)</f>
        <v>1016.96</v>
      </c>
      <c r="H492" s="119">
        <f t="shared" si="28"/>
        <v>0</v>
      </c>
      <c r="I492" s="171" t="s">
        <v>1234</v>
      </c>
    </row>
    <row r="493" spans="1:9" s="110" customFormat="1" ht="13.5" customHeight="1" x14ac:dyDescent="0.2">
      <c r="A493" s="243">
        <v>114918</v>
      </c>
      <c r="B493" s="244" t="s">
        <v>1112</v>
      </c>
      <c r="C493" s="244" t="s">
        <v>5</v>
      </c>
      <c r="D493" s="244" t="s">
        <v>1589</v>
      </c>
      <c r="E493" s="245">
        <v>43916</v>
      </c>
      <c r="F493" s="118">
        <v>1016.96</v>
      </c>
      <c r="G493" s="118">
        <f>SUMIF(CONFERÊNCIA!A:A,A493,CONFERÊNCIA!J:J)</f>
        <v>1016.96</v>
      </c>
      <c r="H493" s="119">
        <f t="shared" si="28"/>
        <v>0</v>
      </c>
      <c r="I493" s="171" t="s">
        <v>1234</v>
      </c>
    </row>
    <row r="494" spans="1:9" s="125" customFormat="1" ht="13.5" customHeight="1" x14ac:dyDescent="0.2">
      <c r="A494" s="243">
        <v>115214</v>
      </c>
      <c r="B494" s="244" t="s">
        <v>1145</v>
      </c>
      <c r="C494" s="244" t="s">
        <v>5</v>
      </c>
      <c r="D494" s="244" t="s">
        <v>8</v>
      </c>
      <c r="E494" s="245">
        <v>44018</v>
      </c>
      <c r="F494" s="118">
        <v>1016.96</v>
      </c>
      <c r="G494" s="118">
        <f>SUMIF(CONFERÊNCIA!A:A,A494,CONFERÊNCIA!J:J)</f>
        <v>1016.96</v>
      </c>
      <c r="H494" s="120">
        <f t="shared" si="28"/>
        <v>0</v>
      </c>
      <c r="I494" s="171" t="s">
        <v>1234</v>
      </c>
    </row>
    <row r="495" spans="1:9" s="125" customFormat="1" ht="13.5" customHeight="1" x14ac:dyDescent="0.2">
      <c r="A495" s="243">
        <v>115397</v>
      </c>
      <c r="B495" s="244" t="s">
        <v>1155</v>
      </c>
      <c r="C495" s="244" t="s">
        <v>5</v>
      </c>
      <c r="D495" s="244" t="s">
        <v>1589</v>
      </c>
      <c r="E495" s="245">
        <v>44048</v>
      </c>
      <c r="F495" s="118">
        <v>978.67000000000007</v>
      </c>
      <c r="G495" s="118">
        <f>SUMIF(CONFERÊNCIA!A:A,A495,CONFERÊNCIA!J:J)</f>
        <v>1016.96</v>
      </c>
      <c r="H495" s="120">
        <f t="shared" si="28"/>
        <v>38.289999999999964</v>
      </c>
      <c r="I495" s="171" t="s">
        <v>1234</v>
      </c>
    </row>
    <row r="496" spans="1:9" s="110" customFormat="1" ht="13.5" customHeight="1" x14ac:dyDescent="0.2">
      <c r="A496" s="243">
        <v>115378</v>
      </c>
      <c r="B496" s="244" t="s">
        <v>1154</v>
      </c>
      <c r="C496" s="244" t="s">
        <v>5</v>
      </c>
      <c r="D496" s="244" t="s">
        <v>0</v>
      </c>
      <c r="E496" s="245">
        <v>44046</v>
      </c>
      <c r="F496" s="118">
        <v>1016.96</v>
      </c>
      <c r="G496" s="118">
        <f>SUMIF(CONFERÊNCIA!A:A,A496,CONFERÊNCIA!J:J)</f>
        <v>978.67000000000007</v>
      </c>
      <c r="H496" s="119">
        <f t="shared" si="28"/>
        <v>-38.289999999999964</v>
      </c>
      <c r="I496" s="171" t="s">
        <v>1234</v>
      </c>
    </row>
    <row r="497" spans="1:9" s="110" customFormat="1" ht="13.5" customHeight="1" x14ac:dyDescent="0.2">
      <c r="A497" s="243">
        <v>114729</v>
      </c>
      <c r="B497" s="244" t="s">
        <v>1084</v>
      </c>
      <c r="C497" s="244" t="s">
        <v>2</v>
      </c>
      <c r="D497" s="244" t="s">
        <v>8</v>
      </c>
      <c r="E497" s="245">
        <v>43874</v>
      </c>
      <c r="F497" s="118">
        <v>1016.96</v>
      </c>
      <c r="G497" s="118">
        <f>SUMIF(CONFERÊNCIA!A:A,A497,CONFERÊNCIA!J:J)</f>
        <v>1016.96</v>
      </c>
      <c r="H497" s="119">
        <f t="shared" si="28"/>
        <v>0</v>
      </c>
      <c r="I497" s="171" t="s">
        <v>1234</v>
      </c>
    </row>
    <row r="498" spans="1:9" s="110" customFormat="1" ht="13.5" customHeight="1" x14ac:dyDescent="0.2">
      <c r="A498" s="243">
        <v>119665</v>
      </c>
      <c r="B498" s="244" t="s">
        <v>1470</v>
      </c>
      <c r="C498" s="244" t="s">
        <v>2</v>
      </c>
      <c r="D498" s="244" t="s">
        <v>10</v>
      </c>
      <c r="E498" s="245">
        <v>44725</v>
      </c>
      <c r="F498" s="118">
        <v>1016.96</v>
      </c>
      <c r="G498" s="118">
        <f>SUMIF(CONFERÊNCIA!A:A,A498,CONFERÊNCIA!J:J)</f>
        <v>1016.96</v>
      </c>
      <c r="H498" s="119">
        <f t="shared" si="28"/>
        <v>0</v>
      </c>
      <c r="I498" s="171" t="s">
        <v>1234</v>
      </c>
    </row>
    <row r="499" spans="1:9" s="125" customFormat="1" ht="13.5" customHeight="1" x14ac:dyDescent="0.2">
      <c r="A499" s="243">
        <v>112764</v>
      </c>
      <c r="B499" s="244" t="s">
        <v>391</v>
      </c>
      <c r="C499" s="244" t="s">
        <v>146</v>
      </c>
      <c r="D499" s="244" t="s">
        <v>19</v>
      </c>
      <c r="E499" s="245">
        <v>43617</v>
      </c>
      <c r="F499" s="118">
        <v>1016.96</v>
      </c>
      <c r="G499" s="118">
        <f>SUMIF(CONFERÊNCIA!A:A,A499,CONFERÊNCIA!J:J)</f>
        <v>1016.96</v>
      </c>
      <c r="H499" s="120">
        <f t="shared" si="28"/>
        <v>0</v>
      </c>
      <c r="I499" s="171" t="s">
        <v>1234</v>
      </c>
    </row>
    <row r="500" spans="1:9" s="110" customFormat="1" ht="13.5" customHeight="1" x14ac:dyDescent="0.2">
      <c r="A500" s="243">
        <v>114316</v>
      </c>
      <c r="B500" s="244" t="s">
        <v>1036</v>
      </c>
      <c r="C500" s="244" t="s">
        <v>5</v>
      </c>
      <c r="D500" s="244" t="s">
        <v>0</v>
      </c>
      <c r="E500" s="245">
        <v>43811</v>
      </c>
      <c r="F500" s="118">
        <v>1016.96</v>
      </c>
      <c r="G500" s="118">
        <f>SUMIF(CONFERÊNCIA!A:A,A500,CONFERÊNCIA!J:J)</f>
        <v>940.39</v>
      </c>
      <c r="H500" s="119">
        <f t="shared" si="28"/>
        <v>-76.57000000000005</v>
      </c>
      <c r="I500" s="171" t="s">
        <v>1234</v>
      </c>
    </row>
    <row r="501" spans="1:9" s="125" customFormat="1" ht="13.5" customHeight="1" x14ac:dyDescent="0.2">
      <c r="A501" s="243">
        <v>115818</v>
      </c>
      <c r="B501" s="244" t="s">
        <v>1169</v>
      </c>
      <c r="C501" s="244" t="s">
        <v>5</v>
      </c>
      <c r="D501" s="244" t="s">
        <v>0</v>
      </c>
      <c r="E501" s="245">
        <v>44154</v>
      </c>
      <c r="F501" s="118">
        <v>1016.96</v>
      </c>
      <c r="G501" s="118">
        <f>SUMIF(CONFERÊNCIA!A:A,A501,CONFERÊNCIA!J:J)</f>
        <v>1016.96</v>
      </c>
      <c r="H501" s="120">
        <f t="shared" si="28"/>
        <v>0</v>
      </c>
      <c r="I501" s="171" t="s">
        <v>1234</v>
      </c>
    </row>
    <row r="502" spans="1:9" s="110" customFormat="1" ht="13.5" customHeight="1" x14ac:dyDescent="0.2">
      <c r="A502" s="243">
        <v>112766</v>
      </c>
      <c r="B502" s="244" t="s">
        <v>393</v>
      </c>
      <c r="C502" s="244" t="s">
        <v>5</v>
      </c>
      <c r="D502" s="244" t="s">
        <v>8</v>
      </c>
      <c r="E502" s="245">
        <v>43617</v>
      </c>
      <c r="F502" s="118">
        <v>1016.96</v>
      </c>
      <c r="G502" s="118">
        <f>SUMIF(CONFERÊNCIA!A:A,A502,CONFERÊNCIA!J:J)</f>
        <v>978.67000000000007</v>
      </c>
      <c r="H502" s="119">
        <f t="shared" si="28"/>
        <v>-38.289999999999964</v>
      </c>
      <c r="I502" s="171" t="s">
        <v>1234</v>
      </c>
    </row>
    <row r="503" spans="1:9" s="125" customFormat="1" ht="13.5" customHeight="1" x14ac:dyDescent="0.2">
      <c r="A503" s="243">
        <v>112768</v>
      </c>
      <c r="B503" s="244" t="s">
        <v>395</v>
      </c>
      <c r="C503" s="244" t="s">
        <v>22</v>
      </c>
      <c r="D503" s="244" t="s">
        <v>1589</v>
      </c>
      <c r="E503" s="245">
        <v>43617</v>
      </c>
      <c r="F503" s="118">
        <v>1016.96</v>
      </c>
      <c r="G503" s="118">
        <f>SUMIF(CONFERÊNCIA!A:A,A503,CONFERÊNCIA!J:J)</f>
        <v>1016.96</v>
      </c>
      <c r="H503" s="120">
        <f t="shared" si="28"/>
        <v>0</v>
      </c>
      <c r="I503" s="171" t="s">
        <v>1234</v>
      </c>
    </row>
    <row r="504" spans="1:9" s="110" customFormat="1" ht="13.5" customHeight="1" x14ac:dyDescent="0.2">
      <c r="A504" s="243">
        <v>112799</v>
      </c>
      <c r="B504" s="244" t="s">
        <v>419</v>
      </c>
      <c r="C504" s="244" t="s">
        <v>5</v>
      </c>
      <c r="D504" s="244" t="s">
        <v>32</v>
      </c>
      <c r="E504" s="245">
        <v>43617</v>
      </c>
      <c r="F504" s="118">
        <v>978.67000000000007</v>
      </c>
      <c r="G504" s="118">
        <f>SUMIF(CONFERÊNCIA!A:A,A504,CONFERÊNCIA!J:J)</f>
        <v>1016.96</v>
      </c>
      <c r="H504" s="119">
        <f t="shared" ref="H504:H517" si="29">G504-F504</f>
        <v>38.289999999999964</v>
      </c>
      <c r="I504" s="171" t="s">
        <v>1234</v>
      </c>
    </row>
    <row r="505" spans="1:9" s="110" customFormat="1" ht="13.5" customHeight="1" x14ac:dyDescent="0.2">
      <c r="A505" s="243">
        <v>116738</v>
      </c>
      <c r="B505" s="244" t="s">
        <v>1228</v>
      </c>
      <c r="C505" s="244" t="s">
        <v>1663</v>
      </c>
      <c r="D505" s="244" t="s">
        <v>1589</v>
      </c>
      <c r="E505" s="245">
        <v>44370</v>
      </c>
      <c r="F505" s="118">
        <v>1016.96</v>
      </c>
      <c r="G505" s="118">
        <f>SUMIF(CONFERÊNCIA!A:A,A505,CONFERÊNCIA!J:J)</f>
        <v>1016.96</v>
      </c>
      <c r="H505" s="119">
        <f t="shared" si="29"/>
        <v>0</v>
      </c>
      <c r="I505" s="171" t="s">
        <v>1234</v>
      </c>
    </row>
    <row r="506" spans="1:9" s="125" customFormat="1" ht="13.5" customHeight="1" x14ac:dyDescent="0.2">
      <c r="A506" s="243">
        <v>113714</v>
      </c>
      <c r="B506" s="244" t="s">
        <v>933</v>
      </c>
      <c r="C506" s="244" t="s">
        <v>904</v>
      </c>
      <c r="D506" s="244" t="s">
        <v>1589</v>
      </c>
      <c r="E506" s="245">
        <v>43619</v>
      </c>
      <c r="F506" s="118">
        <v>1016.96</v>
      </c>
      <c r="G506" s="118">
        <f>SUMIF(CONFERÊNCIA!A:A,A506,CONFERÊNCIA!J:J)</f>
        <v>1016.96</v>
      </c>
      <c r="H506" s="120">
        <f t="shared" si="29"/>
        <v>0</v>
      </c>
      <c r="I506" s="171" t="s">
        <v>1234</v>
      </c>
    </row>
    <row r="507" spans="1:9" s="110" customFormat="1" ht="13.5" customHeight="1" x14ac:dyDescent="0.2">
      <c r="A507" s="243">
        <v>114765</v>
      </c>
      <c r="B507" s="244" t="s">
        <v>1101</v>
      </c>
      <c r="C507" s="244" t="s">
        <v>282</v>
      </c>
      <c r="D507" s="244" t="s">
        <v>1589</v>
      </c>
      <c r="E507" s="245">
        <v>43874</v>
      </c>
      <c r="F507" s="118">
        <v>1016.96</v>
      </c>
      <c r="G507" s="118">
        <f>SUMIF(CONFERÊNCIA!A:A,A507,CONFERÊNCIA!J:J)</f>
        <v>1016.96</v>
      </c>
      <c r="H507" s="119">
        <f t="shared" si="29"/>
        <v>0</v>
      </c>
      <c r="I507" s="171" t="s">
        <v>1234</v>
      </c>
    </row>
    <row r="508" spans="1:9" s="110" customFormat="1" ht="13.5" customHeight="1" x14ac:dyDescent="0.2">
      <c r="A508" s="243">
        <v>112818</v>
      </c>
      <c r="B508" s="244" t="s">
        <v>433</v>
      </c>
      <c r="C508" s="244" t="s">
        <v>146</v>
      </c>
      <c r="D508" s="244" t="s">
        <v>10</v>
      </c>
      <c r="E508" s="245">
        <v>43617</v>
      </c>
      <c r="F508" s="118">
        <v>1016.96</v>
      </c>
      <c r="G508" s="118">
        <f>SUMIF(CONFERÊNCIA!A:A,A508,CONFERÊNCIA!J:J)</f>
        <v>1016.96</v>
      </c>
      <c r="H508" s="119">
        <f t="shared" si="29"/>
        <v>0</v>
      </c>
      <c r="I508" s="171" t="s">
        <v>1234</v>
      </c>
    </row>
    <row r="509" spans="1:9" s="125" customFormat="1" ht="13.5" customHeight="1" x14ac:dyDescent="0.2">
      <c r="A509" s="243">
        <v>115409</v>
      </c>
      <c r="B509" s="244" t="s">
        <v>1162</v>
      </c>
      <c r="C509" s="244" t="s">
        <v>5</v>
      </c>
      <c r="D509" s="244" t="s">
        <v>19</v>
      </c>
      <c r="E509" s="245">
        <v>44048</v>
      </c>
      <c r="F509" s="118">
        <v>825.55</v>
      </c>
      <c r="G509" s="118">
        <f>SUMIF(CONFERÊNCIA!A:A,A509,CONFERÊNCIA!J:J)</f>
        <v>863.83</v>
      </c>
      <c r="H509" s="120">
        <f t="shared" si="29"/>
        <v>38.280000000000086</v>
      </c>
      <c r="I509" s="171" t="s">
        <v>1234</v>
      </c>
    </row>
    <row r="510" spans="1:9" s="125" customFormat="1" ht="13.5" customHeight="1" x14ac:dyDescent="0.2">
      <c r="A510" s="243">
        <v>122089</v>
      </c>
      <c r="B510" s="244" t="s">
        <v>1639</v>
      </c>
      <c r="C510" s="244" t="s">
        <v>5</v>
      </c>
      <c r="D510" s="244" t="s">
        <v>0</v>
      </c>
      <c r="E510" s="245">
        <v>45061</v>
      </c>
      <c r="F510" s="118">
        <v>1016.96</v>
      </c>
      <c r="G510" s="118">
        <f>SUMIF(CONFERÊNCIA!A:A,A510,CONFERÊNCIA!J:J)</f>
        <v>1016.96</v>
      </c>
      <c r="H510" s="120">
        <f t="shared" si="29"/>
        <v>0</v>
      </c>
      <c r="I510" s="171" t="s">
        <v>1234</v>
      </c>
    </row>
    <row r="511" spans="1:9" s="110" customFormat="1" ht="13.5" customHeight="1" x14ac:dyDescent="0.2">
      <c r="A511" s="243">
        <v>112829</v>
      </c>
      <c r="B511" s="244" t="s">
        <v>441</v>
      </c>
      <c r="C511" s="244" t="s">
        <v>282</v>
      </c>
      <c r="D511" s="244" t="s">
        <v>1589</v>
      </c>
      <c r="E511" s="245">
        <v>43617</v>
      </c>
      <c r="F511" s="118">
        <v>940.39</v>
      </c>
      <c r="G511" s="118">
        <f>SUMIF(CONFERÊNCIA!A:A,A511,CONFERÊNCIA!J:J)</f>
        <v>1016.96</v>
      </c>
      <c r="H511" s="119">
        <f t="shared" si="29"/>
        <v>76.57000000000005</v>
      </c>
      <c r="I511" s="171" t="s">
        <v>1234</v>
      </c>
    </row>
    <row r="512" spans="1:9" s="125" customFormat="1" ht="13.5" customHeight="1" x14ac:dyDescent="0.2">
      <c r="A512" s="243">
        <v>112832</v>
      </c>
      <c r="B512" s="244" t="s">
        <v>443</v>
      </c>
      <c r="C512" s="244" t="s">
        <v>22</v>
      </c>
      <c r="D512" s="244" t="s">
        <v>1589</v>
      </c>
      <c r="E512" s="245">
        <v>43617</v>
      </c>
      <c r="F512" s="118">
        <v>1016.96</v>
      </c>
      <c r="G512" s="118">
        <f>SUMIF(CONFERÊNCIA!A:A,A512,CONFERÊNCIA!J:J)</f>
        <v>1016.96</v>
      </c>
      <c r="H512" s="120">
        <f t="shared" si="29"/>
        <v>0</v>
      </c>
      <c r="I512" s="171" t="s">
        <v>1234</v>
      </c>
    </row>
    <row r="513" spans="1:9" s="110" customFormat="1" ht="13.5" customHeight="1" x14ac:dyDescent="0.2">
      <c r="A513" s="243">
        <v>112840</v>
      </c>
      <c r="B513" s="244" t="s">
        <v>448</v>
      </c>
      <c r="C513" s="244" t="s">
        <v>2</v>
      </c>
      <c r="D513" s="244" t="s">
        <v>8</v>
      </c>
      <c r="E513" s="245">
        <v>43617</v>
      </c>
      <c r="F513" s="118">
        <v>1016.96</v>
      </c>
      <c r="G513" s="118">
        <f>SUMIF(CONFERÊNCIA!A:A,A513,CONFERÊNCIA!J:J)</f>
        <v>1016.96</v>
      </c>
      <c r="H513" s="119">
        <f t="shared" si="29"/>
        <v>0</v>
      </c>
      <c r="I513" s="171" t="s">
        <v>1234</v>
      </c>
    </row>
    <row r="514" spans="1:9" s="125" customFormat="1" ht="13.5" customHeight="1" x14ac:dyDescent="0.2">
      <c r="A514" s="243">
        <v>112849</v>
      </c>
      <c r="B514" s="244" t="s">
        <v>452</v>
      </c>
      <c r="C514" s="244" t="s">
        <v>2</v>
      </c>
      <c r="D514" s="244" t="s">
        <v>8</v>
      </c>
      <c r="E514" s="245">
        <v>43617</v>
      </c>
      <c r="F514" s="118">
        <v>1016.96</v>
      </c>
      <c r="G514" s="118">
        <f>SUMIF(CONFERÊNCIA!A:A,A514,CONFERÊNCIA!J:J)</f>
        <v>1016.96</v>
      </c>
      <c r="H514" s="120">
        <f t="shared" si="29"/>
        <v>0</v>
      </c>
      <c r="I514" s="171" t="s">
        <v>1234</v>
      </c>
    </row>
    <row r="515" spans="1:9" s="110" customFormat="1" ht="13.5" customHeight="1" x14ac:dyDescent="0.2">
      <c r="A515" s="243">
        <v>112864</v>
      </c>
      <c r="B515" s="244" t="s">
        <v>460</v>
      </c>
      <c r="C515" s="244" t="s">
        <v>2</v>
      </c>
      <c r="D515" s="244" t="s">
        <v>0</v>
      </c>
      <c r="E515" s="245">
        <v>43617</v>
      </c>
      <c r="F515" s="118">
        <v>1016.96</v>
      </c>
      <c r="G515" s="118">
        <f>SUMIF(CONFERÊNCIA!A:A,A515,CONFERÊNCIA!J:J)</f>
        <v>1016.96</v>
      </c>
      <c r="H515" s="119">
        <f t="shared" si="29"/>
        <v>0</v>
      </c>
      <c r="I515" s="171" t="s">
        <v>1234</v>
      </c>
    </row>
    <row r="516" spans="1:9" s="125" customFormat="1" ht="13.5" customHeight="1" x14ac:dyDescent="0.2">
      <c r="A516" s="243">
        <v>112870</v>
      </c>
      <c r="B516" s="244" t="s">
        <v>464</v>
      </c>
      <c r="C516" s="244" t="s">
        <v>2</v>
      </c>
      <c r="D516" s="244" t="s">
        <v>10</v>
      </c>
      <c r="E516" s="245">
        <v>43617</v>
      </c>
      <c r="F516" s="118">
        <v>1016.96</v>
      </c>
      <c r="G516" s="118">
        <f>SUMIF(CONFERÊNCIA!A:A,A516,CONFERÊNCIA!J:J)</f>
        <v>1016.96</v>
      </c>
      <c r="H516" s="120">
        <f t="shared" si="29"/>
        <v>0</v>
      </c>
      <c r="I516" s="171" t="s">
        <v>1234</v>
      </c>
    </row>
    <row r="517" spans="1:9" s="110" customFormat="1" ht="13.5" customHeight="1" x14ac:dyDescent="0.2">
      <c r="A517" s="243">
        <v>112886</v>
      </c>
      <c r="B517" s="244" t="s">
        <v>476</v>
      </c>
      <c r="C517" s="244" t="s">
        <v>2</v>
      </c>
      <c r="D517" s="244" t="s">
        <v>8</v>
      </c>
      <c r="E517" s="245">
        <v>43617</v>
      </c>
      <c r="F517" s="118">
        <v>1016.96</v>
      </c>
      <c r="G517" s="118">
        <f>SUMIF(CONFERÊNCIA!A:A,A517,CONFERÊNCIA!J:J)</f>
        <v>1016.96</v>
      </c>
      <c r="H517" s="119">
        <f t="shared" si="29"/>
        <v>0</v>
      </c>
      <c r="I517" s="171" t="s">
        <v>1234</v>
      </c>
    </row>
    <row r="518" spans="1:9" s="110" customFormat="1" ht="13.5" customHeight="1" x14ac:dyDescent="0.2">
      <c r="A518" s="243">
        <v>114954</v>
      </c>
      <c r="B518" s="244" t="s">
        <v>1130</v>
      </c>
      <c r="C518" s="244" t="s">
        <v>15</v>
      </c>
      <c r="D518" s="244" t="s">
        <v>1589</v>
      </c>
      <c r="E518" s="245">
        <v>43916</v>
      </c>
      <c r="F518" s="118">
        <v>1016.96</v>
      </c>
      <c r="G518" s="118">
        <f>SUMIF(CONFERÊNCIA!A:A,A518,CONFERÊNCIA!J:J)</f>
        <v>1016.96</v>
      </c>
      <c r="H518" s="119">
        <f t="shared" ref="H518:H525" si="30">G518-F518</f>
        <v>0</v>
      </c>
      <c r="I518" s="171" t="s">
        <v>1234</v>
      </c>
    </row>
    <row r="519" spans="1:9" s="110" customFormat="1" ht="13.5" customHeight="1" x14ac:dyDescent="0.2">
      <c r="A519" s="243">
        <v>112904</v>
      </c>
      <c r="B519" s="244" t="s">
        <v>489</v>
      </c>
      <c r="C519" s="244" t="s">
        <v>15</v>
      </c>
      <c r="D519" s="244" t="s">
        <v>1589</v>
      </c>
      <c r="E519" s="245">
        <v>43620</v>
      </c>
      <c r="F519" s="118">
        <v>1016.96</v>
      </c>
      <c r="G519" s="118">
        <f>SUMIF(CONFERÊNCIA!A:A,A519,CONFERÊNCIA!J:J)</f>
        <v>1016.96</v>
      </c>
      <c r="H519" s="119">
        <f t="shared" si="30"/>
        <v>0</v>
      </c>
      <c r="I519" s="171" t="s">
        <v>1234</v>
      </c>
    </row>
    <row r="520" spans="1:9" s="125" customFormat="1" ht="13.5" customHeight="1" x14ac:dyDescent="0.2">
      <c r="A520" s="243">
        <v>112912</v>
      </c>
      <c r="B520" s="244" t="s">
        <v>495</v>
      </c>
      <c r="C520" s="244" t="s">
        <v>2</v>
      </c>
      <c r="D520" s="244" t="s">
        <v>0</v>
      </c>
      <c r="E520" s="245">
        <v>43617</v>
      </c>
      <c r="F520" s="118">
        <v>1016.96</v>
      </c>
      <c r="G520" s="118">
        <f>SUMIF(CONFERÊNCIA!A:A,A520,CONFERÊNCIA!J:J)</f>
        <v>1016.96</v>
      </c>
      <c r="H520" s="120">
        <f t="shared" si="30"/>
        <v>0</v>
      </c>
      <c r="I520" s="171" t="s">
        <v>1234</v>
      </c>
    </row>
    <row r="521" spans="1:9" s="110" customFormat="1" ht="13.5" customHeight="1" x14ac:dyDescent="0.2">
      <c r="A521" s="243">
        <v>112974</v>
      </c>
      <c r="B521" s="244" t="s">
        <v>528</v>
      </c>
      <c r="C521" s="244" t="s">
        <v>2</v>
      </c>
      <c r="D521" s="244" t="s">
        <v>0</v>
      </c>
      <c r="E521" s="245">
        <v>43617</v>
      </c>
      <c r="F521" s="118">
        <v>1016.96</v>
      </c>
      <c r="G521" s="118">
        <f>SUMIF(CONFERÊNCIA!A:A,A521,CONFERÊNCIA!J:J)</f>
        <v>1016.96</v>
      </c>
      <c r="H521" s="119">
        <f t="shared" si="30"/>
        <v>0</v>
      </c>
      <c r="I521" s="171" t="s">
        <v>1234</v>
      </c>
    </row>
    <row r="522" spans="1:9" s="125" customFormat="1" ht="13.5" customHeight="1" x14ac:dyDescent="0.2">
      <c r="A522" s="243">
        <v>112978</v>
      </c>
      <c r="B522" s="244" t="s">
        <v>530</v>
      </c>
      <c r="C522" s="244" t="s">
        <v>2</v>
      </c>
      <c r="D522" s="244" t="s">
        <v>0</v>
      </c>
      <c r="E522" s="245">
        <v>43617</v>
      </c>
      <c r="F522" s="118">
        <v>1016.96</v>
      </c>
      <c r="G522" s="118">
        <f>SUMIF(CONFERÊNCIA!A:A,A522,CONFERÊNCIA!J:J)</f>
        <v>1016.96</v>
      </c>
      <c r="H522" s="120">
        <f t="shared" si="30"/>
        <v>0</v>
      </c>
      <c r="I522" s="171" t="s">
        <v>1234</v>
      </c>
    </row>
    <row r="523" spans="1:9" s="125" customFormat="1" ht="13.5" customHeight="1" x14ac:dyDescent="0.2">
      <c r="A523" s="243">
        <v>119632</v>
      </c>
      <c r="B523" s="244" t="s">
        <v>1471</v>
      </c>
      <c r="C523" s="244" t="s">
        <v>15</v>
      </c>
      <c r="D523" s="244" t="s">
        <v>1589</v>
      </c>
      <c r="E523" s="245">
        <v>44725</v>
      </c>
      <c r="F523" s="118">
        <v>1016.96</v>
      </c>
      <c r="G523" s="118">
        <f>SUMIF(CONFERÊNCIA!A:A,A523,CONFERÊNCIA!J:J)</f>
        <v>1016.96</v>
      </c>
      <c r="H523" s="120">
        <f t="shared" si="30"/>
        <v>0</v>
      </c>
      <c r="I523" s="171" t="s">
        <v>1234</v>
      </c>
    </row>
    <row r="524" spans="1:9" s="110" customFormat="1" ht="13.5" customHeight="1" x14ac:dyDescent="0.2">
      <c r="A524" s="243">
        <v>114770</v>
      </c>
      <c r="B524" s="244" t="s">
        <v>1104</v>
      </c>
      <c r="C524" s="244" t="s">
        <v>282</v>
      </c>
      <c r="D524" s="244" t="s">
        <v>1589</v>
      </c>
      <c r="E524" s="245">
        <v>43874</v>
      </c>
      <c r="F524" s="118">
        <v>1016.96</v>
      </c>
      <c r="G524" s="118">
        <f>SUMIF(CONFERÊNCIA!A:A,A524,CONFERÊNCIA!J:J)</f>
        <v>1016.96</v>
      </c>
      <c r="H524" s="119">
        <f t="shared" si="30"/>
        <v>0</v>
      </c>
      <c r="I524" s="171" t="s">
        <v>1234</v>
      </c>
    </row>
    <row r="525" spans="1:9" s="110" customFormat="1" ht="13.5" customHeight="1" x14ac:dyDescent="0.2">
      <c r="A525" s="243">
        <v>113029</v>
      </c>
      <c r="B525" s="244" t="s">
        <v>551</v>
      </c>
      <c r="C525" s="244" t="s">
        <v>15</v>
      </c>
      <c r="D525" s="244" t="s">
        <v>1589</v>
      </c>
      <c r="E525" s="245">
        <v>43617</v>
      </c>
      <c r="F525" s="118">
        <v>1016.96</v>
      </c>
      <c r="G525" s="118">
        <f>SUMIF(CONFERÊNCIA!A:A,A525,CONFERÊNCIA!J:J)</f>
        <v>1016.96</v>
      </c>
      <c r="H525" s="119">
        <f t="shared" si="30"/>
        <v>0</v>
      </c>
      <c r="I525" s="171" t="s">
        <v>1234</v>
      </c>
    </row>
    <row r="526" spans="1:9" s="125" customFormat="1" ht="13.5" customHeight="1" x14ac:dyDescent="0.2">
      <c r="A526" s="243">
        <v>113035</v>
      </c>
      <c r="B526" s="244" t="s">
        <v>555</v>
      </c>
      <c r="C526" s="244" t="s">
        <v>22</v>
      </c>
      <c r="D526" s="244" t="s">
        <v>1589</v>
      </c>
      <c r="E526" s="245">
        <v>43617</v>
      </c>
      <c r="F526" s="118">
        <v>1016.96</v>
      </c>
      <c r="G526" s="118">
        <f>SUMIF(CONFERÊNCIA!A:A,A526,CONFERÊNCIA!J:J)</f>
        <v>1016.96</v>
      </c>
      <c r="H526" s="120">
        <f t="shared" ref="H526:H528" si="31">G526-F526</f>
        <v>0</v>
      </c>
      <c r="I526" s="171" t="s">
        <v>1235</v>
      </c>
    </row>
    <row r="527" spans="1:9" s="125" customFormat="1" ht="13.5" customHeight="1" x14ac:dyDescent="0.2">
      <c r="A527" s="243">
        <v>120172</v>
      </c>
      <c r="B527" s="244" t="s">
        <v>1501</v>
      </c>
      <c r="C527" s="244" t="s">
        <v>5</v>
      </c>
      <c r="D527" s="244" t="s">
        <v>19</v>
      </c>
      <c r="E527" s="245">
        <v>44791</v>
      </c>
      <c r="F527" s="118">
        <v>1055.25</v>
      </c>
      <c r="G527" s="118">
        <f>SUMIF(CONFERÊNCIA!A:A,A527,CONFERÊNCIA!J:J)</f>
        <v>1016.96</v>
      </c>
      <c r="H527" s="120">
        <f t="shared" si="31"/>
        <v>-38.289999999999964</v>
      </c>
      <c r="I527" s="171" t="s">
        <v>1234</v>
      </c>
    </row>
    <row r="528" spans="1:9" s="125" customFormat="1" ht="13.5" customHeight="1" x14ac:dyDescent="0.2">
      <c r="A528" s="243">
        <v>113064</v>
      </c>
      <c r="B528" s="244" t="s">
        <v>568</v>
      </c>
      <c r="C528" s="244" t="s">
        <v>5</v>
      </c>
      <c r="D528" s="244" t="s">
        <v>1589</v>
      </c>
      <c r="E528" s="245">
        <v>43617</v>
      </c>
      <c r="F528" s="118">
        <v>1016.96</v>
      </c>
      <c r="G528" s="118">
        <f>SUMIF(CONFERÊNCIA!A:A,A528,CONFERÊNCIA!J:J)</f>
        <v>978.67000000000007</v>
      </c>
      <c r="H528" s="120">
        <f t="shared" si="31"/>
        <v>-38.289999999999964</v>
      </c>
      <c r="I528" s="171" t="s">
        <v>1234</v>
      </c>
    </row>
    <row r="529" spans="1:9" s="110" customFormat="1" ht="13.5" customHeight="1" x14ac:dyDescent="0.2">
      <c r="A529" s="243">
        <v>113071</v>
      </c>
      <c r="B529" s="244" t="s">
        <v>570</v>
      </c>
      <c r="C529" s="244" t="s">
        <v>146</v>
      </c>
      <c r="D529" s="244" t="s">
        <v>0</v>
      </c>
      <c r="E529" s="245">
        <v>43617</v>
      </c>
      <c r="F529" s="118">
        <v>1016.96</v>
      </c>
      <c r="G529" s="118">
        <f>SUMIF(CONFERÊNCIA!A:A,A529,CONFERÊNCIA!J:J)</f>
        <v>1016.96</v>
      </c>
      <c r="H529" s="119">
        <f t="shared" ref="H529:H543" si="32">G529-F529</f>
        <v>0</v>
      </c>
      <c r="I529" s="171" t="s">
        <v>1234</v>
      </c>
    </row>
    <row r="530" spans="1:9" s="125" customFormat="1" ht="13.5" customHeight="1" x14ac:dyDescent="0.2">
      <c r="A530" s="243">
        <v>113075</v>
      </c>
      <c r="B530" s="244" t="s">
        <v>574</v>
      </c>
      <c r="C530" s="244" t="s">
        <v>2</v>
      </c>
      <c r="D530" s="244" t="s">
        <v>0</v>
      </c>
      <c r="E530" s="245">
        <v>43617</v>
      </c>
      <c r="F530" s="118">
        <v>1016.96</v>
      </c>
      <c r="G530" s="118">
        <f>SUMIF(CONFERÊNCIA!A:A,A530,CONFERÊNCIA!J:J)</f>
        <v>1016.96</v>
      </c>
      <c r="H530" s="120">
        <f t="shared" si="32"/>
        <v>0</v>
      </c>
      <c r="I530" s="171" t="s">
        <v>1234</v>
      </c>
    </row>
    <row r="531" spans="1:9" s="125" customFormat="1" ht="13.5" customHeight="1" x14ac:dyDescent="0.2">
      <c r="A531" s="243">
        <v>117407</v>
      </c>
      <c r="B531" s="244" t="s">
        <v>1275</v>
      </c>
      <c r="C531" s="244" t="s">
        <v>2</v>
      </c>
      <c r="D531" s="244" t="s">
        <v>8</v>
      </c>
      <c r="E531" s="245">
        <v>44522</v>
      </c>
      <c r="F531" s="118">
        <v>1016.96</v>
      </c>
      <c r="G531" s="118">
        <f>SUMIF(CONFERÊNCIA!A:A,A531,CONFERÊNCIA!J:J)</f>
        <v>1016.96</v>
      </c>
      <c r="H531" s="120">
        <f t="shared" si="32"/>
        <v>0</v>
      </c>
      <c r="I531" s="171" t="s">
        <v>1234</v>
      </c>
    </row>
    <row r="532" spans="1:9" s="110" customFormat="1" ht="13.5" customHeight="1" x14ac:dyDescent="0.2">
      <c r="A532" s="243">
        <v>113079</v>
      </c>
      <c r="B532" s="244" t="s">
        <v>576</v>
      </c>
      <c r="C532" s="244" t="s">
        <v>5</v>
      </c>
      <c r="D532" s="244" t="s">
        <v>8</v>
      </c>
      <c r="E532" s="245">
        <v>43617</v>
      </c>
      <c r="F532" s="118">
        <v>1016.96</v>
      </c>
      <c r="G532" s="118">
        <f>SUMIF(CONFERÊNCIA!A:A,A532,CONFERÊNCIA!J:J)</f>
        <v>1016.96</v>
      </c>
      <c r="H532" s="119">
        <f t="shared" si="32"/>
        <v>0</v>
      </c>
      <c r="I532" s="171" t="s">
        <v>1234</v>
      </c>
    </row>
    <row r="533" spans="1:9" s="125" customFormat="1" ht="13.5" customHeight="1" x14ac:dyDescent="0.2">
      <c r="A533" s="243">
        <v>116323</v>
      </c>
      <c r="B533" s="244" t="s">
        <v>1209</v>
      </c>
      <c r="C533" s="244" t="s">
        <v>5</v>
      </c>
      <c r="D533" s="244" t="s">
        <v>0</v>
      </c>
      <c r="E533" s="245">
        <v>44308</v>
      </c>
      <c r="F533" s="118">
        <v>1016.96</v>
      </c>
      <c r="G533" s="118">
        <f>SUMIF(CONFERÊNCIA!A:A,A533,CONFERÊNCIA!J:J)</f>
        <v>1016.96</v>
      </c>
      <c r="H533" s="120">
        <f t="shared" si="32"/>
        <v>0</v>
      </c>
      <c r="I533" s="171" t="s">
        <v>1234</v>
      </c>
    </row>
    <row r="534" spans="1:9" s="125" customFormat="1" ht="13.5" customHeight="1" x14ac:dyDescent="0.2">
      <c r="A534" s="243">
        <v>116003</v>
      </c>
      <c r="B534" s="244" t="s">
        <v>1172</v>
      </c>
      <c r="C534" s="244" t="s">
        <v>5</v>
      </c>
      <c r="D534" s="244" t="s">
        <v>0</v>
      </c>
      <c r="E534" s="245">
        <v>44207</v>
      </c>
      <c r="F534" s="118">
        <v>1016.96</v>
      </c>
      <c r="G534" s="118">
        <f>SUMIF(CONFERÊNCIA!A:A,A534,CONFERÊNCIA!J:J)</f>
        <v>1016.96</v>
      </c>
      <c r="H534" s="120">
        <f t="shared" si="32"/>
        <v>0</v>
      </c>
      <c r="I534" s="171" t="s">
        <v>1234</v>
      </c>
    </row>
    <row r="535" spans="1:9" s="110" customFormat="1" ht="13.5" customHeight="1" x14ac:dyDescent="0.2">
      <c r="A535" s="243">
        <v>119679</v>
      </c>
      <c r="B535" s="244" t="s">
        <v>1472</v>
      </c>
      <c r="C535" s="244" t="s">
        <v>5</v>
      </c>
      <c r="D535" s="244" t="s">
        <v>0</v>
      </c>
      <c r="E535" s="245">
        <v>44725</v>
      </c>
      <c r="F535" s="118">
        <v>1016.96</v>
      </c>
      <c r="G535" s="118">
        <f>SUMIF(CONFERÊNCIA!A:A,A535,CONFERÊNCIA!J:J)</f>
        <v>1016.96</v>
      </c>
      <c r="H535" s="119">
        <f t="shared" si="32"/>
        <v>0</v>
      </c>
      <c r="I535" s="171" t="s">
        <v>1234</v>
      </c>
    </row>
    <row r="536" spans="1:9" s="125" customFormat="1" ht="13.5" customHeight="1" x14ac:dyDescent="0.2">
      <c r="A536" s="243">
        <v>113111</v>
      </c>
      <c r="B536" s="244" t="s">
        <v>592</v>
      </c>
      <c r="C536" s="244" t="s">
        <v>5</v>
      </c>
      <c r="D536" s="244" t="s">
        <v>0</v>
      </c>
      <c r="E536" s="245">
        <v>43617</v>
      </c>
      <c r="F536" s="118">
        <v>1016.96</v>
      </c>
      <c r="G536" s="118">
        <f>SUMIF(CONFERÊNCIA!A:A,A536,CONFERÊNCIA!J:J)</f>
        <v>940.39</v>
      </c>
      <c r="H536" s="120">
        <f t="shared" si="32"/>
        <v>-76.57000000000005</v>
      </c>
      <c r="I536" s="171" t="s">
        <v>1234</v>
      </c>
    </row>
    <row r="537" spans="1:9" s="110" customFormat="1" ht="13.5" customHeight="1" x14ac:dyDescent="0.2">
      <c r="A537" s="243">
        <v>117412</v>
      </c>
      <c r="B537" s="244" t="s">
        <v>1279</v>
      </c>
      <c r="C537" s="244" t="s">
        <v>2</v>
      </c>
      <c r="D537" s="244" t="s">
        <v>19</v>
      </c>
      <c r="E537" s="245">
        <v>44522</v>
      </c>
      <c r="F537" s="118">
        <v>1016.96</v>
      </c>
      <c r="G537" s="118">
        <f>SUMIF(CONFERÊNCIA!A:A,A537,CONFERÊNCIA!J:J)</f>
        <v>1016.96</v>
      </c>
      <c r="H537" s="119">
        <f t="shared" si="32"/>
        <v>0</v>
      </c>
      <c r="I537" s="171" t="s">
        <v>1234</v>
      </c>
    </row>
    <row r="538" spans="1:9" s="125" customFormat="1" ht="13.5" customHeight="1" x14ac:dyDescent="0.2">
      <c r="A538" s="243">
        <v>114269</v>
      </c>
      <c r="B538" s="244" t="s">
        <v>1519</v>
      </c>
      <c r="C538" s="244" t="s">
        <v>5</v>
      </c>
      <c r="D538" s="244" t="s">
        <v>0</v>
      </c>
      <c r="E538" s="245">
        <v>43804</v>
      </c>
      <c r="F538" s="118">
        <v>1016.96</v>
      </c>
      <c r="G538" s="118">
        <f>SUMIF(CONFERÊNCIA!A:A,A538,CONFERÊNCIA!J:J)</f>
        <v>1016.96</v>
      </c>
      <c r="H538" s="120">
        <f t="shared" si="32"/>
        <v>0</v>
      </c>
      <c r="I538" s="171" t="s">
        <v>1234</v>
      </c>
    </row>
    <row r="539" spans="1:9" s="125" customFormat="1" ht="13.5" customHeight="1" x14ac:dyDescent="0.2">
      <c r="A539" s="243">
        <v>113121</v>
      </c>
      <c r="B539" s="244" t="s">
        <v>1291</v>
      </c>
      <c r="C539" s="244" t="s">
        <v>15</v>
      </c>
      <c r="D539" s="244" t="s">
        <v>1589</v>
      </c>
      <c r="E539" s="245">
        <v>43617</v>
      </c>
      <c r="F539" s="118">
        <v>1016.96</v>
      </c>
      <c r="G539" s="118">
        <f>SUMIF(CONFERÊNCIA!A:A,A539,CONFERÊNCIA!J:J)</f>
        <v>1016.96</v>
      </c>
      <c r="H539" s="120">
        <f t="shared" si="32"/>
        <v>0</v>
      </c>
      <c r="I539" s="171" t="s">
        <v>1234</v>
      </c>
    </row>
    <row r="540" spans="1:9" s="125" customFormat="1" ht="13.5" customHeight="1" x14ac:dyDescent="0.2">
      <c r="A540" s="243">
        <v>113131</v>
      </c>
      <c r="B540" s="244" t="s">
        <v>602</v>
      </c>
      <c r="C540" s="244" t="s">
        <v>2</v>
      </c>
      <c r="D540" s="244" t="s">
        <v>19</v>
      </c>
      <c r="E540" s="245">
        <v>43617</v>
      </c>
      <c r="F540" s="118">
        <v>1016.96</v>
      </c>
      <c r="G540" s="118">
        <f>SUMIF(CONFERÊNCIA!A:A,A540,CONFERÊNCIA!J:J)</f>
        <v>1016.96</v>
      </c>
      <c r="H540" s="120">
        <f t="shared" si="32"/>
        <v>0</v>
      </c>
      <c r="I540" s="171" t="s">
        <v>1234</v>
      </c>
    </row>
    <row r="541" spans="1:9" s="110" customFormat="1" ht="13.5" customHeight="1" x14ac:dyDescent="0.2">
      <c r="A541" s="243">
        <v>113136</v>
      </c>
      <c r="B541" s="244" t="s">
        <v>606</v>
      </c>
      <c r="C541" s="244" t="s">
        <v>22</v>
      </c>
      <c r="D541" s="244" t="s">
        <v>1589</v>
      </c>
      <c r="E541" s="245">
        <v>43617</v>
      </c>
      <c r="F541" s="118">
        <v>1016.96</v>
      </c>
      <c r="G541" s="118">
        <f>SUMIF(CONFERÊNCIA!A:A,A541,CONFERÊNCIA!J:J)</f>
        <v>1016.96</v>
      </c>
      <c r="H541" s="119">
        <f t="shared" si="32"/>
        <v>0</v>
      </c>
      <c r="I541" s="171" t="s">
        <v>1234</v>
      </c>
    </row>
    <row r="542" spans="1:9" s="125" customFormat="1" ht="13.5" customHeight="1" x14ac:dyDescent="0.2">
      <c r="A542" s="243">
        <v>113150</v>
      </c>
      <c r="B542" s="244" t="s">
        <v>614</v>
      </c>
      <c r="C542" s="244" t="s">
        <v>22</v>
      </c>
      <c r="D542" s="244" t="s">
        <v>1589</v>
      </c>
      <c r="E542" s="245">
        <v>43617</v>
      </c>
      <c r="F542" s="118">
        <v>1016.96</v>
      </c>
      <c r="G542" s="118">
        <f>SUMIF(CONFERÊNCIA!A:A,A542,CONFERÊNCIA!J:J)</f>
        <v>1016.96</v>
      </c>
      <c r="H542" s="120">
        <f t="shared" si="32"/>
        <v>0</v>
      </c>
      <c r="I542" s="171" t="s">
        <v>1234</v>
      </c>
    </row>
    <row r="543" spans="1:9" s="110" customFormat="1" ht="13.5" customHeight="1" x14ac:dyDescent="0.2">
      <c r="A543" s="243">
        <v>113153</v>
      </c>
      <c r="B543" s="244" t="s">
        <v>616</v>
      </c>
      <c r="C543" s="244" t="s">
        <v>5</v>
      </c>
      <c r="D543" s="244" t="s">
        <v>10</v>
      </c>
      <c r="E543" s="245">
        <v>43617</v>
      </c>
      <c r="F543" s="118">
        <v>1016.96</v>
      </c>
      <c r="G543" s="118">
        <f>SUMIF(CONFERÊNCIA!A:A,A543,CONFERÊNCIA!J:J)</f>
        <v>1016.96</v>
      </c>
      <c r="H543" s="119">
        <f t="shared" si="32"/>
        <v>0</v>
      </c>
      <c r="I543" s="171" t="s">
        <v>1235</v>
      </c>
    </row>
    <row r="544" spans="1:9" s="110" customFormat="1" ht="13.5" customHeight="1" x14ac:dyDescent="0.2">
      <c r="A544" s="243">
        <v>113179</v>
      </c>
      <c r="B544" s="244" t="s">
        <v>632</v>
      </c>
      <c r="C544" s="244" t="s">
        <v>5</v>
      </c>
      <c r="D544" s="244" t="s">
        <v>0</v>
      </c>
      <c r="E544" s="245">
        <v>43617</v>
      </c>
      <c r="F544" s="118">
        <v>1016.96</v>
      </c>
      <c r="G544" s="118">
        <f>SUMIF(CONFERÊNCIA!A:A,A544,CONFERÊNCIA!J:J)</f>
        <v>1016.96</v>
      </c>
      <c r="H544" s="119">
        <f t="shared" ref="H544:H546" si="33">G544-F544</f>
        <v>0</v>
      </c>
      <c r="I544" s="171" t="s">
        <v>1234</v>
      </c>
    </row>
    <row r="545" spans="1:9" s="125" customFormat="1" ht="13.5" customHeight="1" x14ac:dyDescent="0.2">
      <c r="A545" s="243">
        <v>113181</v>
      </c>
      <c r="B545" s="244" t="s">
        <v>633</v>
      </c>
      <c r="C545" s="244" t="s">
        <v>5</v>
      </c>
      <c r="D545" s="244" t="s">
        <v>0</v>
      </c>
      <c r="E545" s="245">
        <v>43617</v>
      </c>
      <c r="F545" s="118">
        <v>1016.96</v>
      </c>
      <c r="G545" s="118">
        <f>SUMIF(CONFERÊNCIA!A:A,A545,CONFERÊNCIA!J:J)</f>
        <v>1016.96</v>
      </c>
      <c r="H545" s="120">
        <f t="shared" si="33"/>
        <v>0</v>
      </c>
      <c r="I545" s="171" t="s">
        <v>1234</v>
      </c>
    </row>
    <row r="546" spans="1:9" s="125" customFormat="1" ht="13.5" customHeight="1" x14ac:dyDescent="0.2">
      <c r="A546" s="243">
        <v>116235</v>
      </c>
      <c r="B546" s="244" t="s">
        <v>1200</v>
      </c>
      <c r="C546" s="244" t="s">
        <v>2</v>
      </c>
      <c r="D546" s="244" t="s">
        <v>8</v>
      </c>
      <c r="E546" s="245">
        <v>44273</v>
      </c>
      <c r="F546" s="118">
        <v>1016.96</v>
      </c>
      <c r="G546" s="118">
        <f>SUMIF(CONFERÊNCIA!A:A,A546,CONFERÊNCIA!J:J)</f>
        <v>1016.96</v>
      </c>
      <c r="H546" s="120">
        <f t="shared" si="33"/>
        <v>0</v>
      </c>
      <c r="I546" s="171" t="s">
        <v>1234</v>
      </c>
    </row>
    <row r="547" spans="1:9" s="125" customFormat="1" ht="13.5" customHeight="1" x14ac:dyDescent="0.2">
      <c r="A547" s="243">
        <v>113194</v>
      </c>
      <c r="B547" s="244" t="s">
        <v>640</v>
      </c>
      <c r="C547" s="244" t="s">
        <v>2</v>
      </c>
      <c r="D547" s="244" t="s">
        <v>8</v>
      </c>
      <c r="E547" s="245">
        <v>43617</v>
      </c>
      <c r="F547" s="118">
        <v>1016.96</v>
      </c>
      <c r="G547" s="118">
        <f>SUMIF(CONFERÊNCIA!A:A,A547,CONFERÊNCIA!J:J)</f>
        <v>1016.96</v>
      </c>
      <c r="H547" s="120">
        <f t="shared" ref="H547:H572" si="34">G547-F547</f>
        <v>0</v>
      </c>
      <c r="I547" s="171" t="s">
        <v>1234</v>
      </c>
    </row>
    <row r="548" spans="1:9" s="110" customFormat="1" ht="13.5" customHeight="1" x14ac:dyDescent="0.2">
      <c r="A548" s="243">
        <v>113199</v>
      </c>
      <c r="B548" s="244" t="s">
        <v>642</v>
      </c>
      <c r="C548" s="244" t="s">
        <v>2</v>
      </c>
      <c r="D548" s="244" t="s">
        <v>8</v>
      </c>
      <c r="E548" s="245">
        <v>43617</v>
      </c>
      <c r="F548" s="118">
        <v>1016.96</v>
      </c>
      <c r="G548" s="118">
        <f>SUMIF(CONFERÊNCIA!A:A,A548,CONFERÊNCIA!J:J)</f>
        <v>1016.96</v>
      </c>
      <c r="H548" s="119">
        <f t="shared" si="34"/>
        <v>0</v>
      </c>
      <c r="I548" s="171" t="s">
        <v>1234</v>
      </c>
    </row>
    <row r="549" spans="1:9" s="125" customFormat="1" ht="13.5" customHeight="1" x14ac:dyDescent="0.2">
      <c r="A549" s="243">
        <v>113202</v>
      </c>
      <c r="B549" s="244" t="s">
        <v>644</v>
      </c>
      <c r="C549" s="244" t="s">
        <v>5</v>
      </c>
      <c r="D549" s="244" t="s">
        <v>32</v>
      </c>
      <c r="E549" s="245">
        <v>43617</v>
      </c>
      <c r="F549" s="118">
        <v>1016.96</v>
      </c>
      <c r="G549" s="118">
        <f>SUMIF(CONFERÊNCIA!A:A,A549,CONFERÊNCIA!J:J)</f>
        <v>1016.96</v>
      </c>
      <c r="H549" s="120">
        <f t="shared" si="34"/>
        <v>0</v>
      </c>
      <c r="I549" s="171" t="s">
        <v>1234</v>
      </c>
    </row>
    <row r="550" spans="1:9" s="110" customFormat="1" ht="13.5" customHeight="1" x14ac:dyDescent="0.2">
      <c r="A550" s="243">
        <v>113206</v>
      </c>
      <c r="B550" s="244" t="s">
        <v>649</v>
      </c>
      <c r="C550" s="244" t="s">
        <v>2</v>
      </c>
      <c r="D550" s="244" t="s">
        <v>10</v>
      </c>
      <c r="E550" s="245">
        <v>43617</v>
      </c>
      <c r="F550" s="118">
        <v>1016.96</v>
      </c>
      <c r="G550" s="118">
        <f>SUMIF(CONFERÊNCIA!A:A,A550,CONFERÊNCIA!J:J)</f>
        <v>1016.96</v>
      </c>
      <c r="H550" s="119">
        <f t="shared" si="34"/>
        <v>0</v>
      </c>
      <c r="I550" s="171" t="s">
        <v>1234</v>
      </c>
    </row>
    <row r="551" spans="1:9" s="125" customFormat="1" ht="13.5" customHeight="1" x14ac:dyDescent="0.2">
      <c r="A551" s="243">
        <v>113209</v>
      </c>
      <c r="B551" s="244" t="s">
        <v>651</v>
      </c>
      <c r="C551" s="244" t="s">
        <v>2</v>
      </c>
      <c r="D551" s="244" t="s">
        <v>0</v>
      </c>
      <c r="E551" s="245">
        <v>43617</v>
      </c>
      <c r="F551" s="118">
        <v>1016.96</v>
      </c>
      <c r="G551" s="118">
        <f>SUMIF(CONFERÊNCIA!A:A,A551,CONFERÊNCIA!J:J)</f>
        <v>1016.96</v>
      </c>
      <c r="H551" s="120">
        <f t="shared" si="34"/>
        <v>0</v>
      </c>
      <c r="I551" s="171" t="s">
        <v>1234</v>
      </c>
    </row>
    <row r="552" spans="1:9" s="125" customFormat="1" ht="13.5" customHeight="1" x14ac:dyDescent="0.2">
      <c r="A552" s="243">
        <v>116804</v>
      </c>
      <c r="B552" s="244" t="s">
        <v>1229</v>
      </c>
      <c r="C552" s="244" t="s">
        <v>120</v>
      </c>
      <c r="D552" s="244" t="s">
        <v>1589</v>
      </c>
      <c r="E552" s="245">
        <v>44390</v>
      </c>
      <c r="F552" s="118">
        <v>978.67000000000007</v>
      </c>
      <c r="G552" s="118">
        <f>SUMIF(CONFERÊNCIA!A:A,A552,CONFERÊNCIA!J:J)</f>
        <v>978.67000000000007</v>
      </c>
      <c r="H552" s="120">
        <f t="shared" si="34"/>
        <v>0</v>
      </c>
      <c r="I552" s="171" t="s">
        <v>1234</v>
      </c>
    </row>
    <row r="553" spans="1:9" s="125" customFormat="1" ht="13.5" customHeight="1" x14ac:dyDescent="0.2">
      <c r="A553" s="243">
        <v>113225</v>
      </c>
      <c r="B553" s="244" t="s">
        <v>658</v>
      </c>
      <c r="C553" s="244" t="s">
        <v>2</v>
      </c>
      <c r="D553" s="244" t="s">
        <v>0</v>
      </c>
      <c r="E553" s="245">
        <v>43617</v>
      </c>
      <c r="F553" s="118">
        <v>1016.96</v>
      </c>
      <c r="G553" s="118">
        <f>SUMIF(CONFERÊNCIA!A:A,A553,CONFERÊNCIA!J:J)</f>
        <v>1016.96</v>
      </c>
      <c r="H553" s="120">
        <f t="shared" si="34"/>
        <v>0</v>
      </c>
      <c r="I553" s="171" t="s">
        <v>1235</v>
      </c>
    </row>
    <row r="554" spans="1:9" s="110" customFormat="1" ht="13.5" customHeight="1" x14ac:dyDescent="0.2">
      <c r="A554" s="243">
        <v>113228</v>
      </c>
      <c r="B554" s="244" t="s">
        <v>661</v>
      </c>
      <c r="C554" s="244" t="s">
        <v>22</v>
      </c>
      <c r="D554" s="244" t="s">
        <v>1589</v>
      </c>
      <c r="E554" s="245">
        <v>43617</v>
      </c>
      <c r="F554" s="118">
        <v>1016.96</v>
      </c>
      <c r="G554" s="118">
        <f>SUMIF(CONFERÊNCIA!A:A,A554,CONFERÊNCIA!J:J)</f>
        <v>1016.96</v>
      </c>
      <c r="H554" s="119">
        <f t="shared" si="34"/>
        <v>0</v>
      </c>
      <c r="I554" s="171" t="s">
        <v>1234</v>
      </c>
    </row>
    <row r="555" spans="1:9" s="125" customFormat="1" ht="13.5" customHeight="1" x14ac:dyDescent="0.2">
      <c r="A555" s="243">
        <v>113233</v>
      </c>
      <c r="B555" s="244" t="s">
        <v>663</v>
      </c>
      <c r="C555" s="244" t="s">
        <v>5</v>
      </c>
      <c r="D555" s="244" t="s">
        <v>0</v>
      </c>
      <c r="E555" s="245">
        <v>43617</v>
      </c>
      <c r="F555" s="118">
        <v>1016.96</v>
      </c>
      <c r="G555" s="118">
        <f>SUMIF(CONFERÊNCIA!A:A,A555,CONFERÊNCIA!J:J)</f>
        <v>1016.96</v>
      </c>
      <c r="H555" s="120">
        <f t="shared" si="34"/>
        <v>0</v>
      </c>
      <c r="I555" s="171" t="s">
        <v>1234</v>
      </c>
    </row>
    <row r="556" spans="1:9" s="125" customFormat="1" ht="13.5" customHeight="1" x14ac:dyDescent="0.2">
      <c r="A556" s="243">
        <v>113246</v>
      </c>
      <c r="B556" s="244" t="s">
        <v>668</v>
      </c>
      <c r="C556" s="244" t="s">
        <v>15</v>
      </c>
      <c r="D556" s="244" t="s">
        <v>1589</v>
      </c>
      <c r="E556" s="245">
        <v>43617</v>
      </c>
      <c r="F556" s="118">
        <v>1016.96</v>
      </c>
      <c r="G556" s="118">
        <f>SUMIF(CONFERÊNCIA!A:A,A556,CONFERÊNCIA!J:J)</f>
        <v>1016.96</v>
      </c>
      <c r="H556" s="120">
        <f t="shared" si="34"/>
        <v>0</v>
      </c>
      <c r="I556" s="171" t="s">
        <v>1234</v>
      </c>
    </row>
    <row r="557" spans="1:9" s="110" customFormat="1" ht="13.5" customHeight="1" x14ac:dyDescent="0.2">
      <c r="A557" s="243">
        <v>113249</v>
      </c>
      <c r="B557" s="244" t="s">
        <v>669</v>
      </c>
      <c r="C557" s="244" t="s">
        <v>2</v>
      </c>
      <c r="D557" s="244" t="s">
        <v>19</v>
      </c>
      <c r="E557" s="245">
        <v>43617</v>
      </c>
      <c r="F557" s="118">
        <v>1016.96</v>
      </c>
      <c r="G557" s="118">
        <f>SUMIF(CONFERÊNCIA!A:A,A557,CONFERÊNCIA!J:J)</f>
        <v>1016.96</v>
      </c>
      <c r="H557" s="119">
        <f t="shared" si="34"/>
        <v>0</v>
      </c>
      <c r="I557" s="171" t="s">
        <v>1234</v>
      </c>
    </row>
    <row r="558" spans="1:9" s="125" customFormat="1" ht="13.5" customHeight="1" x14ac:dyDescent="0.2">
      <c r="A558" s="243">
        <v>118057</v>
      </c>
      <c r="B558" s="244" t="s">
        <v>1406</v>
      </c>
      <c r="C558" s="244" t="s">
        <v>5</v>
      </c>
      <c r="D558" s="244" t="s">
        <v>0</v>
      </c>
      <c r="E558" s="245">
        <v>44567</v>
      </c>
      <c r="F558" s="118">
        <v>978.67000000000007</v>
      </c>
      <c r="G558" s="118">
        <f>SUMIF(CONFERÊNCIA!A:A,A558,CONFERÊNCIA!J:J)</f>
        <v>978.67000000000007</v>
      </c>
      <c r="H558" s="120">
        <f t="shared" si="34"/>
        <v>0</v>
      </c>
      <c r="I558" s="171" t="s">
        <v>1234</v>
      </c>
    </row>
    <row r="559" spans="1:9" s="110" customFormat="1" ht="13.5" customHeight="1" x14ac:dyDescent="0.2">
      <c r="A559" s="243">
        <v>113260</v>
      </c>
      <c r="B559" s="244" t="s">
        <v>675</v>
      </c>
      <c r="C559" s="244" t="s">
        <v>5</v>
      </c>
      <c r="D559" s="244" t="s">
        <v>19</v>
      </c>
      <c r="E559" s="245">
        <v>43617</v>
      </c>
      <c r="F559" s="118">
        <v>1016.96</v>
      </c>
      <c r="G559" s="118">
        <f>SUMIF(CONFERÊNCIA!A:A,A559,CONFERÊNCIA!J:J)</f>
        <v>1016.96</v>
      </c>
      <c r="H559" s="119">
        <f t="shared" si="34"/>
        <v>0</v>
      </c>
      <c r="I559" s="171" t="s">
        <v>1234</v>
      </c>
    </row>
    <row r="560" spans="1:9" s="125" customFormat="1" ht="13.5" customHeight="1" x14ac:dyDescent="0.2">
      <c r="A560" s="243">
        <v>113264</v>
      </c>
      <c r="B560" s="244" t="s">
        <v>678</v>
      </c>
      <c r="C560" s="244" t="s">
        <v>2</v>
      </c>
      <c r="D560" s="244" t="s">
        <v>19</v>
      </c>
      <c r="E560" s="245">
        <v>43617</v>
      </c>
      <c r="F560" s="118">
        <v>1016.96</v>
      </c>
      <c r="G560" s="118">
        <f>SUMIF(CONFERÊNCIA!A:A,A560,CONFERÊNCIA!J:J)</f>
        <v>1016.96</v>
      </c>
      <c r="H560" s="120">
        <f t="shared" si="34"/>
        <v>0</v>
      </c>
      <c r="I560" s="171" t="s">
        <v>1234</v>
      </c>
    </row>
    <row r="561" spans="1:9" s="110" customFormat="1" ht="13.5" customHeight="1" x14ac:dyDescent="0.2">
      <c r="A561" s="243">
        <v>113268</v>
      </c>
      <c r="B561" s="244" t="s">
        <v>679</v>
      </c>
      <c r="C561" s="244" t="s">
        <v>5</v>
      </c>
      <c r="D561" s="244" t="s">
        <v>8</v>
      </c>
      <c r="E561" s="245">
        <v>43617</v>
      </c>
      <c r="F561" s="118">
        <v>1016.96</v>
      </c>
      <c r="G561" s="118">
        <f>SUMIF(CONFERÊNCIA!A:A,A561,CONFERÊNCIA!J:J)</f>
        <v>1016.96</v>
      </c>
      <c r="H561" s="119">
        <f t="shared" si="34"/>
        <v>0</v>
      </c>
      <c r="I561" s="171" t="s">
        <v>1234</v>
      </c>
    </row>
    <row r="562" spans="1:9" s="125" customFormat="1" ht="13.5" customHeight="1" x14ac:dyDescent="0.2">
      <c r="A562" s="243">
        <v>113272</v>
      </c>
      <c r="B562" s="244" t="s">
        <v>681</v>
      </c>
      <c r="C562" s="244" t="s">
        <v>2</v>
      </c>
      <c r="D562" s="244" t="s">
        <v>0</v>
      </c>
      <c r="E562" s="245">
        <v>43617</v>
      </c>
      <c r="F562" s="118">
        <v>1016.96</v>
      </c>
      <c r="G562" s="118">
        <f>SUMIF(CONFERÊNCIA!A:A,A562,CONFERÊNCIA!J:J)</f>
        <v>1016.96</v>
      </c>
      <c r="H562" s="120">
        <f t="shared" si="34"/>
        <v>0</v>
      </c>
      <c r="I562" s="171" t="s">
        <v>1234</v>
      </c>
    </row>
    <row r="563" spans="1:9" s="110" customFormat="1" ht="13.5" customHeight="1" x14ac:dyDescent="0.2">
      <c r="A563" s="243">
        <v>113274</v>
      </c>
      <c r="B563" s="244" t="s">
        <v>683</v>
      </c>
      <c r="C563" s="244" t="s">
        <v>2</v>
      </c>
      <c r="D563" s="244" t="s">
        <v>8</v>
      </c>
      <c r="E563" s="245">
        <v>43617</v>
      </c>
      <c r="F563" s="118">
        <v>1016.96</v>
      </c>
      <c r="G563" s="118">
        <f>SUMIF(CONFERÊNCIA!A:A,A563,CONFERÊNCIA!J:J)</f>
        <v>1016.96</v>
      </c>
      <c r="H563" s="119">
        <f t="shared" si="34"/>
        <v>0</v>
      </c>
      <c r="I563" s="171" t="s">
        <v>1234</v>
      </c>
    </row>
    <row r="564" spans="1:9" s="110" customFormat="1" ht="13.5" customHeight="1" x14ac:dyDescent="0.2">
      <c r="A564" s="243">
        <v>113278</v>
      </c>
      <c r="B564" s="244" t="s">
        <v>685</v>
      </c>
      <c r="C564" s="244" t="s">
        <v>5</v>
      </c>
      <c r="D564" s="244" t="s">
        <v>10</v>
      </c>
      <c r="E564" s="245">
        <v>43617</v>
      </c>
      <c r="F564" s="118">
        <v>1016.96</v>
      </c>
      <c r="G564" s="118">
        <f>SUMIF(CONFERÊNCIA!A:A,A564,CONFERÊNCIA!J:J)</f>
        <v>1016.96</v>
      </c>
      <c r="H564" s="119">
        <f t="shared" si="34"/>
        <v>0</v>
      </c>
      <c r="I564" s="171" t="s">
        <v>1234</v>
      </c>
    </row>
    <row r="565" spans="1:9" s="125" customFormat="1" ht="13.5" customHeight="1" x14ac:dyDescent="0.2">
      <c r="A565" s="243">
        <v>113280</v>
      </c>
      <c r="B565" s="244" t="s">
        <v>687</v>
      </c>
      <c r="C565" s="244" t="s">
        <v>5</v>
      </c>
      <c r="D565" s="244" t="s">
        <v>19</v>
      </c>
      <c r="E565" s="245">
        <v>43617</v>
      </c>
      <c r="F565" s="118">
        <v>1016.96</v>
      </c>
      <c r="G565" s="118">
        <f>SUMIF(CONFERÊNCIA!A:A,A565,CONFERÊNCIA!J:J)</f>
        <v>1016.96</v>
      </c>
      <c r="H565" s="120">
        <f t="shared" si="34"/>
        <v>0</v>
      </c>
      <c r="I565" s="171" t="s">
        <v>1234</v>
      </c>
    </row>
    <row r="566" spans="1:9" s="110" customFormat="1" ht="13.5" customHeight="1" x14ac:dyDescent="0.2">
      <c r="A566" s="243">
        <v>113287</v>
      </c>
      <c r="B566" s="244" t="s">
        <v>690</v>
      </c>
      <c r="C566" s="244" t="s">
        <v>2</v>
      </c>
      <c r="D566" s="244" t="s">
        <v>8</v>
      </c>
      <c r="E566" s="245">
        <v>43617</v>
      </c>
      <c r="F566" s="118">
        <v>1016.96</v>
      </c>
      <c r="G566" s="118">
        <f>SUMIF(CONFERÊNCIA!A:A,A566,CONFERÊNCIA!J:J)</f>
        <v>1016.96</v>
      </c>
      <c r="H566" s="119">
        <f t="shared" si="34"/>
        <v>0</v>
      </c>
      <c r="I566" s="171" t="s">
        <v>1234</v>
      </c>
    </row>
    <row r="567" spans="1:9" s="125" customFormat="1" ht="13.5" customHeight="1" x14ac:dyDescent="0.2">
      <c r="A567" s="243">
        <v>122570</v>
      </c>
      <c r="B567" s="244" t="s">
        <v>1699</v>
      </c>
      <c r="C567" s="244" t="s">
        <v>15</v>
      </c>
      <c r="D567" s="244" t="s">
        <v>1589</v>
      </c>
      <c r="E567" s="245">
        <v>45131</v>
      </c>
      <c r="F567" s="118">
        <v>1290.76</v>
      </c>
      <c r="G567" s="118">
        <f>SUMIF(CONFERÊNCIA!A:A,A567,CONFERÊNCIA!J:J)</f>
        <v>1016.96</v>
      </c>
      <c r="H567" s="120">
        <f t="shared" si="34"/>
        <v>-273.79999999999995</v>
      </c>
      <c r="I567" s="171" t="s">
        <v>1234</v>
      </c>
    </row>
    <row r="568" spans="1:9" s="110" customFormat="1" ht="13.5" customHeight="1" x14ac:dyDescent="0.2">
      <c r="A568" s="243">
        <v>113289</v>
      </c>
      <c r="B568" s="244" t="s">
        <v>692</v>
      </c>
      <c r="C568" s="244" t="s">
        <v>2</v>
      </c>
      <c r="D568" s="244" t="s">
        <v>10</v>
      </c>
      <c r="E568" s="245">
        <v>43617</v>
      </c>
      <c r="F568" s="118">
        <v>1016.96</v>
      </c>
      <c r="G568" s="118">
        <f>SUMIF(CONFERÊNCIA!A:A,A568,CONFERÊNCIA!J:J)</f>
        <v>1016.96</v>
      </c>
      <c r="H568" s="119">
        <f t="shared" si="34"/>
        <v>0</v>
      </c>
      <c r="I568" s="171" t="s">
        <v>1234</v>
      </c>
    </row>
    <row r="569" spans="1:9" s="125" customFormat="1" ht="13.5" customHeight="1" x14ac:dyDescent="0.2">
      <c r="A569" s="243">
        <v>116389</v>
      </c>
      <c r="B569" s="244" t="s">
        <v>1217</v>
      </c>
      <c r="C569" s="244" t="s">
        <v>2</v>
      </c>
      <c r="D569" s="244" t="s">
        <v>0</v>
      </c>
      <c r="E569" s="245">
        <v>44328</v>
      </c>
      <c r="F569" s="118">
        <v>1016.96</v>
      </c>
      <c r="G569" s="118">
        <f>SUMIF(CONFERÊNCIA!A:A,A569,CONFERÊNCIA!J:J)</f>
        <v>1016.96</v>
      </c>
      <c r="H569" s="120">
        <f t="shared" si="34"/>
        <v>0</v>
      </c>
      <c r="I569" s="171" t="s">
        <v>1234</v>
      </c>
    </row>
    <row r="570" spans="1:9" s="110" customFormat="1" ht="13.5" customHeight="1" x14ac:dyDescent="0.2">
      <c r="A570" s="243">
        <v>122079</v>
      </c>
      <c r="B570" s="244" t="s">
        <v>1640</v>
      </c>
      <c r="C570" s="244" t="s">
        <v>5</v>
      </c>
      <c r="D570" s="244" t="s">
        <v>8</v>
      </c>
      <c r="E570" s="245">
        <v>45061</v>
      </c>
      <c r="F570" s="118">
        <v>1055.25</v>
      </c>
      <c r="G570" s="118">
        <f>SUMIF(CONFERÊNCIA!A:A,A570,CONFERÊNCIA!J:J)</f>
        <v>1016.96</v>
      </c>
      <c r="H570" s="119">
        <f t="shared" si="34"/>
        <v>-38.289999999999964</v>
      </c>
      <c r="I570" s="171" t="s">
        <v>1234</v>
      </c>
    </row>
    <row r="571" spans="1:9" s="110" customFormat="1" ht="13.5" customHeight="1" x14ac:dyDescent="0.2">
      <c r="A571" s="243">
        <v>113298</v>
      </c>
      <c r="B571" s="244" t="s">
        <v>695</v>
      </c>
      <c r="C571" s="244" t="s">
        <v>22</v>
      </c>
      <c r="D571" s="244" t="s">
        <v>1589</v>
      </c>
      <c r="E571" s="245">
        <v>43617</v>
      </c>
      <c r="F571" s="118">
        <v>1016.96</v>
      </c>
      <c r="G571" s="118">
        <f>SUMIF(CONFERÊNCIA!A:A,A571,CONFERÊNCIA!J:J)</f>
        <v>1016.96</v>
      </c>
      <c r="H571" s="119">
        <f t="shared" si="34"/>
        <v>0</v>
      </c>
      <c r="I571" s="171" t="s">
        <v>1234</v>
      </c>
    </row>
    <row r="572" spans="1:9" s="125" customFormat="1" ht="13.5" customHeight="1" x14ac:dyDescent="0.2">
      <c r="A572" s="243">
        <v>113308</v>
      </c>
      <c r="B572" s="244" t="s">
        <v>699</v>
      </c>
      <c r="C572" s="244" t="s">
        <v>700</v>
      </c>
      <c r="D572" s="244" t="s">
        <v>1589</v>
      </c>
      <c r="E572" s="245">
        <v>43617</v>
      </c>
      <c r="F572" s="118">
        <v>1016.96</v>
      </c>
      <c r="G572" s="118">
        <f>SUMIF(CONFERÊNCIA!A:A,A572,CONFERÊNCIA!J:J)</f>
        <v>1016.96</v>
      </c>
      <c r="H572" s="120">
        <f t="shared" si="34"/>
        <v>0</v>
      </c>
      <c r="I572" s="171" t="s">
        <v>1234</v>
      </c>
    </row>
    <row r="573" spans="1:9" s="110" customFormat="1" ht="13.5" customHeight="1" x14ac:dyDescent="0.2">
      <c r="A573" s="243">
        <v>113317</v>
      </c>
      <c r="B573" s="244" t="s">
        <v>704</v>
      </c>
      <c r="C573" s="244" t="s">
        <v>2</v>
      </c>
      <c r="D573" s="244" t="s">
        <v>0</v>
      </c>
      <c r="E573" s="245">
        <v>43617</v>
      </c>
      <c r="F573" s="118">
        <v>1016.96</v>
      </c>
      <c r="G573" s="118">
        <f>SUMIF(CONFERÊNCIA!A:A,A573,CONFERÊNCIA!J:J)</f>
        <v>1016.96</v>
      </c>
      <c r="H573" s="119">
        <f t="shared" ref="H573:H591" si="35">G573-F573</f>
        <v>0</v>
      </c>
      <c r="I573" s="171" t="s">
        <v>1234</v>
      </c>
    </row>
    <row r="574" spans="1:9" s="125" customFormat="1" ht="13.5" customHeight="1" x14ac:dyDescent="0.2">
      <c r="A574" s="243">
        <v>113323</v>
      </c>
      <c r="B574" s="244" t="s">
        <v>707</v>
      </c>
      <c r="C574" s="244" t="s">
        <v>5</v>
      </c>
      <c r="D574" s="244" t="s">
        <v>10</v>
      </c>
      <c r="E574" s="245">
        <v>43617</v>
      </c>
      <c r="F574" s="118">
        <v>978.67000000000007</v>
      </c>
      <c r="G574" s="118">
        <f>SUMIF(CONFERÊNCIA!A:A,A574,CONFERÊNCIA!J:J)</f>
        <v>1016.96</v>
      </c>
      <c r="H574" s="120">
        <f t="shared" si="35"/>
        <v>38.289999999999964</v>
      </c>
      <c r="I574" s="171" t="s">
        <v>1234</v>
      </c>
    </row>
    <row r="575" spans="1:9" s="125" customFormat="1" ht="13.5" customHeight="1" x14ac:dyDescent="0.2">
      <c r="A575" s="243">
        <v>113328</v>
      </c>
      <c r="B575" s="244" t="s">
        <v>711</v>
      </c>
      <c r="C575" s="244" t="s">
        <v>2</v>
      </c>
      <c r="D575" s="244" t="s">
        <v>8</v>
      </c>
      <c r="E575" s="245">
        <v>43617</v>
      </c>
      <c r="F575" s="118">
        <v>1016.96</v>
      </c>
      <c r="G575" s="118">
        <f>SUMIF(CONFERÊNCIA!A:A,A575,CONFERÊNCIA!J:J)</f>
        <v>1016.96</v>
      </c>
      <c r="H575" s="120">
        <f t="shared" si="35"/>
        <v>0</v>
      </c>
      <c r="I575" s="171" t="s">
        <v>1234</v>
      </c>
    </row>
    <row r="576" spans="1:9" s="125" customFormat="1" ht="13.5" customHeight="1" x14ac:dyDescent="0.2">
      <c r="A576" s="243">
        <v>113353</v>
      </c>
      <c r="B576" s="244" t="s">
        <v>723</v>
      </c>
      <c r="C576" s="244" t="s">
        <v>282</v>
      </c>
      <c r="D576" s="244" t="s">
        <v>1589</v>
      </c>
      <c r="E576" s="245">
        <v>43617</v>
      </c>
      <c r="F576" s="118">
        <v>1016.96</v>
      </c>
      <c r="G576" s="118">
        <f>SUMIF(CONFERÊNCIA!A:A,A576,CONFERÊNCIA!J:J)</f>
        <v>1016.96</v>
      </c>
      <c r="H576" s="120">
        <f t="shared" si="35"/>
        <v>0</v>
      </c>
      <c r="I576" s="171" t="s">
        <v>1234</v>
      </c>
    </row>
    <row r="577" spans="1:9" s="110" customFormat="1" ht="13.5" customHeight="1" x14ac:dyDescent="0.2">
      <c r="A577" s="243">
        <v>117235</v>
      </c>
      <c r="B577" s="244" t="s">
        <v>1258</v>
      </c>
      <c r="C577" s="244" t="s">
        <v>5</v>
      </c>
      <c r="D577" s="244" t="s">
        <v>0</v>
      </c>
      <c r="E577" s="245">
        <v>44487</v>
      </c>
      <c r="F577" s="118">
        <v>1016.96</v>
      </c>
      <c r="G577" s="118">
        <f>SUMIF(CONFERÊNCIA!A:A,A577,CONFERÊNCIA!J:J)</f>
        <v>978.67000000000007</v>
      </c>
      <c r="H577" s="119">
        <f t="shared" si="35"/>
        <v>-38.289999999999964</v>
      </c>
      <c r="I577" s="171" t="s">
        <v>1234</v>
      </c>
    </row>
    <row r="578" spans="1:9" s="125" customFormat="1" ht="13.5" customHeight="1" x14ac:dyDescent="0.2">
      <c r="A578" s="243">
        <v>113357</v>
      </c>
      <c r="B578" s="244" t="s">
        <v>726</v>
      </c>
      <c r="C578" s="244" t="s">
        <v>2</v>
      </c>
      <c r="D578" s="244" t="s">
        <v>32</v>
      </c>
      <c r="E578" s="245">
        <v>43617</v>
      </c>
      <c r="F578" s="118">
        <v>1016.96</v>
      </c>
      <c r="G578" s="118">
        <f>SUMIF(CONFERÊNCIA!A:A,A578,CONFERÊNCIA!J:J)</f>
        <v>1016.96</v>
      </c>
      <c r="H578" s="120">
        <f t="shared" si="35"/>
        <v>0</v>
      </c>
      <c r="I578" s="171" t="s">
        <v>1234</v>
      </c>
    </row>
    <row r="579" spans="1:9" s="110" customFormat="1" ht="13.5" customHeight="1" x14ac:dyDescent="0.2">
      <c r="A579" s="243">
        <v>113367</v>
      </c>
      <c r="B579" s="244" t="s">
        <v>734</v>
      </c>
      <c r="C579" s="244" t="s">
        <v>22</v>
      </c>
      <c r="D579" s="244" t="s">
        <v>1589</v>
      </c>
      <c r="E579" s="245">
        <v>43617</v>
      </c>
      <c r="F579" s="118">
        <v>1016.96</v>
      </c>
      <c r="G579" s="118">
        <f>SUMIF(CONFERÊNCIA!A:A,A579,CONFERÊNCIA!J:J)</f>
        <v>1016.96</v>
      </c>
      <c r="H579" s="119">
        <f t="shared" si="35"/>
        <v>0</v>
      </c>
      <c r="I579" s="171" t="s">
        <v>1234</v>
      </c>
    </row>
    <row r="580" spans="1:9" s="110" customFormat="1" ht="13.5" customHeight="1" x14ac:dyDescent="0.2">
      <c r="A580" s="243">
        <v>114547</v>
      </c>
      <c r="B580" s="244" t="s">
        <v>1058</v>
      </c>
      <c r="C580" s="244" t="s">
        <v>2</v>
      </c>
      <c r="D580" s="244" t="s">
        <v>8</v>
      </c>
      <c r="E580" s="245">
        <v>43817</v>
      </c>
      <c r="F580" s="118">
        <v>863.83</v>
      </c>
      <c r="G580" s="118">
        <f>SUMIF(CONFERÊNCIA!A:A,A580,CONFERÊNCIA!J:J)</f>
        <v>787.26</v>
      </c>
      <c r="H580" s="119">
        <f t="shared" si="35"/>
        <v>-76.57000000000005</v>
      </c>
      <c r="I580" s="171" t="s">
        <v>1234</v>
      </c>
    </row>
    <row r="581" spans="1:9" s="125" customFormat="1" ht="13.5" customHeight="1" x14ac:dyDescent="0.2">
      <c r="A581" s="243">
        <v>113376</v>
      </c>
      <c r="B581" s="244" t="s">
        <v>740</v>
      </c>
      <c r="C581" s="244" t="s">
        <v>2</v>
      </c>
      <c r="D581" s="244" t="s">
        <v>19</v>
      </c>
      <c r="E581" s="245">
        <v>43617</v>
      </c>
      <c r="F581" s="118">
        <v>1016.96</v>
      </c>
      <c r="G581" s="118">
        <f>SUMIF(CONFERÊNCIA!A:A,A581,CONFERÊNCIA!J:J)</f>
        <v>1016.96</v>
      </c>
      <c r="H581" s="120">
        <f t="shared" si="35"/>
        <v>0</v>
      </c>
      <c r="I581" s="171" t="s">
        <v>1234</v>
      </c>
    </row>
    <row r="582" spans="1:9" s="110" customFormat="1" ht="13.5" customHeight="1" x14ac:dyDescent="0.2">
      <c r="A582" s="243">
        <v>114107</v>
      </c>
      <c r="B582" s="244" t="s">
        <v>1011</v>
      </c>
      <c r="C582" s="244" t="s">
        <v>2</v>
      </c>
      <c r="D582" s="244" t="s">
        <v>19</v>
      </c>
      <c r="E582" s="245">
        <v>43728</v>
      </c>
      <c r="F582" s="118">
        <v>1016.96</v>
      </c>
      <c r="G582" s="118">
        <f>SUMIF(CONFERÊNCIA!A:A,A582,CONFERÊNCIA!J:J)</f>
        <v>1016.96</v>
      </c>
      <c r="H582" s="119">
        <f t="shared" si="35"/>
        <v>0</v>
      </c>
      <c r="I582" s="171" t="s">
        <v>1234</v>
      </c>
    </row>
    <row r="583" spans="1:9" s="125" customFormat="1" ht="13.5" customHeight="1" x14ac:dyDescent="0.2">
      <c r="A583" s="243">
        <v>116316</v>
      </c>
      <c r="B583" s="244" t="s">
        <v>1205</v>
      </c>
      <c r="C583" s="244" t="s">
        <v>5</v>
      </c>
      <c r="D583" s="244" t="s">
        <v>10</v>
      </c>
      <c r="E583" s="245">
        <v>44308</v>
      </c>
      <c r="F583" s="118">
        <v>1016.96</v>
      </c>
      <c r="G583" s="118">
        <f>SUMIF(CONFERÊNCIA!A:A,A583,CONFERÊNCIA!J:J)</f>
        <v>1016.96</v>
      </c>
      <c r="H583" s="120">
        <f t="shared" si="35"/>
        <v>0</v>
      </c>
      <c r="I583" s="171" t="s">
        <v>1235</v>
      </c>
    </row>
    <row r="584" spans="1:9" s="110" customFormat="1" ht="13.5" customHeight="1" x14ac:dyDescent="0.2">
      <c r="A584" s="243">
        <v>120357</v>
      </c>
      <c r="B584" s="244" t="s">
        <v>1513</v>
      </c>
      <c r="C584" s="244" t="s">
        <v>5</v>
      </c>
      <c r="D584" s="244" t="s">
        <v>10</v>
      </c>
      <c r="E584" s="245">
        <v>44820</v>
      </c>
      <c r="F584" s="118">
        <v>1016.96</v>
      </c>
      <c r="G584" s="118">
        <f>SUMIF(CONFERÊNCIA!A:A,A584,CONFERÊNCIA!J:J)</f>
        <v>1016.96</v>
      </c>
      <c r="H584" s="119">
        <f t="shared" si="35"/>
        <v>0</v>
      </c>
      <c r="I584" s="171" t="s">
        <v>1234</v>
      </c>
    </row>
    <row r="585" spans="1:9" s="125" customFormat="1" ht="13.5" customHeight="1" x14ac:dyDescent="0.2">
      <c r="A585" s="243">
        <v>116728</v>
      </c>
      <c r="B585" s="244" t="s">
        <v>1224</v>
      </c>
      <c r="C585" s="244" t="s">
        <v>5</v>
      </c>
      <c r="D585" s="244" t="s">
        <v>0</v>
      </c>
      <c r="E585" s="245">
        <v>44368</v>
      </c>
      <c r="F585" s="118">
        <v>902.11</v>
      </c>
      <c r="G585" s="118">
        <f>SUMIF(CONFERÊNCIA!A:A,A585,CONFERÊNCIA!J:J)</f>
        <v>335.49</v>
      </c>
      <c r="H585" s="120">
        <f t="shared" si="35"/>
        <v>-566.62</v>
      </c>
      <c r="I585" s="171" t="s">
        <v>1234</v>
      </c>
    </row>
    <row r="586" spans="1:9" s="125" customFormat="1" ht="13.5" customHeight="1" x14ac:dyDescent="0.2">
      <c r="A586" s="243">
        <v>113391</v>
      </c>
      <c r="B586" s="244" t="s">
        <v>751</v>
      </c>
      <c r="C586" s="244" t="s">
        <v>2</v>
      </c>
      <c r="D586" s="244" t="s">
        <v>19</v>
      </c>
      <c r="E586" s="245">
        <v>43617</v>
      </c>
      <c r="F586" s="118">
        <v>1016.96</v>
      </c>
      <c r="G586" s="118">
        <f>SUMIF(CONFERÊNCIA!A:A,A586,CONFERÊNCIA!J:J)</f>
        <v>1016.96</v>
      </c>
      <c r="H586" s="120">
        <f t="shared" si="35"/>
        <v>0</v>
      </c>
      <c r="I586" s="171" t="s">
        <v>1234</v>
      </c>
    </row>
    <row r="587" spans="1:9" s="125" customFormat="1" ht="13.5" customHeight="1" x14ac:dyDescent="0.2">
      <c r="A587" s="243">
        <v>117245</v>
      </c>
      <c r="B587" s="244" t="s">
        <v>1080</v>
      </c>
      <c r="C587" s="244" t="s">
        <v>5</v>
      </c>
      <c r="D587" s="244" t="s">
        <v>1589</v>
      </c>
      <c r="E587" s="245">
        <v>44487</v>
      </c>
      <c r="F587" s="118">
        <v>1016.96</v>
      </c>
      <c r="G587" s="118">
        <f>SUMIF(CONFERÊNCIA!A:A,A587,CONFERÊNCIA!J:J)</f>
        <v>1016.96</v>
      </c>
      <c r="H587" s="120">
        <f t="shared" si="35"/>
        <v>0</v>
      </c>
      <c r="I587" s="171" t="s">
        <v>1234</v>
      </c>
    </row>
    <row r="588" spans="1:9" s="110" customFormat="1" ht="13.5" customHeight="1" x14ac:dyDescent="0.2">
      <c r="A588" s="243">
        <v>113394</v>
      </c>
      <c r="B588" s="244" t="s">
        <v>753</v>
      </c>
      <c r="C588" s="244" t="s">
        <v>39</v>
      </c>
      <c r="D588" s="244" t="s">
        <v>8</v>
      </c>
      <c r="E588" s="245">
        <v>43617</v>
      </c>
      <c r="F588" s="118">
        <v>1016.96</v>
      </c>
      <c r="G588" s="118">
        <f>SUMIF(CONFERÊNCIA!A:A,A588,CONFERÊNCIA!J:J)</f>
        <v>1016.96</v>
      </c>
      <c r="H588" s="119">
        <f t="shared" si="35"/>
        <v>0</v>
      </c>
      <c r="I588" s="171" t="s">
        <v>1234</v>
      </c>
    </row>
    <row r="589" spans="1:9" s="125" customFormat="1" ht="13.5" customHeight="1" x14ac:dyDescent="0.2">
      <c r="A589" s="243">
        <v>121024</v>
      </c>
      <c r="B589" s="244" t="s">
        <v>1523</v>
      </c>
      <c r="C589" s="244" t="s">
        <v>2</v>
      </c>
      <c r="D589" s="244" t="s">
        <v>19</v>
      </c>
      <c r="E589" s="245">
        <v>44900</v>
      </c>
      <c r="F589" s="118">
        <v>978.67000000000007</v>
      </c>
      <c r="G589" s="118">
        <f>SUMIF(CONFERÊNCIA!A:A,A589,CONFERÊNCIA!J:J)</f>
        <v>1016.96</v>
      </c>
      <c r="H589" s="120">
        <f t="shared" si="35"/>
        <v>38.289999999999964</v>
      </c>
      <c r="I589" s="171" t="s">
        <v>1234</v>
      </c>
    </row>
    <row r="590" spans="1:9" s="125" customFormat="1" ht="13.5" customHeight="1" x14ac:dyDescent="0.2">
      <c r="A590" s="243">
        <v>116652</v>
      </c>
      <c r="B590" s="244" t="s">
        <v>955</v>
      </c>
      <c r="C590" s="244" t="s">
        <v>956</v>
      </c>
      <c r="D590" s="244" t="s">
        <v>1252</v>
      </c>
      <c r="E590" s="245">
        <v>44370</v>
      </c>
      <c r="F590" s="118">
        <v>1016.96</v>
      </c>
      <c r="G590" s="118">
        <f>SUMIF(CONFERÊNCIA!A:A,A590,CONFERÊNCIA!J:J)</f>
        <v>1016.96</v>
      </c>
      <c r="H590" s="120">
        <f t="shared" si="35"/>
        <v>0</v>
      </c>
      <c r="I590" s="171" t="s">
        <v>1234</v>
      </c>
    </row>
    <row r="591" spans="1:9" s="125" customFormat="1" ht="13.5" customHeight="1" x14ac:dyDescent="0.2">
      <c r="A591" s="243">
        <v>113405</v>
      </c>
      <c r="B591" s="244" t="s">
        <v>759</v>
      </c>
      <c r="C591" s="244" t="s">
        <v>2</v>
      </c>
      <c r="D591" s="244" t="s">
        <v>8</v>
      </c>
      <c r="E591" s="245">
        <v>43617</v>
      </c>
      <c r="F591" s="118">
        <v>1016.96</v>
      </c>
      <c r="G591" s="118">
        <f>SUMIF(CONFERÊNCIA!A:A,A591,CONFERÊNCIA!J:J)</f>
        <v>1016.96</v>
      </c>
      <c r="H591" s="120">
        <f t="shared" si="35"/>
        <v>0</v>
      </c>
      <c r="I591" s="171" t="s">
        <v>1234</v>
      </c>
    </row>
    <row r="592" spans="1:9" s="125" customFormat="1" ht="13.5" customHeight="1" x14ac:dyDescent="0.2">
      <c r="A592" s="243">
        <v>113413</v>
      </c>
      <c r="B592" s="244" t="s">
        <v>764</v>
      </c>
      <c r="C592" s="244" t="s">
        <v>2</v>
      </c>
      <c r="D592" s="244" t="s">
        <v>0</v>
      </c>
      <c r="E592" s="245">
        <v>43617</v>
      </c>
      <c r="F592" s="118">
        <v>1016.96</v>
      </c>
      <c r="G592" s="118">
        <f>SUMIF(CONFERÊNCIA!A:A,A592,CONFERÊNCIA!J:J)</f>
        <v>1016.96</v>
      </c>
      <c r="H592" s="120">
        <f t="shared" ref="H592:H615" si="36">G592-F592</f>
        <v>0</v>
      </c>
      <c r="I592" s="171" t="s">
        <v>1234</v>
      </c>
    </row>
    <row r="593" spans="1:9" s="125" customFormat="1" ht="13.5" customHeight="1" x14ac:dyDescent="0.2">
      <c r="A593" s="243">
        <v>114948</v>
      </c>
      <c r="B593" s="244" t="s">
        <v>1102</v>
      </c>
      <c r="C593" s="244" t="s">
        <v>15</v>
      </c>
      <c r="D593" s="244" t="s">
        <v>1589</v>
      </c>
      <c r="E593" s="245">
        <v>43916</v>
      </c>
      <c r="F593" s="118">
        <v>1016.96</v>
      </c>
      <c r="G593" s="118">
        <f>SUMIF(CONFERÊNCIA!A:A,A593,CONFERÊNCIA!J:J)</f>
        <v>1016.96</v>
      </c>
      <c r="H593" s="120">
        <f t="shared" si="36"/>
        <v>0</v>
      </c>
      <c r="I593" s="171" t="s">
        <v>1234</v>
      </c>
    </row>
    <row r="594" spans="1:9" s="110" customFormat="1" ht="13.5" customHeight="1" x14ac:dyDescent="0.2">
      <c r="A594" s="243">
        <v>113418</v>
      </c>
      <c r="B594" s="244" t="s">
        <v>769</v>
      </c>
      <c r="C594" s="244" t="s">
        <v>2</v>
      </c>
      <c r="D594" s="244" t="s">
        <v>8</v>
      </c>
      <c r="E594" s="245">
        <v>43617</v>
      </c>
      <c r="F594" s="118">
        <v>1016.96</v>
      </c>
      <c r="G594" s="118">
        <f>SUMIF(CONFERÊNCIA!A:A,A594,CONFERÊNCIA!J:J)</f>
        <v>1016.96</v>
      </c>
      <c r="H594" s="119">
        <f t="shared" si="36"/>
        <v>0</v>
      </c>
      <c r="I594" s="171" t="s">
        <v>1234</v>
      </c>
    </row>
    <row r="595" spans="1:9" s="125" customFormat="1" ht="13.5" customHeight="1" x14ac:dyDescent="0.2">
      <c r="A595" s="243">
        <v>113421</v>
      </c>
      <c r="B595" s="244" t="s">
        <v>772</v>
      </c>
      <c r="C595" s="244" t="s">
        <v>15</v>
      </c>
      <c r="D595" s="244" t="s">
        <v>1589</v>
      </c>
      <c r="E595" s="245">
        <v>43617</v>
      </c>
      <c r="F595" s="118">
        <v>1016.96</v>
      </c>
      <c r="G595" s="118">
        <f>SUMIF(CONFERÊNCIA!A:A,A595,CONFERÊNCIA!J:J)</f>
        <v>1016.96</v>
      </c>
      <c r="H595" s="120">
        <f t="shared" si="36"/>
        <v>0</v>
      </c>
      <c r="I595" s="171" t="s">
        <v>1234</v>
      </c>
    </row>
    <row r="596" spans="1:9" s="110" customFormat="1" ht="13.5" customHeight="1" x14ac:dyDescent="0.2">
      <c r="A596" s="243">
        <v>113433</v>
      </c>
      <c r="B596" s="244" t="s">
        <v>778</v>
      </c>
      <c r="C596" s="244" t="s">
        <v>7</v>
      </c>
      <c r="D596" s="244" t="s">
        <v>1589</v>
      </c>
      <c r="E596" s="245">
        <v>43617</v>
      </c>
      <c r="F596" s="118">
        <v>1016.96</v>
      </c>
      <c r="G596" s="118">
        <f>SUMIF(CONFERÊNCIA!A:A,A596,CONFERÊNCIA!J:J)</f>
        <v>1016.96</v>
      </c>
      <c r="H596" s="119">
        <f t="shared" si="36"/>
        <v>0</v>
      </c>
      <c r="I596" s="171" t="s">
        <v>1234</v>
      </c>
    </row>
    <row r="597" spans="1:9" s="125" customFormat="1" ht="13.5" customHeight="1" x14ac:dyDescent="0.2">
      <c r="A597" s="243">
        <v>113441</v>
      </c>
      <c r="B597" s="244" t="s">
        <v>783</v>
      </c>
      <c r="C597" s="244" t="s">
        <v>15</v>
      </c>
      <c r="D597" s="244" t="s">
        <v>1589</v>
      </c>
      <c r="E597" s="245">
        <v>43617</v>
      </c>
      <c r="F597" s="118">
        <v>1016.96</v>
      </c>
      <c r="G597" s="118">
        <f>SUMIF(CONFERÊNCIA!A:A,A597,CONFERÊNCIA!J:J)</f>
        <v>1016.96</v>
      </c>
      <c r="H597" s="120">
        <f t="shared" si="36"/>
        <v>0</v>
      </c>
      <c r="I597" s="171" t="s">
        <v>1234</v>
      </c>
    </row>
    <row r="598" spans="1:9" s="110" customFormat="1" ht="13.5" customHeight="1" x14ac:dyDescent="0.2">
      <c r="A598" s="243">
        <v>116238</v>
      </c>
      <c r="B598" s="244" t="s">
        <v>1203</v>
      </c>
      <c r="C598" s="244" t="s">
        <v>2</v>
      </c>
      <c r="D598" s="244" t="s">
        <v>8</v>
      </c>
      <c r="E598" s="245">
        <v>44273</v>
      </c>
      <c r="F598" s="118">
        <v>1016.96</v>
      </c>
      <c r="G598" s="118">
        <f>SUMIF(CONFERÊNCIA!A:A,A598,CONFERÊNCIA!J:J)</f>
        <v>1016.96</v>
      </c>
      <c r="H598" s="119">
        <f t="shared" si="36"/>
        <v>0</v>
      </c>
      <c r="I598" s="171" t="s">
        <v>1234</v>
      </c>
    </row>
    <row r="599" spans="1:9" s="110" customFormat="1" ht="13.5" customHeight="1" x14ac:dyDescent="0.2">
      <c r="A599" s="243">
        <v>113455</v>
      </c>
      <c r="B599" s="244" t="s">
        <v>789</v>
      </c>
      <c r="C599" s="244" t="s">
        <v>5</v>
      </c>
      <c r="D599" s="244" t="s">
        <v>8</v>
      </c>
      <c r="E599" s="245">
        <v>43617</v>
      </c>
      <c r="F599" s="118">
        <v>1016.96</v>
      </c>
      <c r="G599" s="118">
        <f>SUMIF(CONFERÊNCIA!A:A,A599,CONFERÊNCIA!J:J)</f>
        <v>1016.96</v>
      </c>
      <c r="H599" s="119">
        <f t="shared" si="36"/>
        <v>0</v>
      </c>
      <c r="I599" s="171" t="s">
        <v>1234</v>
      </c>
    </row>
    <row r="600" spans="1:9" s="110" customFormat="1" ht="13.5" customHeight="1" x14ac:dyDescent="0.2">
      <c r="A600" s="243">
        <v>113459</v>
      </c>
      <c r="B600" s="244" t="s">
        <v>792</v>
      </c>
      <c r="C600" s="244" t="s">
        <v>5</v>
      </c>
      <c r="D600" s="244" t="s">
        <v>32</v>
      </c>
      <c r="E600" s="245">
        <v>43617</v>
      </c>
      <c r="F600" s="118">
        <v>1016.96</v>
      </c>
      <c r="G600" s="118">
        <f>SUMIF(CONFERÊNCIA!A:A,A600,CONFERÊNCIA!J:J)</f>
        <v>1016.96</v>
      </c>
      <c r="H600" s="119">
        <f t="shared" si="36"/>
        <v>0</v>
      </c>
      <c r="I600" s="171" t="s">
        <v>1234</v>
      </c>
    </row>
    <row r="601" spans="1:9" s="110" customFormat="1" ht="13.5" customHeight="1" x14ac:dyDescent="0.2">
      <c r="A601" s="243">
        <v>113464</v>
      </c>
      <c r="B601" s="244" t="s">
        <v>796</v>
      </c>
      <c r="C601" s="244" t="s">
        <v>39</v>
      </c>
      <c r="D601" s="244" t="s">
        <v>10</v>
      </c>
      <c r="E601" s="245">
        <v>43617</v>
      </c>
      <c r="F601" s="118">
        <v>1016.96</v>
      </c>
      <c r="G601" s="118">
        <f>SUMIF(CONFERÊNCIA!A:A,A601,CONFERÊNCIA!J:J)</f>
        <v>1016.96</v>
      </c>
      <c r="H601" s="119">
        <f t="shared" si="36"/>
        <v>0</v>
      </c>
      <c r="I601" s="171" t="s">
        <v>1234</v>
      </c>
    </row>
    <row r="602" spans="1:9" s="110" customFormat="1" ht="13.5" customHeight="1" x14ac:dyDescent="0.2">
      <c r="A602" s="243">
        <v>122425</v>
      </c>
      <c r="B602" s="244" t="s">
        <v>1700</v>
      </c>
      <c r="C602" s="244" t="s">
        <v>5</v>
      </c>
      <c r="D602" s="244" t="s">
        <v>1589</v>
      </c>
      <c r="E602" s="245">
        <v>45117</v>
      </c>
      <c r="F602" s="118">
        <v>1016.96</v>
      </c>
      <c r="G602" s="118">
        <f>SUMIF(CONFERÊNCIA!A:A,A602,CONFERÊNCIA!J:J)</f>
        <v>1016.96</v>
      </c>
      <c r="H602" s="119">
        <f t="shared" si="36"/>
        <v>0</v>
      </c>
      <c r="I602" s="171" t="s">
        <v>1234</v>
      </c>
    </row>
    <row r="603" spans="1:9" s="125" customFormat="1" ht="13.5" customHeight="1" x14ac:dyDescent="0.2">
      <c r="A603" s="243">
        <v>114990</v>
      </c>
      <c r="B603" s="244" t="s">
        <v>1569</v>
      </c>
      <c r="C603" s="244" t="s">
        <v>282</v>
      </c>
      <c r="D603" s="244" t="s">
        <v>1589</v>
      </c>
      <c r="E603" s="245">
        <v>43918</v>
      </c>
      <c r="F603" s="118">
        <v>1016.96</v>
      </c>
      <c r="G603" s="118">
        <f>SUMIF(CONFERÊNCIA!A:A,A603,CONFERÊNCIA!J:J)</f>
        <v>1016.96</v>
      </c>
      <c r="H603" s="120">
        <f t="shared" si="36"/>
        <v>0</v>
      </c>
      <c r="I603" s="171" t="s">
        <v>1234</v>
      </c>
    </row>
    <row r="604" spans="1:9" s="110" customFormat="1" ht="13.5" customHeight="1" x14ac:dyDescent="0.2">
      <c r="A604" s="243">
        <v>113471</v>
      </c>
      <c r="B604" s="244" t="s">
        <v>800</v>
      </c>
      <c r="C604" s="244" t="s">
        <v>5</v>
      </c>
      <c r="D604" s="244" t="s">
        <v>10</v>
      </c>
      <c r="E604" s="245">
        <v>43617</v>
      </c>
      <c r="F604" s="118">
        <v>1016.96</v>
      </c>
      <c r="G604" s="118">
        <f>SUMIF(CONFERÊNCIA!A:A,A604,CONFERÊNCIA!J:J)</f>
        <v>1016.96</v>
      </c>
      <c r="H604" s="119">
        <f t="shared" si="36"/>
        <v>0</v>
      </c>
      <c r="I604" s="171" t="s">
        <v>1234</v>
      </c>
    </row>
    <row r="605" spans="1:9" s="125" customFormat="1" ht="13.5" customHeight="1" x14ac:dyDescent="0.2">
      <c r="A605" s="243">
        <v>120191</v>
      </c>
      <c r="B605" s="244" t="s">
        <v>1502</v>
      </c>
      <c r="C605" s="244" t="s">
        <v>15</v>
      </c>
      <c r="D605" s="244" t="s">
        <v>1589</v>
      </c>
      <c r="E605" s="245">
        <v>44791</v>
      </c>
      <c r="F605" s="118">
        <v>1016.96</v>
      </c>
      <c r="G605" s="118">
        <f>SUMIF(CONFERÊNCIA!A:A,A605,CONFERÊNCIA!J:J)</f>
        <v>1016.96</v>
      </c>
      <c r="H605" s="120">
        <f t="shared" si="36"/>
        <v>0</v>
      </c>
      <c r="I605" s="171" t="s">
        <v>1234</v>
      </c>
    </row>
    <row r="606" spans="1:9" s="110" customFormat="1" ht="13.5" customHeight="1" x14ac:dyDescent="0.2">
      <c r="A606" s="243">
        <v>121950</v>
      </c>
      <c r="B606" s="244" t="s">
        <v>1619</v>
      </c>
      <c r="C606" s="244" t="s">
        <v>1464</v>
      </c>
      <c r="D606" s="244" t="s">
        <v>1591</v>
      </c>
      <c r="E606" s="245">
        <v>45040</v>
      </c>
      <c r="F606" s="118">
        <v>657.5</v>
      </c>
      <c r="G606" s="118">
        <f>SUMIF(CONFERÊNCIA!A:A,A606,CONFERÊNCIA!J:J)</f>
        <v>657.5</v>
      </c>
      <c r="H606" s="119">
        <f t="shared" si="36"/>
        <v>0</v>
      </c>
      <c r="I606" s="171" t="s">
        <v>1234</v>
      </c>
    </row>
    <row r="607" spans="1:9" s="125" customFormat="1" ht="13.5" customHeight="1" x14ac:dyDescent="0.2">
      <c r="A607" s="243">
        <v>121322</v>
      </c>
      <c r="B607" s="244" t="s">
        <v>1535</v>
      </c>
      <c r="C607" s="244" t="s">
        <v>5</v>
      </c>
      <c r="D607" s="244" t="s">
        <v>1589</v>
      </c>
      <c r="E607" s="245">
        <v>44945</v>
      </c>
      <c r="F607" s="118">
        <v>978.67000000000007</v>
      </c>
      <c r="G607" s="118">
        <f>SUMIF(CONFERÊNCIA!A:A,A607,CONFERÊNCIA!J:J)</f>
        <v>978.67000000000007</v>
      </c>
      <c r="H607" s="120">
        <f t="shared" si="36"/>
        <v>0</v>
      </c>
      <c r="I607" s="171" t="s">
        <v>1234</v>
      </c>
    </row>
    <row r="608" spans="1:9" s="110" customFormat="1" ht="13.5" customHeight="1" x14ac:dyDescent="0.2">
      <c r="A608" s="243">
        <v>119113</v>
      </c>
      <c r="B608" s="244" t="s">
        <v>1441</v>
      </c>
      <c r="C608" s="244" t="s">
        <v>5</v>
      </c>
      <c r="D608" s="244" t="s">
        <v>1589</v>
      </c>
      <c r="E608" s="245">
        <v>44630</v>
      </c>
      <c r="F608" s="118">
        <v>1016.96</v>
      </c>
      <c r="G608" s="118">
        <f>SUMIF(CONFERÊNCIA!A:A,A608,CONFERÊNCIA!J:J)</f>
        <v>1016.96</v>
      </c>
      <c r="H608" s="119">
        <f t="shared" si="36"/>
        <v>0</v>
      </c>
      <c r="I608" s="171" t="s">
        <v>1234</v>
      </c>
    </row>
    <row r="609" spans="1:9" s="110" customFormat="1" ht="13.5" customHeight="1" x14ac:dyDescent="0.2">
      <c r="A609" s="243">
        <v>113474</v>
      </c>
      <c r="B609" s="244" t="s">
        <v>801</v>
      </c>
      <c r="C609" s="244" t="s">
        <v>5</v>
      </c>
      <c r="D609" s="244" t="s">
        <v>8</v>
      </c>
      <c r="E609" s="245">
        <v>43617</v>
      </c>
      <c r="F609" s="118">
        <v>1016.96</v>
      </c>
      <c r="G609" s="118">
        <f>SUMIF(CONFERÊNCIA!A:A,A609,CONFERÊNCIA!J:J)</f>
        <v>1016.96</v>
      </c>
      <c r="H609" s="119">
        <f t="shared" si="36"/>
        <v>0</v>
      </c>
      <c r="I609" s="171" t="s">
        <v>1234</v>
      </c>
    </row>
    <row r="610" spans="1:9" s="110" customFormat="1" ht="13.5" customHeight="1" x14ac:dyDescent="0.2">
      <c r="A610" s="243">
        <v>121323</v>
      </c>
      <c r="B610" s="244" t="s">
        <v>1536</v>
      </c>
      <c r="C610" s="244" t="s">
        <v>5</v>
      </c>
      <c r="D610" s="244" t="s">
        <v>1589</v>
      </c>
      <c r="E610" s="245">
        <v>44945</v>
      </c>
      <c r="F610" s="118">
        <v>978.67000000000007</v>
      </c>
      <c r="G610" s="118">
        <f>SUMIF(CONFERÊNCIA!A:A,A610,CONFERÊNCIA!J:J)</f>
        <v>1016.96</v>
      </c>
      <c r="H610" s="119">
        <f t="shared" si="36"/>
        <v>38.289999999999964</v>
      </c>
      <c r="I610" s="171" t="s">
        <v>1234</v>
      </c>
    </row>
    <row r="611" spans="1:9" s="125" customFormat="1" ht="13.5" customHeight="1" x14ac:dyDescent="0.2">
      <c r="A611" s="243">
        <v>113478</v>
      </c>
      <c r="B611" s="244" t="s">
        <v>803</v>
      </c>
      <c r="C611" s="244" t="s">
        <v>407</v>
      </c>
      <c r="D611" s="244" t="s">
        <v>1589</v>
      </c>
      <c r="E611" s="245">
        <v>43617</v>
      </c>
      <c r="F611" s="118">
        <v>1016.96</v>
      </c>
      <c r="G611" s="118">
        <f>SUMIF(CONFERÊNCIA!A:A,A611,CONFERÊNCIA!J:J)</f>
        <v>1016.96</v>
      </c>
      <c r="H611" s="120">
        <f t="shared" si="36"/>
        <v>0</v>
      </c>
      <c r="I611" s="171" t="s">
        <v>1234</v>
      </c>
    </row>
    <row r="612" spans="1:9" s="110" customFormat="1" ht="13.5" customHeight="1" x14ac:dyDescent="0.2">
      <c r="A612" s="243">
        <v>114942</v>
      </c>
      <c r="B612" s="244" t="s">
        <v>1126</v>
      </c>
      <c r="C612" s="244" t="s">
        <v>22</v>
      </c>
      <c r="D612" s="244" t="s">
        <v>1589</v>
      </c>
      <c r="E612" s="245">
        <v>43916</v>
      </c>
      <c r="F612" s="118">
        <v>1016.96</v>
      </c>
      <c r="G612" s="118">
        <f>SUMIF(CONFERÊNCIA!A:A,A612,CONFERÊNCIA!J:J)</f>
        <v>1016.96</v>
      </c>
      <c r="H612" s="119">
        <f t="shared" si="36"/>
        <v>0</v>
      </c>
      <c r="I612" s="171" t="s">
        <v>1234</v>
      </c>
    </row>
    <row r="613" spans="1:9" s="110" customFormat="1" ht="13.5" customHeight="1" x14ac:dyDescent="0.2">
      <c r="A613" s="243">
        <v>113480</v>
      </c>
      <c r="B613" s="244" t="s">
        <v>804</v>
      </c>
      <c r="C613" s="244" t="s">
        <v>2</v>
      </c>
      <c r="D613" s="244" t="s">
        <v>10</v>
      </c>
      <c r="E613" s="245">
        <v>43617</v>
      </c>
      <c r="F613" s="118">
        <v>1016.96</v>
      </c>
      <c r="G613" s="118">
        <f>SUMIF(CONFERÊNCIA!A:A,A613,CONFERÊNCIA!J:J)</f>
        <v>1016.96</v>
      </c>
      <c r="H613" s="119">
        <f t="shared" si="36"/>
        <v>0</v>
      </c>
      <c r="I613" s="171" t="s">
        <v>1234</v>
      </c>
    </row>
    <row r="614" spans="1:9" s="125" customFormat="1" ht="13.5" customHeight="1" x14ac:dyDescent="0.2">
      <c r="A614" s="243">
        <v>114944</v>
      </c>
      <c r="B614" s="244" t="s">
        <v>1128</v>
      </c>
      <c r="C614" s="244" t="s">
        <v>5</v>
      </c>
      <c r="D614" s="244" t="s">
        <v>1589</v>
      </c>
      <c r="E614" s="245">
        <v>43916</v>
      </c>
      <c r="F614" s="118">
        <v>1016.96</v>
      </c>
      <c r="G614" s="118">
        <f>SUMIF(CONFERÊNCIA!A:A,A614,CONFERÊNCIA!J:J)</f>
        <v>1016.96</v>
      </c>
      <c r="H614" s="120">
        <f t="shared" si="36"/>
        <v>0</v>
      </c>
      <c r="I614" s="171" t="s">
        <v>1234</v>
      </c>
    </row>
    <row r="615" spans="1:9" s="125" customFormat="1" ht="13.5" customHeight="1" x14ac:dyDescent="0.2">
      <c r="A615" s="243">
        <v>117234</v>
      </c>
      <c r="B615" s="244" t="s">
        <v>1257</v>
      </c>
      <c r="C615" s="244" t="s">
        <v>5</v>
      </c>
      <c r="D615" s="244" t="s">
        <v>8</v>
      </c>
      <c r="E615" s="245">
        <v>44487</v>
      </c>
      <c r="F615" s="118">
        <v>1016.96</v>
      </c>
      <c r="G615" s="118">
        <f>SUMIF(CONFERÊNCIA!A:A,A615,CONFERÊNCIA!J:J)</f>
        <v>1016.96</v>
      </c>
      <c r="H615" s="120">
        <f t="shared" si="36"/>
        <v>0</v>
      </c>
      <c r="I615" s="171" t="s">
        <v>1234</v>
      </c>
    </row>
    <row r="616" spans="1:9" s="125" customFormat="1" ht="13.5" customHeight="1" x14ac:dyDescent="0.2">
      <c r="A616" s="243">
        <v>113486</v>
      </c>
      <c r="B616" s="244" t="s">
        <v>806</v>
      </c>
      <c r="C616" s="244" t="s">
        <v>15</v>
      </c>
      <c r="D616" s="244" t="s">
        <v>1589</v>
      </c>
      <c r="E616" s="245">
        <v>43617</v>
      </c>
      <c r="F616" s="118">
        <v>1016.96</v>
      </c>
      <c r="G616" s="118">
        <f>SUMIF(CONFERÊNCIA!A:A,A616,CONFERÊNCIA!J:J)</f>
        <v>1016.96</v>
      </c>
      <c r="H616" s="120">
        <f t="shared" ref="H616:H637" si="37">G616-F616</f>
        <v>0</v>
      </c>
      <c r="I616" s="171" t="s">
        <v>1234</v>
      </c>
    </row>
    <row r="617" spans="1:9" s="110" customFormat="1" ht="13.5" customHeight="1" x14ac:dyDescent="0.2">
      <c r="A617" s="243">
        <v>121677</v>
      </c>
      <c r="B617" s="244" t="s">
        <v>1597</v>
      </c>
      <c r="C617" s="244" t="s">
        <v>5</v>
      </c>
      <c r="D617" s="244" t="s">
        <v>0</v>
      </c>
      <c r="E617" s="245">
        <v>44994</v>
      </c>
      <c r="F617" s="118">
        <v>1016.96</v>
      </c>
      <c r="G617" s="118">
        <f>SUMIF(CONFERÊNCIA!A:A,A617,CONFERÊNCIA!J:J)</f>
        <v>1016.96</v>
      </c>
      <c r="H617" s="119">
        <f t="shared" si="37"/>
        <v>0</v>
      </c>
      <c r="I617" s="171" t="s">
        <v>1234</v>
      </c>
    </row>
    <row r="618" spans="1:9" s="110" customFormat="1" ht="13.5" customHeight="1" x14ac:dyDescent="0.2">
      <c r="A618" s="243">
        <v>113489</v>
      </c>
      <c r="B618" s="244" t="s">
        <v>808</v>
      </c>
      <c r="C618" s="244" t="s">
        <v>2</v>
      </c>
      <c r="D618" s="244" t="s">
        <v>19</v>
      </c>
      <c r="E618" s="245">
        <v>43617</v>
      </c>
      <c r="F618" s="118">
        <v>1016.96</v>
      </c>
      <c r="G618" s="118">
        <f>SUMIF(CONFERÊNCIA!A:A,A618,CONFERÊNCIA!J:J)</f>
        <v>1016.96</v>
      </c>
      <c r="H618" s="119">
        <f t="shared" si="37"/>
        <v>0</v>
      </c>
      <c r="I618" s="171" t="s">
        <v>1234</v>
      </c>
    </row>
    <row r="619" spans="1:9" s="110" customFormat="1" ht="13.5" customHeight="1" x14ac:dyDescent="0.2">
      <c r="A619" s="243">
        <v>113499</v>
      </c>
      <c r="B619" s="244" t="s">
        <v>814</v>
      </c>
      <c r="C619" s="244" t="s">
        <v>2</v>
      </c>
      <c r="D619" s="244" t="s">
        <v>0</v>
      </c>
      <c r="E619" s="245">
        <v>43617</v>
      </c>
      <c r="F619" s="118">
        <v>1016.96</v>
      </c>
      <c r="G619" s="118">
        <f>SUMIF(CONFERÊNCIA!A:A,A619,CONFERÊNCIA!J:J)</f>
        <v>1016.96</v>
      </c>
      <c r="H619" s="119">
        <f t="shared" si="37"/>
        <v>0</v>
      </c>
      <c r="I619" s="171" t="s">
        <v>1234</v>
      </c>
    </row>
    <row r="620" spans="1:9" s="125" customFormat="1" ht="13.5" customHeight="1" x14ac:dyDescent="0.2">
      <c r="A620" s="243">
        <v>113505</v>
      </c>
      <c r="B620" s="244" t="s">
        <v>817</v>
      </c>
      <c r="C620" s="244" t="s">
        <v>2</v>
      </c>
      <c r="D620" s="244" t="s">
        <v>0</v>
      </c>
      <c r="E620" s="245">
        <v>43617</v>
      </c>
      <c r="F620" s="118">
        <v>1016.96</v>
      </c>
      <c r="G620" s="118">
        <f>SUMIF(CONFERÊNCIA!A:A,A620,CONFERÊNCIA!J:J)</f>
        <v>1016.96</v>
      </c>
      <c r="H620" s="120">
        <f t="shared" si="37"/>
        <v>0</v>
      </c>
      <c r="I620" s="171" t="s">
        <v>1234</v>
      </c>
    </row>
    <row r="621" spans="1:9" s="125" customFormat="1" ht="13.5" customHeight="1" x14ac:dyDescent="0.2">
      <c r="A621" s="243">
        <v>116229</v>
      </c>
      <c r="B621" s="244" t="s">
        <v>1197</v>
      </c>
      <c r="C621" s="244" t="s">
        <v>5</v>
      </c>
      <c r="D621" s="244" t="s">
        <v>8</v>
      </c>
      <c r="E621" s="245">
        <v>44273</v>
      </c>
      <c r="F621" s="118">
        <v>1016.96</v>
      </c>
      <c r="G621" s="118">
        <f>SUMIF(CONFERÊNCIA!A:A,A621,CONFERÊNCIA!J:J)</f>
        <v>1016.96</v>
      </c>
      <c r="H621" s="120">
        <f t="shared" si="37"/>
        <v>0</v>
      </c>
      <c r="I621" s="171" t="s">
        <v>1234</v>
      </c>
    </row>
    <row r="622" spans="1:9" s="125" customFormat="1" ht="13.5" customHeight="1" x14ac:dyDescent="0.2">
      <c r="A622" s="243">
        <v>113519</v>
      </c>
      <c r="B622" s="244" t="s">
        <v>823</v>
      </c>
      <c r="C622" s="244" t="s">
        <v>39</v>
      </c>
      <c r="D622" s="244" t="s">
        <v>0</v>
      </c>
      <c r="E622" s="245">
        <v>43617</v>
      </c>
      <c r="F622" s="118">
        <v>1016.96</v>
      </c>
      <c r="G622" s="118">
        <f>SUMIF(CONFERÊNCIA!A:A,A622,CONFERÊNCIA!J:J)</f>
        <v>1016.96</v>
      </c>
      <c r="H622" s="120">
        <f t="shared" si="37"/>
        <v>0</v>
      </c>
      <c r="I622" s="171" t="s">
        <v>1234</v>
      </c>
    </row>
    <row r="623" spans="1:9" s="125" customFormat="1" ht="13.5" customHeight="1" x14ac:dyDescent="0.2">
      <c r="A623" s="243">
        <v>112529</v>
      </c>
      <c r="B623" s="244" t="s">
        <v>241</v>
      </c>
      <c r="C623" s="244" t="s">
        <v>2</v>
      </c>
      <c r="D623" s="244" t="s">
        <v>8</v>
      </c>
      <c r="E623" s="245">
        <v>43617</v>
      </c>
      <c r="F623" s="118">
        <v>1016.96</v>
      </c>
      <c r="G623" s="118">
        <f>SUMIF(CONFERÊNCIA!A:A,A623,CONFERÊNCIA!J:J)</f>
        <v>1016.96</v>
      </c>
      <c r="H623" s="120">
        <f t="shared" si="37"/>
        <v>0</v>
      </c>
      <c r="I623" s="171" t="s">
        <v>1234</v>
      </c>
    </row>
    <row r="624" spans="1:9" s="110" customFormat="1" ht="13.5" customHeight="1" x14ac:dyDescent="0.2">
      <c r="A624" s="243">
        <v>114963</v>
      </c>
      <c r="B624" s="244" t="s">
        <v>1133</v>
      </c>
      <c r="C624" s="244" t="s">
        <v>5</v>
      </c>
      <c r="D624" s="244" t="s">
        <v>1589</v>
      </c>
      <c r="E624" s="245">
        <v>43917</v>
      </c>
      <c r="F624" s="118">
        <v>1016.96</v>
      </c>
      <c r="G624" s="118">
        <f>SUMIF(CONFERÊNCIA!A:A,A624,CONFERÊNCIA!J:J)</f>
        <v>1016.96</v>
      </c>
      <c r="H624" s="119">
        <f t="shared" si="37"/>
        <v>0</v>
      </c>
      <c r="I624" s="171" t="s">
        <v>1234</v>
      </c>
    </row>
    <row r="625" spans="1:9" s="125" customFormat="1" ht="13.5" customHeight="1" x14ac:dyDescent="0.2">
      <c r="A625" s="243">
        <v>122559</v>
      </c>
      <c r="B625" s="244" t="s">
        <v>1701</v>
      </c>
      <c r="C625" s="244" t="s">
        <v>5</v>
      </c>
      <c r="D625" s="244" t="s">
        <v>32</v>
      </c>
      <c r="E625" s="245">
        <v>45131</v>
      </c>
      <c r="F625" s="118">
        <v>1290.76</v>
      </c>
      <c r="G625" s="118">
        <f>SUMIF(CONFERÊNCIA!A:A,A625,CONFERÊNCIA!J:J)</f>
        <v>1016.96</v>
      </c>
      <c r="H625" s="120">
        <f t="shared" si="37"/>
        <v>-273.79999999999995</v>
      </c>
      <c r="I625" s="171" t="s">
        <v>1234</v>
      </c>
    </row>
    <row r="626" spans="1:9" s="110" customFormat="1" ht="13.5" customHeight="1" x14ac:dyDescent="0.2">
      <c r="A626" s="243">
        <v>121689</v>
      </c>
      <c r="B626" s="244" t="s">
        <v>1598</v>
      </c>
      <c r="C626" s="244" t="s">
        <v>5</v>
      </c>
      <c r="D626" s="244" t="s">
        <v>32</v>
      </c>
      <c r="E626" s="245">
        <v>44994</v>
      </c>
      <c r="F626" s="118">
        <v>1016.96</v>
      </c>
      <c r="G626" s="118">
        <f>SUMIF(CONFERÊNCIA!A:A,A626,CONFERÊNCIA!J:J)</f>
        <v>1016.96</v>
      </c>
      <c r="H626" s="119">
        <f t="shared" si="37"/>
        <v>0</v>
      </c>
      <c r="I626" s="171" t="s">
        <v>1234</v>
      </c>
    </row>
    <row r="627" spans="1:9" s="125" customFormat="1" ht="13.5" customHeight="1" x14ac:dyDescent="0.2">
      <c r="A627" s="243">
        <v>121330</v>
      </c>
      <c r="B627" s="244" t="s">
        <v>1537</v>
      </c>
      <c r="C627" s="244" t="s">
        <v>2</v>
      </c>
      <c r="D627" s="244" t="s">
        <v>8</v>
      </c>
      <c r="E627" s="245">
        <v>44945</v>
      </c>
      <c r="F627" s="118">
        <v>1016.96</v>
      </c>
      <c r="G627" s="118">
        <f>SUMIF(CONFERÊNCIA!A:A,A627,CONFERÊNCIA!J:J)</f>
        <v>1016.96</v>
      </c>
      <c r="H627" s="120">
        <f t="shared" si="37"/>
        <v>0</v>
      </c>
      <c r="I627" s="171" t="s">
        <v>1234</v>
      </c>
    </row>
    <row r="628" spans="1:9" s="110" customFormat="1" ht="13.5" customHeight="1" x14ac:dyDescent="0.2">
      <c r="A628" s="243">
        <v>112531</v>
      </c>
      <c r="B628" s="244" t="s">
        <v>243</v>
      </c>
      <c r="C628" s="244" t="s">
        <v>2</v>
      </c>
      <c r="D628" s="244" t="s">
        <v>32</v>
      </c>
      <c r="E628" s="245">
        <v>43617</v>
      </c>
      <c r="F628" s="118">
        <v>1016.96</v>
      </c>
      <c r="G628" s="118">
        <f>SUMIF(CONFERÊNCIA!A:A,A628,CONFERÊNCIA!J:J)</f>
        <v>1016.96</v>
      </c>
      <c r="H628" s="119">
        <f t="shared" si="37"/>
        <v>0</v>
      </c>
      <c r="I628" s="171" t="s">
        <v>1234</v>
      </c>
    </row>
    <row r="629" spans="1:9" s="125" customFormat="1" ht="13.5" customHeight="1" x14ac:dyDescent="0.2">
      <c r="A629" s="243">
        <v>113426</v>
      </c>
      <c r="B629" s="244" t="s">
        <v>774</v>
      </c>
      <c r="C629" s="244" t="s">
        <v>2</v>
      </c>
      <c r="D629" s="244" t="s">
        <v>0</v>
      </c>
      <c r="E629" s="245">
        <v>43617</v>
      </c>
      <c r="F629" s="118">
        <v>1016.96</v>
      </c>
      <c r="G629" s="118">
        <f>SUMIF(CONFERÊNCIA!A:A,A629,CONFERÊNCIA!J:J)</f>
        <v>1016.96</v>
      </c>
      <c r="H629" s="120">
        <f t="shared" si="37"/>
        <v>0</v>
      </c>
      <c r="I629" s="171" t="s">
        <v>1234</v>
      </c>
    </row>
    <row r="630" spans="1:9" s="110" customFormat="1" ht="13.5" customHeight="1" x14ac:dyDescent="0.2">
      <c r="A630" s="243">
        <v>113050</v>
      </c>
      <c r="B630" s="244" t="s">
        <v>562</v>
      </c>
      <c r="C630" s="244" t="s">
        <v>2</v>
      </c>
      <c r="D630" s="244" t="s">
        <v>19</v>
      </c>
      <c r="E630" s="245">
        <v>43617</v>
      </c>
      <c r="F630" s="118">
        <v>1016.96</v>
      </c>
      <c r="G630" s="118">
        <f>SUMIF(CONFERÊNCIA!A:A,A630,CONFERÊNCIA!J:J)</f>
        <v>1016.96</v>
      </c>
      <c r="H630" s="119">
        <f t="shared" si="37"/>
        <v>0</v>
      </c>
      <c r="I630" s="171" t="s">
        <v>1234</v>
      </c>
    </row>
    <row r="631" spans="1:9" s="110" customFormat="1" ht="13.5" customHeight="1" x14ac:dyDescent="0.2">
      <c r="A631" s="243">
        <v>113093</v>
      </c>
      <c r="B631" s="244" t="s">
        <v>583</v>
      </c>
      <c r="C631" s="244" t="s">
        <v>5</v>
      </c>
      <c r="D631" s="244" t="s">
        <v>0</v>
      </c>
      <c r="E631" s="245">
        <v>43617</v>
      </c>
      <c r="F631" s="118">
        <v>1016.96</v>
      </c>
      <c r="G631" s="118">
        <f>SUMIF(CONFERÊNCIA!A:A,A631,CONFERÊNCIA!J:J)</f>
        <v>1016.96</v>
      </c>
      <c r="H631" s="119">
        <f t="shared" si="37"/>
        <v>0</v>
      </c>
      <c r="I631" s="171" t="s">
        <v>1234</v>
      </c>
    </row>
    <row r="632" spans="1:9" s="125" customFormat="1" ht="13.5" customHeight="1" x14ac:dyDescent="0.2">
      <c r="A632" s="243">
        <v>113094</v>
      </c>
      <c r="B632" s="244" t="s">
        <v>584</v>
      </c>
      <c r="C632" s="244" t="s">
        <v>5</v>
      </c>
      <c r="D632" s="244" t="s">
        <v>1589</v>
      </c>
      <c r="E632" s="245">
        <v>43617</v>
      </c>
      <c r="F632" s="118">
        <v>1016.96</v>
      </c>
      <c r="G632" s="118">
        <f>SUMIF(CONFERÊNCIA!A:A,A632,CONFERÊNCIA!J:J)</f>
        <v>1016.96</v>
      </c>
      <c r="H632" s="120">
        <f t="shared" si="37"/>
        <v>0</v>
      </c>
      <c r="I632" s="171" t="s">
        <v>1234</v>
      </c>
    </row>
    <row r="633" spans="1:9" s="110" customFormat="1" ht="13.5" customHeight="1" x14ac:dyDescent="0.2">
      <c r="A633" s="243">
        <v>112178</v>
      </c>
      <c r="B633" s="244" t="s">
        <v>16</v>
      </c>
      <c r="C633" s="244" t="s">
        <v>5</v>
      </c>
      <c r="D633" s="244" t="s">
        <v>10</v>
      </c>
      <c r="E633" s="245">
        <v>43617</v>
      </c>
      <c r="F633" s="118">
        <v>1016.96</v>
      </c>
      <c r="G633" s="118">
        <f>SUMIF(CONFERÊNCIA!A:A,A633,CONFERÊNCIA!J:J)</f>
        <v>1016.96</v>
      </c>
      <c r="H633" s="119">
        <f t="shared" si="37"/>
        <v>0</v>
      </c>
      <c r="I633" s="171" t="s">
        <v>1234</v>
      </c>
    </row>
    <row r="634" spans="1:9" s="125" customFormat="1" ht="13.5" customHeight="1" x14ac:dyDescent="0.2">
      <c r="A634" s="243">
        <v>113098</v>
      </c>
      <c r="B634" s="244" t="s">
        <v>586</v>
      </c>
      <c r="C634" s="244" t="s">
        <v>22</v>
      </c>
      <c r="D634" s="244" t="s">
        <v>1589</v>
      </c>
      <c r="E634" s="245">
        <v>43617</v>
      </c>
      <c r="F634" s="118">
        <v>1016.96</v>
      </c>
      <c r="G634" s="118">
        <f>SUMIF(CONFERÊNCIA!A:A,A634,CONFERÊNCIA!J:J)</f>
        <v>1016.96</v>
      </c>
      <c r="H634" s="120">
        <f t="shared" si="37"/>
        <v>0</v>
      </c>
      <c r="I634" s="171" t="s">
        <v>1234</v>
      </c>
    </row>
    <row r="635" spans="1:9" s="110" customFormat="1" ht="13.5" customHeight="1" x14ac:dyDescent="0.2">
      <c r="A635" s="243">
        <v>116236</v>
      </c>
      <c r="B635" s="244" t="s">
        <v>1201</v>
      </c>
      <c r="C635" s="244" t="s">
        <v>2</v>
      </c>
      <c r="D635" s="244" t="s">
        <v>8</v>
      </c>
      <c r="E635" s="245">
        <v>44273</v>
      </c>
      <c r="F635" s="118">
        <v>1016.96</v>
      </c>
      <c r="G635" s="118">
        <f>SUMIF(CONFERÊNCIA!A:A,A635,CONFERÊNCIA!J:J)</f>
        <v>1016.96</v>
      </c>
      <c r="H635" s="119">
        <f t="shared" si="37"/>
        <v>0</v>
      </c>
      <c r="I635" s="171" t="s">
        <v>1234</v>
      </c>
    </row>
    <row r="636" spans="1:9" s="125" customFormat="1" ht="13.5" customHeight="1" x14ac:dyDescent="0.2">
      <c r="A636" s="243">
        <v>113072</v>
      </c>
      <c r="B636" s="244" t="s">
        <v>571</v>
      </c>
      <c r="C636" s="244" t="s">
        <v>5</v>
      </c>
      <c r="D636" s="244" t="s">
        <v>0</v>
      </c>
      <c r="E636" s="245">
        <v>43617</v>
      </c>
      <c r="F636" s="118">
        <v>1016.96</v>
      </c>
      <c r="G636" s="118">
        <f>SUMIF(CONFERÊNCIA!A:A,A636,CONFERÊNCIA!J:J)</f>
        <v>1016.96</v>
      </c>
      <c r="H636" s="120">
        <f t="shared" si="37"/>
        <v>0</v>
      </c>
      <c r="I636" s="171" t="s">
        <v>1234</v>
      </c>
    </row>
    <row r="637" spans="1:9" s="110" customFormat="1" ht="13.5" customHeight="1" x14ac:dyDescent="0.2">
      <c r="A637" s="243">
        <v>112774</v>
      </c>
      <c r="B637" s="244" t="s">
        <v>399</v>
      </c>
      <c r="C637" s="244" t="s">
        <v>2</v>
      </c>
      <c r="D637" s="244" t="s">
        <v>8</v>
      </c>
      <c r="E637" s="245">
        <v>43617</v>
      </c>
      <c r="F637" s="118">
        <v>1016.96</v>
      </c>
      <c r="G637" s="118">
        <f>SUMIF(CONFERÊNCIA!A:A,A637,CONFERÊNCIA!J:J)</f>
        <v>1016.96</v>
      </c>
      <c r="H637" s="119">
        <f t="shared" si="37"/>
        <v>0</v>
      </c>
      <c r="I637" s="171" t="s">
        <v>1234</v>
      </c>
    </row>
    <row r="638" spans="1:9" s="125" customFormat="1" ht="13.5" customHeight="1" x14ac:dyDescent="0.2">
      <c r="A638" s="243">
        <v>113164</v>
      </c>
      <c r="B638" s="244" t="s">
        <v>624</v>
      </c>
      <c r="C638" s="244" t="s">
        <v>22</v>
      </c>
      <c r="D638" s="244" t="s">
        <v>1589</v>
      </c>
      <c r="E638" s="245">
        <v>43617</v>
      </c>
      <c r="F638" s="118">
        <v>1016.96</v>
      </c>
      <c r="G638" s="118">
        <f>SUMIF(CONFERÊNCIA!A:A,A638,CONFERÊNCIA!J:J)</f>
        <v>1016.96</v>
      </c>
      <c r="H638" s="120">
        <f t="shared" ref="H638:H661" si="38">G638-F638</f>
        <v>0</v>
      </c>
      <c r="I638" s="171" t="s">
        <v>1234</v>
      </c>
    </row>
    <row r="639" spans="1:9" s="110" customFormat="1" ht="13.5" customHeight="1" x14ac:dyDescent="0.2">
      <c r="A639" s="243">
        <v>112967</v>
      </c>
      <c r="B639" s="244" t="s">
        <v>526</v>
      </c>
      <c r="C639" s="244" t="s">
        <v>5</v>
      </c>
      <c r="D639" s="244" t="s">
        <v>32</v>
      </c>
      <c r="E639" s="245">
        <v>43617</v>
      </c>
      <c r="F639" s="118">
        <v>1016.96</v>
      </c>
      <c r="G639" s="118">
        <f>SUMIF(CONFERÊNCIA!A:A,A639,CONFERÊNCIA!J:J)</f>
        <v>1016.96</v>
      </c>
      <c r="H639" s="119">
        <f t="shared" si="38"/>
        <v>0</v>
      </c>
      <c r="I639" s="171" t="s">
        <v>1234</v>
      </c>
    </row>
    <row r="640" spans="1:9" s="125" customFormat="1" ht="13.5" customHeight="1" x14ac:dyDescent="0.2">
      <c r="A640" s="243">
        <v>121953</v>
      </c>
      <c r="B640" s="244" t="s">
        <v>1620</v>
      </c>
      <c r="C640" s="244" t="s">
        <v>5</v>
      </c>
      <c r="D640" s="244" t="s">
        <v>0</v>
      </c>
      <c r="E640" s="245">
        <v>45040</v>
      </c>
      <c r="F640" s="118">
        <v>1016.96</v>
      </c>
      <c r="G640" s="118">
        <f>SUMIF(CONFERÊNCIA!A:A,A640,CONFERÊNCIA!J:J)</f>
        <v>1016.96</v>
      </c>
      <c r="H640" s="120">
        <f t="shared" si="38"/>
        <v>0</v>
      </c>
      <c r="I640" s="171" t="s">
        <v>1234</v>
      </c>
    </row>
    <row r="641" spans="1:9" s="110" customFormat="1" ht="13.5" customHeight="1" x14ac:dyDescent="0.2">
      <c r="A641" s="243">
        <v>116010</v>
      </c>
      <c r="B641" s="244" t="s">
        <v>1176</v>
      </c>
      <c r="C641" s="244" t="s">
        <v>5</v>
      </c>
      <c r="D641" s="244" t="s">
        <v>0</v>
      </c>
      <c r="E641" s="245">
        <v>44207</v>
      </c>
      <c r="F641" s="118">
        <v>978.67000000000007</v>
      </c>
      <c r="G641" s="118">
        <f>SUMIF(CONFERÊNCIA!A:A,A641,CONFERÊNCIA!J:J)</f>
        <v>1016.96</v>
      </c>
      <c r="H641" s="119">
        <f t="shared" si="38"/>
        <v>38.289999999999964</v>
      </c>
      <c r="I641" s="171" t="s">
        <v>1234</v>
      </c>
    </row>
    <row r="642" spans="1:9" s="125" customFormat="1" ht="13.5" customHeight="1" x14ac:dyDescent="0.2">
      <c r="A642" s="243">
        <v>121414</v>
      </c>
      <c r="B642" s="244" t="s">
        <v>1570</v>
      </c>
      <c r="C642" s="244" t="s">
        <v>5</v>
      </c>
      <c r="D642" s="244" t="s">
        <v>19</v>
      </c>
      <c r="E642" s="245">
        <v>44967</v>
      </c>
      <c r="F642" s="118">
        <v>1016.96</v>
      </c>
      <c r="G642" s="118">
        <f>SUMIF(CONFERÊNCIA!A:A,A642,CONFERÊNCIA!J:J)</f>
        <v>1016.96</v>
      </c>
      <c r="H642" s="120">
        <f t="shared" si="38"/>
        <v>0</v>
      </c>
      <c r="I642" s="171" t="s">
        <v>1234</v>
      </c>
    </row>
    <row r="643" spans="1:9" s="110" customFormat="1" ht="13.5" customHeight="1" x14ac:dyDescent="0.2">
      <c r="A643" s="243">
        <v>113406</v>
      </c>
      <c r="B643" s="244" t="s">
        <v>760</v>
      </c>
      <c r="C643" s="244" t="s">
        <v>2</v>
      </c>
      <c r="D643" s="244" t="s">
        <v>0</v>
      </c>
      <c r="E643" s="245">
        <v>43617</v>
      </c>
      <c r="F643" s="118">
        <v>1016.96</v>
      </c>
      <c r="G643" s="118">
        <f>SUMIF(CONFERÊNCIA!A:A,A643,CONFERÊNCIA!J:J)</f>
        <v>1016.96</v>
      </c>
      <c r="H643" s="119">
        <f t="shared" si="38"/>
        <v>0</v>
      </c>
      <c r="I643" s="171" t="s">
        <v>1234</v>
      </c>
    </row>
    <row r="644" spans="1:9" s="125" customFormat="1" ht="13.5" customHeight="1" x14ac:dyDescent="0.2">
      <c r="A644" s="243">
        <v>118059</v>
      </c>
      <c r="B644" s="244" t="s">
        <v>1407</v>
      </c>
      <c r="C644" s="244" t="s">
        <v>5</v>
      </c>
      <c r="D644" s="244" t="s">
        <v>0</v>
      </c>
      <c r="E644" s="245">
        <v>44567</v>
      </c>
      <c r="F644" s="118">
        <v>1016.96</v>
      </c>
      <c r="G644" s="118">
        <f>SUMIF(CONFERÊNCIA!A:A,A644,CONFERÊNCIA!J:J)</f>
        <v>978.67000000000007</v>
      </c>
      <c r="H644" s="120">
        <f t="shared" si="38"/>
        <v>-38.289999999999964</v>
      </c>
      <c r="I644" s="171" t="s">
        <v>1234</v>
      </c>
    </row>
    <row r="645" spans="1:9" s="125" customFormat="1" ht="13.5" customHeight="1" x14ac:dyDescent="0.2">
      <c r="A645" s="243">
        <v>113599</v>
      </c>
      <c r="B645" s="244" t="s">
        <v>869</v>
      </c>
      <c r="C645" s="244" t="s">
        <v>15</v>
      </c>
      <c r="D645" s="244" t="s">
        <v>1589</v>
      </c>
      <c r="E645" s="245">
        <v>43617</v>
      </c>
      <c r="F645" s="118">
        <v>1016.96</v>
      </c>
      <c r="G645" s="118">
        <f>SUMIF(CONFERÊNCIA!A:A,A645,CONFERÊNCIA!J:J)</f>
        <v>1016.96</v>
      </c>
      <c r="H645" s="120">
        <f t="shared" si="38"/>
        <v>0</v>
      </c>
      <c r="I645" s="171" t="s">
        <v>1235</v>
      </c>
    </row>
    <row r="646" spans="1:9" s="110" customFormat="1" ht="13.5" customHeight="1" x14ac:dyDescent="0.2">
      <c r="A646" s="243">
        <v>117409</v>
      </c>
      <c r="B646" s="244" t="s">
        <v>1277</v>
      </c>
      <c r="C646" s="244" t="s">
        <v>2</v>
      </c>
      <c r="D646" s="244" t="s">
        <v>0</v>
      </c>
      <c r="E646" s="245">
        <v>44522</v>
      </c>
      <c r="F646" s="118">
        <v>1016.96</v>
      </c>
      <c r="G646" s="118">
        <f>SUMIF(CONFERÊNCIA!A:A,A646,CONFERÊNCIA!J:J)</f>
        <v>1016.96</v>
      </c>
      <c r="H646" s="119">
        <f t="shared" si="38"/>
        <v>0</v>
      </c>
      <c r="I646" s="171" t="s">
        <v>1234</v>
      </c>
    </row>
    <row r="647" spans="1:9" s="125" customFormat="1" ht="13.5" customHeight="1" x14ac:dyDescent="0.2">
      <c r="A647" s="243">
        <v>113132</v>
      </c>
      <c r="B647" s="244" t="s">
        <v>603</v>
      </c>
      <c r="C647" s="244" t="s">
        <v>22</v>
      </c>
      <c r="D647" s="244" t="s">
        <v>1589</v>
      </c>
      <c r="E647" s="245">
        <v>43617</v>
      </c>
      <c r="F647" s="118">
        <v>1016.96</v>
      </c>
      <c r="G647" s="118">
        <f>SUMIF(CONFERÊNCIA!A:A,A647,CONFERÊNCIA!J:J)</f>
        <v>1016.96</v>
      </c>
      <c r="H647" s="120">
        <f t="shared" si="38"/>
        <v>0</v>
      </c>
      <c r="I647" s="171" t="s">
        <v>1234</v>
      </c>
    </row>
    <row r="648" spans="1:9" s="125" customFormat="1" ht="13.5" customHeight="1" x14ac:dyDescent="0.2">
      <c r="A648" s="243">
        <v>112957</v>
      </c>
      <c r="B648" s="244" t="s">
        <v>521</v>
      </c>
      <c r="C648" s="244" t="s">
        <v>15</v>
      </c>
      <c r="D648" s="244" t="s">
        <v>1589</v>
      </c>
      <c r="E648" s="245">
        <v>43617</v>
      </c>
      <c r="F648" s="118">
        <v>1016.96</v>
      </c>
      <c r="G648" s="118">
        <f>SUMIF(CONFERÊNCIA!A:A,A648,CONFERÊNCIA!J:J)</f>
        <v>1016.96</v>
      </c>
      <c r="H648" s="120">
        <f t="shared" si="38"/>
        <v>0</v>
      </c>
      <c r="I648" s="171" t="s">
        <v>1235</v>
      </c>
    </row>
    <row r="649" spans="1:9" s="110" customFormat="1" ht="13.5" customHeight="1" x14ac:dyDescent="0.2">
      <c r="A649" s="243">
        <v>112226</v>
      </c>
      <c r="B649" s="244" t="s">
        <v>48</v>
      </c>
      <c r="C649" s="244" t="s">
        <v>2</v>
      </c>
      <c r="D649" s="244" t="s">
        <v>10</v>
      </c>
      <c r="E649" s="245">
        <v>43617</v>
      </c>
      <c r="F649" s="118">
        <v>1016.96</v>
      </c>
      <c r="G649" s="118">
        <f>SUMIF(CONFERÊNCIA!A:A,A649,CONFERÊNCIA!J:J)</f>
        <v>1016.96</v>
      </c>
      <c r="H649" s="119">
        <f t="shared" si="38"/>
        <v>0</v>
      </c>
      <c r="I649" s="171" t="s">
        <v>1234</v>
      </c>
    </row>
    <row r="650" spans="1:9" s="125" customFormat="1" ht="13.5" customHeight="1" x14ac:dyDescent="0.2">
      <c r="A650" s="243">
        <v>113166</v>
      </c>
      <c r="B650" s="244" t="s">
        <v>625</v>
      </c>
      <c r="C650" s="244" t="s">
        <v>22</v>
      </c>
      <c r="D650" s="244" t="s">
        <v>1589</v>
      </c>
      <c r="E650" s="245">
        <v>43617</v>
      </c>
      <c r="F650" s="118">
        <v>1016.96</v>
      </c>
      <c r="G650" s="118">
        <f>SUMIF(CONFERÊNCIA!A:A,A650,CONFERÊNCIA!J:J)</f>
        <v>1016.96</v>
      </c>
      <c r="H650" s="120">
        <f t="shared" si="38"/>
        <v>0</v>
      </c>
      <c r="I650" s="171" t="s">
        <v>1234</v>
      </c>
    </row>
    <row r="651" spans="1:9" s="110" customFormat="1" ht="13.5" customHeight="1" x14ac:dyDescent="0.2">
      <c r="A651" s="243">
        <v>112789</v>
      </c>
      <c r="B651" s="244" t="s">
        <v>412</v>
      </c>
      <c r="C651" s="244" t="s">
        <v>2</v>
      </c>
      <c r="D651" s="244" t="s">
        <v>8</v>
      </c>
      <c r="E651" s="245">
        <v>43617</v>
      </c>
      <c r="F651" s="118">
        <v>1016.96</v>
      </c>
      <c r="G651" s="118">
        <f>SUMIF(CONFERÊNCIA!A:A,A651,CONFERÊNCIA!J:J)</f>
        <v>1016.96</v>
      </c>
      <c r="H651" s="119">
        <f t="shared" si="38"/>
        <v>0</v>
      </c>
      <c r="I651" s="171" t="s">
        <v>1234</v>
      </c>
    </row>
    <row r="652" spans="1:9" s="125" customFormat="1" ht="13.5" customHeight="1" x14ac:dyDescent="0.2">
      <c r="A652" s="243">
        <v>113410</v>
      </c>
      <c r="B652" s="244" t="s">
        <v>762</v>
      </c>
      <c r="C652" s="244" t="s">
        <v>2</v>
      </c>
      <c r="D652" s="244" t="s">
        <v>0</v>
      </c>
      <c r="E652" s="245">
        <v>43617</v>
      </c>
      <c r="F652" s="118">
        <v>1016.96</v>
      </c>
      <c r="G652" s="118">
        <f>SUMIF(CONFERÊNCIA!A:A,A652,CONFERÊNCIA!J:J)</f>
        <v>1016.96</v>
      </c>
      <c r="H652" s="120">
        <f t="shared" si="38"/>
        <v>0</v>
      </c>
      <c r="I652" s="171" t="s">
        <v>1234</v>
      </c>
    </row>
    <row r="653" spans="1:9" s="110" customFormat="1" ht="13.5" customHeight="1" x14ac:dyDescent="0.2">
      <c r="A653" s="243">
        <v>114800</v>
      </c>
      <c r="B653" s="244" t="s">
        <v>1106</v>
      </c>
      <c r="C653" s="244" t="s">
        <v>15</v>
      </c>
      <c r="D653" s="244" t="s">
        <v>1589</v>
      </c>
      <c r="E653" s="245">
        <v>43880</v>
      </c>
      <c r="F653" s="118">
        <v>1016.96</v>
      </c>
      <c r="G653" s="118">
        <f>SUMIF(CONFERÊNCIA!A:A,A653,CONFERÊNCIA!J:J)</f>
        <v>1016.96</v>
      </c>
      <c r="H653" s="119">
        <f t="shared" si="38"/>
        <v>0</v>
      </c>
      <c r="I653" s="171" t="s">
        <v>1234</v>
      </c>
    </row>
    <row r="654" spans="1:9" s="110" customFormat="1" ht="13.5" customHeight="1" x14ac:dyDescent="0.2">
      <c r="A654" s="243">
        <v>115008</v>
      </c>
      <c r="B654" s="244" t="s">
        <v>1143</v>
      </c>
      <c r="C654" s="244" t="s">
        <v>5</v>
      </c>
      <c r="D654" s="244" t="s">
        <v>0</v>
      </c>
      <c r="E654" s="245">
        <v>43930</v>
      </c>
      <c r="F654" s="118">
        <v>1016.96</v>
      </c>
      <c r="G654" s="118">
        <f>SUMIF(CONFERÊNCIA!A:A,A654,CONFERÊNCIA!J:J)</f>
        <v>1016.96</v>
      </c>
      <c r="H654" s="119">
        <f t="shared" si="38"/>
        <v>0</v>
      </c>
      <c r="I654" s="171" t="s">
        <v>1234</v>
      </c>
    </row>
    <row r="655" spans="1:9" s="110" customFormat="1" ht="13.5" customHeight="1" x14ac:dyDescent="0.2">
      <c r="A655" s="243">
        <v>114263</v>
      </c>
      <c r="B655" s="244" t="s">
        <v>1029</v>
      </c>
      <c r="C655" s="244" t="s">
        <v>2</v>
      </c>
      <c r="D655" s="244" t="s">
        <v>19</v>
      </c>
      <c r="E655" s="245">
        <v>43804</v>
      </c>
      <c r="F655" s="118">
        <v>1016.96</v>
      </c>
      <c r="G655" s="118">
        <f>SUMIF(CONFERÊNCIA!A:A,A655,CONFERÊNCIA!J:J)</f>
        <v>1016.96</v>
      </c>
      <c r="H655" s="119">
        <f t="shared" si="38"/>
        <v>0</v>
      </c>
      <c r="I655" s="171" t="s">
        <v>1234</v>
      </c>
    </row>
    <row r="656" spans="1:9" s="110" customFormat="1" ht="13.5" customHeight="1" x14ac:dyDescent="0.2">
      <c r="A656" s="243">
        <v>116002</v>
      </c>
      <c r="B656" s="244" t="s">
        <v>1171</v>
      </c>
      <c r="C656" s="244" t="s">
        <v>5</v>
      </c>
      <c r="D656" s="244" t="s">
        <v>0</v>
      </c>
      <c r="E656" s="245">
        <v>44207</v>
      </c>
      <c r="F656" s="118">
        <v>1016.96</v>
      </c>
      <c r="G656" s="118">
        <f>SUMIF(CONFERÊNCIA!A:A,A656,CONFERÊNCIA!J:J)</f>
        <v>1016.96</v>
      </c>
      <c r="H656" s="119">
        <f t="shared" si="38"/>
        <v>0</v>
      </c>
      <c r="I656" s="171" t="s">
        <v>1234</v>
      </c>
    </row>
    <row r="657" spans="1:9" s="125" customFormat="1" ht="13.5" customHeight="1" x14ac:dyDescent="0.2">
      <c r="A657" s="243">
        <v>121685</v>
      </c>
      <c r="B657" s="244" t="s">
        <v>1599</v>
      </c>
      <c r="C657" s="244" t="s">
        <v>5</v>
      </c>
      <c r="D657" s="244" t="s">
        <v>0</v>
      </c>
      <c r="E657" s="245">
        <v>44994</v>
      </c>
      <c r="F657" s="118">
        <v>1016.96</v>
      </c>
      <c r="G657" s="118">
        <f>SUMIF(CONFERÊNCIA!A:A,A657,CONFERÊNCIA!J:J)</f>
        <v>1016.96</v>
      </c>
      <c r="H657" s="120">
        <f t="shared" si="38"/>
        <v>0</v>
      </c>
      <c r="I657" s="171" t="s">
        <v>1234</v>
      </c>
    </row>
    <row r="658" spans="1:9" s="110" customFormat="1" ht="13.5" customHeight="1" x14ac:dyDescent="0.2">
      <c r="A658" s="243">
        <v>113077</v>
      </c>
      <c r="B658" s="244" t="s">
        <v>575</v>
      </c>
      <c r="C658" s="244" t="s">
        <v>5</v>
      </c>
      <c r="D658" s="244" t="s">
        <v>0</v>
      </c>
      <c r="E658" s="245">
        <v>43617</v>
      </c>
      <c r="F658" s="118">
        <v>940.39</v>
      </c>
      <c r="G658" s="118">
        <f>SUMIF(CONFERÊNCIA!A:A,A658,CONFERÊNCIA!J:J)</f>
        <v>978.67000000000007</v>
      </c>
      <c r="H658" s="119">
        <f t="shared" si="38"/>
        <v>38.280000000000086</v>
      </c>
      <c r="I658" s="171" t="s">
        <v>1234</v>
      </c>
    </row>
    <row r="659" spans="1:9" s="110" customFormat="1" ht="13.5" customHeight="1" x14ac:dyDescent="0.2">
      <c r="A659" s="243">
        <v>113123</v>
      </c>
      <c r="B659" s="244" t="s">
        <v>599</v>
      </c>
      <c r="C659" s="244" t="s">
        <v>282</v>
      </c>
      <c r="D659" s="244" t="s">
        <v>1589</v>
      </c>
      <c r="E659" s="245">
        <v>43617</v>
      </c>
      <c r="F659" s="118">
        <v>1016.96</v>
      </c>
      <c r="G659" s="118">
        <f>SUMIF(CONFERÊNCIA!A:A,A659,CONFERÊNCIA!J:J)</f>
        <v>1016.96</v>
      </c>
      <c r="H659" s="119">
        <f t="shared" si="38"/>
        <v>0</v>
      </c>
      <c r="I659" s="171" t="s">
        <v>1234</v>
      </c>
    </row>
    <row r="660" spans="1:9" s="125" customFormat="1" ht="13.5" customHeight="1" x14ac:dyDescent="0.2">
      <c r="A660" s="243">
        <v>121326</v>
      </c>
      <c r="B660" s="244" t="s">
        <v>1538</v>
      </c>
      <c r="C660" s="244" t="s">
        <v>5</v>
      </c>
      <c r="D660" s="244" t="s">
        <v>32</v>
      </c>
      <c r="E660" s="245">
        <v>44945</v>
      </c>
      <c r="F660" s="118">
        <v>1055.25</v>
      </c>
      <c r="G660" s="118">
        <f>SUMIF(CONFERÊNCIA!A:A,A660,CONFERÊNCIA!J:J)</f>
        <v>1016.96</v>
      </c>
      <c r="H660" s="120">
        <f t="shared" si="38"/>
        <v>-38.289999999999964</v>
      </c>
      <c r="I660" s="171" t="s">
        <v>1234</v>
      </c>
    </row>
    <row r="661" spans="1:9" s="125" customFormat="1" ht="13.5" customHeight="1" x14ac:dyDescent="0.2">
      <c r="A661" s="243">
        <v>112513</v>
      </c>
      <c r="B661" s="244" t="s">
        <v>230</v>
      </c>
      <c r="C661" s="244" t="s">
        <v>146</v>
      </c>
      <c r="D661" s="244" t="s">
        <v>8</v>
      </c>
      <c r="E661" s="245">
        <v>43617</v>
      </c>
      <c r="F661" s="118">
        <v>1016.96</v>
      </c>
      <c r="G661" s="118">
        <f>SUMIF(CONFERÊNCIA!A:A,A661,CONFERÊNCIA!J:J)</f>
        <v>1016.96</v>
      </c>
      <c r="H661" s="120">
        <f t="shared" si="38"/>
        <v>0</v>
      </c>
      <c r="I661" s="171" t="s">
        <v>1234</v>
      </c>
    </row>
    <row r="662" spans="1:9" s="110" customFormat="1" ht="13.5" customHeight="1" x14ac:dyDescent="0.2">
      <c r="A662" s="243">
        <v>122439</v>
      </c>
      <c r="B662" s="244" t="s">
        <v>1702</v>
      </c>
      <c r="C662" s="244" t="s">
        <v>5</v>
      </c>
      <c r="D662" s="244" t="s">
        <v>1589</v>
      </c>
      <c r="E662" s="245">
        <v>45117</v>
      </c>
      <c r="F662" s="118">
        <v>1016.96</v>
      </c>
      <c r="G662" s="118">
        <f>SUMIF(CONFERÊNCIA!A:A,A662,CONFERÊNCIA!J:J)</f>
        <v>1016.96</v>
      </c>
      <c r="H662" s="119">
        <f t="shared" ref="H662:H686" si="39">G662-F662</f>
        <v>0</v>
      </c>
      <c r="I662" s="171" t="s">
        <v>1234</v>
      </c>
    </row>
    <row r="663" spans="1:9" s="125" customFormat="1" ht="13.5" customHeight="1" x14ac:dyDescent="0.2">
      <c r="A663" s="243">
        <v>121321</v>
      </c>
      <c r="B663" s="244" t="s">
        <v>1539</v>
      </c>
      <c r="C663" s="244" t="s">
        <v>2</v>
      </c>
      <c r="D663" s="244" t="s">
        <v>19</v>
      </c>
      <c r="E663" s="245">
        <v>44945</v>
      </c>
      <c r="F663" s="118">
        <v>1016.96</v>
      </c>
      <c r="G663" s="118">
        <f>SUMIF(CONFERÊNCIA!A:A,A663,CONFERÊNCIA!J:J)</f>
        <v>1016.96</v>
      </c>
      <c r="H663" s="120">
        <f t="shared" si="39"/>
        <v>0</v>
      </c>
      <c r="I663" s="171" t="s">
        <v>1234</v>
      </c>
    </row>
    <row r="664" spans="1:9" s="110" customFormat="1" ht="13.5" customHeight="1" x14ac:dyDescent="0.2">
      <c r="A664" s="243">
        <v>112218</v>
      </c>
      <c r="B664" s="244" t="s">
        <v>1540</v>
      </c>
      <c r="C664" s="244" t="s">
        <v>5</v>
      </c>
      <c r="D664" s="244" t="s">
        <v>0</v>
      </c>
      <c r="E664" s="245">
        <v>43617</v>
      </c>
      <c r="F664" s="118">
        <v>1016.96</v>
      </c>
      <c r="G664" s="118">
        <f>SUMIF(CONFERÊNCIA!A:A,A664,CONFERÊNCIA!J:J)</f>
        <v>1016.96</v>
      </c>
      <c r="H664" s="119">
        <f t="shared" si="39"/>
        <v>0</v>
      </c>
      <c r="I664" s="171" t="s">
        <v>1234</v>
      </c>
    </row>
    <row r="665" spans="1:9" s="125" customFormat="1" ht="13.5" customHeight="1" x14ac:dyDescent="0.2">
      <c r="A665" s="243">
        <v>112451</v>
      </c>
      <c r="B665" s="244" t="s">
        <v>189</v>
      </c>
      <c r="C665" s="244" t="s">
        <v>5</v>
      </c>
      <c r="D665" s="244" t="s">
        <v>8</v>
      </c>
      <c r="E665" s="245">
        <v>43617</v>
      </c>
      <c r="F665" s="118">
        <v>1016.96</v>
      </c>
      <c r="G665" s="118">
        <f>SUMIF(CONFERÊNCIA!A:A,A665,CONFERÊNCIA!J:J)</f>
        <v>978.67000000000007</v>
      </c>
      <c r="H665" s="120">
        <f t="shared" si="39"/>
        <v>-38.289999999999964</v>
      </c>
      <c r="I665" s="171" t="s">
        <v>1234</v>
      </c>
    </row>
    <row r="666" spans="1:9" s="110" customFormat="1" ht="13.5" customHeight="1" x14ac:dyDescent="0.2">
      <c r="A666" s="243">
        <v>113303</v>
      </c>
      <c r="B666" s="244" t="s">
        <v>697</v>
      </c>
      <c r="C666" s="244" t="s">
        <v>22</v>
      </c>
      <c r="D666" s="244" t="s">
        <v>1589</v>
      </c>
      <c r="E666" s="245">
        <v>43617</v>
      </c>
      <c r="F666" s="118">
        <v>1016.96</v>
      </c>
      <c r="G666" s="118">
        <f>SUMIF(CONFERÊNCIA!A:A,A666,CONFERÊNCIA!J:J)</f>
        <v>1016.96</v>
      </c>
      <c r="H666" s="119">
        <f t="shared" si="39"/>
        <v>0</v>
      </c>
      <c r="I666" s="171" t="s">
        <v>1234</v>
      </c>
    </row>
    <row r="667" spans="1:9" s="125" customFormat="1" ht="13.5" customHeight="1" x14ac:dyDescent="0.2">
      <c r="A667" s="243">
        <v>113080</v>
      </c>
      <c r="B667" s="244" t="s">
        <v>577</v>
      </c>
      <c r="C667" s="244" t="s">
        <v>22</v>
      </c>
      <c r="D667" s="244" t="s">
        <v>1589</v>
      </c>
      <c r="E667" s="245">
        <v>43617</v>
      </c>
      <c r="F667" s="118">
        <v>1016.96</v>
      </c>
      <c r="G667" s="118">
        <f>SUMIF(CONFERÊNCIA!A:A,A667,CONFERÊNCIA!J:J)</f>
        <v>1016.96</v>
      </c>
      <c r="H667" s="120">
        <f t="shared" si="39"/>
        <v>0</v>
      </c>
      <c r="I667" s="171" t="s">
        <v>1234</v>
      </c>
    </row>
    <row r="668" spans="1:9" s="110" customFormat="1" ht="13.5" customHeight="1" x14ac:dyDescent="0.2">
      <c r="A668" s="243">
        <v>122575</v>
      </c>
      <c r="B668" s="244" t="s">
        <v>1703</v>
      </c>
      <c r="C668" s="244" t="s">
        <v>5</v>
      </c>
      <c r="D668" s="244" t="s">
        <v>8</v>
      </c>
      <c r="E668" s="245">
        <v>45131</v>
      </c>
      <c r="F668" s="118">
        <v>1290.76</v>
      </c>
      <c r="G668" s="118">
        <f>SUMIF(CONFERÊNCIA!A:A,A668,CONFERÊNCIA!J:J)</f>
        <v>1016.96</v>
      </c>
      <c r="H668" s="119">
        <f t="shared" si="39"/>
        <v>-273.79999999999995</v>
      </c>
      <c r="I668" s="171" t="s">
        <v>1234</v>
      </c>
    </row>
    <row r="669" spans="1:9" s="110" customFormat="1" ht="13.5" customHeight="1" x14ac:dyDescent="0.2">
      <c r="A669" s="243">
        <v>113602</v>
      </c>
      <c r="B669" s="244" t="s">
        <v>870</v>
      </c>
      <c r="C669" s="244" t="s">
        <v>15</v>
      </c>
      <c r="D669" s="244" t="s">
        <v>1589</v>
      </c>
      <c r="E669" s="245">
        <v>43617</v>
      </c>
      <c r="F669" s="118">
        <v>1016.96</v>
      </c>
      <c r="G669" s="118">
        <f>SUMIF(CONFERÊNCIA!A:A,A669,CONFERÊNCIA!J:J)</f>
        <v>1016.96</v>
      </c>
      <c r="H669" s="119">
        <f t="shared" si="39"/>
        <v>0</v>
      </c>
      <c r="I669" s="171" t="s">
        <v>1234</v>
      </c>
    </row>
    <row r="670" spans="1:9" s="125" customFormat="1" ht="13.5" customHeight="1" x14ac:dyDescent="0.2">
      <c r="A670" s="243">
        <v>113432</v>
      </c>
      <c r="B670" s="244" t="s">
        <v>777</v>
      </c>
      <c r="C670" s="244" t="s">
        <v>2</v>
      </c>
      <c r="D670" s="244" t="s">
        <v>0</v>
      </c>
      <c r="E670" s="245">
        <v>43617</v>
      </c>
      <c r="F670" s="118">
        <v>1016.96</v>
      </c>
      <c r="G670" s="118">
        <f>SUMIF(CONFERÊNCIA!A:A,A670,CONFERÊNCIA!J:J)</f>
        <v>1016.96</v>
      </c>
      <c r="H670" s="120">
        <f t="shared" si="39"/>
        <v>0</v>
      </c>
      <c r="I670" s="171" t="s">
        <v>1235</v>
      </c>
    </row>
    <row r="671" spans="1:9" s="110" customFormat="1" ht="13.5" customHeight="1" x14ac:dyDescent="0.2">
      <c r="A671" s="243">
        <v>112303</v>
      </c>
      <c r="B671" s="244" t="s">
        <v>99</v>
      </c>
      <c r="C671" s="244" t="s">
        <v>2</v>
      </c>
      <c r="D671" s="244" t="s">
        <v>10</v>
      </c>
      <c r="E671" s="245">
        <v>43617</v>
      </c>
      <c r="F671" s="118">
        <v>978.67000000000007</v>
      </c>
      <c r="G671" s="118">
        <f>SUMIF(CONFERÊNCIA!A:A,A671,CONFERÊNCIA!J:J)</f>
        <v>978.67000000000007</v>
      </c>
      <c r="H671" s="119">
        <f t="shared" si="39"/>
        <v>0</v>
      </c>
      <c r="I671" s="171" t="s">
        <v>1234</v>
      </c>
    </row>
    <row r="672" spans="1:9" s="110" customFormat="1" ht="13.5" customHeight="1" x14ac:dyDescent="0.2">
      <c r="A672" s="243">
        <v>113081</v>
      </c>
      <c r="B672" s="244" t="s">
        <v>578</v>
      </c>
      <c r="C672" s="244" t="s">
        <v>5</v>
      </c>
      <c r="D672" s="244" t="s">
        <v>0</v>
      </c>
      <c r="E672" s="245">
        <v>43617</v>
      </c>
      <c r="F672" s="118">
        <v>1016.96</v>
      </c>
      <c r="G672" s="118">
        <f>SUMIF(CONFERÊNCIA!A:A,A672,CONFERÊNCIA!J:J)</f>
        <v>1016.96</v>
      </c>
      <c r="H672" s="119">
        <f t="shared" si="39"/>
        <v>0</v>
      </c>
      <c r="I672" s="171" t="s">
        <v>1234</v>
      </c>
    </row>
    <row r="673" spans="1:9" s="125" customFormat="1" ht="13.5" customHeight="1" x14ac:dyDescent="0.2">
      <c r="A673" s="243">
        <v>114925</v>
      </c>
      <c r="B673" s="244" t="s">
        <v>1115</v>
      </c>
      <c r="C673" s="244" t="s">
        <v>481</v>
      </c>
      <c r="D673" s="244" t="s">
        <v>1589</v>
      </c>
      <c r="E673" s="245">
        <v>43916</v>
      </c>
      <c r="F673" s="118">
        <v>1016.96</v>
      </c>
      <c r="G673" s="118">
        <f>SUMIF(CONFERÊNCIA!A:A,A673,CONFERÊNCIA!J:J)</f>
        <v>1016.96</v>
      </c>
      <c r="H673" s="120">
        <f t="shared" si="39"/>
        <v>0</v>
      </c>
      <c r="I673" s="171" t="s">
        <v>1234</v>
      </c>
    </row>
    <row r="674" spans="1:9" s="125" customFormat="1" ht="13.5" customHeight="1" x14ac:dyDescent="0.2">
      <c r="A674" s="243">
        <v>112338</v>
      </c>
      <c r="B674" s="244" t="s">
        <v>118</v>
      </c>
      <c r="C674" s="244" t="s">
        <v>5</v>
      </c>
      <c r="D674" s="244" t="s">
        <v>8</v>
      </c>
      <c r="E674" s="245">
        <v>43617</v>
      </c>
      <c r="F674" s="118">
        <v>1016.96</v>
      </c>
      <c r="G674" s="118">
        <f>SUMIF(CONFERÊNCIA!A:A,A674,CONFERÊNCIA!J:J)</f>
        <v>1016.96</v>
      </c>
      <c r="H674" s="120">
        <f t="shared" si="39"/>
        <v>0</v>
      </c>
      <c r="I674" s="171" t="s">
        <v>1234</v>
      </c>
    </row>
    <row r="675" spans="1:9" s="110" customFormat="1" ht="13.5" customHeight="1" x14ac:dyDescent="0.2">
      <c r="A675" s="243">
        <v>113370</v>
      </c>
      <c r="B675" s="244" t="s">
        <v>737</v>
      </c>
      <c r="C675" s="244" t="s">
        <v>2</v>
      </c>
      <c r="D675" s="244" t="s">
        <v>0</v>
      </c>
      <c r="E675" s="245">
        <v>43617</v>
      </c>
      <c r="F675" s="118">
        <v>1016.96</v>
      </c>
      <c r="G675" s="118">
        <f>SUMIF(CONFERÊNCIA!A:A,A675,CONFERÊNCIA!J:J)</f>
        <v>1016.96</v>
      </c>
      <c r="H675" s="119">
        <f t="shared" si="39"/>
        <v>0</v>
      </c>
      <c r="I675" s="171" t="s">
        <v>1234</v>
      </c>
    </row>
    <row r="676" spans="1:9" s="125" customFormat="1" ht="13.5" customHeight="1" x14ac:dyDescent="0.2">
      <c r="A676" s="243">
        <v>113120</v>
      </c>
      <c r="B676" s="244" t="s">
        <v>598</v>
      </c>
      <c r="C676" s="244" t="s">
        <v>39</v>
      </c>
      <c r="D676" s="244" t="s">
        <v>10</v>
      </c>
      <c r="E676" s="245">
        <v>43617</v>
      </c>
      <c r="F676" s="118">
        <v>1016.96</v>
      </c>
      <c r="G676" s="118">
        <f>SUMIF(CONFERÊNCIA!A:A,A676,CONFERÊNCIA!J:J)</f>
        <v>1016.96</v>
      </c>
      <c r="H676" s="120">
        <f t="shared" si="39"/>
        <v>0</v>
      </c>
      <c r="I676" s="171" t="s">
        <v>1234</v>
      </c>
    </row>
    <row r="677" spans="1:9" s="110" customFormat="1" ht="13.5" customHeight="1" x14ac:dyDescent="0.2">
      <c r="A677" s="243">
        <v>112909</v>
      </c>
      <c r="B677" s="244" t="s">
        <v>493</v>
      </c>
      <c r="C677" s="244" t="s">
        <v>2</v>
      </c>
      <c r="D677" s="244" t="s">
        <v>8</v>
      </c>
      <c r="E677" s="245">
        <v>43617</v>
      </c>
      <c r="F677" s="118">
        <v>1016.96</v>
      </c>
      <c r="G677" s="118">
        <f>SUMIF(CONFERÊNCIA!A:A,A677,CONFERÊNCIA!J:J)</f>
        <v>1016.96</v>
      </c>
      <c r="H677" s="119">
        <f t="shared" si="39"/>
        <v>0</v>
      </c>
      <c r="I677" s="171" t="s">
        <v>1234</v>
      </c>
    </row>
    <row r="678" spans="1:9" s="125" customFormat="1" ht="13.5" customHeight="1" x14ac:dyDescent="0.2">
      <c r="A678" s="243">
        <v>112204</v>
      </c>
      <c r="B678" s="244" t="s">
        <v>33</v>
      </c>
      <c r="C678" s="244" t="s">
        <v>5</v>
      </c>
      <c r="D678" s="244" t="s">
        <v>10</v>
      </c>
      <c r="E678" s="245">
        <v>43617</v>
      </c>
      <c r="F678" s="118">
        <v>1016.96</v>
      </c>
      <c r="G678" s="118">
        <f>SUMIF(CONFERÊNCIA!A:A,A678,CONFERÊNCIA!J:J)</f>
        <v>1016.96</v>
      </c>
      <c r="H678" s="120">
        <f t="shared" si="39"/>
        <v>0</v>
      </c>
      <c r="I678" s="171" t="s">
        <v>1234</v>
      </c>
    </row>
    <row r="679" spans="1:9" s="125" customFormat="1" ht="13.5" customHeight="1" x14ac:dyDescent="0.2">
      <c r="A679" s="243">
        <v>113715</v>
      </c>
      <c r="B679" s="244" t="s">
        <v>934</v>
      </c>
      <c r="C679" s="244" t="s">
        <v>935</v>
      </c>
      <c r="D679" s="244" t="s">
        <v>1589</v>
      </c>
      <c r="E679" s="245">
        <v>43619</v>
      </c>
      <c r="F679" s="118">
        <v>1016.96</v>
      </c>
      <c r="G679" s="118">
        <f>SUMIF(CONFERÊNCIA!A:A,A679,CONFERÊNCIA!J:J)</f>
        <v>1016.96</v>
      </c>
      <c r="H679" s="120">
        <f t="shared" si="39"/>
        <v>0</v>
      </c>
      <c r="I679" s="171" t="s">
        <v>1234</v>
      </c>
    </row>
    <row r="680" spans="1:9" s="110" customFormat="1" ht="13.5" customHeight="1" x14ac:dyDescent="0.2">
      <c r="A680" s="243">
        <v>112232</v>
      </c>
      <c r="B680" s="244" t="s">
        <v>53</v>
      </c>
      <c r="C680" s="244" t="s">
        <v>2</v>
      </c>
      <c r="D680" s="244" t="s">
        <v>10</v>
      </c>
      <c r="E680" s="245">
        <v>43617</v>
      </c>
      <c r="F680" s="118">
        <v>1016.96</v>
      </c>
      <c r="G680" s="118">
        <f>SUMIF(CONFERÊNCIA!A:A,A680,CONFERÊNCIA!J:J)</f>
        <v>1016.96</v>
      </c>
      <c r="H680" s="119">
        <f t="shared" si="39"/>
        <v>0</v>
      </c>
      <c r="I680" s="171" t="s">
        <v>1234</v>
      </c>
    </row>
    <row r="681" spans="1:9" s="125" customFormat="1" ht="13.5" customHeight="1" x14ac:dyDescent="0.2">
      <c r="A681" s="243">
        <v>113021</v>
      </c>
      <c r="B681" s="244" t="s">
        <v>53</v>
      </c>
      <c r="C681" s="244" t="s">
        <v>2</v>
      </c>
      <c r="D681" s="244" t="s">
        <v>19</v>
      </c>
      <c r="E681" s="245">
        <v>43620</v>
      </c>
      <c r="F681" s="118">
        <v>1016.96</v>
      </c>
      <c r="G681" s="118">
        <f>SUMIF(CONFERÊNCIA!A:A,A681,CONFERÊNCIA!J:J)</f>
        <v>1016.96</v>
      </c>
      <c r="H681" s="120">
        <f t="shared" si="39"/>
        <v>0</v>
      </c>
      <c r="I681" s="171" t="s">
        <v>1234</v>
      </c>
    </row>
    <row r="682" spans="1:9" s="110" customFormat="1" ht="13.5" customHeight="1" x14ac:dyDescent="0.2">
      <c r="A682" s="243">
        <v>113373</v>
      </c>
      <c r="B682" s="244" t="s">
        <v>53</v>
      </c>
      <c r="C682" s="244" t="s">
        <v>2</v>
      </c>
      <c r="D682" s="244" t="s">
        <v>0</v>
      </c>
      <c r="E682" s="245">
        <v>43617</v>
      </c>
      <c r="F682" s="118">
        <v>1016.96</v>
      </c>
      <c r="G682" s="118">
        <f>SUMIF(CONFERÊNCIA!A:A,A682,CONFERÊNCIA!J:J)</f>
        <v>1016.96</v>
      </c>
      <c r="H682" s="119">
        <f t="shared" si="39"/>
        <v>0</v>
      </c>
      <c r="I682" s="171" t="s">
        <v>1234</v>
      </c>
    </row>
    <row r="683" spans="1:9" s="125" customFormat="1" ht="13.5" customHeight="1" x14ac:dyDescent="0.2">
      <c r="A683" s="243">
        <v>113420</v>
      </c>
      <c r="B683" s="244" t="s">
        <v>53</v>
      </c>
      <c r="C683" s="244" t="s">
        <v>2</v>
      </c>
      <c r="D683" s="244" t="s">
        <v>0</v>
      </c>
      <c r="E683" s="245">
        <v>43617</v>
      </c>
      <c r="F683" s="118">
        <v>1016.96</v>
      </c>
      <c r="G683" s="118">
        <f>SUMIF(CONFERÊNCIA!A:A,A683,CONFERÊNCIA!J:J)</f>
        <v>1016.96</v>
      </c>
      <c r="H683" s="120">
        <f t="shared" si="39"/>
        <v>0</v>
      </c>
      <c r="I683" s="171" t="s">
        <v>1234</v>
      </c>
    </row>
    <row r="684" spans="1:9" s="110" customFormat="1" ht="13.5" customHeight="1" x14ac:dyDescent="0.2">
      <c r="A684" s="243">
        <v>112917</v>
      </c>
      <c r="B684" s="244" t="s">
        <v>350</v>
      </c>
      <c r="C684" s="244" t="s">
        <v>2</v>
      </c>
      <c r="D684" s="244" t="s">
        <v>8</v>
      </c>
      <c r="E684" s="245">
        <v>43617</v>
      </c>
      <c r="F684" s="118">
        <v>1016.96</v>
      </c>
      <c r="G684" s="118">
        <f>SUMIF(CONFERÊNCIA!A:A,A684,CONFERÊNCIA!J:J)</f>
        <v>1016.96</v>
      </c>
      <c r="H684" s="119">
        <f t="shared" si="39"/>
        <v>0</v>
      </c>
      <c r="I684" s="171" t="s">
        <v>1234</v>
      </c>
    </row>
    <row r="685" spans="1:9" s="125" customFormat="1" ht="13.5" customHeight="1" x14ac:dyDescent="0.2">
      <c r="A685" s="243">
        <v>112341</v>
      </c>
      <c r="B685" s="244" t="s">
        <v>121</v>
      </c>
      <c r="C685" s="244" t="s">
        <v>5</v>
      </c>
      <c r="D685" s="244" t="s">
        <v>8</v>
      </c>
      <c r="E685" s="245">
        <v>43617</v>
      </c>
      <c r="F685" s="118">
        <v>1016.96</v>
      </c>
      <c r="G685" s="118">
        <f>SUMIF(CONFERÊNCIA!A:A,A685,CONFERÊNCIA!J:J)</f>
        <v>1016.96</v>
      </c>
      <c r="H685" s="120">
        <f t="shared" si="39"/>
        <v>0</v>
      </c>
      <c r="I685" s="171" t="s">
        <v>1234</v>
      </c>
    </row>
    <row r="686" spans="1:9" s="125" customFormat="1" ht="13.5" customHeight="1" x14ac:dyDescent="0.2">
      <c r="A686" s="243">
        <v>112236</v>
      </c>
      <c r="B686" s="244" t="s">
        <v>55</v>
      </c>
      <c r="C686" s="244" t="s">
        <v>2</v>
      </c>
      <c r="D686" s="244" t="s">
        <v>19</v>
      </c>
      <c r="E686" s="245">
        <v>43617</v>
      </c>
      <c r="F686" s="118">
        <v>1016.96</v>
      </c>
      <c r="G686" s="118">
        <f>SUMIF(CONFERÊNCIA!A:A,A686,CONFERÊNCIA!J:J)</f>
        <v>1016.96</v>
      </c>
      <c r="H686" s="120">
        <f t="shared" si="39"/>
        <v>0</v>
      </c>
      <c r="I686" s="171" t="s">
        <v>1234</v>
      </c>
    </row>
    <row r="687" spans="1:9" s="110" customFormat="1" ht="13.5" customHeight="1" x14ac:dyDescent="0.2">
      <c r="A687" s="243">
        <v>112991</v>
      </c>
      <c r="B687" s="244" t="s">
        <v>536</v>
      </c>
      <c r="C687" s="244" t="s">
        <v>146</v>
      </c>
      <c r="D687" s="244" t="s">
        <v>19</v>
      </c>
      <c r="E687" s="245">
        <v>43617</v>
      </c>
      <c r="F687" s="118">
        <v>1016.96</v>
      </c>
      <c r="G687" s="118">
        <f>SUMIF(CONFERÊNCIA!A:A,A687,CONFERÊNCIA!J:J)</f>
        <v>1016.96</v>
      </c>
      <c r="H687" s="119">
        <f t="shared" ref="H687:H707" si="40">G687-F687</f>
        <v>0</v>
      </c>
      <c r="I687" s="171" t="s">
        <v>1234</v>
      </c>
    </row>
    <row r="688" spans="1:9" s="125" customFormat="1" ht="13.5" customHeight="1" x14ac:dyDescent="0.2">
      <c r="A688" s="243">
        <v>113422</v>
      </c>
      <c r="B688" s="244" t="s">
        <v>773</v>
      </c>
      <c r="C688" s="244" t="s">
        <v>2</v>
      </c>
      <c r="D688" s="244" t="s">
        <v>0</v>
      </c>
      <c r="E688" s="245">
        <v>43617</v>
      </c>
      <c r="F688" s="118">
        <v>1016.96</v>
      </c>
      <c r="G688" s="118">
        <f>SUMIF(CONFERÊNCIA!A:A,A688,CONFERÊNCIA!J:J)</f>
        <v>1016.96</v>
      </c>
      <c r="H688" s="120">
        <f t="shared" si="40"/>
        <v>0</v>
      </c>
      <c r="I688" s="171" t="s">
        <v>1234</v>
      </c>
    </row>
    <row r="689" spans="1:9" s="110" customFormat="1" ht="13.5" customHeight="1" x14ac:dyDescent="0.2">
      <c r="A689" s="243">
        <v>113375</v>
      </c>
      <c r="B689" s="244" t="s">
        <v>739</v>
      </c>
      <c r="C689" s="244" t="s">
        <v>2</v>
      </c>
      <c r="D689" s="244" t="s">
        <v>0</v>
      </c>
      <c r="E689" s="245">
        <v>43617</v>
      </c>
      <c r="F689" s="118">
        <v>1016.96</v>
      </c>
      <c r="G689" s="118">
        <f>SUMIF(CONFERÊNCIA!A:A,A689,CONFERÊNCIA!J:J)</f>
        <v>1016.96</v>
      </c>
      <c r="H689" s="119">
        <f t="shared" si="40"/>
        <v>0</v>
      </c>
      <c r="I689" s="171" t="s">
        <v>1234</v>
      </c>
    </row>
    <row r="690" spans="1:9" s="125" customFormat="1" ht="13.5" customHeight="1" x14ac:dyDescent="0.2">
      <c r="A690" s="243">
        <v>112921</v>
      </c>
      <c r="B690" s="244" t="s">
        <v>499</v>
      </c>
      <c r="C690" s="244" t="s">
        <v>2</v>
      </c>
      <c r="D690" s="244" t="s">
        <v>8</v>
      </c>
      <c r="E690" s="245">
        <v>43617</v>
      </c>
      <c r="F690" s="118">
        <v>1016.96</v>
      </c>
      <c r="G690" s="118">
        <f>SUMIF(CONFERÊNCIA!A:A,A690,CONFERÊNCIA!J:J)</f>
        <v>0</v>
      </c>
      <c r="H690" s="120">
        <f t="shared" si="40"/>
        <v>-1016.96</v>
      </c>
      <c r="I690" s="171" t="s">
        <v>1293</v>
      </c>
    </row>
    <row r="691" spans="1:9" s="125" customFormat="1" ht="13.5" customHeight="1" x14ac:dyDescent="0.2">
      <c r="A691" s="243">
        <v>112346</v>
      </c>
      <c r="B691" s="244" t="s">
        <v>123</v>
      </c>
      <c r="C691" s="244" t="s">
        <v>5</v>
      </c>
      <c r="D691" s="244" t="s">
        <v>8</v>
      </c>
      <c r="E691" s="245">
        <v>43617</v>
      </c>
      <c r="F691" s="118">
        <v>1016.96</v>
      </c>
      <c r="G691" s="118">
        <f>SUMIF(CONFERÊNCIA!A:A,A691,CONFERÊNCIA!J:J)</f>
        <v>1016.96</v>
      </c>
      <c r="H691" s="120">
        <f t="shared" si="40"/>
        <v>0</v>
      </c>
      <c r="I691" s="171" t="s">
        <v>1234</v>
      </c>
    </row>
    <row r="692" spans="1:9" s="125" customFormat="1" ht="13.5" customHeight="1" x14ac:dyDescent="0.2">
      <c r="A692" s="243">
        <v>112208</v>
      </c>
      <c r="B692" s="244" t="s">
        <v>35</v>
      </c>
      <c r="C692" s="244" t="s">
        <v>5</v>
      </c>
      <c r="D692" s="244" t="s">
        <v>10</v>
      </c>
      <c r="E692" s="245">
        <v>43617</v>
      </c>
      <c r="F692" s="118">
        <v>978.67000000000007</v>
      </c>
      <c r="G692" s="118">
        <f>SUMIF(CONFERÊNCIA!A:A,A692,CONFERÊNCIA!J:J)</f>
        <v>1016.96</v>
      </c>
      <c r="H692" s="120">
        <f t="shared" si="40"/>
        <v>38.289999999999964</v>
      </c>
      <c r="I692" s="171" t="s">
        <v>1234</v>
      </c>
    </row>
    <row r="693" spans="1:9" s="125" customFormat="1" ht="13.5" customHeight="1" x14ac:dyDescent="0.2">
      <c r="A693" s="243">
        <v>114541</v>
      </c>
      <c r="B693" s="244" t="s">
        <v>1056</v>
      </c>
      <c r="C693" s="244" t="s">
        <v>5</v>
      </c>
      <c r="D693" s="244" t="s">
        <v>10</v>
      </c>
      <c r="E693" s="245">
        <v>43817</v>
      </c>
      <c r="F693" s="118">
        <v>1016.96</v>
      </c>
      <c r="G693" s="118">
        <f>SUMIF(CONFERÊNCIA!A:A,A693,CONFERÊNCIA!J:J)</f>
        <v>978.67000000000007</v>
      </c>
      <c r="H693" s="120">
        <f t="shared" si="40"/>
        <v>-38.289999999999964</v>
      </c>
      <c r="I693" s="171" t="s">
        <v>1234</v>
      </c>
    </row>
    <row r="694" spans="1:9" s="110" customFormat="1" ht="13.5" customHeight="1" x14ac:dyDescent="0.2">
      <c r="A694" s="243">
        <v>112238</v>
      </c>
      <c r="B694" s="244" t="s">
        <v>44</v>
      </c>
      <c r="C694" s="244" t="s">
        <v>2</v>
      </c>
      <c r="D694" s="244" t="s">
        <v>10</v>
      </c>
      <c r="E694" s="245">
        <v>43617</v>
      </c>
      <c r="F694" s="118">
        <v>1016.96</v>
      </c>
      <c r="G694" s="118">
        <f>SUMIF(CONFERÊNCIA!A:A,A694,CONFERÊNCIA!J:J)</f>
        <v>1016.96</v>
      </c>
      <c r="H694" s="119">
        <f t="shared" si="40"/>
        <v>0</v>
      </c>
      <c r="I694" s="171" t="s">
        <v>1234</v>
      </c>
    </row>
    <row r="695" spans="1:9" s="125" customFormat="1" ht="13.5" customHeight="1" x14ac:dyDescent="0.2">
      <c r="A695" s="243">
        <v>112924</v>
      </c>
      <c r="B695" s="244" t="s">
        <v>501</v>
      </c>
      <c r="C695" s="244" t="s">
        <v>2</v>
      </c>
      <c r="D695" s="244" t="s">
        <v>8</v>
      </c>
      <c r="E695" s="245">
        <v>43617</v>
      </c>
      <c r="F695" s="118">
        <v>1016.96</v>
      </c>
      <c r="G695" s="118">
        <f>SUMIF(CONFERÊNCIA!A:A,A695,CONFERÊNCIA!J:J)</f>
        <v>1016.96</v>
      </c>
      <c r="H695" s="120">
        <f t="shared" si="40"/>
        <v>0</v>
      </c>
      <c r="I695" s="171" t="s">
        <v>1234</v>
      </c>
    </row>
    <row r="696" spans="1:9" s="110" customFormat="1" ht="13.5" customHeight="1" x14ac:dyDescent="0.2">
      <c r="A696" s="243">
        <v>122251</v>
      </c>
      <c r="B696" s="244" t="s">
        <v>1666</v>
      </c>
      <c r="C696" s="244" t="s">
        <v>5</v>
      </c>
      <c r="D696" s="244" t="s">
        <v>8</v>
      </c>
      <c r="E696" s="245">
        <v>45089</v>
      </c>
      <c r="F696" s="118">
        <v>1016.96</v>
      </c>
      <c r="G696" s="118">
        <f>SUMIF(CONFERÊNCIA!A:A,A696,CONFERÊNCIA!J:J)</f>
        <v>1016.96</v>
      </c>
      <c r="H696" s="119">
        <f t="shared" si="40"/>
        <v>0</v>
      </c>
      <c r="I696" s="171" t="s">
        <v>1234</v>
      </c>
    </row>
    <row r="697" spans="1:9" s="125" customFormat="1" ht="13.5" customHeight="1" x14ac:dyDescent="0.2">
      <c r="A697" s="243">
        <v>113363</v>
      </c>
      <c r="B697" s="244" t="s">
        <v>731</v>
      </c>
      <c r="C697" s="244" t="s">
        <v>2</v>
      </c>
      <c r="D697" s="244" t="s">
        <v>0</v>
      </c>
      <c r="E697" s="245">
        <v>43617</v>
      </c>
      <c r="F697" s="118">
        <v>1016.96</v>
      </c>
      <c r="G697" s="118">
        <f>SUMIF(CONFERÊNCIA!A:A,A697,CONFERÊNCIA!J:J)</f>
        <v>1016.96</v>
      </c>
      <c r="H697" s="120">
        <f t="shared" si="40"/>
        <v>0</v>
      </c>
      <c r="I697" s="171" t="s">
        <v>1234</v>
      </c>
    </row>
    <row r="698" spans="1:9" s="110" customFormat="1" ht="13.5" customHeight="1" x14ac:dyDescent="0.2">
      <c r="A698" s="243">
        <v>112245</v>
      </c>
      <c r="B698" s="244" t="s">
        <v>60</v>
      </c>
      <c r="C698" s="244" t="s">
        <v>2</v>
      </c>
      <c r="D698" s="244" t="s">
        <v>10</v>
      </c>
      <c r="E698" s="245">
        <v>43617</v>
      </c>
      <c r="F698" s="118">
        <v>1016.96</v>
      </c>
      <c r="G698" s="118">
        <f>SUMIF(CONFERÊNCIA!A:A,A698,CONFERÊNCIA!J:J)</f>
        <v>1016.96</v>
      </c>
      <c r="H698" s="119">
        <f t="shared" si="40"/>
        <v>0</v>
      </c>
      <c r="I698" s="171" t="s">
        <v>1234</v>
      </c>
    </row>
    <row r="699" spans="1:9" s="110" customFormat="1" ht="13.5" customHeight="1" x14ac:dyDescent="0.2">
      <c r="A699" s="243">
        <v>116654</v>
      </c>
      <c r="B699" s="244" t="s">
        <v>959</v>
      </c>
      <c r="C699" s="244" t="s">
        <v>960</v>
      </c>
      <c r="D699" s="244" t="s">
        <v>1252</v>
      </c>
      <c r="E699" s="245">
        <v>44370</v>
      </c>
      <c r="F699" s="118">
        <v>1016.96</v>
      </c>
      <c r="G699" s="118">
        <f>SUMIF(CONFERÊNCIA!A:A,A699,CONFERÊNCIA!J:J)</f>
        <v>1016.96</v>
      </c>
      <c r="H699" s="119">
        <f t="shared" si="40"/>
        <v>0</v>
      </c>
      <c r="I699" s="171" t="s">
        <v>1234</v>
      </c>
    </row>
    <row r="700" spans="1:9" s="125" customFormat="1" ht="13.5" customHeight="1" x14ac:dyDescent="0.2">
      <c r="A700" s="243">
        <v>112349</v>
      </c>
      <c r="B700" s="244" t="s">
        <v>125</v>
      </c>
      <c r="C700" s="244" t="s">
        <v>5</v>
      </c>
      <c r="D700" s="244" t="s">
        <v>8</v>
      </c>
      <c r="E700" s="245">
        <v>43617</v>
      </c>
      <c r="F700" s="118">
        <v>1016.96</v>
      </c>
      <c r="G700" s="118">
        <f>SUMIF(CONFERÊNCIA!A:A,A700,CONFERÊNCIA!J:J)</f>
        <v>1016.96</v>
      </c>
      <c r="H700" s="120">
        <f t="shared" si="40"/>
        <v>0</v>
      </c>
      <c r="I700" s="171" t="s">
        <v>1234</v>
      </c>
    </row>
    <row r="701" spans="1:9" s="110" customFormat="1" ht="13.5" customHeight="1" x14ac:dyDescent="0.2">
      <c r="A701" s="243">
        <v>112926</v>
      </c>
      <c r="B701" s="244" t="s">
        <v>502</v>
      </c>
      <c r="C701" s="244" t="s">
        <v>2</v>
      </c>
      <c r="D701" s="244" t="s">
        <v>8</v>
      </c>
      <c r="E701" s="245">
        <v>43617</v>
      </c>
      <c r="F701" s="118">
        <v>1016.96</v>
      </c>
      <c r="G701" s="118">
        <f>SUMIF(CONFERÊNCIA!A:A,A701,CONFERÊNCIA!J:J)</f>
        <v>1016.96</v>
      </c>
      <c r="H701" s="119">
        <f t="shared" si="40"/>
        <v>0</v>
      </c>
      <c r="I701" s="171" t="s">
        <v>1234</v>
      </c>
    </row>
    <row r="702" spans="1:9" s="125" customFormat="1" ht="13.5" customHeight="1" x14ac:dyDescent="0.2">
      <c r="A702" s="243">
        <v>122252</v>
      </c>
      <c r="B702" s="244" t="s">
        <v>1667</v>
      </c>
      <c r="C702" s="244" t="s">
        <v>5</v>
      </c>
      <c r="D702" s="244" t="s">
        <v>1589</v>
      </c>
      <c r="E702" s="245">
        <v>45089</v>
      </c>
      <c r="F702" s="118">
        <v>1016.96</v>
      </c>
      <c r="G702" s="118">
        <f>SUMIF(CONFERÊNCIA!A:A,A702,CONFERÊNCIA!J:J)</f>
        <v>1016.96</v>
      </c>
      <c r="H702" s="120">
        <f t="shared" si="40"/>
        <v>0</v>
      </c>
      <c r="I702" s="171" t="s">
        <v>1234</v>
      </c>
    </row>
    <row r="703" spans="1:9" s="110" customFormat="1" ht="13.5" customHeight="1" x14ac:dyDescent="0.2">
      <c r="A703" s="243">
        <v>112248</v>
      </c>
      <c r="B703" s="244" t="s">
        <v>61</v>
      </c>
      <c r="C703" s="244" t="s">
        <v>2</v>
      </c>
      <c r="D703" s="244" t="s">
        <v>10</v>
      </c>
      <c r="E703" s="245">
        <v>43617</v>
      </c>
      <c r="F703" s="118">
        <v>1016.96</v>
      </c>
      <c r="G703" s="118">
        <f>SUMIF(CONFERÊNCIA!A:A,A703,CONFERÊNCIA!J:J)</f>
        <v>1016.96</v>
      </c>
      <c r="H703" s="119">
        <f t="shared" si="40"/>
        <v>0</v>
      </c>
      <c r="I703" s="171" t="s">
        <v>1234</v>
      </c>
    </row>
    <row r="704" spans="1:9" s="125" customFormat="1" ht="13.5" customHeight="1" x14ac:dyDescent="0.2">
      <c r="A704" s="243">
        <v>113056</v>
      </c>
      <c r="B704" s="244" t="s">
        <v>564</v>
      </c>
      <c r="C704" s="244" t="s">
        <v>2</v>
      </c>
      <c r="D704" s="244" t="s">
        <v>19</v>
      </c>
      <c r="E704" s="245">
        <v>43617</v>
      </c>
      <c r="F704" s="118">
        <v>1016.96</v>
      </c>
      <c r="G704" s="118">
        <f>SUMIF(CONFERÊNCIA!A:A,A704,CONFERÊNCIA!J:J)</f>
        <v>1016.96</v>
      </c>
      <c r="H704" s="120">
        <f t="shared" si="40"/>
        <v>0</v>
      </c>
      <c r="I704" s="171" t="s">
        <v>1234</v>
      </c>
    </row>
    <row r="705" spans="1:9" s="125" customFormat="1" ht="13.5" customHeight="1" x14ac:dyDescent="0.2">
      <c r="A705" s="243">
        <v>112973</v>
      </c>
      <c r="B705" s="244" t="s">
        <v>527</v>
      </c>
      <c r="C705" s="244" t="s">
        <v>5</v>
      </c>
      <c r="D705" s="244" t="s">
        <v>19</v>
      </c>
      <c r="E705" s="245">
        <v>43617</v>
      </c>
      <c r="F705" s="118">
        <v>1016.96</v>
      </c>
      <c r="G705" s="118">
        <f>SUMIF(CONFERÊNCIA!A:A,A705,CONFERÊNCIA!J:J)</f>
        <v>1016.96</v>
      </c>
      <c r="H705" s="120">
        <f t="shared" si="40"/>
        <v>0</v>
      </c>
      <c r="I705" s="171" t="s">
        <v>1234</v>
      </c>
    </row>
    <row r="706" spans="1:9" s="125" customFormat="1" ht="13.5" customHeight="1" x14ac:dyDescent="0.2">
      <c r="A706" s="243">
        <v>117239</v>
      </c>
      <c r="B706" s="244" t="s">
        <v>1261</v>
      </c>
      <c r="C706" s="244" t="s">
        <v>5</v>
      </c>
      <c r="D706" s="244" t="s">
        <v>8</v>
      </c>
      <c r="E706" s="245">
        <v>44487</v>
      </c>
      <c r="F706" s="118">
        <v>1016.96</v>
      </c>
      <c r="G706" s="118">
        <f>SUMIF(CONFERÊNCIA!A:A,A706,CONFERÊNCIA!J:J)</f>
        <v>1016.96</v>
      </c>
      <c r="H706" s="120">
        <f t="shared" si="40"/>
        <v>0</v>
      </c>
      <c r="I706" s="171" t="s">
        <v>1234</v>
      </c>
    </row>
    <row r="707" spans="1:9" s="125" customFormat="1" ht="13.5" customHeight="1" x14ac:dyDescent="0.2">
      <c r="A707" s="243">
        <v>112459</v>
      </c>
      <c r="B707" s="244" t="s">
        <v>195</v>
      </c>
      <c r="C707" s="244" t="s">
        <v>771</v>
      </c>
      <c r="D707" s="244" t="s">
        <v>1589</v>
      </c>
      <c r="E707" s="245">
        <v>43617</v>
      </c>
      <c r="F707" s="118">
        <v>1016.96</v>
      </c>
      <c r="G707" s="118">
        <f>SUMIF(CONFERÊNCIA!A:A,A707,CONFERÊNCIA!J:J)</f>
        <v>1016.96</v>
      </c>
      <c r="H707" s="120">
        <f t="shared" si="40"/>
        <v>0</v>
      </c>
      <c r="I707" s="171" t="s">
        <v>1234</v>
      </c>
    </row>
    <row r="708" spans="1:9" s="110" customFormat="1" ht="13.5" customHeight="1" x14ac:dyDescent="0.2">
      <c r="A708" s="243">
        <v>113377</v>
      </c>
      <c r="B708" s="244" t="s">
        <v>741</v>
      </c>
      <c r="C708" s="244" t="s">
        <v>2</v>
      </c>
      <c r="D708" s="244" t="s">
        <v>0</v>
      </c>
      <c r="E708" s="245">
        <v>43617</v>
      </c>
      <c r="F708" s="118">
        <v>1016.96</v>
      </c>
      <c r="G708" s="118">
        <f>SUMIF(CONFERÊNCIA!A:A,A708,CONFERÊNCIA!J:J)</f>
        <v>1016.96</v>
      </c>
      <c r="H708" s="119">
        <f t="shared" ref="H708:H730" si="41">G708-F708</f>
        <v>0</v>
      </c>
      <c r="I708" s="171" t="s">
        <v>1235</v>
      </c>
    </row>
    <row r="709" spans="1:9" s="125" customFormat="1" ht="13.5" customHeight="1" x14ac:dyDescent="0.2">
      <c r="A709" s="243">
        <v>112307</v>
      </c>
      <c r="B709" s="244" t="s">
        <v>101</v>
      </c>
      <c r="C709" s="244" t="s">
        <v>2</v>
      </c>
      <c r="D709" s="244" t="s">
        <v>19</v>
      </c>
      <c r="E709" s="245">
        <v>43617</v>
      </c>
      <c r="F709" s="118">
        <v>1016.96</v>
      </c>
      <c r="G709" s="118">
        <f>SUMIF(CONFERÊNCIA!A:A,A709,CONFERÊNCIA!J:J)</f>
        <v>1016.96</v>
      </c>
      <c r="H709" s="120">
        <f t="shared" si="41"/>
        <v>0</v>
      </c>
      <c r="I709" s="171" t="s">
        <v>1234</v>
      </c>
    </row>
    <row r="710" spans="1:9" s="110" customFormat="1" ht="13.5" customHeight="1" x14ac:dyDescent="0.2">
      <c r="A710" s="243">
        <v>112927</v>
      </c>
      <c r="B710" s="244" t="s">
        <v>503</v>
      </c>
      <c r="C710" s="244" t="s">
        <v>2</v>
      </c>
      <c r="D710" s="244" t="s">
        <v>8</v>
      </c>
      <c r="E710" s="245">
        <v>43617</v>
      </c>
      <c r="F710" s="118">
        <v>1016.96</v>
      </c>
      <c r="G710" s="118">
        <f>SUMIF(CONFERÊNCIA!A:A,A710,CONFERÊNCIA!J:J)</f>
        <v>1016.96</v>
      </c>
      <c r="H710" s="119">
        <f t="shared" si="41"/>
        <v>0</v>
      </c>
      <c r="I710" s="171" t="s">
        <v>1234</v>
      </c>
    </row>
    <row r="711" spans="1:9" s="125" customFormat="1" ht="13.5" customHeight="1" x14ac:dyDescent="0.2">
      <c r="A711" s="243">
        <v>112959</v>
      </c>
      <c r="B711" s="244" t="s">
        <v>522</v>
      </c>
      <c r="C711" s="244" t="s">
        <v>5</v>
      </c>
      <c r="D711" s="244" t="s">
        <v>19</v>
      </c>
      <c r="E711" s="245">
        <v>43617</v>
      </c>
      <c r="F711" s="118">
        <v>978.67000000000007</v>
      </c>
      <c r="G711" s="118">
        <f>SUMIF(CONFERÊNCIA!A:A,A711,CONFERÊNCIA!J:J)</f>
        <v>1016.96</v>
      </c>
      <c r="H711" s="120">
        <f t="shared" si="41"/>
        <v>38.289999999999964</v>
      </c>
      <c r="I711" s="171" t="s">
        <v>1234</v>
      </c>
    </row>
    <row r="712" spans="1:9" s="110" customFormat="1" ht="13.5" customHeight="1" x14ac:dyDescent="0.2">
      <c r="A712" s="243">
        <v>112928</v>
      </c>
      <c r="B712" s="244" t="s">
        <v>504</v>
      </c>
      <c r="C712" s="244" t="s">
        <v>2</v>
      </c>
      <c r="D712" s="244" t="s">
        <v>8</v>
      </c>
      <c r="E712" s="245">
        <v>43617</v>
      </c>
      <c r="F712" s="118">
        <v>1016.96</v>
      </c>
      <c r="G712" s="118">
        <f>SUMIF(CONFERÊNCIA!A:A,A712,CONFERÊNCIA!J:J)</f>
        <v>1016.96</v>
      </c>
      <c r="H712" s="119">
        <f t="shared" si="41"/>
        <v>0</v>
      </c>
      <c r="I712" s="171" t="s">
        <v>1234</v>
      </c>
    </row>
    <row r="713" spans="1:9" s="125" customFormat="1" ht="13.5" customHeight="1" x14ac:dyDescent="0.2">
      <c r="A713" s="243">
        <v>114922</v>
      </c>
      <c r="B713" s="244" t="s">
        <v>1113</v>
      </c>
      <c r="C713" s="244" t="s">
        <v>22</v>
      </c>
      <c r="D713" s="244" t="s">
        <v>1589</v>
      </c>
      <c r="E713" s="245">
        <v>43916</v>
      </c>
      <c r="F713" s="118">
        <v>1016.96</v>
      </c>
      <c r="G713" s="118">
        <f>SUMIF(CONFERÊNCIA!A:A,A713,CONFERÊNCIA!J:J)</f>
        <v>1016.96</v>
      </c>
      <c r="H713" s="120">
        <f t="shared" si="41"/>
        <v>0</v>
      </c>
      <c r="I713" s="171" t="s">
        <v>1234</v>
      </c>
    </row>
    <row r="714" spans="1:9" s="110" customFormat="1" ht="13.5" customHeight="1" x14ac:dyDescent="0.2">
      <c r="A714" s="243">
        <v>112212</v>
      </c>
      <c r="B714" s="244" t="s">
        <v>37</v>
      </c>
      <c r="C714" s="244" t="s">
        <v>5</v>
      </c>
      <c r="D714" s="244" t="s">
        <v>10</v>
      </c>
      <c r="E714" s="245">
        <v>43617</v>
      </c>
      <c r="F714" s="118">
        <v>1016.96</v>
      </c>
      <c r="G714" s="118">
        <f>SUMIF(CONFERÊNCIA!A:A,A714,CONFERÊNCIA!J:J)</f>
        <v>1016.96</v>
      </c>
      <c r="H714" s="119">
        <f t="shared" si="41"/>
        <v>0</v>
      </c>
      <c r="I714" s="171" t="s">
        <v>1234</v>
      </c>
    </row>
    <row r="715" spans="1:9" s="125" customFormat="1" ht="13.5" customHeight="1" x14ac:dyDescent="0.2">
      <c r="A715" s="243">
        <v>118058</v>
      </c>
      <c r="B715" s="244" t="s">
        <v>1408</v>
      </c>
      <c r="C715" s="244" t="s">
        <v>5</v>
      </c>
      <c r="D715" s="244" t="s">
        <v>0</v>
      </c>
      <c r="E715" s="245">
        <v>44567</v>
      </c>
      <c r="F715" s="118">
        <v>978.67000000000007</v>
      </c>
      <c r="G715" s="118">
        <f>SUMIF(CONFERÊNCIA!A:A,A715,CONFERÊNCIA!J:J)</f>
        <v>1016.96</v>
      </c>
      <c r="H715" s="120">
        <f t="shared" si="41"/>
        <v>38.289999999999964</v>
      </c>
      <c r="I715" s="171" t="s">
        <v>1234</v>
      </c>
    </row>
    <row r="716" spans="1:9" s="125" customFormat="1" ht="13.5" customHeight="1" x14ac:dyDescent="0.2">
      <c r="A716" s="243">
        <v>113082</v>
      </c>
      <c r="B716" s="244" t="s">
        <v>579</v>
      </c>
      <c r="C716" s="244" t="s">
        <v>2</v>
      </c>
      <c r="D716" s="244" t="s">
        <v>0</v>
      </c>
      <c r="E716" s="245">
        <v>43617</v>
      </c>
      <c r="F716" s="118">
        <v>359.46</v>
      </c>
      <c r="G716" s="118">
        <f>SUMIF(CONFERÊNCIA!A:A,A716,CONFERÊNCIA!J:J)</f>
        <v>359.46</v>
      </c>
      <c r="H716" s="120">
        <f t="shared" si="41"/>
        <v>0</v>
      </c>
      <c r="I716" s="171" t="s">
        <v>1731</v>
      </c>
    </row>
    <row r="717" spans="1:9" s="110" customFormat="1" ht="13.5" customHeight="1" x14ac:dyDescent="0.2">
      <c r="A717" s="243">
        <v>112465</v>
      </c>
      <c r="B717" s="244" t="s">
        <v>197</v>
      </c>
      <c r="C717" s="244" t="s">
        <v>2</v>
      </c>
      <c r="D717" s="244" t="s">
        <v>8</v>
      </c>
      <c r="E717" s="245">
        <v>43617</v>
      </c>
      <c r="F717" s="118">
        <v>1016.96</v>
      </c>
      <c r="G717" s="118">
        <f>SUMIF(CONFERÊNCIA!A:A,A717,CONFERÊNCIA!J:J)</f>
        <v>1016.96</v>
      </c>
      <c r="H717" s="119">
        <f t="shared" si="41"/>
        <v>0</v>
      </c>
      <c r="I717" s="171" t="s">
        <v>1234</v>
      </c>
    </row>
    <row r="718" spans="1:9" s="110" customFormat="1" ht="13.5" customHeight="1" x14ac:dyDescent="0.2">
      <c r="A718" s="243">
        <v>113729</v>
      </c>
      <c r="B718" s="244" t="s">
        <v>947</v>
      </c>
      <c r="C718" s="244" t="s">
        <v>700</v>
      </c>
      <c r="D718" s="244" t="s">
        <v>1589</v>
      </c>
      <c r="E718" s="245">
        <v>43619</v>
      </c>
      <c r="F718" s="118">
        <v>1016.96</v>
      </c>
      <c r="G718" s="118">
        <f>SUMIF(CONFERÊNCIA!A:A,A718,CONFERÊNCIA!J:J)</f>
        <v>1016.96</v>
      </c>
      <c r="H718" s="119">
        <f t="shared" si="41"/>
        <v>0</v>
      </c>
      <c r="I718" s="171" t="s">
        <v>1234</v>
      </c>
    </row>
    <row r="719" spans="1:9" s="125" customFormat="1" ht="13.5" customHeight="1" x14ac:dyDescent="0.2">
      <c r="A719" s="243">
        <v>113645</v>
      </c>
      <c r="B719" s="244" t="s">
        <v>894</v>
      </c>
      <c r="C719" s="244" t="s">
        <v>15</v>
      </c>
      <c r="D719" s="244" t="s">
        <v>1589</v>
      </c>
      <c r="E719" s="245">
        <v>43617</v>
      </c>
      <c r="F719" s="118">
        <v>1016.96</v>
      </c>
      <c r="G719" s="118">
        <f>SUMIF(CONFERÊNCIA!A:A,A719,CONFERÊNCIA!J:J)</f>
        <v>1016.96</v>
      </c>
      <c r="H719" s="120">
        <f t="shared" si="41"/>
        <v>0</v>
      </c>
      <c r="I719" s="171" t="s">
        <v>1235</v>
      </c>
    </row>
    <row r="720" spans="1:9" s="125" customFormat="1" ht="13.5" customHeight="1" x14ac:dyDescent="0.2">
      <c r="A720" s="243">
        <v>113649</v>
      </c>
      <c r="B720" s="244" t="s">
        <v>897</v>
      </c>
      <c r="C720" s="244" t="s">
        <v>413</v>
      </c>
      <c r="D720" s="244" t="s">
        <v>1589</v>
      </c>
      <c r="E720" s="245">
        <v>43617</v>
      </c>
      <c r="F720" s="118">
        <v>1016.96</v>
      </c>
      <c r="G720" s="118">
        <f>SUMIF(CONFERÊNCIA!A:A,A720,CONFERÊNCIA!J:J)</f>
        <v>1016.96</v>
      </c>
      <c r="H720" s="120">
        <f t="shared" si="41"/>
        <v>0</v>
      </c>
      <c r="I720" s="171" t="s">
        <v>1234</v>
      </c>
    </row>
    <row r="721" spans="1:9" s="110" customFormat="1" ht="13.5" customHeight="1" x14ac:dyDescent="0.2">
      <c r="A721" s="243">
        <v>119920</v>
      </c>
      <c r="B721" s="244" t="s">
        <v>1485</v>
      </c>
      <c r="C721" s="244" t="s">
        <v>15</v>
      </c>
      <c r="D721" s="244" t="s">
        <v>1589</v>
      </c>
      <c r="E721" s="245">
        <v>44760</v>
      </c>
      <c r="F721" s="118">
        <v>1016.96</v>
      </c>
      <c r="G721" s="118">
        <f>SUMIF(CONFERÊNCIA!A:A,A721,CONFERÊNCIA!J:J)</f>
        <v>1016.96</v>
      </c>
      <c r="H721" s="119">
        <f t="shared" si="41"/>
        <v>0</v>
      </c>
      <c r="I721" s="171" t="s">
        <v>1235</v>
      </c>
    </row>
    <row r="722" spans="1:9" s="125" customFormat="1" ht="13.5" customHeight="1" x14ac:dyDescent="0.2">
      <c r="A722" s="243">
        <v>113125</v>
      </c>
      <c r="B722" s="244" t="s">
        <v>601</v>
      </c>
      <c r="C722" s="244" t="s">
        <v>22</v>
      </c>
      <c r="D722" s="244" t="s">
        <v>1589</v>
      </c>
      <c r="E722" s="245">
        <v>43617</v>
      </c>
      <c r="F722" s="118">
        <v>1016.96</v>
      </c>
      <c r="G722" s="118">
        <f>SUMIF(CONFERÊNCIA!A:A,A722,CONFERÊNCIA!J:J)</f>
        <v>1016.96</v>
      </c>
      <c r="H722" s="120">
        <f t="shared" si="41"/>
        <v>0</v>
      </c>
      <c r="I722" s="171" t="s">
        <v>1234</v>
      </c>
    </row>
    <row r="723" spans="1:9" s="125" customFormat="1" ht="13.5" customHeight="1" x14ac:dyDescent="0.2">
      <c r="A723" s="243">
        <v>113339</v>
      </c>
      <c r="B723" s="244" t="s">
        <v>717</v>
      </c>
      <c r="C723" s="244" t="s">
        <v>385</v>
      </c>
      <c r="D723" s="244" t="s">
        <v>1589</v>
      </c>
      <c r="E723" s="245">
        <v>43617</v>
      </c>
      <c r="F723" s="118">
        <v>1016.96</v>
      </c>
      <c r="G723" s="118">
        <f>SUMIF(CONFERÊNCIA!A:A,A723,CONFERÊNCIA!J:J)</f>
        <v>1016.96</v>
      </c>
      <c r="H723" s="120">
        <f t="shared" si="41"/>
        <v>0</v>
      </c>
      <c r="I723" s="171" t="s">
        <v>1234</v>
      </c>
    </row>
    <row r="724" spans="1:9" s="110" customFormat="1" ht="13.5" customHeight="1" x14ac:dyDescent="0.2">
      <c r="A724" s="243">
        <v>112515</v>
      </c>
      <c r="B724" s="244" t="s">
        <v>232</v>
      </c>
      <c r="C724" s="244" t="s">
        <v>146</v>
      </c>
      <c r="D724" s="244" t="s">
        <v>8</v>
      </c>
      <c r="E724" s="245">
        <v>43617</v>
      </c>
      <c r="F724" s="118">
        <v>1016.96</v>
      </c>
      <c r="G724" s="118">
        <f>SUMIF(CONFERÊNCIA!A:A,A724,CONFERÊNCIA!J:J)</f>
        <v>1016.96</v>
      </c>
      <c r="H724" s="119">
        <f t="shared" si="41"/>
        <v>0</v>
      </c>
      <c r="I724" s="171" t="s">
        <v>1234</v>
      </c>
    </row>
    <row r="725" spans="1:9" s="110" customFormat="1" ht="13.5" customHeight="1" x14ac:dyDescent="0.2">
      <c r="A725" s="243">
        <v>122561</v>
      </c>
      <c r="B725" s="244" t="s">
        <v>1704</v>
      </c>
      <c r="C725" s="244" t="s">
        <v>5</v>
      </c>
      <c r="D725" s="244" t="s">
        <v>32</v>
      </c>
      <c r="E725" s="245">
        <v>45131</v>
      </c>
      <c r="F725" s="118">
        <v>1290.76</v>
      </c>
      <c r="G725" s="118">
        <f>SUMIF(CONFERÊNCIA!A:A,A725,CONFERÊNCIA!J:J)</f>
        <v>1016.96</v>
      </c>
      <c r="H725" s="119">
        <f t="shared" si="41"/>
        <v>-273.79999999999995</v>
      </c>
      <c r="I725" s="171" t="s">
        <v>1234</v>
      </c>
    </row>
    <row r="726" spans="1:9" s="125" customFormat="1" ht="13.5" customHeight="1" x14ac:dyDescent="0.2">
      <c r="A726" s="243">
        <v>113435</v>
      </c>
      <c r="B726" s="244" t="s">
        <v>779</v>
      </c>
      <c r="C726" s="244" t="s">
        <v>2</v>
      </c>
      <c r="D726" s="244" t="s">
        <v>0</v>
      </c>
      <c r="E726" s="245">
        <v>43617</v>
      </c>
      <c r="F726" s="118">
        <v>1016.96</v>
      </c>
      <c r="G726" s="118">
        <f>SUMIF(CONFERÊNCIA!A:A,A726,CONFERÊNCIA!J:J)</f>
        <v>1016.96</v>
      </c>
      <c r="H726" s="120">
        <f t="shared" si="41"/>
        <v>0</v>
      </c>
      <c r="I726" s="171" t="s">
        <v>1234</v>
      </c>
    </row>
    <row r="727" spans="1:9" s="125" customFormat="1" ht="13.5" customHeight="1" x14ac:dyDescent="0.2">
      <c r="A727" s="243">
        <v>115408</v>
      </c>
      <c r="B727" s="244" t="s">
        <v>1161</v>
      </c>
      <c r="C727" s="244" t="s">
        <v>5</v>
      </c>
      <c r="D727" s="244" t="s">
        <v>8</v>
      </c>
      <c r="E727" s="245">
        <v>44048</v>
      </c>
      <c r="F727" s="118">
        <v>1016.96</v>
      </c>
      <c r="G727" s="118">
        <f>SUMIF(CONFERÊNCIA!A:A,A727,CONFERÊNCIA!J:J)</f>
        <v>1016.96</v>
      </c>
      <c r="H727" s="120">
        <f t="shared" si="41"/>
        <v>0</v>
      </c>
      <c r="I727" s="171" t="s">
        <v>1234</v>
      </c>
    </row>
    <row r="728" spans="1:9" s="110" customFormat="1" ht="13.5" customHeight="1" x14ac:dyDescent="0.2">
      <c r="A728" s="243">
        <v>114744</v>
      </c>
      <c r="B728" s="244" t="s">
        <v>1091</v>
      </c>
      <c r="C728" s="244" t="s">
        <v>5</v>
      </c>
      <c r="D728" s="244" t="s">
        <v>0</v>
      </c>
      <c r="E728" s="245">
        <v>43874</v>
      </c>
      <c r="F728" s="118">
        <v>1016.96</v>
      </c>
      <c r="G728" s="118">
        <f>SUMIF(CONFERÊNCIA!A:A,A728,CONFERÊNCIA!J:J)</f>
        <v>1016.96</v>
      </c>
      <c r="H728" s="119">
        <f t="shared" si="41"/>
        <v>0</v>
      </c>
      <c r="I728" s="171" t="s">
        <v>1235</v>
      </c>
    </row>
    <row r="729" spans="1:9" s="125" customFormat="1" ht="13.5" customHeight="1" x14ac:dyDescent="0.2">
      <c r="A729" s="243">
        <v>112315</v>
      </c>
      <c r="B729" s="244" t="s">
        <v>103</v>
      </c>
      <c r="C729" s="244" t="s">
        <v>2</v>
      </c>
      <c r="D729" s="244" t="s">
        <v>19</v>
      </c>
      <c r="E729" s="245">
        <v>43617</v>
      </c>
      <c r="F729" s="118">
        <v>1016.96</v>
      </c>
      <c r="G729" s="118">
        <f>SUMIF(CONFERÊNCIA!A:A,A729,CONFERÊNCIA!J:J)</f>
        <v>1016.96</v>
      </c>
      <c r="H729" s="120">
        <f t="shared" si="41"/>
        <v>0</v>
      </c>
      <c r="I729" s="171" t="s">
        <v>1234</v>
      </c>
    </row>
    <row r="730" spans="1:9" s="125" customFormat="1" ht="13.5" customHeight="1" x14ac:dyDescent="0.2">
      <c r="A730" s="243">
        <v>114493</v>
      </c>
      <c r="B730" s="244" t="s">
        <v>1043</v>
      </c>
      <c r="C730" s="244" t="s">
        <v>2</v>
      </c>
      <c r="D730" s="244" t="s">
        <v>0</v>
      </c>
      <c r="E730" s="245">
        <v>43811</v>
      </c>
      <c r="F730" s="118">
        <v>1016.96</v>
      </c>
      <c r="G730" s="118">
        <f>SUMIF(CONFERÊNCIA!A:A,A730,CONFERÊNCIA!J:J)</f>
        <v>902.11</v>
      </c>
      <c r="H730" s="120">
        <f t="shared" si="41"/>
        <v>-114.85000000000002</v>
      </c>
      <c r="I730" s="171" t="s">
        <v>1234</v>
      </c>
    </row>
    <row r="731" spans="1:9" s="125" customFormat="1" ht="13.5" customHeight="1" x14ac:dyDescent="0.2">
      <c r="A731" s="243">
        <v>122080</v>
      </c>
      <c r="B731" s="244" t="s">
        <v>1641</v>
      </c>
      <c r="C731" s="244" t="s">
        <v>5</v>
      </c>
      <c r="D731" s="244" t="s">
        <v>8</v>
      </c>
      <c r="E731" s="245">
        <v>45061</v>
      </c>
      <c r="F731" s="118">
        <v>1016.96</v>
      </c>
      <c r="G731" s="118">
        <f>SUMIF(CONFERÊNCIA!A:A,A731,CONFERÊNCIA!J:J)</f>
        <v>1016.96</v>
      </c>
      <c r="H731" s="120">
        <f t="shared" ref="H731:H757" si="42">G731-F731</f>
        <v>0</v>
      </c>
      <c r="I731" s="171" t="s">
        <v>1234</v>
      </c>
    </row>
    <row r="732" spans="1:9" s="110" customFormat="1" ht="13.5" customHeight="1" x14ac:dyDescent="0.2">
      <c r="A732" s="243">
        <v>113381</v>
      </c>
      <c r="B732" s="244" t="s">
        <v>743</v>
      </c>
      <c r="C732" s="244" t="s">
        <v>2</v>
      </c>
      <c r="D732" s="244" t="s">
        <v>0</v>
      </c>
      <c r="E732" s="245">
        <v>43617</v>
      </c>
      <c r="F732" s="118">
        <v>1016.96</v>
      </c>
      <c r="G732" s="118">
        <f>SUMIF(CONFERÊNCIA!A:A,A732,CONFERÊNCIA!J:J)</f>
        <v>1016.96</v>
      </c>
      <c r="H732" s="119">
        <f t="shared" si="42"/>
        <v>0</v>
      </c>
      <c r="I732" s="171" t="s">
        <v>1234</v>
      </c>
    </row>
    <row r="733" spans="1:9" s="125" customFormat="1" ht="13.5" customHeight="1" x14ac:dyDescent="0.2">
      <c r="A733" s="243">
        <v>112252</v>
      </c>
      <c r="B733" s="244" t="s">
        <v>63</v>
      </c>
      <c r="C733" s="244" t="s">
        <v>2</v>
      </c>
      <c r="D733" s="244" t="s">
        <v>10</v>
      </c>
      <c r="E733" s="245">
        <v>43617</v>
      </c>
      <c r="F733" s="118">
        <v>1016.96</v>
      </c>
      <c r="G733" s="118">
        <f>SUMIF(CONFERÊNCIA!A:A,A733,CONFERÊNCIA!J:J)</f>
        <v>1016.96</v>
      </c>
      <c r="H733" s="120">
        <f t="shared" si="42"/>
        <v>0</v>
      </c>
      <c r="I733" s="171" t="s">
        <v>1234</v>
      </c>
    </row>
    <row r="734" spans="1:9" s="125" customFormat="1" ht="13.5" customHeight="1" x14ac:dyDescent="0.2">
      <c r="A734" s="243">
        <v>113036</v>
      </c>
      <c r="B734" s="244" t="s">
        <v>556</v>
      </c>
      <c r="C734" s="244" t="s">
        <v>2</v>
      </c>
      <c r="D734" s="244" t="s">
        <v>19</v>
      </c>
      <c r="E734" s="245">
        <v>43617</v>
      </c>
      <c r="F734" s="118">
        <v>1016.96</v>
      </c>
      <c r="G734" s="118">
        <f>SUMIF(CONFERÊNCIA!A:A,A734,CONFERÊNCIA!J:J)</f>
        <v>1016.96</v>
      </c>
      <c r="H734" s="120">
        <f t="shared" si="42"/>
        <v>0</v>
      </c>
      <c r="I734" s="171" t="s">
        <v>1234</v>
      </c>
    </row>
    <row r="735" spans="1:9" s="110" customFormat="1" ht="13.5" customHeight="1" x14ac:dyDescent="0.2">
      <c r="A735" s="243">
        <v>113358</v>
      </c>
      <c r="B735" s="244" t="s">
        <v>727</v>
      </c>
      <c r="C735" s="244" t="s">
        <v>2</v>
      </c>
      <c r="D735" s="244" t="s">
        <v>0</v>
      </c>
      <c r="E735" s="245">
        <v>43617</v>
      </c>
      <c r="F735" s="118">
        <v>1016.96</v>
      </c>
      <c r="G735" s="118">
        <f>SUMIF(CONFERÊNCIA!A:A,A735,CONFERÊNCIA!J:J)</f>
        <v>1016.96</v>
      </c>
      <c r="H735" s="119">
        <f t="shared" si="42"/>
        <v>0</v>
      </c>
      <c r="I735" s="171" t="s">
        <v>1234</v>
      </c>
    </row>
    <row r="736" spans="1:9" s="125" customFormat="1" ht="13.5" customHeight="1" x14ac:dyDescent="0.2">
      <c r="A736" s="243">
        <v>113437</v>
      </c>
      <c r="B736" s="244" t="s">
        <v>781</v>
      </c>
      <c r="C736" s="244" t="s">
        <v>2</v>
      </c>
      <c r="D736" s="244" t="s">
        <v>0</v>
      </c>
      <c r="E736" s="245">
        <v>43617</v>
      </c>
      <c r="F736" s="118">
        <v>1016.96</v>
      </c>
      <c r="G736" s="118">
        <f>SUMIF(CONFERÊNCIA!A:A,A736,CONFERÊNCIA!J:J)</f>
        <v>1016.96</v>
      </c>
      <c r="H736" s="120">
        <f t="shared" si="42"/>
        <v>0</v>
      </c>
      <c r="I736" s="171" t="s">
        <v>1234</v>
      </c>
    </row>
    <row r="737" spans="1:9" s="110" customFormat="1" ht="13.5" customHeight="1" x14ac:dyDescent="0.2">
      <c r="A737" s="243">
        <v>113614</v>
      </c>
      <c r="B737" s="244" t="s">
        <v>781</v>
      </c>
      <c r="C737" s="244" t="s">
        <v>15</v>
      </c>
      <c r="D737" s="244" t="s">
        <v>1589</v>
      </c>
      <c r="E737" s="245">
        <v>43617</v>
      </c>
      <c r="F737" s="118">
        <v>1016.96</v>
      </c>
      <c r="G737" s="118">
        <f>SUMIF(CONFERÊNCIA!A:A,A737,CONFERÊNCIA!J:J)</f>
        <v>1016.96</v>
      </c>
      <c r="H737" s="119">
        <f t="shared" si="42"/>
        <v>0</v>
      </c>
      <c r="I737" s="171" t="s">
        <v>1234</v>
      </c>
    </row>
    <row r="738" spans="1:9" s="125" customFormat="1" ht="13.5" customHeight="1" x14ac:dyDescent="0.2">
      <c r="A738" s="243">
        <v>113651</v>
      </c>
      <c r="B738" s="244" t="s">
        <v>781</v>
      </c>
      <c r="C738" s="244" t="s">
        <v>15</v>
      </c>
      <c r="D738" s="244" t="s">
        <v>1589</v>
      </c>
      <c r="E738" s="245">
        <v>43617</v>
      </c>
      <c r="F738" s="118">
        <v>1016.96</v>
      </c>
      <c r="G738" s="118">
        <f>SUMIF(CONFERÊNCIA!A:A,A738,CONFERÊNCIA!J:J)</f>
        <v>1016.96</v>
      </c>
      <c r="H738" s="120">
        <f t="shared" si="42"/>
        <v>0</v>
      </c>
      <c r="I738" s="171" t="s">
        <v>1235</v>
      </c>
    </row>
    <row r="739" spans="1:9" s="110" customFormat="1" ht="13.5" customHeight="1" x14ac:dyDescent="0.2">
      <c r="A739" s="243">
        <v>113617</v>
      </c>
      <c r="B739" s="244" t="s">
        <v>877</v>
      </c>
      <c r="C739" s="244" t="s">
        <v>15</v>
      </c>
      <c r="D739" s="244" t="s">
        <v>1589</v>
      </c>
      <c r="E739" s="245">
        <v>43617</v>
      </c>
      <c r="F739" s="118">
        <v>1016.96</v>
      </c>
      <c r="G739" s="118">
        <f>SUMIF(CONFERÊNCIA!A:A,A739,CONFERÊNCIA!J:J)</f>
        <v>1016.96</v>
      </c>
      <c r="H739" s="119">
        <f t="shared" si="42"/>
        <v>0</v>
      </c>
      <c r="I739" s="171" t="s">
        <v>1234</v>
      </c>
    </row>
    <row r="740" spans="1:9" s="125" customFormat="1" ht="13.5" customHeight="1" x14ac:dyDescent="0.2">
      <c r="A740" s="243">
        <v>113134</v>
      </c>
      <c r="B740" s="244" t="s">
        <v>604</v>
      </c>
      <c r="C740" s="244" t="s">
        <v>22</v>
      </c>
      <c r="D740" s="244" t="s">
        <v>1589</v>
      </c>
      <c r="E740" s="245">
        <v>43617</v>
      </c>
      <c r="F740" s="118">
        <v>1016.96</v>
      </c>
      <c r="G740" s="118">
        <f>SUMIF(CONFERÊNCIA!A:A,A740,CONFERÊNCIA!J:J)</f>
        <v>1016.96</v>
      </c>
      <c r="H740" s="120">
        <f t="shared" si="42"/>
        <v>0</v>
      </c>
      <c r="I740" s="171" t="s">
        <v>1234</v>
      </c>
    </row>
    <row r="741" spans="1:9" s="110" customFormat="1" ht="13.5" customHeight="1" x14ac:dyDescent="0.2">
      <c r="A741" s="243">
        <v>112508</v>
      </c>
      <c r="B741" s="244" t="s">
        <v>226</v>
      </c>
      <c r="C741" s="244" t="s">
        <v>39</v>
      </c>
      <c r="D741" s="244" t="s">
        <v>8</v>
      </c>
      <c r="E741" s="245">
        <v>43617</v>
      </c>
      <c r="F741" s="118">
        <v>1016.96</v>
      </c>
      <c r="G741" s="118">
        <f>SUMIF(CONFERÊNCIA!A:A,A741,CONFERÊNCIA!J:J)</f>
        <v>1016.96</v>
      </c>
      <c r="H741" s="119">
        <f t="shared" si="42"/>
        <v>0</v>
      </c>
      <c r="I741" s="171" t="s">
        <v>1234</v>
      </c>
    </row>
    <row r="742" spans="1:9" s="125" customFormat="1" ht="13.5" customHeight="1" x14ac:dyDescent="0.2">
      <c r="A742" s="243">
        <v>113335</v>
      </c>
      <c r="B742" s="244" t="s">
        <v>715</v>
      </c>
      <c r="C742" s="244" t="s">
        <v>146</v>
      </c>
      <c r="D742" s="244" t="s">
        <v>1589</v>
      </c>
      <c r="E742" s="245">
        <v>43617</v>
      </c>
      <c r="F742" s="118">
        <v>1016.96</v>
      </c>
      <c r="G742" s="118">
        <f>SUMIF(CONFERÊNCIA!A:A,A742,CONFERÊNCIA!J:J)</f>
        <v>1016.96</v>
      </c>
      <c r="H742" s="120">
        <f t="shared" si="42"/>
        <v>0</v>
      </c>
      <c r="I742" s="171" t="s">
        <v>1234</v>
      </c>
    </row>
    <row r="743" spans="1:9" s="110" customFormat="1" ht="13.5" customHeight="1" x14ac:dyDescent="0.2">
      <c r="A743" s="243">
        <v>113618</v>
      </c>
      <c r="B743" s="244" t="s">
        <v>878</v>
      </c>
      <c r="C743" s="244" t="s">
        <v>407</v>
      </c>
      <c r="D743" s="244" t="s">
        <v>1589</v>
      </c>
      <c r="E743" s="245">
        <v>43617</v>
      </c>
      <c r="F743" s="118">
        <v>1016.96</v>
      </c>
      <c r="G743" s="118">
        <f>SUMIF(CONFERÊNCIA!A:A,A743,CONFERÊNCIA!J:J)</f>
        <v>1016.96</v>
      </c>
      <c r="H743" s="119">
        <f t="shared" si="42"/>
        <v>0</v>
      </c>
      <c r="I743" s="171" t="s">
        <v>1234</v>
      </c>
    </row>
    <row r="744" spans="1:9" s="125" customFormat="1" ht="13.5" customHeight="1" x14ac:dyDescent="0.2">
      <c r="A744" s="243">
        <v>112935</v>
      </c>
      <c r="B744" s="244" t="s">
        <v>506</v>
      </c>
      <c r="C744" s="244" t="s">
        <v>2</v>
      </c>
      <c r="D744" s="244" t="s">
        <v>8</v>
      </c>
      <c r="E744" s="245">
        <v>43617</v>
      </c>
      <c r="F744" s="118">
        <v>1016.96</v>
      </c>
      <c r="G744" s="118">
        <f>SUMIF(CONFERÊNCIA!A:A,A744,CONFERÊNCIA!J:J)</f>
        <v>1016.96</v>
      </c>
      <c r="H744" s="120">
        <f t="shared" si="42"/>
        <v>0</v>
      </c>
      <c r="I744" s="171" t="s">
        <v>1234</v>
      </c>
    </row>
    <row r="745" spans="1:9" s="110" customFormat="1" ht="13.5" customHeight="1" x14ac:dyDescent="0.2">
      <c r="A745" s="243">
        <v>112979</v>
      </c>
      <c r="B745" s="244" t="s">
        <v>531</v>
      </c>
      <c r="C745" s="244" t="s">
        <v>5</v>
      </c>
      <c r="D745" s="244" t="s">
        <v>19</v>
      </c>
      <c r="E745" s="245">
        <v>43617</v>
      </c>
      <c r="F745" s="118">
        <v>1016.96</v>
      </c>
      <c r="G745" s="118">
        <f>SUMIF(CONFERÊNCIA!A:A,A745,CONFERÊNCIA!J:J)</f>
        <v>1016.96</v>
      </c>
      <c r="H745" s="119">
        <f t="shared" si="42"/>
        <v>0</v>
      </c>
      <c r="I745" s="171" t="s">
        <v>1234</v>
      </c>
    </row>
    <row r="746" spans="1:9" s="125" customFormat="1" ht="13.5" customHeight="1" x14ac:dyDescent="0.2">
      <c r="A746" s="243">
        <v>112255</v>
      </c>
      <c r="B746" s="244" t="s">
        <v>66</v>
      </c>
      <c r="C746" s="244" t="s">
        <v>2</v>
      </c>
      <c r="D746" s="244" t="s">
        <v>10</v>
      </c>
      <c r="E746" s="245">
        <v>43617</v>
      </c>
      <c r="F746" s="118">
        <v>1016.96</v>
      </c>
      <c r="G746" s="118">
        <f>SUMIF(CONFERÊNCIA!A:A,A746,CONFERÊNCIA!J:J)</f>
        <v>1016.96</v>
      </c>
      <c r="H746" s="120">
        <f t="shared" si="42"/>
        <v>0</v>
      </c>
      <c r="I746" s="171" t="s">
        <v>1234</v>
      </c>
    </row>
    <row r="747" spans="1:9" s="110" customFormat="1" ht="13.5" customHeight="1" x14ac:dyDescent="0.2">
      <c r="A747" s="243">
        <v>119111</v>
      </c>
      <c r="B747" s="244" t="s">
        <v>1442</v>
      </c>
      <c r="C747" s="244" t="s">
        <v>146</v>
      </c>
      <c r="D747" s="244" t="s">
        <v>1589</v>
      </c>
      <c r="E747" s="245">
        <v>44630</v>
      </c>
      <c r="F747" s="118">
        <v>1016.96</v>
      </c>
      <c r="G747" s="118">
        <f>SUMIF(CONFERÊNCIA!A:A,A747,CONFERÊNCIA!J:J)</f>
        <v>1016.96</v>
      </c>
      <c r="H747" s="119">
        <f t="shared" si="42"/>
        <v>0</v>
      </c>
      <c r="I747" s="171" t="s">
        <v>1234</v>
      </c>
    </row>
    <row r="748" spans="1:9" s="125" customFormat="1" ht="13.5" customHeight="1" x14ac:dyDescent="0.2">
      <c r="A748" s="243">
        <v>112259</v>
      </c>
      <c r="B748" s="244" t="s">
        <v>70</v>
      </c>
      <c r="C748" s="244" t="s">
        <v>2</v>
      </c>
      <c r="D748" s="244" t="s">
        <v>8</v>
      </c>
      <c r="E748" s="245">
        <v>43617</v>
      </c>
      <c r="F748" s="118">
        <v>1016.96</v>
      </c>
      <c r="G748" s="118">
        <f>SUMIF(CONFERÊNCIA!A:A,A748,CONFERÊNCIA!J:J)</f>
        <v>1016.96</v>
      </c>
      <c r="H748" s="120">
        <f t="shared" si="42"/>
        <v>0</v>
      </c>
      <c r="I748" s="171" t="s">
        <v>1234</v>
      </c>
    </row>
    <row r="749" spans="1:9" s="110" customFormat="1" ht="13.5" customHeight="1" x14ac:dyDescent="0.2">
      <c r="A749" s="243">
        <v>112989</v>
      </c>
      <c r="B749" s="244" t="s">
        <v>534</v>
      </c>
      <c r="C749" s="244" t="s">
        <v>39</v>
      </c>
      <c r="D749" s="244" t="s">
        <v>19</v>
      </c>
      <c r="E749" s="245">
        <v>43617</v>
      </c>
      <c r="F749" s="118">
        <v>1016.96</v>
      </c>
      <c r="G749" s="118">
        <f>SUMIF(CONFERÊNCIA!A:A,A749,CONFERÊNCIA!J:J)</f>
        <v>1016.96</v>
      </c>
      <c r="H749" s="119">
        <f t="shared" si="42"/>
        <v>0</v>
      </c>
      <c r="I749" s="171" t="s">
        <v>1234</v>
      </c>
    </row>
    <row r="750" spans="1:9" s="125" customFormat="1" ht="13.5" customHeight="1" x14ac:dyDescent="0.2">
      <c r="A750" s="243">
        <v>112937</v>
      </c>
      <c r="B750" s="244" t="s">
        <v>508</v>
      </c>
      <c r="C750" s="244" t="s">
        <v>2</v>
      </c>
      <c r="D750" s="244" t="s">
        <v>8</v>
      </c>
      <c r="E750" s="245">
        <v>43617</v>
      </c>
      <c r="F750" s="118">
        <v>1016.96</v>
      </c>
      <c r="G750" s="118">
        <f>SUMIF(CONFERÊNCIA!A:A,A750,CONFERÊNCIA!J:J)</f>
        <v>1016.96</v>
      </c>
      <c r="H750" s="120">
        <f t="shared" si="42"/>
        <v>0</v>
      </c>
      <c r="I750" s="171" t="s">
        <v>1234</v>
      </c>
    </row>
    <row r="751" spans="1:9" s="110" customFormat="1" ht="13.5" customHeight="1" x14ac:dyDescent="0.2">
      <c r="A751" s="243">
        <v>119112</v>
      </c>
      <c r="B751" s="244" t="s">
        <v>1443</v>
      </c>
      <c r="C751" s="244" t="s">
        <v>5</v>
      </c>
      <c r="D751" s="244" t="s">
        <v>8</v>
      </c>
      <c r="E751" s="245">
        <v>44630</v>
      </c>
      <c r="F751" s="118">
        <v>1016.96</v>
      </c>
      <c r="G751" s="118">
        <f>SUMIF(CONFERÊNCIA!A:A,A751,CONFERÊNCIA!J:J)</f>
        <v>1016.96</v>
      </c>
      <c r="H751" s="119">
        <f t="shared" si="42"/>
        <v>0</v>
      </c>
      <c r="I751" s="171" t="s">
        <v>1234</v>
      </c>
    </row>
    <row r="752" spans="1:9" s="125" customFormat="1" ht="13.5" customHeight="1" x14ac:dyDescent="0.2">
      <c r="A752" s="243">
        <v>113384</v>
      </c>
      <c r="B752" s="244" t="s">
        <v>744</v>
      </c>
      <c r="C752" s="244" t="s">
        <v>2</v>
      </c>
      <c r="D752" s="244" t="s">
        <v>0</v>
      </c>
      <c r="E752" s="245">
        <v>43620</v>
      </c>
      <c r="F752" s="118">
        <v>1016.96</v>
      </c>
      <c r="G752" s="118">
        <f>SUMIF(CONFERÊNCIA!A:A,A752,CONFERÊNCIA!J:J)</f>
        <v>1016.96</v>
      </c>
      <c r="H752" s="120">
        <f t="shared" si="42"/>
        <v>0</v>
      </c>
      <c r="I752" s="171" t="s">
        <v>1234</v>
      </c>
    </row>
    <row r="753" spans="1:9" s="125" customFormat="1" ht="13.5" customHeight="1" x14ac:dyDescent="0.2">
      <c r="A753" s="243">
        <v>112983</v>
      </c>
      <c r="B753" s="244" t="s">
        <v>532</v>
      </c>
      <c r="C753" s="244" t="s">
        <v>5</v>
      </c>
      <c r="D753" s="244" t="s">
        <v>19</v>
      </c>
      <c r="E753" s="245">
        <v>43617</v>
      </c>
      <c r="F753" s="118">
        <v>1016.96</v>
      </c>
      <c r="G753" s="118">
        <f>SUMIF(CONFERÊNCIA!A:A,A753,CONFERÊNCIA!J:J)</f>
        <v>1016.96</v>
      </c>
      <c r="H753" s="120">
        <f t="shared" si="42"/>
        <v>0</v>
      </c>
      <c r="I753" s="171" t="s">
        <v>1234</v>
      </c>
    </row>
    <row r="754" spans="1:9" s="110" customFormat="1" ht="13.5" customHeight="1" x14ac:dyDescent="0.2">
      <c r="A754" s="243">
        <v>112320</v>
      </c>
      <c r="B754" s="244" t="s">
        <v>105</v>
      </c>
      <c r="C754" s="244" t="s">
        <v>2</v>
      </c>
      <c r="D754" s="244" t="s">
        <v>10</v>
      </c>
      <c r="E754" s="245">
        <v>43617</v>
      </c>
      <c r="F754" s="118">
        <v>1016.96</v>
      </c>
      <c r="G754" s="118">
        <f>SUMIF(CONFERÊNCIA!A:A,A754,CONFERÊNCIA!J:J)</f>
        <v>1016.96</v>
      </c>
      <c r="H754" s="119">
        <f t="shared" si="42"/>
        <v>0</v>
      </c>
      <c r="I754" s="171" t="s">
        <v>1234</v>
      </c>
    </row>
    <row r="755" spans="1:9" s="125" customFormat="1" ht="13.5" customHeight="1" x14ac:dyDescent="0.2">
      <c r="A755" s="243">
        <v>112499</v>
      </c>
      <c r="B755" s="244" t="s">
        <v>218</v>
      </c>
      <c r="C755" s="244" t="s">
        <v>39</v>
      </c>
      <c r="D755" s="244" t="s">
        <v>32</v>
      </c>
      <c r="E755" s="245">
        <v>43617</v>
      </c>
      <c r="F755" s="118">
        <v>1016.96</v>
      </c>
      <c r="G755" s="118">
        <f>SUMIF(CONFERÊNCIA!A:A,A755,CONFERÊNCIA!J:J)</f>
        <v>1016.96</v>
      </c>
      <c r="H755" s="120">
        <f t="shared" si="42"/>
        <v>0</v>
      </c>
      <c r="I755" s="171" t="s">
        <v>1234</v>
      </c>
    </row>
    <row r="756" spans="1:9" s="125" customFormat="1" ht="13.5" customHeight="1" x14ac:dyDescent="0.2">
      <c r="A756" s="243">
        <v>113039</v>
      </c>
      <c r="B756" s="244" t="s">
        <v>108</v>
      </c>
      <c r="C756" s="244" t="s">
        <v>2</v>
      </c>
      <c r="D756" s="244" t="s">
        <v>19</v>
      </c>
      <c r="E756" s="245">
        <v>43620</v>
      </c>
      <c r="F756" s="118">
        <v>1016.96</v>
      </c>
      <c r="G756" s="118">
        <f>SUMIF(CONFERÊNCIA!A:A,A756,CONFERÊNCIA!J:J)</f>
        <v>1016.96</v>
      </c>
      <c r="H756" s="120">
        <f t="shared" si="42"/>
        <v>0</v>
      </c>
      <c r="I756" s="171" t="s">
        <v>1234</v>
      </c>
    </row>
    <row r="757" spans="1:9" s="110" customFormat="1" ht="13.5" customHeight="1" x14ac:dyDescent="0.2">
      <c r="A757" s="243">
        <v>113628</v>
      </c>
      <c r="B757" s="244" t="s">
        <v>884</v>
      </c>
      <c r="C757" s="244" t="s">
        <v>15</v>
      </c>
      <c r="D757" s="244" t="s">
        <v>1589</v>
      </c>
      <c r="E757" s="245">
        <v>43620</v>
      </c>
      <c r="F757" s="118">
        <v>1016.96</v>
      </c>
      <c r="G757" s="118">
        <f>SUMIF(CONFERÊNCIA!A:A,A757,CONFERÊNCIA!J:J)</f>
        <v>1016.96</v>
      </c>
      <c r="H757" s="119">
        <f t="shared" si="42"/>
        <v>0</v>
      </c>
      <c r="I757" s="171" t="s">
        <v>1234</v>
      </c>
    </row>
    <row r="758" spans="1:9" s="110" customFormat="1" ht="13.5" customHeight="1" x14ac:dyDescent="0.2">
      <c r="A758" s="243">
        <v>114923</v>
      </c>
      <c r="B758" s="244" t="s">
        <v>1114</v>
      </c>
      <c r="C758" s="244" t="s">
        <v>5</v>
      </c>
      <c r="D758" s="244" t="s">
        <v>1589</v>
      </c>
      <c r="E758" s="245">
        <v>43916</v>
      </c>
      <c r="F758" s="118">
        <v>1016.96</v>
      </c>
      <c r="G758" s="118">
        <f>SUMIF(CONFERÊNCIA!A:A,A758,CONFERÊNCIA!J:J)</f>
        <v>1016.96</v>
      </c>
      <c r="H758" s="119">
        <f t="shared" ref="H758:H784" si="43">G758-F758</f>
        <v>0</v>
      </c>
      <c r="I758" s="171" t="s">
        <v>1234</v>
      </c>
    </row>
    <row r="759" spans="1:9" s="125" customFormat="1" ht="13.5" customHeight="1" x14ac:dyDescent="0.2">
      <c r="A759" s="243">
        <v>112352</v>
      </c>
      <c r="B759" s="244" t="s">
        <v>126</v>
      </c>
      <c r="C759" s="244" t="s">
        <v>5</v>
      </c>
      <c r="D759" s="244" t="s">
        <v>8</v>
      </c>
      <c r="E759" s="245">
        <v>43617</v>
      </c>
      <c r="F759" s="118">
        <v>1016.96</v>
      </c>
      <c r="G759" s="118">
        <f>SUMIF(CONFERÊNCIA!A:A,A759,CONFERÊNCIA!J:J)</f>
        <v>1016.96</v>
      </c>
      <c r="H759" s="120">
        <f t="shared" si="43"/>
        <v>0</v>
      </c>
      <c r="I759" s="171" t="s">
        <v>1234</v>
      </c>
    </row>
    <row r="760" spans="1:9" s="110" customFormat="1" ht="13.5" customHeight="1" x14ac:dyDescent="0.2">
      <c r="A760" s="243">
        <v>112505</v>
      </c>
      <c r="B760" s="244" t="s">
        <v>223</v>
      </c>
      <c r="C760" s="244" t="s">
        <v>39</v>
      </c>
      <c r="D760" s="244" t="s">
        <v>32</v>
      </c>
      <c r="E760" s="245">
        <v>43621</v>
      </c>
      <c r="F760" s="118">
        <v>1016.96</v>
      </c>
      <c r="G760" s="118">
        <f>SUMIF(CONFERÊNCIA!A:A,A760,CONFERÊNCIA!J:J)</f>
        <v>1016.96</v>
      </c>
      <c r="H760" s="119">
        <f t="shared" si="43"/>
        <v>0</v>
      </c>
      <c r="I760" s="171" t="s">
        <v>1234</v>
      </c>
    </row>
    <row r="761" spans="1:9" s="125" customFormat="1" ht="13.5" customHeight="1" x14ac:dyDescent="0.2">
      <c r="A761" s="243">
        <v>112328</v>
      </c>
      <c r="B761" s="244" t="s">
        <v>110</v>
      </c>
      <c r="C761" s="244" t="s">
        <v>2</v>
      </c>
      <c r="D761" s="244" t="s">
        <v>10</v>
      </c>
      <c r="E761" s="245">
        <v>43617</v>
      </c>
      <c r="F761" s="118">
        <v>1016.96</v>
      </c>
      <c r="G761" s="118">
        <f>SUMIF(CONFERÊNCIA!A:A,A761,CONFERÊNCIA!J:J)</f>
        <v>1016.96</v>
      </c>
      <c r="H761" s="120">
        <f t="shared" si="43"/>
        <v>0</v>
      </c>
      <c r="I761" s="171" t="s">
        <v>1234</v>
      </c>
    </row>
    <row r="762" spans="1:9" s="110" customFormat="1" ht="13.5" customHeight="1" x14ac:dyDescent="0.2">
      <c r="A762" s="243">
        <v>113412</v>
      </c>
      <c r="B762" s="244" t="s">
        <v>763</v>
      </c>
      <c r="C762" s="244" t="s">
        <v>2</v>
      </c>
      <c r="D762" s="244" t="s">
        <v>0</v>
      </c>
      <c r="E762" s="245">
        <v>43617</v>
      </c>
      <c r="F762" s="118">
        <v>1016.96</v>
      </c>
      <c r="G762" s="118">
        <f>SUMIF(CONFERÊNCIA!A:A,A762,CONFERÊNCIA!J:J)</f>
        <v>1016.96</v>
      </c>
      <c r="H762" s="119">
        <f t="shared" si="43"/>
        <v>0</v>
      </c>
      <c r="I762" s="171" t="s">
        <v>1234</v>
      </c>
    </row>
    <row r="763" spans="1:9" s="125" customFormat="1" ht="13.5" customHeight="1" x14ac:dyDescent="0.2">
      <c r="A763" s="243">
        <v>113161</v>
      </c>
      <c r="B763" s="244" t="s">
        <v>622</v>
      </c>
      <c r="C763" s="244" t="s">
        <v>15</v>
      </c>
      <c r="D763" s="244" t="s">
        <v>1589</v>
      </c>
      <c r="E763" s="245">
        <v>43617</v>
      </c>
      <c r="F763" s="118">
        <v>1016.96</v>
      </c>
      <c r="G763" s="118">
        <f>SUMIF(CONFERÊNCIA!A:A,A763,CONFERÊNCIA!J:J)</f>
        <v>1016.96</v>
      </c>
      <c r="H763" s="120">
        <f t="shared" si="43"/>
        <v>0</v>
      </c>
      <c r="I763" s="171" t="s">
        <v>1234</v>
      </c>
    </row>
    <row r="764" spans="1:9" s="110" customFormat="1" ht="13.5" customHeight="1" x14ac:dyDescent="0.2">
      <c r="A764" s="243">
        <v>112940</v>
      </c>
      <c r="B764" s="244" t="s">
        <v>509</v>
      </c>
      <c r="C764" s="244" t="s">
        <v>2</v>
      </c>
      <c r="D764" s="244" t="s">
        <v>8</v>
      </c>
      <c r="E764" s="245">
        <v>43617</v>
      </c>
      <c r="F764" s="118">
        <v>1016.96</v>
      </c>
      <c r="G764" s="118">
        <f>SUMIF(CONFERÊNCIA!A:A,A764,CONFERÊNCIA!J:J)</f>
        <v>1016.96</v>
      </c>
      <c r="H764" s="119">
        <f t="shared" si="43"/>
        <v>0</v>
      </c>
      <c r="I764" s="171" t="s">
        <v>1234</v>
      </c>
    </row>
    <row r="765" spans="1:9" s="125" customFormat="1" ht="13.5" customHeight="1" x14ac:dyDescent="0.2">
      <c r="A765" s="243">
        <v>112221</v>
      </c>
      <c r="B765" s="244" t="s">
        <v>42</v>
      </c>
      <c r="C765" s="244" t="s">
        <v>5</v>
      </c>
      <c r="D765" s="244" t="s">
        <v>0</v>
      </c>
      <c r="E765" s="245">
        <v>43617</v>
      </c>
      <c r="F765" s="118">
        <v>1016.96</v>
      </c>
      <c r="G765" s="118">
        <f>SUMIF(CONFERÊNCIA!A:A,A765,CONFERÊNCIA!J:J)</f>
        <v>1016.96</v>
      </c>
      <c r="H765" s="120">
        <f t="shared" si="43"/>
        <v>0</v>
      </c>
      <c r="I765" s="171" t="s">
        <v>1234</v>
      </c>
    </row>
    <row r="766" spans="1:9" s="125" customFormat="1" ht="13.5" customHeight="1" x14ac:dyDescent="0.2">
      <c r="A766" s="243">
        <v>117244</v>
      </c>
      <c r="B766" s="244" t="s">
        <v>1264</v>
      </c>
      <c r="C766" s="244" t="s">
        <v>5</v>
      </c>
      <c r="D766" s="244" t="s">
        <v>8</v>
      </c>
      <c r="E766" s="245">
        <v>44487</v>
      </c>
      <c r="F766" s="118">
        <v>1016.96</v>
      </c>
      <c r="G766" s="118">
        <f>SUMIF(CONFERÊNCIA!A:A,A766,CONFERÊNCIA!J:J)</f>
        <v>1016.96</v>
      </c>
      <c r="H766" s="120">
        <f t="shared" si="43"/>
        <v>0</v>
      </c>
      <c r="I766" s="171" t="s">
        <v>1234</v>
      </c>
    </row>
    <row r="767" spans="1:9" s="110" customFormat="1" ht="13.5" customHeight="1" x14ac:dyDescent="0.2">
      <c r="A767" s="243">
        <v>112517</v>
      </c>
      <c r="B767" s="244" t="s">
        <v>233</v>
      </c>
      <c r="C767" s="244" t="s">
        <v>2</v>
      </c>
      <c r="D767" s="244" t="s">
        <v>8</v>
      </c>
      <c r="E767" s="245">
        <v>43617</v>
      </c>
      <c r="F767" s="118">
        <v>1016.96</v>
      </c>
      <c r="G767" s="118">
        <f>SUMIF(CONFERÊNCIA!A:A,A767,CONFERÊNCIA!J:J)</f>
        <v>1016.96</v>
      </c>
      <c r="H767" s="119">
        <f t="shared" si="43"/>
        <v>0</v>
      </c>
      <c r="I767" s="171" t="s">
        <v>1234</v>
      </c>
    </row>
    <row r="768" spans="1:9" s="125" customFormat="1" ht="13.5" customHeight="1" x14ac:dyDescent="0.2">
      <c r="A768" s="243">
        <v>112941</v>
      </c>
      <c r="B768" s="244" t="s">
        <v>510</v>
      </c>
      <c r="C768" s="244" t="s">
        <v>2</v>
      </c>
      <c r="D768" s="244" t="s">
        <v>8</v>
      </c>
      <c r="E768" s="245">
        <v>43617</v>
      </c>
      <c r="F768" s="118">
        <v>1016.96</v>
      </c>
      <c r="G768" s="118">
        <f>SUMIF(CONFERÊNCIA!A:A,A768,CONFERÊNCIA!J:J)</f>
        <v>1016.96</v>
      </c>
      <c r="H768" s="120">
        <f t="shared" si="43"/>
        <v>0</v>
      </c>
      <c r="I768" s="171" t="s">
        <v>1234</v>
      </c>
    </row>
    <row r="769" spans="1:9" s="110" customFormat="1" ht="13.5" customHeight="1" x14ac:dyDescent="0.2">
      <c r="A769" s="243">
        <v>112943</v>
      </c>
      <c r="B769" s="244" t="s">
        <v>512</v>
      </c>
      <c r="C769" s="244" t="s">
        <v>2</v>
      </c>
      <c r="D769" s="244" t="s">
        <v>8</v>
      </c>
      <c r="E769" s="245">
        <v>43617</v>
      </c>
      <c r="F769" s="118">
        <v>1016.96</v>
      </c>
      <c r="G769" s="118">
        <f>SUMIF(CONFERÊNCIA!A:A,A769,CONFERÊNCIA!J:J)</f>
        <v>1016.96</v>
      </c>
      <c r="H769" s="119">
        <f t="shared" si="43"/>
        <v>0</v>
      </c>
      <c r="I769" s="171" t="s">
        <v>1234</v>
      </c>
    </row>
    <row r="770" spans="1:9" s="125" customFormat="1" ht="13.5" customHeight="1" x14ac:dyDescent="0.2">
      <c r="A770" s="243">
        <v>113114</v>
      </c>
      <c r="B770" s="244" t="s">
        <v>593</v>
      </c>
      <c r="C770" s="244" t="s">
        <v>2</v>
      </c>
      <c r="D770" s="244" t="s">
        <v>0</v>
      </c>
      <c r="E770" s="245">
        <v>43617</v>
      </c>
      <c r="F770" s="118">
        <v>1016.96</v>
      </c>
      <c r="G770" s="118">
        <f>SUMIF(CONFERÊNCIA!A:A,A770,CONFERÊNCIA!J:J)</f>
        <v>1016.96</v>
      </c>
      <c r="H770" s="120">
        <f t="shared" si="43"/>
        <v>0</v>
      </c>
      <c r="I770" s="171" t="s">
        <v>1234</v>
      </c>
    </row>
    <row r="771" spans="1:9" s="110" customFormat="1" ht="13.5" customHeight="1" x14ac:dyDescent="0.2">
      <c r="A771" s="243">
        <v>114924</v>
      </c>
      <c r="B771" s="244" t="s">
        <v>593</v>
      </c>
      <c r="C771" s="244" t="s">
        <v>5</v>
      </c>
      <c r="D771" s="244" t="s">
        <v>1589</v>
      </c>
      <c r="E771" s="245">
        <v>43916</v>
      </c>
      <c r="F771" s="118">
        <v>1016.96</v>
      </c>
      <c r="G771" s="118">
        <f>SUMIF(CONFERÊNCIA!A:A,A771,CONFERÊNCIA!J:J)</f>
        <v>1016.96</v>
      </c>
      <c r="H771" s="119">
        <f t="shared" si="43"/>
        <v>0</v>
      </c>
      <c r="I771" s="171" t="s">
        <v>1234</v>
      </c>
    </row>
    <row r="772" spans="1:9" s="125" customFormat="1" ht="13.5" customHeight="1" x14ac:dyDescent="0.2">
      <c r="A772" s="243">
        <v>122409</v>
      </c>
      <c r="B772" s="244" t="s">
        <v>1705</v>
      </c>
      <c r="C772" s="244" t="s">
        <v>15</v>
      </c>
      <c r="D772" s="244" t="s">
        <v>1589</v>
      </c>
      <c r="E772" s="245">
        <v>45117</v>
      </c>
      <c r="F772" s="118">
        <v>1016.96</v>
      </c>
      <c r="G772" s="118">
        <f>SUMIF(CONFERÊNCIA!A:A,A772,CONFERÊNCIA!J:J)</f>
        <v>1016.96</v>
      </c>
      <c r="H772" s="120">
        <f t="shared" si="43"/>
        <v>0</v>
      </c>
      <c r="I772" s="171" t="s">
        <v>1234</v>
      </c>
    </row>
    <row r="773" spans="1:9" s="110" customFormat="1" ht="13.5" customHeight="1" x14ac:dyDescent="0.2">
      <c r="A773" s="243">
        <v>113414</v>
      </c>
      <c r="B773" s="244" t="s">
        <v>765</v>
      </c>
      <c r="C773" s="244" t="s">
        <v>2</v>
      </c>
      <c r="D773" s="244" t="s">
        <v>0</v>
      </c>
      <c r="E773" s="245">
        <v>43617</v>
      </c>
      <c r="F773" s="118">
        <v>1016.96</v>
      </c>
      <c r="G773" s="118">
        <f>SUMIF(CONFERÊNCIA!A:A,A773,CONFERÊNCIA!J:J)</f>
        <v>1016.96</v>
      </c>
      <c r="H773" s="119">
        <f t="shared" si="43"/>
        <v>0</v>
      </c>
      <c r="I773" s="171" t="s">
        <v>1234</v>
      </c>
    </row>
    <row r="774" spans="1:9" s="110" customFormat="1" ht="13.5" customHeight="1" x14ac:dyDescent="0.2">
      <c r="A774" s="243">
        <v>121316</v>
      </c>
      <c r="B774" s="244" t="s">
        <v>1541</v>
      </c>
      <c r="C774" s="244" t="s">
        <v>5</v>
      </c>
      <c r="D774" s="244" t="s">
        <v>8</v>
      </c>
      <c r="E774" s="245">
        <v>44945</v>
      </c>
      <c r="F774" s="118">
        <v>1016.96</v>
      </c>
      <c r="G774" s="118">
        <f>SUMIF(CONFERÊNCIA!A:A,A774,CONFERÊNCIA!J:J)</f>
        <v>1016.96</v>
      </c>
      <c r="H774" s="119">
        <f t="shared" si="43"/>
        <v>0</v>
      </c>
      <c r="I774" s="171" t="s">
        <v>1234</v>
      </c>
    </row>
    <row r="775" spans="1:9" s="125" customFormat="1" ht="13.5" customHeight="1" x14ac:dyDescent="0.2">
      <c r="A775" s="243">
        <v>113344</v>
      </c>
      <c r="B775" s="244" t="s">
        <v>720</v>
      </c>
      <c r="C775" s="244" t="s">
        <v>413</v>
      </c>
      <c r="D775" s="244" t="s">
        <v>1589</v>
      </c>
      <c r="E775" s="245">
        <v>43617</v>
      </c>
      <c r="F775" s="118">
        <v>1016.96</v>
      </c>
      <c r="G775" s="118">
        <f>SUMIF(CONFERÊNCIA!A:A,A775,CONFERÊNCIA!J:J)</f>
        <v>1016.96</v>
      </c>
      <c r="H775" s="120">
        <f t="shared" si="43"/>
        <v>0</v>
      </c>
      <c r="I775" s="171" t="s">
        <v>1235</v>
      </c>
    </row>
    <row r="776" spans="1:9" s="110" customFormat="1" ht="13.5" customHeight="1" x14ac:dyDescent="0.2">
      <c r="A776" s="243">
        <v>112264</v>
      </c>
      <c r="B776" s="244" t="s">
        <v>74</v>
      </c>
      <c r="C776" s="244" t="s">
        <v>2</v>
      </c>
      <c r="D776" s="244" t="s">
        <v>10</v>
      </c>
      <c r="E776" s="245">
        <v>43617</v>
      </c>
      <c r="F776" s="118">
        <v>1016.96</v>
      </c>
      <c r="G776" s="118">
        <f>SUMIF(CONFERÊNCIA!A:A,A776,CONFERÊNCIA!J:J)</f>
        <v>1016.96</v>
      </c>
      <c r="H776" s="119">
        <f t="shared" si="43"/>
        <v>0</v>
      </c>
      <c r="I776" s="171" t="s">
        <v>1234</v>
      </c>
    </row>
    <row r="777" spans="1:9" s="125" customFormat="1" ht="13.5" customHeight="1" x14ac:dyDescent="0.2">
      <c r="A777" s="243">
        <v>112944</v>
      </c>
      <c r="B777" s="244" t="s">
        <v>513</v>
      </c>
      <c r="C777" s="244" t="s">
        <v>2</v>
      </c>
      <c r="D777" s="244" t="s">
        <v>8</v>
      </c>
      <c r="E777" s="245">
        <v>43617</v>
      </c>
      <c r="F777" s="118">
        <v>1016.96</v>
      </c>
      <c r="G777" s="118">
        <f>SUMIF(CONFERÊNCIA!A:A,A777,CONFERÊNCIA!J:J)</f>
        <v>1016.96</v>
      </c>
      <c r="H777" s="120">
        <f t="shared" si="43"/>
        <v>0</v>
      </c>
      <c r="I777" s="171" t="s">
        <v>1234</v>
      </c>
    </row>
    <row r="778" spans="1:9" s="110" customFormat="1" ht="13.5" customHeight="1" x14ac:dyDescent="0.2">
      <c r="A778" s="243">
        <v>113637</v>
      </c>
      <c r="B778" s="244" t="s">
        <v>891</v>
      </c>
      <c r="C778" s="244" t="s">
        <v>15</v>
      </c>
      <c r="D778" s="244" t="s">
        <v>1589</v>
      </c>
      <c r="E778" s="245">
        <v>43617</v>
      </c>
      <c r="F778" s="118">
        <v>1016.96</v>
      </c>
      <c r="G778" s="118">
        <f>SUMIF(CONFERÊNCIA!A:A,A778,CONFERÊNCIA!J:J)</f>
        <v>1016.96</v>
      </c>
      <c r="H778" s="119">
        <f t="shared" si="43"/>
        <v>0</v>
      </c>
      <c r="I778" s="171" t="s">
        <v>1234</v>
      </c>
    </row>
    <row r="779" spans="1:9" s="125" customFormat="1" ht="13.5" customHeight="1" x14ac:dyDescent="0.2">
      <c r="A779" s="243">
        <v>113448</v>
      </c>
      <c r="B779" s="244" t="s">
        <v>787</v>
      </c>
      <c r="C779" s="244" t="s">
        <v>2</v>
      </c>
      <c r="D779" s="244" t="s">
        <v>0</v>
      </c>
      <c r="E779" s="245">
        <v>43617</v>
      </c>
      <c r="F779" s="118">
        <v>1016.96</v>
      </c>
      <c r="G779" s="118">
        <f>SUMIF(CONFERÊNCIA!A:A,A779,CONFERÊNCIA!J:J)</f>
        <v>1016.96</v>
      </c>
      <c r="H779" s="120">
        <f t="shared" si="43"/>
        <v>0</v>
      </c>
      <c r="I779" s="171" t="s">
        <v>1234</v>
      </c>
    </row>
    <row r="780" spans="1:9" s="125" customFormat="1" ht="13.5" customHeight="1" x14ac:dyDescent="0.2">
      <c r="A780" s="243">
        <v>113320</v>
      </c>
      <c r="B780" s="244" t="s">
        <v>706</v>
      </c>
      <c r="C780" s="244" t="s">
        <v>22</v>
      </c>
      <c r="D780" s="244" t="s">
        <v>1589</v>
      </c>
      <c r="E780" s="245">
        <v>43617</v>
      </c>
      <c r="F780" s="118">
        <v>1016.96</v>
      </c>
      <c r="G780" s="118">
        <f>SUMIF(CONFERÊNCIA!A:A,A780,CONFERÊNCIA!J:J)</f>
        <v>1016.96</v>
      </c>
      <c r="H780" s="120">
        <f t="shared" si="43"/>
        <v>0</v>
      </c>
      <c r="I780" s="171" t="s">
        <v>1234</v>
      </c>
    </row>
    <row r="781" spans="1:9" s="110" customFormat="1" ht="13.5" customHeight="1" x14ac:dyDescent="0.2">
      <c r="A781" s="243">
        <v>112946</v>
      </c>
      <c r="B781" s="244" t="s">
        <v>256</v>
      </c>
      <c r="C781" s="244" t="s">
        <v>2</v>
      </c>
      <c r="D781" s="244" t="s">
        <v>8</v>
      </c>
      <c r="E781" s="245">
        <v>43617</v>
      </c>
      <c r="F781" s="118">
        <v>1016.96</v>
      </c>
      <c r="G781" s="118">
        <f>SUMIF(CONFERÊNCIA!A:A,A781,CONFERÊNCIA!J:J)</f>
        <v>1016.96</v>
      </c>
      <c r="H781" s="119">
        <f t="shared" si="43"/>
        <v>0</v>
      </c>
      <c r="I781" s="171" t="s">
        <v>1234</v>
      </c>
    </row>
    <row r="782" spans="1:9" s="110" customFormat="1" ht="13.5" customHeight="1" x14ac:dyDescent="0.2">
      <c r="A782" s="243">
        <v>113362</v>
      </c>
      <c r="B782" s="244" t="s">
        <v>730</v>
      </c>
      <c r="C782" s="244" t="s">
        <v>2</v>
      </c>
      <c r="D782" s="244" t="s">
        <v>0</v>
      </c>
      <c r="E782" s="245">
        <v>43617</v>
      </c>
      <c r="F782" s="118">
        <v>1016.96</v>
      </c>
      <c r="G782" s="118">
        <f>SUMIF(CONFERÊNCIA!A:A,A782,CONFERÊNCIA!J:J)</f>
        <v>1016.96</v>
      </c>
      <c r="H782" s="119">
        <f t="shared" si="43"/>
        <v>0</v>
      </c>
      <c r="I782" s="171" t="s">
        <v>1234</v>
      </c>
    </row>
    <row r="783" spans="1:9" s="125" customFormat="1" ht="13.5" customHeight="1" x14ac:dyDescent="0.2">
      <c r="A783" s="243">
        <v>113385</v>
      </c>
      <c r="B783" s="244" t="s">
        <v>745</v>
      </c>
      <c r="C783" s="244" t="s">
        <v>2</v>
      </c>
      <c r="D783" s="244" t="s">
        <v>0</v>
      </c>
      <c r="E783" s="245">
        <v>43617</v>
      </c>
      <c r="F783" s="118">
        <v>1016.96</v>
      </c>
      <c r="G783" s="118">
        <f>SUMIF(CONFERÊNCIA!A:A,A783,CONFERÊNCIA!J:J)</f>
        <v>1016.96</v>
      </c>
      <c r="H783" s="120">
        <f t="shared" si="43"/>
        <v>0</v>
      </c>
      <c r="I783" s="171" t="s">
        <v>1234</v>
      </c>
    </row>
    <row r="784" spans="1:9" s="110" customFormat="1" ht="13.5" customHeight="1" x14ac:dyDescent="0.2">
      <c r="A784" s="243">
        <v>112353</v>
      </c>
      <c r="B784" s="244" t="s">
        <v>127</v>
      </c>
      <c r="C784" s="244" t="s">
        <v>2</v>
      </c>
      <c r="D784" s="244" t="s">
        <v>32</v>
      </c>
      <c r="E784" s="245">
        <v>43617</v>
      </c>
      <c r="F784" s="118">
        <v>1016.96</v>
      </c>
      <c r="G784" s="118">
        <f>SUMIF(CONFERÊNCIA!A:A,A784,CONFERÊNCIA!J:J)</f>
        <v>1016.96</v>
      </c>
      <c r="H784" s="119">
        <f t="shared" si="43"/>
        <v>0</v>
      </c>
      <c r="I784" s="171" t="s">
        <v>1235</v>
      </c>
    </row>
    <row r="785" spans="1:9" s="125" customFormat="1" ht="13.5" customHeight="1" x14ac:dyDescent="0.2">
      <c r="A785" s="243">
        <v>113387</v>
      </c>
      <c r="B785" s="244" t="s">
        <v>746</v>
      </c>
      <c r="C785" s="244" t="s">
        <v>2</v>
      </c>
      <c r="D785" s="244" t="s">
        <v>0</v>
      </c>
      <c r="E785" s="245">
        <v>43617</v>
      </c>
      <c r="F785" s="118">
        <v>1016.96</v>
      </c>
      <c r="G785" s="118">
        <f>SUMIF(CONFERÊNCIA!A:A,A785,CONFERÊNCIA!J:J)</f>
        <v>1016.96</v>
      </c>
      <c r="H785" s="120">
        <f t="shared" ref="H785:H812" si="44">G785-F785</f>
        <v>0</v>
      </c>
      <c r="I785" s="171" t="s">
        <v>1234</v>
      </c>
    </row>
    <row r="786" spans="1:9" s="110" customFormat="1" ht="13.5" customHeight="1" x14ac:dyDescent="0.2">
      <c r="A786" s="243">
        <v>113158</v>
      </c>
      <c r="B786" s="244" t="s">
        <v>619</v>
      </c>
      <c r="C786" s="244" t="s">
        <v>22</v>
      </c>
      <c r="D786" s="244" t="s">
        <v>1589</v>
      </c>
      <c r="E786" s="245">
        <v>43617</v>
      </c>
      <c r="F786" s="118">
        <v>1016.96</v>
      </c>
      <c r="G786" s="118">
        <f>SUMIF(CONFERÊNCIA!A:A,A786,CONFERÊNCIA!J:J)</f>
        <v>1016.96</v>
      </c>
      <c r="H786" s="119">
        <f t="shared" si="44"/>
        <v>0</v>
      </c>
      <c r="I786" s="171" t="s">
        <v>1234</v>
      </c>
    </row>
    <row r="787" spans="1:9" s="125" customFormat="1" ht="13.5" customHeight="1" x14ac:dyDescent="0.2">
      <c r="A787" s="243">
        <v>112408</v>
      </c>
      <c r="B787" s="244" t="s">
        <v>161</v>
      </c>
      <c r="C787" s="244" t="s">
        <v>5</v>
      </c>
      <c r="D787" s="244" t="s">
        <v>8</v>
      </c>
      <c r="E787" s="245">
        <v>43617</v>
      </c>
      <c r="F787" s="118">
        <v>1016.96</v>
      </c>
      <c r="G787" s="118">
        <f>SUMIF(CONFERÊNCIA!A:A,A787,CONFERÊNCIA!J:J)</f>
        <v>1016.96</v>
      </c>
      <c r="H787" s="120">
        <f t="shared" si="44"/>
        <v>0</v>
      </c>
      <c r="I787" s="171" t="s">
        <v>1234</v>
      </c>
    </row>
    <row r="788" spans="1:9" s="110" customFormat="1" ht="13.5" customHeight="1" x14ac:dyDescent="0.2">
      <c r="A788" s="243">
        <v>113417</v>
      </c>
      <c r="B788" s="244" t="s">
        <v>768</v>
      </c>
      <c r="C788" s="244" t="s">
        <v>2</v>
      </c>
      <c r="D788" s="244" t="s">
        <v>0</v>
      </c>
      <c r="E788" s="245">
        <v>43617</v>
      </c>
      <c r="F788" s="118">
        <v>1016.96</v>
      </c>
      <c r="G788" s="118">
        <f>SUMIF(CONFERÊNCIA!A:A,A788,CONFERÊNCIA!J:J)</f>
        <v>1016.96</v>
      </c>
      <c r="H788" s="119">
        <f t="shared" si="44"/>
        <v>0</v>
      </c>
      <c r="I788" s="171" t="s">
        <v>1234</v>
      </c>
    </row>
    <row r="789" spans="1:9" s="125" customFormat="1" ht="13.5" customHeight="1" x14ac:dyDescent="0.2">
      <c r="A789" s="243">
        <v>122405</v>
      </c>
      <c r="B789" s="244" t="s">
        <v>1706</v>
      </c>
      <c r="C789" s="244" t="s">
        <v>15</v>
      </c>
      <c r="D789" s="244" t="s">
        <v>1589</v>
      </c>
      <c r="E789" s="245">
        <v>45117</v>
      </c>
      <c r="F789" s="118">
        <v>1016.96</v>
      </c>
      <c r="G789" s="118">
        <f>SUMIF(CONFERÊNCIA!A:A,A789,CONFERÊNCIA!J:J)</f>
        <v>1016.96</v>
      </c>
      <c r="H789" s="120">
        <f t="shared" si="44"/>
        <v>0</v>
      </c>
      <c r="I789" s="171" t="s">
        <v>1234</v>
      </c>
    </row>
    <row r="790" spans="1:9" s="110" customFormat="1" ht="13.5" customHeight="1" x14ac:dyDescent="0.2">
      <c r="A790" s="243">
        <v>113366</v>
      </c>
      <c r="B790" s="244" t="s">
        <v>733</v>
      </c>
      <c r="C790" s="244" t="s">
        <v>2</v>
      </c>
      <c r="D790" s="244" t="s">
        <v>0</v>
      </c>
      <c r="E790" s="245">
        <v>43617</v>
      </c>
      <c r="F790" s="118">
        <v>1016.96</v>
      </c>
      <c r="G790" s="118">
        <f>SUMIF(CONFERÊNCIA!A:A,A790,CONFERÊNCIA!J:J)</f>
        <v>1016.96</v>
      </c>
      <c r="H790" s="119">
        <f t="shared" si="44"/>
        <v>0</v>
      </c>
      <c r="I790" s="171" t="s">
        <v>1234</v>
      </c>
    </row>
    <row r="791" spans="1:9" s="125" customFormat="1" ht="13.5" customHeight="1" x14ac:dyDescent="0.2">
      <c r="A791" s="243">
        <v>119641</v>
      </c>
      <c r="B791" s="244" t="s">
        <v>1473</v>
      </c>
      <c r="C791" s="244" t="s">
        <v>5</v>
      </c>
      <c r="D791" s="244" t="s">
        <v>8</v>
      </c>
      <c r="E791" s="245">
        <v>44725</v>
      </c>
      <c r="F791" s="118">
        <v>1016.96</v>
      </c>
      <c r="G791" s="118">
        <f>SUMIF(CONFERÊNCIA!A:A,A791,CONFERÊNCIA!J:J)</f>
        <v>1016.96</v>
      </c>
      <c r="H791" s="120">
        <f t="shared" si="44"/>
        <v>0</v>
      </c>
      <c r="I791" s="171" t="s">
        <v>1234</v>
      </c>
    </row>
    <row r="792" spans="1:9" s="125" customFormat="1" ht="13.5" customHeight="1" x14ac:dyDescent="0.2">
      <c r="A792" s="243">
        <v>113162</v>
      </c>
      <c r="B792" s="244" t="s">
        <v>514</v>
      </c>
      <c r="C792" s="244" t="s">
        <v>22</v>
      </c>
      <c r="D792" s="244" t="s">
        <v>1589</v>
      </c>
      <c r="E792" s="245">
        <v>43617</v>
      </c>
      <c r="F792" s="118">
        <v>1016.96</v>
      </c>
      <c r="G792" s="118">
        <f>SUMIF(CONFERÊNCIA!A:A,A792,CONFERÊNCIA!J:J)</f>
        <v>1016.96</v>
      </c>
      <c r="H792" s="120">
        <f t="shared" si="44"/>
        <v>0</v>
      </c>
      <c r="I792" s="171" t="s">
        <v>1234</v>
      </c>
    </row>
    <row r="793" spans="1:9" s="110" customFormat="1" ht="13.5" customHeight="1" x14ac:dyDescent="0.2">
      <c r="A793" s="243">
        <v>112949</v>
      </c>
      <c r="B793" s="244" t="s">
        <v>515</v>
      </c>
      <c r="C793" s="244" t="s">
        <v>2</v>
      </c>
      <c r="D793" s="244" t="s">
        <v>8</v>
      </c>
      <c r="E793" s="245">
        <v>43617</v>
      </c>
      <c r="F793" s="118">
        <v>1016.96</v>
      </c>
      <c r="G793" s="118">
        <f>SUMIF(CONFERÊNCIA!A:A,A793,CONFERÊNCIA!J:J)</f>
        <v>1016.96</v>
      </c>
      <c r="H793" s="119">
        <f t="shared" si="44"/>
        <v>0</v>
      </c>
      <c r="I793" s="171" t="s">
        <v>1234</v>
      </c>
    </row>
    <row r="794" spans="1:9" s="125" customFormat="1" ht="13.5" customHeight="1" x14ac:dyDescent="0.2">
      <c r="A794" s="243">
        <v>112495</v>
      </c>
      <c r="B794" s="244" t="s">
        <v>215</v>
      </c>
      <c r="C794" s="244" t="s">
        <v>5</v>
      </c>
      <c r="D794" s="244" t="s">
        <v>32</v>
      </c>
      <c r="E794" s="245">
        <v>43617</v>
      </c>
      <c r="F794" s="118">
        <v>1016.96</v>
      </c>
      <c r="G794" s="118">
        <f>SUMIF(CONFERÊNCIA!A:A,A794,CONFERÊNCIA!J:J)</f>
        <v>1016.96</v>
      </c>
      <c r="H794" s="120">
        <f t="shared" si="44"/>
        <v>0</v>
      </c>
      <c r="I794" s="171" t="s">
        <v>1234</v>
      </c>
    </row>
    <row r="795" spans="1:9" s="125" customFormat="1" ht="13.5" customHeight="1" x14ac:dyDescent="0.2">
      <c r="A795" s="243">
        <v>113118</v>
      </c>
      <c r="B795" s="244" t="s">
        <v>596</v>
      </c>
      <c r="C795" s="244" t="s">
        <v>411</v>
      </c>
      <c r="D795" s="244" t="s">
        <v>1589</v>
      </c>
      <c r="E795" s="245">
        <v>43617</v>
      </c>
      <c r="F795" s="118">
        <v>1016.96</v>
      </c>
      <c r="G795" s="118">
        <f>SUMIF(CONFERÊNCIA!A:A,A795,CONFERÊNCIA!J:J)</f>
        <v>1016.96</v>
      </c>
      <c r="H795" s="120">
        <f t="shared" si="44"/>
        <v>0</v>
      </c>
      <c r="I795" s="171" t="s">
        <v>1234</v>
      </c>
    </row>
    <row r="796" spans="1:9" s="110" customFormat="1" ht="13.5" customHeight="1" x14ac:dyDescent="0.2">
      <c r="A796" s="243">
        <v>112409</v>
      </c>
      <c r="B796" s="244" t="s">
        <v>162</v>
      </c>
      <c r="C796" s="244" t="s">
        <v>2</v>
      </c>
      <c r="D796" s="244" t="s">
        <v>8</v>
      </c>
      <c r="E796" s="245">
        <v>43617</v>
      </c>
      <c r="F796" s="118">
        <v>1016.96</v>
      </c>
      <c r="G796" s="118">
        <f>SUMIF(CONFERÊNCIA!A:A,A796,CONFERÊNCIA!J:J)</f>
        <v>1016.96</v>
      </c>
      <c r="H796" s="119">
        <f t="shared" si="44"/>
        <v>0</v>
      </c>
      <c r="I796" s="171" t="s">
        <v>1234</v>
      </c>
    </row>
    <row r="797" spans="1:9" s="125" customFormat="1" ht="13.5" customHeight="1" x14ac:dyDescent="0.2">
      <c r="A797" s="243">
        <v>113159</v>
      </c>
      <c r="B797" s="244" t="s">
        <v>620</v>
      </c>
      <c r="C797" s="244" t="s">
        <v>22</v>
      </c>
      <c r="D797" s="244" t="s">
        <v>1589</v>
      </c>
      <c r="E797" s="245">
        <v>43617</v>
      </c>
      <c r="F797" s="118">
        <v>1016.96</v>
      </c>
      <c r="G797" s="118">
        <f>SUMIF(CONFERÊNCIA!A:A,A797,CONFERÊNCIA!J:J)</f>
        <v>1016.96</v>
      </c>
      <c r="H797" s="120">
        <f t="shared" si="44"/>
        <v>0</v>
      </c>
      <c r="I797" s="171" t="s">
        <v>1234</v>
      </c>
    </row>
    <row r="798" spans="1:9" s="110" customFormat="1" ht="13.5" customHeight="1" x14ac:dyDescent="0.2">
      <c r="A798" s="243">
        <v>119114</v>
      </c>
      <c r="B798" s="244" t="s">
        <v>1444</v>
      </c>
      <c r="C798" s="244" t="s">
        <v>2</v>
      </c>
      <c r="D798" s="244" t="s">
        <v>0</v>
      </c>
      <c r="E798" s="245">
        <v>44630</v>
      </c>
      <c r="F798" s="118">
        <v>1016.96</v>
      </c>
      <c r="G798" s="118">
        <f>SUMIF(CONFERÊNCIA!A:A,A798,CONFERÊNCIA!J:J)</f>
        <v>1016.96</v>
      </c>
      <c r="H798" s="119">
        <f t="shared" si="44"/>
        <v>0</v>
      </c>
      <c r="I798" s="171" t="s">
        <v>1235</v>
      </c>
    </row>
    <row r="799" spans="1:9" s="125" customFormat="1" ht="13.5" customHeight="1" x14ac:dyDescent="0.2">
      <c r="A799" s="243">
        <v>116388</v>
      </c>
      <c r="B799" s="244" t="s">
        <v>1216</v>
      </c>
      <c r="C799" s="244" t="s">
        <v>282</v>
      </c>
      <c r="D799" s="244" t="s">
        <v>1589</v>
      </c>
      <c r="E799" s="245">
        <v>44328</v>
      </c>
      <c r="F799" s="118">
        <v>1016.96</v>
      </c>
      <c r="G799" s="118">
        <f>SUMIF(CONFERÊNCIA!A:A,A799,CONFERÊNCIA!J:J)</f>
        <v>1016.96</v>
      </c>
      <c r="H799" s="120">
        <f t="shared" si="44"/>
        <v>0</v>
      </c>
      <c r="I799" s="171" t="s">
        <v>1234</v>
      </c>
    </row>
    <row r="800" spans="1:9" s="125" customFormat="1" ht="13.5" customHeight="1" x14ac:dyDescent="0.2">
      <c r="A800" s="243">
        <v>113655</v>
      </c>
      <c r="B800" s="244" t="s">
        <v>900</v>
      </c>
      <c r="C800" s="244" t="s">
        <v>15</v>
      </c>
      <c r="D800" s="244" t="s">
        <v>1589</v>
      </c>
      <c r="E800" s="245">
        <v>43617</v>
      </c>
      <c r="F800" s="118">
        <v>1016.96</v>
      </c>
      <c r="G800" s="118">
        <f>SUMIF(CONFERÊNCIA!A:A,A800,CONFERÊNCIA!J:J)</f>
        <v>1016.96</v>
      </c>
      <c r="H800" s="120">
        <f t="shared" si="44"/>
        <v>0</v>
      </c>
      <c r="I800" s="171" t="s">
        <v>1234</v>
      </c>
    </row>
    <row r="801" spans="1:9" s="110" customFormat="1" ht="13.5" customHeight="1" x14ac:dyDescent="0.2">
      <c r="A801" s="243">
        <v>114490</v>
      </c>
      <c r="B801" s="244" t="s">
        <v>1042</v>
      </c>
      <c r="C801" s="244" t="s">
        <v>5</v>
      </c>
      <c r="D801" s="244" t="s">
        <v>0</v>
      </c>
      <c r="E801" s="245">
        <v>43811</v>
      </c>
      <c r="F801" s="118">
        <v>978.67000000000007</v>
      </c>
      <c r="G801" s="118">
        <f>SUMIF(CONFERÊNCIA!A:A,A801,CONFERÊNCIA!J:J)</f>
        <v>1016.96</v>
      </c>
      <c r="H801" s="119">
        <f t="shared" si="44"/>
        <v>38.289999999999964</v>
      </c>
      <c r="I801" s="171" t="s">
        <v>1235</v>
      </c>
    </row>
    <row r="802" spans="1:9" s="125" customFormat="1" ht="13.5" customHeight="1" x14ac:dyDescent="0.2">
      <c r="A802" s="243">
        <v>113395</v>
      </c>
      <c r="B802" s="244" t="s">
        <v>754</v>
      </c>
      <c r="C802" s="244" t="s">
        <v>2</v>
      </c>
      <c r="D802" s="244" t="s">
        <v>0</v>
      </c>
      <c r="E802" s="245">
        <v>43617</v>
      </c>
      <c r="F802" s="118">
        <v>1016.96</v>
      </c>
      <c r="G802" s="118">
        <f>SUMIF(CONFERÊNCIA!A:A,A802,CONFERÊNCIA!J:J)</f>
        <v>1016.96</v>
      </c>
      <c r="H802" s="120">
        <f t="shared" si="44"/>
        <v>0</v>
      </c>
      <c r="I802" s="171" t="s">
        <v>1234</v>
      </c>
    </row>
    <row r="803" spans="1:9" s="110" customFormat="1" ht="13.5" customHeight="1" x14ac:dyDescent="0.2">
      <c r="A803" s="243">
        <v>119124</v>
      </c>
      <c r="B803" s="244" t="s">
        <v>1445</v>
      </c>
      <c r="C803" s="244" t="s">
        <v>15</v>
      </c>
      <c r="D803" s="244" t="s">
        <v>1589</v>
      </c>
      <c r="E803" s="245">
        <v>44630</v>
      </c>
      <c r="F803" s="118">
        <v>1016.96</v>
      </c>
      <c r="G803" s="118">
        <f>SUMIF(CONFERÊNCIA!A:A,A803,CONFERÊNCIA!J:J)</f>
        <v>1016.96</v>
      </c>
      <c r="H803" s="119">
        <f t="shared" si="44"/>
        <v>0</v>
      </c>
      <c r="I803" s="171" t="s">
        <v>1234</v>
      </c>
    </row>
    <row r="804" spans="1:9" s="125" customFormat="1" ht="13.5" customHeight="1" x14ac:dyDescent="0.2">
      <c r="A804" s="243">
        <v>112962</v>
      </c>
      <c r="B804" s="244" t="s">
        <v>524</v>
      </c>
      <c r="C804" s="244" t="s">
        <v>5</v>
      </c>
      <c r="D804" s="244" t="s">
        <v>19</v>
      </c>
      <c r="E804" s="245">
        <v>43617</v>
      </c>
      <c r="F804" s="118">
        <v>1016.96</v>
      </c>
      <c r="G804" s="118">
        <f>SUMIF(CONFERÊNCIA!A:A,A804,CONFERÊNCIA!J:J)</f>
        <v>1016.96</v>
      </c>
      <c r="H804" s="120">
        <f t="shared" si="44"/>
        <v>0</v>
      </c>
      <c r="I804" s="171" t="s">
        <v>1234</v>
      </c>
    </row>
    <row r="805" spans="1:9" s="110" customFormat="1" ht="13.5" customHeight="1" x14ac:dyDescent="0.2">
      <c r="A805" s="243">
        <v>113458</v>
      </c>
      <c r="B805" s="244" t="s">
        <v>791</v>
      </c>
      <c r="C805" s="244" t="s">
        <v>2</v>
      </c>
      <c r="D805" s="244" t="s">
        <v>0</v>
      </c>
      <c r="E805" s="245">
        <v>43617</v>
      </c>
      <c r="F805" s="118">
        <v>1016.96</v>
      </c>
      <c r="G805" s="118">
        <f>SUMIF(CONFERÊNCIA!A:A,A805,CONFERÊNCIA!J:J)</f>
        <v>1016.96</v>
      </c>
      <c r="H805" s="119">
        <f t="shared" si="44"/>
        <v>0</v>
      </c>
      <c r="I805" s="171" t="s">
        <v>1234</v>
      </c>
    </row>
    <row r="806" spans="1:9" s="125" customFormat="1" ht="13.5" customHeight="1" x14ac:dyDescent="0.2">
      <c r="A806" s="243">
        <v>113461</v>
      </c>
      <c r="B806" s="244" t="s">
        <v>794</v>
      </c>
      <c r="C806" s="244" t="s">
        <v>2</v>
      </c>
      <c r="D806" s="244" t="s">
        <v>0</v>
      </c>
      <c r="E806" s="245">
        <v>43617</v>
      </c>
      <c r="F806" s="118">
        <v>1016.96</v>
      </c>
      <c r="G806" s="118">
        <f>SUMIF(CONFERÊNCIA!A:A,A806,CONFERÊNCIA!J:J)</f>
        <v>1016.96</v>
      </c>
      <c r="H806" s="120">
        <f t="shared" si="44"/>
        <v>0</v>
      </c>
      <c r="I806" s="171" t="s">
        <v>1234</v>
      </c>
    </row>
    <row r="807" spans="1:9" s="110" customFormat="1" ht="13.5" customHeight="1" x14ac:dyDescent="0.2">
      <c r="A807" s="243">
        <v>114991</v>
      </c>
      <c r="B807" s="244" t="s">
        <v>1142</v>
      </c>
      <c r="C807" s="244" t="s">
        <v>5</v>
      </c>
      <c r="D807" s="244" t="s">
        <v>1589</v>
      </c>
      <c r="E807" s="245">
        <v>43918</v>
      </c>
      <c r="F807" s="118">
        <v>1016.96</v>
      </c>
      <c r="G807" s="118">
        <f>SUMIF(CONFERÊNCIA!A:A,A807,CONFERÊNCIA!J:J)</f>
        <v>1016.96</v>
      </c>
      <c r="H807" s="119">
        <f t="shared" si="44"/>
        <v>0</v>
      </c>
      <c r="I807" s="171" t="s">
        <v>1234</v>
      </c>
    </row>
    <row r="808" spans="1:9" s="125" customFormat="1" ht="13.5" customHeight="1" x14ac:dyDescent="0.2">
      <c r="A808" s="243">
        <v>120180</v>
      </c>
      <c r="B808" s="244" t="s">
        <v>1503</v>
      </c>
      <c r="C808" s="244" t="s">
        <v>582</v>
      </c>
      <c r="D808" s="244" t="s">
        <v>1589</v>
      </c>
      <c r="E808" s="245">
        <v>44791</v>
      </c>
      <c r="F808" s="118">
        <v>1016.96</v>
      </c>
      <c r="G808" s="118">
        <f>SUMIF(CONFERÊNCIA!A:A,A808,CONFERÊNCIA!J:J)</f>
        <v>1016.96</v>
      </c>
      <c r="H808" s="120">
        <f t="shared" si="44"/>
        <v>0</v>
      </c>
      <c r="I808" s="171" t="s">
        <v>1234</v>
      </c>
    </row>
    <row r="809" spans="1:9" s="110" customFormat="1" ht="13.5" customHeight="1" x14ac:dyDescent="0.2">
      <c r="A809" s="243">
        <v>113325</v>
      </c>
      <c r="B809" s="244" t="s">
        <v>709</v>
      </c>
      <c r="C809" s="244" t="s">
        <v>22</v>
      </c>
      <c r="D809" s="244" t="s">
        <v>1589</v>
      </c>
      <c r="E809" s="245">
        <v>43617</v>
      </c>
      <c r="F809" s="118">
        <v>978.67000000000007</v>
      </c>
      <c r="G809" s="118">
        <f>SUMIF(CONFERÊNCIA!A:A,A809,CONFERÊNCIA!J:J)</f>
        <v>940.39</v>
      </c>
      <c r="H809" s="119">
        <f t="shared" si="44"/>
        <v>-38.280000000000086</v>
      </c>
      <c r="I809" s="171" t="s">
        <v>1234</v>
      </c>
    </row>
    <row r="810" spans="1:9" s="125" customFormat="1" ht="13.5" customHeight="1" x14ac:dyDescent="0.2">
      <c r="A810" s="243">
        <v>113403</v>
      </c>
      <c r="B810" s="244" t="s">
        <v>758</v>
      </c>
      <c r="C810" s="244" t="s">
        <v>2</v>
      </c>
      <c r="D810" s="244" t="s">
        <v>0</v>
      </c>
      <c r="E810" s="245">
        <v>43617</v>
      </c>
      <c r="F810" s="118">
        <v>434.79</v>
      </c>
      <c r="G810" s="118">
        <f>SUMIF(CONFERÊNCIA!A:A,A810,CONFERÊNCIA!J:J)</f>
        <v>359.46</v>
      </c>
      <c r="H810" s="120">
        <f t="shared" si="44"/>
        <v>-75.330000000000041</v>
      </c>
      <c r="I810" s="171" t="s">
        <v>1731</v>
      </c>
    </row>
    <row r="811" spans="1:9" s="125" customFormat="1" ht="13.5" customHeight="1" x14ac:dyDescent="0.2">
      <c r="A811" s="243">
        <v>113160</v>
      </c>
      <c r="B811" s="244" t="s">
        <v>621</v>
      </c>
      <c r="C811" s="244" t="s">
        <v>22</v>
      </c>
      <c r="D811" s="244" t="s">
        <v>1589</v>
      </c>
      <c r="E811" s="245">
        <v>43617</v>
      </c>
      <c r="F811" s="118">
        <v>1016.96</v>
      </c>
      <c r="G811" s="118">
        <f>SUMIF(CONFERÊNCIA!A:A,A811,CONFERÊNCIA!J:J)</f>
        <v>1016.96</v>
      </c>
      <c r="H811" s="120">
        <f t="shared" si="44"/>
        <v>0</v>
      </c>
      <c r="I811" s="171" t="s">
        <v>1234</v>
      </c>
    </row>
    <row r="812" spans="1:9" s="110" customFormat="1" ht="13.5" customHeight="1" x14ac:dyDescent="0.2">
      <c r="A812" s="243">
        <v>112442</v>
      </c>
      <c r="B812" s="244" t="s">
        <v>183</v>
      </c>
      <c r="C812" s="244" t="s">
        <v>5</v>
      </c>
      <c r="D812" s="244" t="s">
        <v>8</v>
      </c>
      <c r="E812" s="245">
        <v>43617</v>
      </c>
      <c r="F812" s="118">
        <v>1016.96</v>
      </c>
      <c r="G812" s="118">
        <f>SUMIF(CONFERÊNCIA!A:A,A812,CONFERÊNCIA!J:J)</f>
        <v>1016.96</v>
      </c>
      <c r="H812" s="119">
        <f t="shared" si="44"/>
        <v>0</v>
      </c>
      <c r="I812" s="171" t="s">
        <v>1234</v>
      </c>
    </row>
    <row r="813" spans="1:9" s="125" customFormat="1" ht="13.5" customHeight="1" x14ac:dyDescent="0.2">
      <c r="A813" s="243">
        <v>112951</v>
      </c>
      <c r="B813" s="244" t="s">
        <v>517</v>
      </c>
      <c r="C813" s="244" t="s">
        <v>2</v>
      </c>
      <c r="D813" s="244" t="s">
        <v>8</v>
      </c>
      <c r="E813" s="245">
        <v>43617</v>
      </c>
      <c r="F813" s="118">
        <v>1016.96</v>
      </c>
      <c r="G813" s="118">
        <f>SUMIF(CONFERÊNCIA!A:A,A813,CONFERÊNCIA!J:J)</f>
        <v>1016.96</v>
      </c>
      <c r="H813" s="120">
        <f t="shared" ref="H813:H839" si="45">G813-F813</f>
        <v>0</v>
      </c>
      <c r="I813" s="171" t="s">
        <v>1234</v>
      </c>
    </row>
    <row r="814" spans="1:9" s="110" customFormat="1" ht="13.5" customHeight="1" x14ac:dyDescent="0.2">
      <c r="A814" s="243">
        <v>112269</v>
      </c>
      <c r="B814" s="244" t="s">
        <v>77</v>
      </c>
      <c r="C814" s="244" t="s">
        <v>2</v>
      </c>
      <c r="D814" s="244" t="s">
        <v>10</v>
      </c>
      <c r="E814" s="245">
        <v>43617</v>
      </c>
      <c r="F814" s="118">
        <v>1016.96</v>
      </c>
      <c r="G814" s="118">
        <f>SUMIF(CONFERÊNCIA!A:A,A814,CONFERÊNCIA!J:J)</f>
        <v>1016.96</v>
      </c>
      <c r="H814" s="119">
        <f t="shared" si="45"/>
        <v>0</v>
      </c>
      <c r="I814" s="171" t="s">
        <v>1234</v>
      </c>
    </row>
    <row r="815" spans="1:9" s="125" customFormat="1" ht="13.5" customHeight="1" x14ac:dyDescent="0.2">
      <c r="A815" s="243">
        <v>112337</v>
      </c>
      <c r="B815" s="244" t="s">
        <v>117</v>
      </c>
      <c r="C815" s="244" t="s">
        <v>2</v>
      </c>
      <c r="D815" s="244" t="s">
        <v>10</v>
      </c>
      <c r="E815" s="245">
        <v>43617</v>
      </c>
      <c r="F815" s="118">
        <v>1016.96</v>
      </c>
      <c r="G815" s="118">
        <f>SUMIF(CONFERÊNCIA!A:A,A815,CONFERÊNCIA!J:J)</f>
        <v>1016.96</v>
      </c>
      <c r="H815" s="120">
        <f t="shared" si="45"/>
        <v>0</v>
      </c>
      <c r="I815" s="171" t="s">
        <v>1234</v>
      </c>
    </row>
    <row r="816" spans="1:9" s="125" customFormat="1" ht="13.5" customHeight="1" x14ac:dyDescent="0.2">
      <c r="A816" s="243">
        <v>112986</v>
      </c>
      <c r="B816" s="244" t="s">
        <v>533</v>
      </c>
      <c r="C816" s="244" t="s">
        <v>5</v>
      </c>
      <c r="D816" s="244" t="s">
        <v>19</v>
      </c>
      <c r="E816" s="245">
        <v>43617</v>
      </c>
      <c r="F816" s="118">
        <v>1016.96</v>
      </c>
      <c r="G816" s="118">
        <f>SUMIF(CONFERÊNCIA!A:A,A816,CONFERÊNCIA!J:J)</f>
        <v>1016.96</v>
      </c>
      <c r="H816" s="120">
        <f t="shared" si="45"/>
        <v>0</v>
      </c>
      <c r="I816" s="171" t="s">
        <v>1234</v>
      </c>
    </row>
    <row r="817" spans="1:9" s="110" customFormat="1" ht="13.5" customHeight="1" x14ac:dyDescent="0.2">
      <c r="A817" s="243">
        <v>113327</v>
      </c>
      <c r="B817" s="244" t="s">
        <v>710</v>
      </c>
      <c r="C817" s="244" t="s">
        <v>22</v>
      </c>
      <c r="D817" s="244" t="s">
        <v>1589</v>
      </c>
      <c r="E817" s="245">
        <v>43617</v>
      </c>
      <c r="F817" s="118">
        <v>1016.96</v>
      </c>
      <c r="G817" s="118">
        <f>SUMIF(CONFERÊNCIA!A:A,A817,CONFERÊNCIA!J:J)</f>
        <v>1016.96</v>
      </c>
      <c r="H817" s="119">
        <f t="shared" si="45"/>
        <v>0</v>
      </c>
      <c r="I817" s="171" t="s">
        <v>1234</v>
      </c>
    </row>
    <row r="818" spans="1:9" s="110" customFormat="1" ht="13.5" customHeight="1" x14ac:dyDescent="0.2">
      <c r="A818" s="243">
        <v>112283</v>
      </c>
      <c r="B818" s="244" t="s">
        <v>89</v>
      </c>
      <c r="C818" s="244" t="s">
        <v>2</v>
      </c>
      <c r="D818" s="244" t="s">
        <v>10</v>
      </c>
      <c r="E818" s="245">
        <v>43617</v>
      </c>
      <c r="F818" s="118">
        <v>1016.96</v>
      </c>
      <c r="G818" s="118">
        <f>SUMIF(CONFERÊNCIA!A:A,A818,CONFERÊNCIA!J:J)</f>
        <v>1016.96</v>
      </c>
      <c r="H818" s="119">
        <f t="shared" si="45"/>
        <v>0</v>
      </c>
      <c r="I818" s="171" t="s">
        <v>1234</v>
      </c>
    </row>
    <row r="819" spans="1:9" s="125" customFormat="1" ht="13.5" customHeight="1" x14ac:dyDescent="0.2">
      <c r="A819" s="243">
        <v>112223</v>
      </c>
      <c r="B819" s="244" t="s">
        <v>45</v>
      </c>
      <c r="C819" s="244" t="s">
        <v>2</v>
      </c>
      <c r="D819" s="244" t="s">
        <v>0</v>
      </c>
      <c r="E819" s="245">
        <v>43617</v>
      </c>
      <c r="F819" s="118">
        <v>1016.96</v>
      </c>
      <c r="G819" s="118">
        <f>SUMIF(CONFERÊNCIA!A:A,A819,CONFERÊNCIA!J:J)</f>
        <v>1016.96</v>
      </c>
      <c r="H819" s="120">
        <f t="shared" si="45"/>
        <v>0</v>
      </c>
      <c r="I819" s="171" t="s">
        <v>1234</v>
      </c>
    </row>
    <row r="820" spans="1:9" s="110" customFormat="1" ht="13.5" customHeight="1" x14ac:dyDescent="0.2">
      <c r="A820" s="243">
        <v>113467</v>
      </c>
      <c r="B820" s="244" t="s">
        <v>797</v>
      </c>
      <c r="C820" s="244" t="s">
        <v>2</v>
      </c>
      <c r="D820" s="244" t="s">
        <v>0</v>
      </c>
      <c r="E820" s="245">
        <v>43617</v>
      </c>
      <c r="F820" s="118">
        <v>1016.96</v>
      </c>
      <c r="G820" s="118">
        <f>SUMIF(CONFERÊNCIA!A:A,A820,CONFERÊNCIA!J:J)</f>
        <v>1016.96</v>
      </c>
      <c r="H820" s="119">
        <f t="shared" si="45"/>
        <v>0</v>
      </c>
      <c r="I820" s="171" t="s">
        <v>1234</v>
      </c>
    </row>
    <row r="821" spans="1:9" s="110" customFormat="1" ht="13.5" customHeight="1" x14ac:dyDescent="0.2">
      <c r="A821" s="243">
        <v>112964</v>
      </c>
      <c r="B821" s="244" t="s">
        <v>525</v>
      </c>
      <c r="C821" s="244" t="s">
        <v>5</v>
      </c>
      <c r="D821" s="244" t="s">
        <v>19</v>
      </c>
      <c r="E821" s="245">
        <v>43617</v>
      </c>
      <c r="F821" s="118">
        <v>1016.96</v>
      </c>
      <c r="G821" s="118">
        <f>SUMIF(CONFERÊNCIA!A:A,A821,CONFERÊNCIA!J:J)</f>
        <v>1016.96</v>
      </c>
      <c r="H821" s="119">
        <f t="shared" si="45"/>
        <v>0</v>
      </c>
      <c r="I821" s="171" t="s">
        <v>1234</v>
      </c>
    </row>
    <row r="822" spans="1:9" s="125" customFormat="1" ht="13.5" customHeight="1" x14ac:dyDescent="0.2">
      <c r="A822" s="243">
        <v>112952</v>
      </c>
      <c r="B822" s="244" t="s">
        <v>518</v>
      </c>
      <c r="C822" s="244" t="s">
        <v>2</v>
      </c>
      <c r="D822" s="244" t="s">
        <v>8</v>
      </c>
      <c r="E822" s="245">
        <v>43617</v>
      </c>
      <c r="F822" s="118">
        <v>1016.96</v>
      </c>
      <c r="G822" s="118">
        <f>SUMIF(CONFERÊNCIA!A:A,A822,CONFERÊNCIA!J:J)</f>
        <v>1016.96</v>
      </c>
      <c r="H822" s="120">
        <f t="shared" si="45"/>
        <v>0</v>
      </c>
      <c r="I822" s="171" t="s">
        <v>1234</v>
      </c>
    </row>
    <row r="823" spans="1:9" s="110" customFormat="1" ht="13.5" customHeight="1" x14ac:dyDescent="0.2">
      <c r="A823" s="243">
        <v>120176</v>
      </c>
      <c r="B823" s="244" t="s">
        <v>1504</v>
      </c>
      <c r="C823" s="244" t="s">
        <v>5</v>
      </c>
      <c r="D823" s="244" t="s">
        <v>32</v>
      </c>
      <c r="E823" s="245">
        <v>44791</v>
      </c>
      <c r="F823" s="118">
        <v>1016.96</v>
      </c>
      <c r="G823" s="118">
        <f>SUMIF(CONFERÊNCIA!A:A,A823,CONFERÊNCIA!J:J)</f>
        <v>1016.96</v>
      </c>
      <c r="H823" s="119">
        <f t="shared" si="45"/>
        <v>0</v>
      </c>
      <c r="I823" s="171" t="s">
        <v>1234</v>
      </c>
    </row>
    <row r="824" spans="1:9" s="125" customFormat="1" ht="13.5" customHeight="1" x14ac:dyDescent="0.2">
      <c r="A824" s="243">
        <v>112280</v>
      </c>
      <c r="B824" s="244" t="s">
        <v>86</v>
      </c>
      <c r="C824" s="244" t="s">
        <v>2</v>
      </c>
      <c r="D824" s="244" t="s">
        <v>10</v>
      </c>
      <c r="E824" s="245">
        <v>43617</v>
      </c>
      <c r="F824" s="118">
        <v>1016.96</v>
      </c>
      <c r="G824" s="118">
        <f>SUMIF(CONFERÊNCIA!A:A,A824,CONFERÊNCIA!J:J)</f>
        <v>1016.96</v>
      </c>
      <c r="H824" s="120">
        <f t="shared" si="45"/>
        <v>0</v>
      </c>
      <c r="I824" s="171" t="s">
        <v>1234</v>
      </c>
    </row>
    <row r="825" spans="1:9" s="110" customFormat="1" ht="13.5" customHeight="1" x14ac:dyDescent="0.2">
      <c r="A825" s="243">
        <v>113633</v>
      </c>
      <c r="B825" s="244" t="s">
        <v>887</v>
      </c>
      <c r="C825" s="244" t="s">
        <v>15</v>
      </c>
      <c r="D825" s="244" t="s">
        <v>1589</v>
      </c>
      <c r="E825" s="245">
        <v>43617</v>
      </c>
      <c r="F825" s="118">
        <v>1016.96</v>
      </c>
      <c r="G825" s="118">
        <f>SUMIF(CONFERÊNCIA!A:A,A825,CONFERÊNCIA!J:J)</f>
        <v>1016.96</v>
      </c>
      <c r="H825" s="119">
        <f t="shared" si="45"/>
        <v>0</v>
      </c>
      <c r="I825" s="171" t="s">
        <v>1234</v>
      </c>
    </row>
    <row r="826" spans="1:9" s="125" customFormat="1" ht="13.5" customHeight="1" x14ac:dyDescent="0.2">
      <c r="A826" s="243">
        <v>113163</v>
      </c>
      <c r="B826" s="244" t="s">
        <v>623</v>
      </c>
      <c r="C826" s="244" t="s">
        <v>22</v>
      </c>
      <c r="D826" s="244" t="s">
        <v>1589</v>
      </c>
      <c r="E826" s="245">
        <v>43617</v>
      </c>
      <c r="F826" s="118">
        <v>1016.96</v>
      </c>
      <c r="G826" s="118">
        <f>SUMIF(CONFERÊNCIA!A:A,A826,CONFERÊNCIA!J:J)</f>
        <v>1016.96</v>
      </c>
      <c r="H826" s="120">
        <f t="shared" si="45"/>
        <v>0</v>
      </c>
      <c r="I826" s="171" t="s">
        <v>1234</v>
      </c>
    </row>
    <row r="827" spans="1:9" s="125" customFormat="1" ht="13.5" customHeight="1" x14ac:dyDescent="0.2">
      <c r="A827" s="243">
        <v>114926</v>
      </c>
      <c r="B827" s="244" t="s">
        <v>1116</v>
      </c>
      <c r="C827" s="244" t="s">
        <v>5</v>
      </c>
      <c r="D827" s="244" t="s">
        <v>1589</v>
      </c>
      <c r="E827" s="245">
        <v>43916</v>
      </c>
      <c r="F827" s="118">
        <v>1016.96</v>
      </c>
      <c r="G827" s="118">
        <f>SUMIF(CONFERÊNCIA!A:A,A827,CONFERÊNCIA!J:J)</f>
        <v>1016.96</v>
      </c>
      <c r="H827" s="120">
        <f t="shared" si="45"/>
        <v>0</v>
      </c>
      <c r="I827" s="171" t="s">
        <v>1234</v>
      </c>
    </row>
    <row r="828" spans="1:9" s="110" customFormat="1" ht="13.5" customHeight="1" x14ac:dyDescent="0.2">
      <c r="A828" s="243">
        <v>112330</v>
      </c>
      <c r="B828" s="244" t="s">
        <v>112</v>
      </c>
      <c r="C828" s="244" t="s">
        <v>2</v>
      </c>
      <c r="D828" s="244" t="s">
        <v>10</v>
      </c>
      <c r="E828" s="245">
        <v>43617</v>
      </c>
      <c r="F828" s="118">
        <v>1016.96</v>
      </c>
      <c r="G828" s="118">
        <f>SUMIF(CONFERÊNCIA!A:A,A828,CONFERÊNCIA!J:J)</f>
        <v>1016.96</v>
      </c>
      <c r="H828" s="119">
        <f t="shared" si="45"/>
        <v>0</v>
      </c>
      <c r="I828" s="171" t="s">
        <v>1234</v>
      </c>
    </row>
    <row r="829" spans="1:9" s="125" customFormat="1" ht="13.5" customHeight="1" x14ac:dyDescent="0.2">
      <c r="A829" s="243">
        <v>113635</v>
      </c>
      <c r="B829" s="244" t="s">
        <v>889</v>
      </c>
      <c r="C829" s="244" t="s">
        <v>15</v>
      </c>
      <c r="D829" s="244" t="s">
        <v>1589</v>
      </c>
      <c r="E829" s="245">
        <v>43617</v>
      </c>
      <c r="F829" s="118">
        <v>1016.96</v>
      </c>
      <c r="G829" s="118">
        <f>SUMIF(CONFERÊNCIA!A:A,A829,CONFERÊNCIA!J:J)</f>
        <v>1016.96</v>
      </c>
      <c r="H829" s="120">
        <f t="shared" si="45"/>
        <v>0</v>
      </c>
      <c r="I829" s="171" t="s">
        <v>1234</v>
      </c>
    </row>
    <row r="830" spans="1:9" s="110" customFormat="1" ht="13.5" customHeight="1" x14ac:dyDescent="0.2">
      <c r="A830" s="243">
        <v>112526</v>
      </c>
      <c r="B830" s="244" t="s">
        <v>239</v>
      </c>
      <c r="C830" s="244" t="s">
        <v>2</v>
      </c>
      <c r="D830" s="244" t="s">
        <v>8</v>
      </c>
      <c r="E830" s="245">
        <v>43617</v>
      </c>
      <c r="F830" s="118">
        <v>1016.96</v>
      </c>
      <c r="G830" s="118">
        <f>SUMIF(CONFERÊNCIA!A:A,A830,CONFERÊNCIA!J:J)</f>
        <v>1016.96</v>
      </c>
      <c r="H830" s="119">
        <f t="shared" si="45"/>
        <v>0</v>
      </c>
      <c r="I830" s="171" t="s">
        <v>1234</v>
      </c>
    </row>
    <row r="831" spans="1:9" s="125" customFormat="1" ht="13.5" customHeight="1" x14ac:dyDescent="0.2">
      <c r="A831" s="243">
        <v>114712</v>
      </c>
      <c r="B831" s="244" t="s">
        <v>1082</v>
      </c>
      <c r="C831" s="244" t="s">
        <v>2</v>
      </c>
      <c r="D831" s="244" t="s">
        <v>10</v>
      </c>
      <c r="E831" s="245">
        <v>43874</v>
      </c>
      <c r="F831" s="118">
        <v>1016.96</v>
      </c>
      <c r="G831" s="118">
        <f>SUMIF(CONFERÊNCIA!A:A,A831,CONFERÊNCIA!J:J)</f>
        <v>1016.96</v>
      </c>
      <c r="H831" s="120">
        <f t="shared" si="45"/>
        <v>0</v>
      </c>
      <c r="I831" s="171" t="s">
        <v>1234</v>
      </c>
    </row>
    <row r="832" spans="1:9" s="110" customFormat="1" ht="13.5" customHeight="1" x14ac:dyDescent="0.2">
      <c r="A832" s="243">
        <v>114110</v>
      </c>
      <c r="B832" s="244" t="s">
        <v>1013</v>
      </c>
      <c r="C832" s="244" t="s">
        <v>5</v>
      </c>
      <c r="D832" s="244" t="s">
        <v>8</v>
      </c>
      <c r="E832" s="245">
        <v>43728</v>
      </c>
      <c r="F832" s="118">
        <v>1016.96</v>
      </c>
      <c r="G832" s="118">
        <f>SUMIF(CONFERÊNCIA!A:A,A832,CONFERÊNCIA!J:J)</f>
        <v>1016.96</v>
      </c>
      <c r="H832" s="119">
        <f t="shared" si="45"/>
        <v>0</v>
      </c>
      <c r="I832" s="171" t="s">
        <v>1234</v>
      </c>
    </row>
    <row r="833" spans="1:9" s="110" customFormat="1" ht="13.5" customHeight="1" x14ac:dyDescent="0.2">
      <c r="A833" s="243">
        <v>112188</v>
      </c>
      <c r="B833" s="244" t="s">
        <v>23</v>
      </c>
      <c r="C833" s="244" t="s">
        <v>39</v>
      </c>
      <c r="D833" s="244" t="s">
        <v>19</v>
      </c>
      <c r="E833" s="245">
        <v>43617</v>
      </c>
      <c r="F833" s="118">
        <v>1016.96</v>
      </c>
      <c r="G833" s="118">
        <f>SUMIF(CONFERÊNCIA!A:A,A833,CONFERÊNCIA!J:J)</f>
        <v>1016.96</v>
      </c>
      <c r="H833" s="119">
        <f t="shared" si="45"/>
        <v>0</v>
      </c>
      <c r="I833" s="171" t="s">
        <v>1234</v>
      </c>
    </row>
    <row r="834" spans="1:9" s="125" customFormat="1" ht="13.5" customHeight="1" x14ac:dyDescent="0.2">
      <c r="A834" s="243">
        <v>112189</v>
      </c>
      <c r="B834" s="244" t="s">
        <v>24</v>
      </c>
      <c r="C834" s="244" t="s">
        <v>2</v>
      </c>
      <c r="D834" s="244" t="s">
        <v>32</v>
      </c>
      <c r="E834" s="245">
        <v>43617</v>
      </c>
      <c r="F834" s="118">
        <v>1016.96</v>
      </c>
      <c r="G834" s="118">
        <f>SUMIF(CONFERÊNCIA!A:A,A834,CONFERÊNCIA!J:J)</f>
        <v>1016.96</v>
      </c>
      <c r="H834" s="120">
        <f t="shared" si="45"/>
        <v>0</v>
      </c>
      <c r="I834" s="171" t="s">
        <v>1234</v>
      </c>
    </row>
    <row r="835" spans="1:9" s="110" customFormat="1" ht="13.5" customHeight="1" x14ac:dyDescent="0.2">
      <c r="A835" s="243">
        <v>116976</v>
      </c>
      <c r="B835" s="244" t="s">
        <v>1244</v>
      </c>
      <c r="C835" s="244" t="s">
        <v>5</v>
      </c>
      <c r="D835" s="244" t="s">
        <v>0</v>
      </c>
      <c r="E835" s="245">
        <v>44419</v>
      </c>
      <c r="F835" s="118">
        <v>1016.96</v>
      </c>
      <c r="G835" s="118">
        <f>SUMIF(CONFERÊNCIA!A:A,A835,CONFERÊNCIA!J:J)</f>
        <v>1016.96</v>
      </c>
      <c r="H835" s="119">
        <f t="shared" si="45"/>
        <v>0</v>
      </c>
      <c r="I835" s="171" t="s">
        <v>1234</v>
      </c>
    </row>
    <row r="836" spans="1:9" s="125" customFormat="1" ht="13.5" customHeight="1" x14ac:dyDescent="0.2">
      <c r="A836" s="243">
        <v>113921</v>
      </c>
      <c r="B836" s="244" t="s">
        <v>991</v>
      </c>
      <c r="C836" s="244" t="s">
        <v>146</v>
      </c>
      <c r="D836" s="244" t="s">
        <v>32</v>
      </c>
      <c r="E836" s="245">
        <v>43682</v>
      </c>
      <c r="F836" s="118">
        <v>1016.96</v>
      </c>
      <c r="G836" s="118">
        <f>SUMIF(CONFERÊNCIA!A:A,A836,CONFERÊNCIA!J:J)</f>
        <v>1016.96</v>
      </c>
      <c r="H836" s="120">
        <f t="shared" si="45"/>
        <v>0</v>
      </c>
      <c r="I836" s="171" t="s">
        <v>1234</v>
      </c>
    </row>
    <row r="837" spans="1:9" s="110" customFormat="1" ht="13.5" customHeight="1" x14ac:dyDescent="0.2">
      <c r="A837" s="243">
        <v>112205</v>
      </c>
      <c r="B837" s="244" t="s">
        <v>34</v>
      </c>
      <c r="C837" s="244" t="s">
        <v>2</v>
      </c>
      <c r="D837" s="244" t="s">
        <v>0</v>
      </c>
      <c r="E837" s="245">
        <v>43617</v>
      </c>
      <c r="F837" s="118">
        <v>1016.96</v>
      </c>
      <c r="G837" s="118">
        <f>SUMIF(CONFERÊNCIA!A:A,A837,CONFERÊNCIA!J:J)</f>
        <v>1016.96</v>
      </c>
      <c r="H837" s="119">
        <f t="shared" si="45"/>
        <v>0</v>
      </c>
      <c r="I837" s="171" t="s">
        <v>1234</v>
      </c>
    </row>
    <row r="838" spans="1:9" s="125" customFormat="1" ht="13.5" customHeight="1" x14ac:dyDescent="0.2">
      <c r="A838" s="243">
        <v>112209</v>
      </c>
      <c r="B838" s="244" t="s">
        <v>36</v>
      </c>
      <c r="C838" s="244" t="s">
        <v>2</v>
      </c>
      <c r="D838" s="244" t="s">
        <v>8</v>
      </c>
      <c r="E838" s="245">
        <v>43617</v>
      </c>
      <c r="F838" s="118">
        <v>1016.96</v>
      </c>
      <c r="G838" s="118">
        <f>SUMIF(CONFERÊNCIA!A:A,A838,CONFERÊNCIA!J:J)</f>
        <v>1016.96</v>
      </c>
      <c r="H838" s="120">
        <f t="shared" si="45"/>
        <v>0</v>
      </c>
      <c r="I838" s="171" t="s">
        <v>1234</v>
      </c>
    </row>
    <row r="839" spans="1:9" s="110" customFormat="1" ht="13.5" customHeight="1" x14ac:dyDescent="0.2">
      <c r="A839" s="243">
        <v>116004</v>
      </c>
      <c r="B839" s="244" t="s">
        <v>1173</v>
      </c>
      <c r="C839" s="244" t="s">
        <v>5</v>
      </c>
      <c r="D839" s="244" t="s">
        <v>0</v>
      </c>
      <c r="E839" s="245">
        <v>44207</v>
      </c>
      <c r="F839" s="118">
        <v>978.67000000000007</v>
      </c>
      <c r="G839" s="118">
        <f>SUMIF(CONFERÊNCIA!A:A,A839,CONFERÊNCIA!J:J)</f>
        <v>1016.96</v>
      </c>
      <c r="H839" s="119">
        <f t="shared" si="45"/>
        <v>38.289999999999964</v>
      </c>
      <c r="I839" s="171" t="s">
        <v>1234</v>
      </c>
    </row>
    <row r="840" spans="1:9" s="125" customFormat="1" ht="13.5" customHeight="1" x14ac:dyDescent="0.2">
      <c r="A840" s="243">
        <v>112213</v>
      </c>
      <c r="B840" s="244" t="s">
        <v>38</v>
      </c>
      <c r="C840" s="244" t="s">
        <v>2</v>
      </c>
      <c r="D840" s="244" t="s">
        <v>19</v>
      </c>
      <c r="E840" s="245">
        <v>43617</v>
      </c>
      <c r="F840" s="118">
        <v>1016.96</v>
      </c>
      <c r="G840" s="118">
        <f>SUMIF(CONFERÊNCIA!A:A,A840,CONFERÊNCIA!J:J)</f>
        <v>1016.96</v>
      </c>
      <c r="H840" s="120">
        <f t="shared" ref="H840:H862" si="46">G840-F840</f>
        <v>0</v>
      </c>
      <c r="I840" s="171" t="s">
        <v>1234</v>
      </c>
    </row>
    <row r="841" spans="1:9" s="110" customFormat="1" ht="13.5" customHeight="1" x14ac:dyDescent="0.2">
      <c r="A841" s="243">
        <v>112222</v>
      </c>
      <c r="B841" s="244" t="s">
        <v>43</v>
      </c>
      <c r="C841" s="244" t="s">
        <v>2</v>
      </c>
      <c r="D841" s="244" t="s">
        <v>8</v>
      </c>
      <c r="E841" s="245">
        <v>43617</v>
      </c>
      <c r="F841" s="118">
        <v>1016.96</v>
      </c>
      <c r="G841" s="118">
        <f>SUMIF(CONFERÊNCIA!A:A,A841,CONFERÊNCIA!J:J)</f>
        <v>1016.96</v>
      </c>
      <c r="H841" s="119">
        <f t="shared" si="46"/>
        <v>0</v>
      </c>
      <c r="I841" s="171" t="s">
        <v>1234</v>
      </c>
    </row>
    <row r="842" spans="1:9" s="125" customFormat="1" ht="13.5" customHeight="1" x14ac:dyDescent="0.2">
      <c r="A842" s="243">
        <v>112227</v>
      </c>
      <c r="B842" s="244" t="s">
        <v>49</v>
      </c>
      <c r="C842" s="244" t="s">
        <v>5</v>
      </c>
      <c r="D842" s="244" t="s">
        <v>0</v>
      </c>
      <c r="E842" s="245">
        <v>43617</v>
      </c>
      <c r="F842" s="118">
        <v>1016.96</v>
      </c>
      <c r="G842" s="118">
        <f>SUMIF(CONFERÊNCIA!A:A,A842,CONFERÊNCIA!J:J)</f>
        <v>1016.96</v>
      </c>
      <c r="H842" s="120">
        <f t="shared" si="46"/>
        <v>0</v>
      </c>
      <c r="I842" s="171" t="s">
        <v>1234</v>
      </c>
    </row>
    <row r="843" spans="1:9" s="110" customFormat="1" ht="13.5" customHeight="1" x14ac:dyDescent="0.2">
      <c r="A843" s="243">
        <v>114953</v>
      </c>
      <c r="B843" s="244" t="s">
        <v>1129</v>
      </c>
      <c r="C843" s="244" t="s">
        <v>282</v>
      </c>
      <c r="D843" s="244" t="s">
        <v>1589</v>
      </c>
      <c r="E843" s="245">
        <v>43916</v>
      </c>
      <c r="F843" s="118">
        <v>1016.96</v>
      </c>
      <c r="G843" s="118">
        <f>SUMIF(CONFERÊNCIA!A:A,A843,CONFERÊNCIA!J:J)</f>
        <v>1016.96</v>
      </c>
      <c r="H843" s="119">
        <f t="shared" si="46"/>
        <v>0</v>
      </c>
      <c r="I843" s="171" t="s">
        <v>1234</v>
      </c>
    </row>
    <row r="844" spans="1:9" s="110" customFormat="1" ht="13.5" customHeight="1" x14ac:dyDescent="0.2">
      <c r="A844" s="243">
        <v>112239</v>
      </c>
      <c r="B844" s="244" t="s">
        <v>57</v>
      </c>
      <c r="C844" s="244" t="s">
        <v>2</v>
      </c>
      <c r="D844" s="244" t="s">
        <v>10</v>
      </c>
      <c r="E844" s="245">
        <v>43617</v>
      </c>
      <c r="F844" s="118">
        <v>1016.96</v>
      </c>
      <c r="G844" s="118">
        <f>SUMIF(CONFERÊNCIA!A:A,A844,CONFERÊNCIA!J:J)</f>
        <v>1016.96</v>
      </c>
      <c r="H844" s="119">
        <f t="shared" si="46"/>
        <v>0</v>
      </c>
      <c r="I844" s="171" t="s">
        <v>1234</v>
      </c>
    </row>
    <row r="845" spans="1:9" s="125" customFormat="1" ht="13.5" customHeight="1" x14ac:dyDescent="0.2">
      <c r="A845" s="243">
        <v>112253</v>
      </c>
      <c r="B845" s="244" t="s">
        <v>64</v>
      </c>
      <c r="C845" s="244" t="s">
        <v>15</v>
      </c>
      <c r="D845" s="244" t="s">
        <v>1589</v>
      </c>
      <c r="E845" s="245">
        <v>43617</v>
      </c>
      <c r="F845" s="118">
        <v>1016.96</v>
      </c>
      <c r="G845" s="118">
        <f>SUMIF(CONFERÊNCIA!A:A,A845,CONFERÊNCIA!J:J)</f>
        <v>1016.96</v>
      </c>
      <c r="H845" s="120">
        <f t="shared" si="46"/>
        <v>0</v>
      </c>
      <c r="I845" s="171" t="s">
        <v>1234</v>
      </c>
    </row>
    <row r="846" spans="1:9" s="125" customFormat="1" ht="13.5" customHeight="1" x14ac:dyDescent="0.2">
      <c r="A846" s="243">
        <v>114940</v>
      </c>
      <c r="B846" s="244" t="s">
        <v>1125</v>
      </c>
      <c r="C846" s="244" t="s">
        <v>5</v>
      </c>
      <c r="D846" s="244" t="s">
        <v>1589</v>
      </c>
      <c r="E846" s="245">
        <v>43916</v>
      </c>
      <c r="F846" s="118">
        <v>1016.96</v>
      </c>
      <c r="G846" s="118">
        <f>SUMIF(CONFERÊNCIA!A:A,A846,CONFERÊNCIA!J:J)</f>
        <v>1016.96</v>
      </c>
      <c r="H846" s="120">
        <f t="shared" si="46"/>
        <v>0</v>
      </c>
      <c r="I846" s="171" t="s">
        <v>1234</v>
      </c>
    </row>
    <row r="847" spans="1:9" s="110" customFormat="1" ht="13.5" customHeight="1" x14ac:dyDescent="0.2">
      <c r="A847" s="243">
        <v>112256</v>
      </c>
      <c r="B847" s="244" t="s">
        <v>67</v>
      </c>
      <c r="C847" s="244" t="s">
        <v>5</v>
      </c>
      <c r="D847" s="244" t="s">
        <v>1589</v>
      </c>
      <c r="E847" s="245">
        <v>43617</v>
      </c>
      <c r="F847" s="118">
        <v>1016.96</v>
      </c>
      <c r="G847" s="118">
        <f>SUMIF(CONFERÊNCIA!A:A,A847,CONFERÊNCIA!J:J)</f>
        <v>1016.96</v>
      </c>
      <c r="H847" s="119">
        <f t="shared" si="46"/>
        <v>0</v>
      </c>
      <c r="I847" s="171" t="s">
        <v>1235</v>
      </c>
    </row>
    <row r="848" spans="1:9" s="125" customFormat="1" ht="13.5" customHeight="1" x14ac:dyDescent="0.2">
      <c r="A848" s="243">
        <v>112268</v>
      </c>
      <c r="B848" s="244" t="s">
        <v>76</v>
      </c>
      <c r="C848" s="244" t="s">
        <v>2</v>
      </c>
      <c r="D848" s="244" t="s">
        <v>10</v>
      </c>
      <c r="E848" s="245">
        <v>43617</v>
      </c>
      <c r="F848" s="118">
        <v>1016.96</v>
      </c>
      <c r="G848" s="118">
        <f>SUMIF(CONFERÊNCIA!A:A,A848,CONFERÊNCIA!J:J)</f>
        <v>1016.96</v>
      </c>
      <c r="H848" s="120">
        <f t="shared" si="46"/>
        <v>0</v>
      </c>
      <c r="I848" s="171" t="s">
        <v>1234</v>
      </c>
    </row>
    <row r="849" spans="1:9" s="110" customFormat="1" ht="13.5" customHeight="1" x14ac:dyDescent="0.2">
      <c r="A849" s="243">
        <v>112273</v>
      </c>
      <c r="B849" s="244" t="s">
        <v>79</v>
      </c>
      <c r="C849" s="244" t="s">
        <v>5</v>
      </c>
      <c r="D849" s="244" t="s">
        <v>32</v>
      </c>
      <c r="E849" s="245">
        <v>43617</v>
      </c>
      <c r="F849" s="118">
        <v>1016.96</v>
      </c>
      <c r="G849" s="118">
        <f>SUMIF(CONFERÊNCIA!A:A,A849,CONFERÊNCIA!J:J)</f>
        <v>1016.96</v>
      </c>
      <c r="H849" s="119">
        <f t="shared" si="46"/>
        <v>0</v>
      </c>
      <c r="I849" s="171" t="s">
        <v>1235</v>
      </c>
    </row>
    <row r="850" spans="1:9" s="110" customFormat="1" ht="13.5" customHeight="1" x14ac:dyDescent="0.2">
      <c r="A850" s="243">
        <v>112281</v>
      </c>
      <c r="B850" s="244" t="s">
        <v>87</v>
      </c>
      <c r="C850" s="244" t="s">
        <v>22</v>
      </c>
      <c r="D850" s="244" t="s">
        <v>1589</v>
      </c>
      <c r="E850" s="245">
        <v>43617</v>
      </c>
      <c r="F850" s="118">
        <v>1016.96</v>
      </c>
      <c r="G850" s="118">
        <f>SUMIF(CONFERÊNCIA!A:A,A850,CONFERÊNCIA!J:J)</f>
        <v>1016.96</v>
      </c>
      <c r="H850" s="119">
        <f t="shared" si="46"/>
        <v>0</v>
      </c>
      <c r="I850" s="171" t="s">
        <v>1234</v>
      </c>
    </row>
    <row r="851" spans="1:9" s="125" customFormat="1" ht="13.5" customHeight="1" x14ac:dyDescent="0.2">
      <c r="A851" s="243">
        <v>119921</v>
      </c>
      <c r="B851" s="244" t="s">
        <v>1486</v>
      </c>
      <c r="C851" s="244" t="s">
        <v>5</v>
      </c>
      <c r="D851" s="244" t="s">
        <v>0</v>
      </c>
      <c r="E851" s="245">
        <v>44760</v>
      </c>
      <c r="F851" s="118">
        <v>1016.96</v>
      </c>
      <c r="G851" s="118">
        <f>SUMIF(CONFERÊNCIA!A:A,A851,CONFERÊNCIA!J:J)</f>
        <v>1016.96</v>
      </c>
      <c r="H851" s="120">
        <f t="shared" si="46"/>
        <v>0</v>
      </c>
      <c r="I851" s="171" t="s">
        <v>1234</v>
      </c>
    </row>
    <row r="852" spans="1:9" s="110" customFormat="1" ht="13.5" customHeight="1" x14ac:dyDescent="0.2">
      <c r="A852" s="243">
        <v>112292</v>
      </c>
      <c r="B852" s="244" t="s">
        <v>92</v>
      </c>
      <c r="C852" s="244" t="s">
        <v>15</v>
      </c>
      <c r="D852" s="244" t="s">
        <v>1589</v>
      </c>
      <c r="E852" s="245">
        <v>43617</v>
      </c>
      <c r="F852" s="118">
        <v>1016.96</v>
      </c>
      <c r="G852" s="118">
        <f>SUMIF(CONFERÊNCIA!A:A,A852,CONFERÊNCIA!J:J)</f>
        <v>1016.96</v>
      </c>
      <c r="H852" s="119">
        <f t="shared" si="46"/>
        <v>0</v>
      </c>
      <c r="I852" s="171" t="s">
        <v>1234</v>
      </c>
    </row>
    <row r="853" spans="1:9" s="125" customFormat="1" ht="13.5" customHeight="1" x14ac:dyDescent="0.2">
      <c r="A853" s="243">
        <v>121957</v>
      </c>
      <c r="B853" s="244" t="s">
        <v>1621</v>
      </c>
      <c r="C853" s="244" t="s">
        <v>5</v>
      </c>
      <c r="D853" s="244" t="s">
        <v>0</v>
      </c>
      <c r="E853" s="245">
        <v>45040</v>
      </c>
      <c r="F853" s="118">
        <v>1055.25</v>
      </c>
      <c r="G853" s="118">
        <f>SUMIF(CONFERÊNCIA!A:A,A853,CONFERÊNCIA!J:J)</f>
        <v>1016.96</v>
      </c>
      <c r="H853" s="120">
        <f t="shared" si="46"/>
        <v>-38.289999999999964</v>
      </c>
      <c r="I853" s="171" t="s">
        <v>1234</v>
      </c>
    </row>
    <row r="854" spans="1:9" s="125" customFormat="1" ht="13.5" customHeight="1" x14ac:dyDescent="0.2">
      <c r="A854" s="243">
        <v>112296</v>
      </c>
      <c r="B854" s="244" t="s">
        <v>94</v>
      </c>
      <c r="C854" s="244" t="s">
        <v>5</v>
      </c>
      <c r="D854" s="244" t="s">
        <v>0</v>
      </c>
      <c r="E854" s="245">
        <v>43617</v>
      </c>
      <c r="F854" s="118">
        <v>1016.96</v>
      </c>
      <c r="G854" s="118">
        <f>SUMIF(CONFERÊNCIA!A:A,A854,CONFERÊNCIA!J:J)</f>
        <v>1016.96</v>
      </c>
      <c r="H854" s="120">
        <f t="shared" si="46"/>
        <v>0</v>
      </c>
      <c r="I854" s="171" t="s">
        <v>1234</v>
      </c>
    </row>
    <row r="855" spans="1:9" s="110" customFormat="1" ht="13.5" customHeight="1" x14ac:dyDescent="0.2">
      <c r="A855" s="243">
        <v>112309</v>
      </c>
      <c r="B855" s="244" t="s">
        <v>102</v>
      </c>
      <c r="C855" s="244" t="s">
        <v>5</v>
      </c>
      <c r="D855" s="244" t="s">
        <v>19</v>
      </c>
      <c r="E855" s="245">
        <v>43617</v>
      </c>
      <c r="F855" s="118">
        <v>1016.96</v>
      </c>
      <c r="G855" s="118">
        <f>SUMIF(CONFERÊNCIA!A:A,A855,CONFERÊNCIA!J:J)</f>
        <v>1016.96</v>
      </c>
      <c r="H855" s="119">
        <f t="shared" si="46"/>
        <v>0</v>
      </c>
      <c r="I855" s="171" t="s">
        <v>1234</v>
      </c>
    </row>
    <row r="856" spans="1:9" s="110" customFormat="1" ht="13.5" customHeight="1" x14ac:dyDescent="0.2">
      <c r="A856" s="243">
        <v>112364</v>
      </c>
      <c r="B856" s="244" t="s">
        <v>132</v>
      </c>
      <c r="C856" s="244" t="s">
        <v>5</v>
      </c>
      <c r="D856" s="244" t="s">
        <v>0</v>
      </c>
      <c r="E856" s="245">
        <v>43617</v>
      </c>
      <c r="F856" s="118">
        <v>940.39</v>
      </c>
      <c r="G856" s="118">
        <f>SUMIF(CONFERÊNCIA!A:A,A856,CONFERÊNCIA!J:J)</f>
        <v>978.67000000000007</v>
      </c>
      <c r="H856" s="119">
        <f t="shared" si="46"/>
        <v>38.280000000000086</v>
      </c>
      <c r="I856" s="171" t="s">
        <v>1234</v>
      </c>
    </row>
    <row r="857" spans="1:9" s="125" customFormat="1" ht="13.5" customHeight="1" x14ac:dyDescent="0.2">
      <c r="A857" s="243">
        <v>112370</v>
      </c>
      <c r="B857" s="244" t="s">
        <v>135</v>
      </c>
      <c r="C857" s="244" t="s">
        <v>5</v>
      </c>
      <c r="D857" s="244" t="s">
        <v>8</v>
      </c>
      <c r="E857" s="245">
        <v>43617</v>
      </c>
      <c r="F857" s="118">
        <v>1016.96</v>
      </c>
      <c r="G857" s="118">
        <f>SUMIF(CONFERÊNCIA!A:A,A857,CONFERÊNCIA!J:J)</f>
        <v>359.46</v>
      </c>
      <c r="H857" s="120">
        <f t="shared" si="46"/>
        <v>-657.5</v>
      </c>
      <c r="I857" s="171" t="s">
        <v>1731</v>
      </c>
    </row>
    <row r="858" spans="1:9" s="110" customFormat="1" ht="13.5" customHeight="1" x14ac:dyDescent="0.2">
      <c r="A858" s="243">
        <v>114128</v>
      </c>
      <c r="B858" s="244" t="s">
        <v>1018</v>
      </c>
      <c r="C858" s="244" t="s">
        <v>15</v>
      </c>
      <c r="D858" s="244" t="s">
        <v>1589</v>
      </c>
      <c r="E858" s="245">
        <v>43739</v>
      </c>
      <c r="F858" s="118">
        <v>1016.96</v>
      </c>
      <c r="G858" s="118">
        <f>SUMIF(CONFERÊNCIA!A:A,A858,CONFERÊNCIA!J:J)</f>
        <v>1016.96</v>
      </c>
      <c r="H858" s="119">
        <f t="shared" si="46"/>
        <v>0</v>
      </c>
      <c r="I858" s="171" t="s">
        <v>1234</v>
      </c>
    </row>
    <row r="859" spans="1:9" s="110" customFormat="1" ht="13.5" customHeight="1" x14ac:dyDescent="0.2">
      <c r="A859" s="243">
        <v>112379</v>
      </c>
      <c r="B859" s="244" t="s">
        <v>142</v>
      </c>
      <c r="C859" s="244" t="s">
        <v>15</v>
      </c>
      <c r="D859" s="244" t="s">
        <v>1589</v>
      </c>
      <c r="E859" s="245">
        <v>43617</v>
      </c>
      <c r="F859" s="118">
        <v>1016.96</v>
      </c>
      <c r="G859" s="118">
        <f>SUMIF(CONFERÊNCIA!A:A,A859,CONFERÊNCIA!J:J)</f>
        <v>1016.96</v>
      </c>
      <c r="H859" s="119">
        <f t="shared" si="46"/>
        <v>0</v>
      </c>
      <c r="I859" s="171" t="s">
        <v>1234</v>
      </c>
    </row>
    <row r="860" spans="1:9" s="125" customFormat="1" ht="13.5" customHeight="1" x14ac:dyDescent="0.2">
      <c r="A860" s="243">
        <v>112384</v>
      </c>
      <c r="B860" s="244" t="s">
        <v>148</v>
      </c>
      <c r="C860" s="244" t="s">
        <v>15</v>
      </c>
      <c r="D860" s="244" t="s">
        <v>1589</v>
      </c>
      <c r="E860" s="245">
        <v>43620</v>
      </c>
      <c r="F860" s="118">
        <v>1016.96</v>
      </c>
      <c r="G860" s="118">
        <f>SUMIF(CONFERÊNCIA!A:A,A860,CONFERÊNCIA!J:J)</f>
        <v>1016.96</v>
      </c>
      <c r="H860" s="120">
        <f t="shared" si="46"/>
        <v>0</v>
      </c>
      <c r="I860" s="171" t="s">
        <v>1234</v>
      </c>
    </row>
    <row r="861" spans="1:9" s="110" customFormat="1" ht="13.5" customHeight="1" x14ac:dyDescent="0.2">
      <c r="A861" s="243">
        <v>115796</v>
      </c>
      <c r="B861" s="244" t="s">
        <v>1167</v>
      </c>
      <c r="C861" s="244" t="s">
        <v>1668</v>
      </c>
      <c r="D861" s="244" t="s">
        <v>1589</v>
      </c>
      <c r="E861" s="245">
        <v>44145</v>
      </c>
      <c r="F861" s="118">
        <v>1016.96</v>
      </c>
      <c r="G861" s="118">
        <f>SUMIF(CONFERÊNCIA!A:A,A861,CONFERÊNCIA!J:J)</f>
        <v>1016.96</v>
      </c>
      <c r="H861" s="119">
        <f t="shared" si="46"/>
        <v>0</v>
      </c>
      <c r="I861" s="171" t="s">
        <v>1234</v>
      </c>
    </row>
    <row r="862" spans="1:9" s="125" customFormat="1" ht="13.5" customHeight="1" x14ac:dyDescent="0.2">
      <c r="A862" s="243">
        <v>112394</v>
      </c>
      <c r="B862" s="244" t="s">
        <v>152</v>
      </c>
      <c r="C862" s="244" t="s">
        <v>2</v>
      </c>
      <c r="D862" s="244" t="s">
        <v>0</v>
      </c>
      <c r="E862" s="245">
        <v>43617</v>
      </c>
      <c r="F862" s="118">
        <v>1016.96</v>
      </c>
      <c r="G862" s="118">
        <f>SUMIF(CONFERÊNCIA!A:A,A862,CONFERÊNCIA!J:J)</f>
        <v>1016.96</v>
      </c>
      <c r="H862" s="120">
        <f t="shared" si="46"/>
        <v>0</v>
      </c>
      <c r="I862" s="171" t="s">
        <v>1234</v>
      </c>
    </row>
    <row r="863" spans="1:9" s="110" customFormat="1" ht="13.5" customHeight="1" x14ac:dyDescent="0.2">
      <c r="A863" s="243">
        <v>113762</v>
      </c>
      <c r="B863" s="244" t="s">
        <v>968</v>
      </c>
      <c r="C863" s="244" t="s">
        <v>470</v>
      </c>
      <c r="D863" s="244" t="s">
        <v>0</v>
      </c>
      <c r="E863" s="245">
        <v>43621</v>
      </c>
      <c r="F863" s="118">
        <v>1016.96</v>
      </c>
      <c r="G863" s="118">
        <f>SUMIF(CONFERÊNCIA!A:A,A863,CONFERÊNCIA!J:J)</f>
        <v>1016.96</v>
      </c>
      <c r="H863" s="119">
        <f t="shared" ref="H863:H881" si="47">G863-F863</f>
        <v>0</v>
      </c>
      <c r="I863" s="171" t="s">
        <v>1234</v>
      </c>
    </row>
    <row r="864" spans="1:9" s="125" customFormat="1" ht="13.5" customHeight="1" x14ac:dyDescent="0.2">
      <c r="A864" s="243">
        <v>116234</v>
      </c>
      <c r="B864" s="244" t="s">
        <v>1199</v>
      </c>
      <c r="C864" s="244" t="s">
        <v>2</v>
      </c>
      <c r="D864" s="244" t="s">
        <v>8</v>
      </c>
      <c r="E864" s="245">
        <v>44273</v>
      </c>
      <c r="F864" s="118">
        <v>1016.96</v>
      </c>
      <c r="G864" s="118">
        <f>SUMIF(CONFERÊNCIA!A:A,A864,CONFERÊNCIA!J:J)</f>
        <v>1016.96</v>
      </c>
      <c r="H864" s="120">
        <f t="shared" si="47"/>
        <v>0</v>
      </c>
      <c r="I864" s="171" t="s">
        <v>1234</v>
      </c>
    </row>
    <row r="865" spans="1:9" s="110" customFormat="1" ht="13.5" customHeight="1" x14ac:dyDescent="0.2">
      <c r="A865" s="243">
        <v>112401</v>
      </c>
      <c r="B865" s="244" t="s">
        <v>157</v>
      </c>
      <c r="C865" s="244" t="s">
        <v>15</v>
      </c>
      <c r="D865" s="244" t="s">
        <v>1589</v>
      </c>
      <c r="E865" s="245">
        <v>43627</v>
      </c>
      <c r="F865" s="118">
        <v>1016.96</v>
      </c>
      <c r="G865" s="118">
        <f>SUMIF(CONFERÊNCIA!A:A,A865,CONFERÊNCIA!J:J)</f>
        <v>1016.96</v>
      </c>
      <c r="H865" s="119">
        <f t="shared" si="47"/>
        <v>0</v>
      </c>
      <c r="I865" s="171" t="s">
        <v>1234</v>
      </c>
    </row>
    <row r="866" spans="1:9" s="110" customFormat="1" ht="13.5" customHeight="1" x14ac:dyDescent="0.2">
      <c r="A866" s="243">
        <v>117236</v>
      </c>
      <c r="B866" s="244" t="s">
        <v>1259</v>
      </c>
      <c r="C866" s="244" t="s">
        <v>2</v>
      </c>
      <c r="D866" s="244" t="s">
        <v>0</v>
      </c>
      <c r="E866" s="245">
        <v>44487</v>
      </c>
      <c r="F866" s="118">
        <v>1016.96</v>
      </c>
      <c r="G866" s="118">
        <f>SUMIF(CONFERÊNCIA!A:A,A866,CONFERÊNCIA!J:J)</f>
        <v>1016.96</v>
      </c>
      <c r="H866" s="119">
        <f t="shared" si="47"/>
        <v>0</v>
      </c>
      <c r="I866" s="171" t="s">
        <v>1234</v>
      </c>
    </row>
    <row r="867" spans="1:9" s="110" customFormat="1" ht="13.5" customHeight="1" x14ac:dyDescent="0.2">
      <c r="A867" s="243">
        <v>119647</v>
      </c>
      <c r="B867" s="244" t="s">
        <v>1474</v>
      </c>
      <c r="C867" s="244" t="s">
        <v>1663</v>
      </c>
      <c r="D867" s="244" t="s">
        <v>1589</v>
      </c>
      <c r="E867" s="245">
        <v>44725</v>
      </c>
      <c r="F867" s="118">
        <v>1016.96</v>
      </c>
      <c r="G867" s="118">
        <f>SUMIF(CONFERÊNCIA!A:A,A867,CONFERÊNCIA!J:J)</f>
        <v>1016.96</v>
      </c>
      <c r="H867" s="119">
        <f t="shared" si="47"/>
        <v>0</v>
      </c>
      <c r="I867" s="171" t="s">
        <v>1234</v>
      </c>
    </row>
    <row r="868" spans="1:9" s="125" customFormat="1" ht="13.5" customHeight="1" x14ac:dyDescent="0.2">
      <c r="A868" s="243">
        <v>112415</v>
      </c>
      <c r="B868" s="244" t="s">
        <v>166</v>
      </c>
      <c r="C868" s="244" t="s">
        <v>22</v>
      </c>
      <c r="D868" s="244" t="s">
        <v>1589</v>
      </c>
      <c r="E868" s="245">
        <v>43617</v>
      </c>
      <c r="F868" s="118">
        <v>1016.96</v>
      </c>
      <c r="G868" s="118">
        <f>SUMIF(CONFERÊNCIA!A:A,A868,CONFERÊNCIA!J:J)</f>
        <v>1016.96</v>
      </c>
      <c r="H868" s="120">
        <f t="shared" si="47"/>
        <v>0</v>
      </c>
      <c r="I868" s="171" t="s">
        <v>1234</v>
      </c>
    </row>
    <row r="869" spans="1:9" s="110" customFormat="1" ht="13.5" customHeight="1" x14ac:dyDescent="0.2">
      <c r="A869" s="243">
        <v>112418</v>
      </c>
      <c r="B869" s="244" t="s">
        <v>168</v>
      </c>
      <c r="C869" s="244" t="s">
        <v>2</v>
      </c>
      <c r="D869" s="244" t="s">
        <v>0</v>
      </c>
      <c r="E869" s="245">
        <v>43617</v>
      </c>
      <c r="F869" s="118">
        <v>1016.96</v>
      </c>
      <c r="G869" s="118">
        <f>SUMIF(CONFERÊNCIA!A:A,A869,CONFERÊNCIA!J:J)</f>
        <v>1016.96</v>
      </c>
      <c r="H869" s="119">
        <f t="shared" si="47"/>
        <v>0</v>
      </c>
      <c r="I869" s="171" t="s">
        <v>1234</v>
      </c>
    </row>
    <row r="870" spans="1:9" s="125" customFormat="1" ht="13.5" customHeight="1" x14ac:dyDescent="0.2">
      <c r="A870" s="243">
        <v>112421</v>
      </c>
      <c r="B870" s="244" t="s">
        <v>170</v>
      </c>
      <c r="C870" s="244" t="s">
        <v>5</v>
      </c>
      <c r="D870" s="244" t="s">
        <v>8</v>
      </c>
      <c r="E870" s="245">
        <v>43617</v>
      </c>
      <c r="F870" s="118">
        <v>1016.96</v>
      </c>
      <c r="G870" s="118">
        <f>SUMIF(CONFERÊNCIA!A:A,A870,CONFERÊNCIA!J:J)</f>
        <v>1016.96</v>
      </c>
      <c r="H870" s="120">
        <f t="shared" si="47"/>
        <v>0</v>
      </c>
      <c r="I870" s="171" t="s">
        <v>1234</v>
      </c>
    </row>
    <row r="871" spans="1:9" s="125" customFormat="1" ht="13.5" customHeight="1" x14ac:dyDescent="0.2">
      <c r="A871" s="243">
        <v>112431</v>
      </c>
      <c r="B871" s="244" t="s">
        <v>174</v>
      </c>
      <c r="C871" s="244" t="s">
        <v>5</v>
      </c>
      <c r="D871" s="244" t="s">
        <v>10</v>
      </c>
      <c r="E871" s="245">
        <v>43617</v>
      </c>
      <c r="F871" s="118">
        <v>1016.96</v>
      </c>
      <c r="G871" s="118">
        <f>SUMIF(CONFERÊNCIA!A:A,A871,CONFERÊNCIA!J:J)</f>
        <v>1016.96</v>
      </c>
      <c r="H871" s="120">
        <f t="shared" si="47"/>
        <v>0</v>
      </c>
      <c r="I871" s="171" t="s">
        <v>1234</v>
      </c>
    </row>
    <row r="872" spans="1:9" s="110" customFormat="1" ht="13.5" customHeight="1" x14ac:dyDescent="0.2">
      <c r="A872" s="243">
        <v>112437</v>
      </c>
      <c r="B872" s="244" t="s">
        <v>179</v>
      </c>
      <c r="C872" s="244" t="s">
        <v>282</v>
      </c>
      <c r="D872" s="244" t="s">
        <v>1589</v>
      </c>
      <c r="E872" s="245">
        <v>43617</v>
      </c>
      <c r="F872" s="118">
        <v>1016.96</v>
      </c>
      <c r="G872" s="118">
        <f>SUMIF(CONFERÊNCIA!A:A,A872,CONFERÊNCIA!J:J)</f>
        <v>1016.96</v>
      </c>
      <c r="H872" s="119">
        <f t="shared" si="47"/>
        <v>0</v>
      </c>
      <c r="I872" s="171" t="s">
        <v>1234</v>
      </c>
    </row>
    <row r="873" spans="1:9" s="110" customFormat="1" ht="13.5" customHeight="1" x14ac:dyDescent="0.2">
      <c r="A873" s="243">
        <v>112470</v>
      </c>
      <c r="B873" s="244" t="s">
        <v>199</v>
      </c>
      <c r="C873" s="244" t="s">
        <v>5</v>
      </c>
      <c r="D873" s="244" t="s">
        <v>0</v>
      </c>
      <c r="E873" s="245">
        <v>43617</v>
      </c>
      <c r="F873" s="118">
        <v>1016.96</v>
      </c>
      <c r="G873" s="118">
        <f>SUMIF(CONFERÊNCIA!A:A,A873,CONFERÊNCIA!J:J)</f>
        <v>1016.96</v>
      </c>
      <c r="H873" s="119">
        <f t="shared" si="47"/>
        <v>0</v>
      </c>
      <c r="I873" s="171" t="s">
        <v>1234</v>
      </c>
    </row>
    <row r="874" spans="1:9" s="110" customFormat="1" ht="13.5" customHeight="1" x14ac:dyDescent="0.2">
      <c r="A874" s="243">
        <v>122560</v>
      </c>
      <c r="B874" s="244" t="s">
        <v>1708</v>
      </c>
      <c r="C874" s="244" t="s">
        <v>5</v>
      </c>
      <c r="D874" s="244" t="s">
        <v>32</v>
      </c>
      <c r="E874" s="245">
        <v>45131</v>
      </c>
      <c r="F874" s="118">
        <v>1290.76</v>
      </c>
      <c r="G874" s="118">
        <f>SUMIF(CONFERÊNCIA!A:A,A874,CONFERÊNCIA!J:J)</f>
        <v>978.67000000000007</v>
      </c>
      <c r="H874" s="119">
        <f t="shared" si="47"/>
        <v>-312.08999999999992</v>
      </c>
      <c r="I874" s="171" t="s">
        <v>1234</v>
      </c>
    </row>
    <row r="875" spans="1:9" s="110" customFormat="1" ht="13.5" customHeight="1" x14ac:dyDescent="0.2">
      <c r="A875" s="243">
        <v>113782</v>
      </c>
      <c r="B875" s="244" t="s">
        <v>980</v>
      </c>
      <c r="C875" s="244" t="s">
        <v>981</v>
      </c>
      <c r="D875" s="244" t="s">
        <v>1589</v>
      </c>
      <c r="E875" s="245">
        <v>43626</v>
      </c>
      <c r="F875" s="118">
        <v>1016.96</v>
      </c>
      <c r="G875" s="118">
        <f>SUMIF(CONFERÊNCIA!A:A,A875,CONFERÊNCIA!J:J)</f>
        <v>1016.96</v>
      </c>
      <c r="H875" s="119">
        <f t="shared" si="47"/>
        <v>0</v>
      </c>
      <c r="I875" s="171" t="s">
        <v>1234</v>
      </c>
    </row>
    <row r="876" spans="1:9" s="125" customFormat="1" ht="13.5" customHeight="1" x14ac:dyDescent="0.2">
      <c r="A876" s="243">
        <v>116978</v>
      </c>
      <c r="B876" s="244" t="s">
        <v>1246</v>
      </c>
      <c r="C876" s="244" t="s">
        <v>5</v>
      </c>
      <c r="D876" s="244" t="s">
        <v>10</v>
      </c>
      <c r="E876" s="245">
        <v>44419</v>
      </c>
      <c r="F876" s="118">
        <v>1016.96</v>
      </c>
      <c r="G876" s="118">
        <f>SUMIF(CONFERÊNCIA!A:A,A876,CONFERÊNCIA!J:J)</f>
        <v>940.39</v>
      </c>
      <c r="H876" s="120">
        <f t="shared" si="47"/>
        <v>-76.57000000000005</v>
      </c>
      <c r="I876" s="171" t="s">
        <v>1234</v>
      </c>
    </row>
    <row r="877" spans="1:9" s="110" customFormat="1" ht="13.5" customHeight="1" x14ac:dyDescent="0.2">
      <c r="A877" s="243">
        <v>121939</v>
      </c>
      <c r="B877" s="244" t="s">
        <v>1622</v>
      </c>
      <c r="C877" s="244" t="s">
        <v>1464</v>
      </c>
      <c r="D877" s="244" t="s">
        <v>1591</v>
      </c>
      <c r="E877" s="245">
        <v>45040</v>
      </c>
      <c r="F877" s="118">
        <v>657.5</v>
      </c>
      <c r="G877" s="118">
        <f>SUMIF(CONFERÊNCIA!A:A,A877,CONFERÊNCIA!J:J)</f>
        <v>657.5</v>
      </c>
      <c r="H877" s="119">
        <f t="shared" si="47"/>
        <v>0</v>
      </c>
      <c r="I877" s="171" t="s">
        <v>1234</v>
      </c>
    </row>
    <row r="878" spans="1:9" s="125" customFormat="1" ht="13.5" customHeight="1" x14ac:dyDescent="0.2">
      <c r="A878" s="243">
        <v>115371</v>
      </c>
      <c r="B878" s="244" t="s">
        <v>1153</v>
      </c>
      <c r="C878" s="244" t="s">
        <v>5</v>
      </c>
      <c r="D878" s="244" t="s">
        <v>0</v>
      </c>
      <c r="E878" s="245">
        <v>44046</v>
      </c>
      <c r="F878" s="118">
        <v>1016.96</v>
      </c>
      <c r="G878" s="118">
        <f>SUMIF(CONFERÊNCIA!A:A,A878,CONFERÊNCIA!J:J)</f>
        <v>1016.96</v>
      </c>
      <c r="H878" s="120">
        <f t="shared" si="47"/>
        <v>0</v>
      </c>
      <c r="I878" s="171" t="s">
        <v>1234</v>
      </c>
    </row>
    <row r="879" spans="1:9" s="110" customFormat="1" ht="13.5" customHeight="1" x14ac:dyDescent="0.2">
      <c r="A879" s="243">
        <v>112478</v>
      </c>
      <c r="B879" s="244" t="s">
        <v>206</v>
      </c>
      <c r="C879" s="244" t="s">
        <v>22</v>
      </c>
      <c r="D879" s="244" t="s">
        <v>1589</v>
      </c>
      <c r="E879" s="245">
        <v>43617</v>
      </c>
      <c r="F879" s="118">
        <v>1016.96</v>
      </c>
      <c r="G879" s="118">
        <f>SUMIF(CONFERÊNCIA!A:A,A879,CONFERÊNCIA!J:J)</f>
        <v>1016.96</v>
      </c>
      <c r="H879" s="119">
        <f t="shared" si="47"/>
        <v>0</v>
      </c>
      <c r="I879" s="171" t="s">
        <v>1234</v>
      </c>
    </row>
    <row r="880" spans="1:9" s="110" customFormat="1" ht="13.5" customHeight="1" x14ac:dyDescent="0.2">
      <c r="A880" s="243">
        <v>114927</v>
      </c>
      <c r="B880" s="244" t="s">
        <v>1117</v>
      </c>
      <c r="C880" s="244" t="s">
        <v>5</v>
      </c>
      <c r="D880" s="244" t="s">
        <v>1589</v>
      </c>
      <c r="E880" s="245">
        <v>43916</v>
      </c>
      <c r="F880" s="118">
        <v>1016.96</v>
      </c>
      <c r="G880" s="118">
        <f>SUMIF(CONFERÊNCIA!A:A,A880,CONFERÊNCIA!J:J)</f>
        <v>1016.96</v>
      </c>
      <c r="H880" s="119">
        <f t="shared" si="47"/>
        <v>0</v>
      </c>
      <c r="I880" s="171" t="s">
        <v>1234</v>
      </c>
    </row>
    <row r="881" spans="1:9" s="110" customFormat="1" ht="13.5" customHeight="1" x14ac:dyDescent="0.2">
      <c r="A881" s="243">
        <v>112503</v>
      </c>
      <c r="B881" s="244" t="s">
        <v>221</v>
      </c>
      <c r="C881" s="244" t="s">
        <v>5</v>
      </c>
      <c r="D881" s="244" t="s">
        <v>8</v>
      </c>
      <c r="E881" s="245">
        <v>43617</v>
      </c>
      <c r="F881" s="118">
        <v>1016.96</v>
      </c>
      <c r="G881" s="118">
        <f>SUMIF(CONFERÊNCIA!A:A,A881,CONFERÊNCIA!J:J)</f>
        <v>1016.96</v>
      </c>
      <c r="H881" s="119">
        <f t="shared" si="47"/>
        <v>0</v>
      </c>
      <c r="I881" s="171" t="s">
        <v>1234</v>
      </c>
    </row>
    <row r="882" spans="1:9" s="110" customFormat="1" ht="13.5" customHeight="1" x14ac:dyDescent="0.2">
      <c r="A882" s="243">
        <v>116385</v>
      </c>
      <c r="B882" s="244" t="s">
        <v>1214</v>
      </c>
      <c r="C882" s="244" t="s">
        <v>5</v>
      </c>
      <c r="D882" s="244" t="s">
        <v>32</v>
      </c>
      <c r="E882" s="245">
        <v>44328</v>
      </c>
      <c r="F882" s="118">
        <v>1016.96</v>
      </c>
      <c r="G882" s="118">
        <f>SUMIF(CONFERÊNCIA!A:A,A882,CONFERÊNCIA!J:J)</f>
        <v>1016.96</v>
      </c>
      <c r="H882" s="119">
        <f t="shared" ref="H882:H891" si="48">G882-F882</f>
        <v>0</v>
      </c>
      <c r="I882" s="171" t="s">
        <v>1235</v>
      </c>
    </row>
    <row r="883" spans="1:9" s="110" customFormat="1" ht="13.5" customHeight="1" x14ac:dyDescent="0.2">
      <c r="A883" s="243">
        <v>112542</v>
      </c>
      <c r="B883" s="244" t="s">
        <v>252</v>
      </c>
      <c r="C883" s="244" t="s">
        <v>5</v>
      </c>
      <c r="D883" s="244" t="s">
        <v>0</v>
      </c>
      <c r="E883" s="245">
        <v>43617</v>
      </c>
      <c r="F883" s="118">
        <v>1016.96</v>
      </c>
      <c r="G883" s="118">
        <f>SUMIF(CONFERÊNCIA!A:A,A883,CONFERÊNCIA!J:J)</f>
        <v>978.67000000000007</v>
      </c>
      <c r="H883" s="119">
        <f t="shared" si="48"/>
        <v>-38.289999999999964</v>
      </c>
      <c r="I883" s="171" t="s">
        <v>1234</v>
      </c>
    </row>
    <row r="884" spans="1:9" s="110" customFormat="1" ht="13.5" customHeight="1" x14ac:dyDescent="0.2">
      <c r="A884" s="243">
        <v>112545</v>
      </c>
      <c r="B884" s="244" t="s">
        <v>253</v>
      </c>
      <c r="C884" s="244" t="s">
        <v>2</v>
      </c>
      <c r="D884" s="244" t="s">
        <v>0</v>
      </c>
      <c r="E884" s="245">
        <v>43617</v>
      </c>
      <c r="F884" s="118">
        <v>1016.96</v>
      </c>
      <c r="G884" s="118">
        <f>SUMIF(CONFERÊNCIA!A:A,A884,CONFERÊNCIA!J:J)</f>
        <v>1016.96</v>
      </c>
      <c r="H884" s="119">
        <f t="shared" si="48"/>
        <v>0</v>
      </c>
      <c r="I884" s="171" t="s">
        <v>1234</v>
      </c>
    </row>
    <row r="885" spans="1:9" s="125" customFormat="1" ht="13.5" customHeight="1" x14ac:dyDescent="0.2">
      <c r="A885" s="243">
        <v>112546</v>
      </c>
      <c r="B885" s="244" t="s">
        <v>254</v>
      </c>
      <c r="C885" s="244" t="s">
        <v>255</v>
      </c>
      <c r="D885" s="244" t="s">
        <v>1589</v>
      </c>
      <c r="E885" s="245">
        <v>43617</v>
      </c>
      <c r="F885" s="118">
        <v>1016.96</v>
      </c>
      <c r="G885" s="118">
        <f>SUMIF(CONFERÊNCIA!A:A,A885,CONFERÊNCIA!J:J)</f>
        <v>1016.96</v>
      </c>
      <c r="H885" s="120">
        <f t="shared" si="48"/>
        <v>0</v>
      </c>
      <c r="I885" s="171" t="s">
        <v>1234</v>
      </c>
    </row>
    <row r="886" spans="1:9" s="125" customFormat="1" ht="13.5" customHeight="1" x14ac:dyDescent="0.2">
      <c r="A886" s="243">
        <v>118649</v>
      </c>
      <c r="B886" s="244" t="s">
        <v>1409</v>
      </c>
      <c r="C886" s="244" t="s">
        <v>5</v>
      </c>
      <c r="D886" s="244" t="s">
        <v>1589</v>
      </c>
      <c r="E886" s="245">
        <v>44582</v>
      </c>
      <c r="F886" s="118">
        <v>1016.96</v>
      </c>
      <c r="G886" s="118">
        <f>SUMIF(CONFERÊNCIA!A:A,A886,CONFERÊNCIA!J:J)</f>
        <v>1016.96</v>
      </c>
      <c r="H886" s="120">
        <f t="shared" si="48"/>
        <v>0</v>
      </c>
      <c r="I886" s="171" t="s">
        <v>1234</v>
      </c>
    </row>
    <row r="887" spans="1:9" s="125" customFormat="1" ht="13.5" customHeight="1" x14ac:dyDescent="0.2">
      <c r="A887" s="243">
        <v>122571</v>
      </c>
      <c r="B887" s="244" t="s">
        <v>1709</v>
      </c>
      <c r="C887" s="244" t="s">
        <v>15</v>
      </c>
      <c r="D887" s="244" t="s">
        <v>1589</v>
      </c>
      <c r="E887" s="245">
        <v>45131</v>
      </c>
      <c r="F887" s="118">
        <v>1290.76</v>
      </c>
      <c r="G887" s="118">
        <f>SUMIF(CONFERÊNCIA!A:A,A887,CONFERÊNCIA!J:J)</f>
        <v>1016.96</v>
      </c>
      <c r="H887" s="120">
        <f t="shared" si="48"/>
        <v>-273.79999999999995</v>
      </c>
      <c r="I887" s="171" t="s">
        <v>1234</v>
      </c>
    </row>
    <row r="888" spans="1:9" s="110" customFormat="1" ht="13.5" customHeight="1" x14ac:dyDescent="0.2">
      <c r="A888" s="243">
        <v>121476</v>
      </c>
      <c r="B888" s="244" t="s">
        <v>1573</v>
      </c>
      <c r="C888" s="244" t="s">
        <v>5</v>
      </c>
      <c r="D888" s="244" t="s">
        <v>1589</v>
      </c>
      <c r="E888" s="245">
        <v>44967</v>
      </c>
      <c r="F888" s="118">
        <v>978.67000000000007</v>
      </c>
      <c r="G888" s="118">
        <f>SUMIF(CONFERÊNCIA!A:A,A888,CONFERÊNCIA!J:J)</f>
        <v>1016.96</v>
      </c>
      <c r="H888" s="119">
        <f t="shared" si="48"/>
        <v>38.289999999999964</v>
      </c>
      <c r="I888" s="171" t="s">
        <v>1234</v>
      </c>
    </row>
    <row r="889" spans="1:9" s="125" customFormat="1" ht="13.5" customHeight="1" x14ac:dyDescent="0.2">
      <c r="A889" s="243">
        <v>112558</v>
      </c>
      <c r="B889" s="244" t="s">
        <v>264</v>
      </c>
      <c r="C889" s="244" t="s">
        <v>146</v>
      </c>
      <c r="D889" s="244" t="s">
        <v>0</v>
      </c>
      <c r="E889" s="245">
        <v>43617</v>
      </c>
      <c r="F889" s="118">
        <v>1016.96</v>
      </c>
      <c r="G889" s="118">
        <f>SUMIF(CONFERÊNCIA!A:A,A889,CONFERÊNCIA!J:J)</f>
        <v>1016.96</v>
      </c>
      <c r="H889" s="120">
        <f t="shared" si="48"/>
        <v>0</v>
      </c>
      <c r="I889" s="171" t="s">
        <v>1234</v>
      </c>
    </row>
    <row r="890" spans="1:9" s="110" customFormat="1" ht="13.5" customHeight="1" x14ac:dyDescent="0.2">
      <c r="A890" s="243">
        <v>112577</v>
      </c>
      <c r="B890" s="244" t="s">
        <v>274</v>
      </c>
      <c r="C890" s="244" t="s">
        <v>2</v>
      </c>
      <c r="D890" s="244" t="s">
        <v>0</v>
      </c>
      <c r="E890" s="245">
        <v>43617</v>
      </c>
      <c r="F890" s="118">
        <v>1016.96</v>
      </c>
      <c r="G890" s="118">
        <f>SUMIF(CONFERÊNCIA!A:A,A890,CONFERÊNCIA!J:J)</f>
        <v>1016.96</v>
      </c>
      <c r="H890" s="119">
        <f t="shared" si="48"/>
        <v>0</v>
      </c>
      <c r="I890" s="171" t="s">
        <v>1235</v>
      </c>
    </row>
    <row r="891" spans="1:9" s="125" customFormat="1" ht="13.5" customHeight="1" x14ac:dyDescent="0.2">
      <c r="A891" s="243">
        <v>112583</v>
      </c>
      <c r="B891" s="244" t="s">
        <v>278</v>
      </c>
      <c r="C891" s="244" t="s">
        <v>15</v>
      </c>
      <c r="D891" s="244" t="s">
        <v>1589</v>
      </c>
      <c r="E891" s="245">
        <v>43617</v>
      </c>
      <c r="F891" s="118">
        <v>1016.96</v>
      </c>
      <c r="G891" s="118">
        <f>SUMIF(CONFERÊNCIA!A:A,A891,CONFERÊNCIA!J:J)</f>
        <v>1016.96</v>
      </c>
      <c r="H891" s="120">
        <f t="shared" si="48"/>
        <v>0</v>
      </c>
      <c r="I891" s="171" t="s">
        <v>1234</v>
      </c>
    </row>
    <row r="892" spans="1:9" x14ac:dyDescent="0.2">
      <c r="A892" s="243">
        <v>112589</v>
      </c>
      <c r="B892" s="244" t="s">
        <v>281</v>
      </c>
      <c r="C892" s="244" t="s">
        <v>282</v>
      </c>
      <c r="D892" s="244" t="s">
        <v>1589</v>
      </c>
      <c r="E892" s="245">
        <v>43617</v>
      </c>
      <c r="F892" s="118">
        <v>1016.96</v>
      </c>
      <c r="G892" s="118">
        <f>SUMIF(CONFERÊNCIA!A:A,A892,CONFERÊNCIA!J:J)</f>
        <v>1016.96</v>
      </c>
      <c r="H892" s="120">
        <f t="shared" ref="H892:H926" si="49">G892-F892</f>
        <v>0</v>
      </c>
      <c r="I892" s="171" t="s">
        <v>1235</v>
      </c>
    </row>
    <row r="893" spans="1:9" x14ac:dyDescent="0.2">
      <c r="A893" s="243">
        <v>112596</v>
      </c>
      <c r="B893" s="244" t="s">
        <v>285</v>
      </c>
      <c r="C893" s="244" t="s">
        <v>2</v>
      </c>
      <c r="D893" s="244" t="s">
        <v>0</v>
      </c>
      <c r="E893" s="245">
        <v>43617</v>
      </c>
      <c r="F893" s="118">
        <v>1016.96</v>
      </c>
      <c r="G893" s="118">
        <f>SUMIF(CONFERÊNCIA!A:A,A893,CONFERÊNCIA!J:J)</f>
        <v>1016.96</v>
      </c>
      <c r="H893" s="120">
        <f t="shared" si="49"/>
        <v>0</v>
      </c>
      <c r="I893" s="171" t="s">
        <v>1234</v>
      </c>
    </row>
    <row r="894" spans="1:9" x14ac:dyDescent="0.2">
      <c r="A894" s="243">
        <v>115404</v>
      </c>
      <c r="B894" s="244" t="s">
        <v>1159</v>
      </c>
      <c r="C894" s="244" t="s">
        <v>2</v>
      </c>
      <c r="D894" s="244" t="s">
        <v>0</v>
      </c>
      <c r="E894" s="245">
        <v>44048</v>
      </c>
      <c r="F894" s="118">
        <v>1016.96</v>
      </c>
      <c r="G894" s="118">
        <f>SUMIF(CONFERÊNCIA!A:A,A894,CONFERÊNCIA!J:J)</f>
        <v>1016.96</v>
      </c>
      <c r="H894" s="120">
        <f t="shared" si="49"/>
        <v>0</v>
      </c>
      <c r="I894" s="171" t="s">
        <v>1234</v>
      </c>
    </row>
    <row r="895" spans="1:9" x14ac:dyDescent="0.2">
      <c r="A895" s="243">
        <v>112604</v>
      </c>
      <c r="B895" s="244" t="s">
        <v>290</v>
      </c>
      <c r="C895" s="244" t="s">
        <v>15</v>
      </c>
      <c r="D895" s="244" t="s">
        <v>1589</v>
      </c>
      <c r="E895" s="245">
        <v>43617</v>
      </c>
      <c r="F895" s="118">
        <v>1016.96</v>
      </c>
      <c r="G895" s="118">
        <f>SUMIF(CONFERÊNCIA!A:A,A895,CONFERÊNCIA!J:J)</f>
        <v>1016.96</v>
      </c>
      <c r="H895" s="120">
        <f t="shared" si="49"/>
        <v>0</v>
      </c>
      <c r="I895" s="171" t="s">
        <v>1235</v>
      </c>
    </row>
    <row r="896" spans="1:9" x14ac:dyDescent="0.2">
      <c r="A896" s="243">
        <v>112611</v>
      </c>
      <c r="B896" s="244" t="s">
        <v>296</v>
      </c>
      <c r="C896" s="244" t="s">
        <v>5</v>
      </c>
      <c r="D896" s="244" t="s">
        <v>1589</v>
      </c>
      <c r="E896" s="245">
        <v>43617</v>
      </c>
      <c r="F896" s="118">
        <v>1016.96</v>
      </c>
      <c r="G896" s="118">
        <f>SUMIF(CONFERÊNCIA!A:A,A896,CONFERÊNCIA!J:J)</f>
        <v>1016.96</v>
      </c>
      <c r="H896" s="120">
        <f t="shared" si="49"/>
        <v>0</v>
      </c>
      <c r="I896" s="171" t="s">
        <v>1234</v>
      </c>
    </row>
    <row r="897" spans="1:9" x14ac:dyDescent="0.2">
      <c r="A897" s="243">
        <v>112617</v>
      </c>
      <c r="B897" s="244" t="s">
        <v>301</v>
      </c>
      <c r="C897" s="244" t="s">
        <v>2</v>
      </c>
      <c r="D897" s="244" t="s">
        <v>19</v>
      </c>
      <c r="E897" s="245">
        <v>43617</v>
      </c>
      <c r="F897" s="118">
        <v>1016.96</v>
      </c>
      <c r="G897" s="118">
        <f>SUMIF(CONFERÊNCIA!A:A,A897,CONFERÊNCIA!J:J)</f>
        <v>1016.96</v>
      </c>
      <c r="H897" s="120">
        <f t="shared" si="49"/>
        <v>0</v>
      </c>
      <c r="I897" s="171" t="s">
        <v>1234</v>
      </c>
    </row>
    <row r="898" spans="1:9" x14ac:dyDescent="0.2">
      <c r="A898" s="243">
        <v>112625</v>
      </c>
      <c r="B898" s="244" t="s">
        <v>306</v>
      </c>
      <c r="C898" s="244" t="s">
        <v>15</v>
      </c>
      <c r="D898" s="244" t="s">
        <v>1589</v>
      </c>
      <c r="E898" s="245">
        <v>43617</v>
      </c>
      <c r="F898" s="118">
        <v>1016.96</v>
      </c>
      <c r="G898" s="118">
        <f>SUMIF(CONFERÊNCIA!A:A,A898,CONFERÊNCIA!J:J)</f>
        <v>1016.96</v>
      </c>
      <c r="H898" s="120">
        <f t="shared" si="49"/>
        <v>0</v>
      </c>
      <c r="I898" s="171" t="s">
        <v>1234</v>
      </c>
    </row>
    <row r="899" spans="1:9" x14ac:dyDescent="0.2">
      <c r="A899" s="243">
        <v>112630</v>
      </c>
      <c r="B899" s="244" t="s">
        <v>310</v>
      </c>
      <c r="C899" s="244" t="s">
        <v>5</v>
      </c>
      <c r="D899" s="244" t="s">
        <v>0</v>
      </c>
      <c r="E899" s="245">
        <v>43617</v>
      </c>
      <c r="F899" s="118">
        <v>1016.96</v>
      </c>
      <c r="G899" s="118">
        <f>SUMIF(CONFERÊNCIA!A:A,A899,CONFERÊNCIA!J:J)</f>
        <v>1016.96</v>
      </c>
      <c r="H899" s="120">
        <f t="shared" si="49"/>
        <v>0</v>
      </c>
      <c r="I899" s="171" t="s">
        <v>1234</v>
      </c>
    </row>
    <row r="900" spans="1:9" x14ac:dyDescent="0.2">
      <c r="A900" s="243">
        <v>114736</v>
      </c>
      <c r="B900" s="244" t="s">
        <v>1089</v>
      </c>
      <c r="C900" s="244" t="s">
        <v>5</v>
      </c>
      <c r="D900" s="244" t="s">
        <v>32</v>
      </c>
      <c r="E900" s="245">
        <v>43874</v>
      </c>
      <c r="F900" s="118">
        <v>1016.96</v>
      </c>
      <c r="G900" s="118">
        <f>SUMIF(CONFERÊNCIA!A:A,A900,CONFERÊNCIA!J:J)</f>
        <v>978.67000000000007</v>
      </c>
      <c r="H900" s="120">
        <f t="shared" si="49"/>
        <v>-38.289999999999964</v>
      </c>
      <c r="I900" s="171" t="s">
        <v>1234</v>
      </c>
    </row>
    <row r="901" spans="1:9" x14ac:dyDescent="0.2">
      <c r="A901" s="243">
        <v>116024</v>
      </c>
      <c r="B901" s="244" t="s">
        <v>1179</v>
      </c>
      <c r="C901" s="244" t="s">
        <v>5</v>
      </c>
      <c r="D901" s="244" t="s">
        <v>10</v>
      </c>
      <c r="E901" s="245">
        <v>44207</v>
      </c>
      <c r="F901" s="118">
        <v>1016.96</v>
      </c>
      <c r="G901" s="118">
        <f>SUMIF(CONFERÊNCIA!A:A,A901,CONFERÊNCIA!J:J)</f>
        <v>1016.96</v>
      </c>
      <c r="H901" s="120">
        <f t="shared" si="49"/>
        <v>0</v>
      </c>
      <c r="I901" s="171" t="s">
        <v>1234</v>
      </c>
    </row>
    <row r="902" spans="1:9" x14ac:dyDescent="0.2">
      <c r="A902" s="243">
        <v>112640</v>
      </c>
      <c r="B902" s="244" t="s">
        <v>315</v>
      </c>
      <c r="C902" s="244" t="s">
        <v>1449</v>
      </c>
      <c r="D902" s="244" t="s">
        <v>1589</v>
      </c>
      <c r="E902" s="245">
        <v>43617</v>
      </c>
      <c r="F902" s="118">
        <v>1016.96</v>
      </c>
      <c r="G902" s="118">
        <f>SUMIF(CONFERÊNCIA!A:A,A902,CONFERÊNCIA!J:J)</f>
        <v>1016.96</v>
      </c>
      <c r="H902" s="120">
        <f t="shared" si="49"/>
        <v>0</v>
      </c>
      <c r="I902" s="171" t="s">
        <v>1234</v>
      </c>
    </row>
    <row r="903" spans="1:9" x14ac:dyDescent="0.2">
      <c r="A903" s="243">
        <v>112649</v>
      </c>
      <c r="B903" s="244" t="s">
        <v>319</v>
      </c>
      <c r="C903" s="244" t="s">
        <v>2</v>
      </c>
      <c r="D903" s="244" t="s">
        <v>8</v>
      </c>
      <c r="E903" s="245">
        <v>43617</v>
      </c>
      <c r="F903" s="118">
        <v>1016.96</v>
      </c>
      <c r="G903" s="118">
        <f>SUMIF(CONFERÊNCIA!A:A,A903,CONFERÊNCIA!J:J)</f>
        <v>1016.96</v>
      </c>
      <c r="H903" s="120">
        <f t="shared" si="49"/>
        <v>0</v>
      </c>
      <c r="I903" s="171" t="s">
        <v>1234</v>
      </c>
    </row>
    <row r="904" spans="1:9" x14ac:dyDescent="0.2">
      <c r="A904" s="243">
        <v>122088</v>
      </c>
      <c r="B904" s="244" t="s">
        <v>1642</v>
      </c>
      <c r="C904" s="244" t="s">
        <v>5</v>
      </c>
      <c r="D904" s="244" t="s">
        <v>1589</v>
      </c>
      <c r="E904" s="245">
        <v>45061</v>
      </c>
      <c r="F904" s="118">
        <v>1016.96</v>
      </c>
      <c r="G904" s="118">
        <f>SUMIF(CONFERÊNCIA!A:A,A904,CONFERÊNCIA!J:J)</f>
        <v>1016.96</v>
      </c>
      <c r="H904" s="120">
        <f t="shared" si="49"/>
        <v>0</v>
      </c>
      <c r="I904" s="171" t="s">
        <v>1234</v>
      </c>
    </row>
    <row r="905" spans="1:9" x14ac:dyDescent="0.2">
      <c r="A905" s="243">
        <v>112658</v>
      </c>
      <c r="B905" s="244" t="s">
        <v>324</v>
      </c>
      <c r="C905" s="244" t="s">
        <v>15</v>
      </c>
      <c r="D905" s="244" t="s">
        <v>1589</v>
      </c>
      <c r="E905" s="245">
        <v>43617</v>
      </c>
      <c r="F905" s="118">
        <v>978.67000000000007</v>
      </c>
      <c r="G905" s="118">
        <f>SUMIF(CONFERÊNCIA!A:A,A905,CONFERÊNCIA!J:J)</f>
        <v>1016.96</v>
      </c>
      <c r="H905" s="120">
        <f t="shared" si="49"/>
        <v>38.289999999999964</v>
      </c>
      <c r="I905" s="171" t="s">
        <v>1235</v>
      </c>
    </row>
    <row r="906" spans="1:9" x14ac:dyDescent="0.2">
      <c r="A906" s="243">
        <v>119752</v>
      </c>
      <c r="B906" s="244" t="s">
        <v>1475</v>
      </c>
      <c r="C906" s="244" t="s">
        <v>1464</v>
      </c>
      <c r="D906" s="244" t="s">
        <v>1591</v>
      </c>
      <c r="E906" s="245">
        <v>44734</v>
      </c>
      <c r="F906" s="118">
        <v>657.5</v>
      </c>
      <c r="G906" s="118">
        <f>SUMIF(CONFERÊNCIA!A:A,A906,CONFERÊNCIA!J:J)</f>
        <v>657.5</v>
      </c>
      <c r="H906" s="120">
        <f t="shared" si="49"/>
        <v>0</v>
      </c>
      <c r="I906" s="171" t="s">
        <v>1234</v>
      </c>
    </row>
    <row r="907" spans="1:9" x14ac:dyDescent="0.2">
      <c r="A907" s="243">
        <v>113768</v>
      </c>
      <c r="B907" s="244" t="s">
        <v>972</v>
      </c>
      <c r="C907" s="244" t="s">
        <v>146</v>
      </c>
      <c r="D907" s="244" t="s">
        <v>0</v>
      </c>
      <c r="E907" s="245">
        <v>43622</v>
      </c>
      <c r="F907" s="118">
        <v>1016.96</v>
      </c>
      <c r="G907" s="118">
        <f>SUMIF(CONFERÊNCIA!A:A,A907,CONFERÊNCIA!J:J)</f>
        <v>1016.96</v>
      </c>
      <c r="H907" s="120">
        <f t="shared" si="49"/>
        <v>0</v>
      </c>
      <c r="I907" s="171" t="s">
        <v>1234</v>
      </c>
    </row>
    <row r="908" spans="1:9" x14ac:dyDescent="0.2">
      <c r="A908" s="243">
        <v>114749</v>
      </c>
      <c r="B908" s="244" t="s">
        <v>1094</v>
      </c>
      <c r="C908" s="244" t="s">
        <v>5</v>
      </c>
      <c r="D908" s="244" t="s">
        <v>10</v>
      </c>
      <c r="E908" s="245">
        <v>43874</v>
      </c>
      <c r="F908" s="118">
        <v>1016.96</v>
      </c>
      <c r="G908" s="118">
        <f>SUMIF(CONFERÊNCIA!A:A,A908,CONFERÊNCIA!J:J)</f>
        <v>1016.96</v>
      </c>
      <c r="H908" s="120">
        <f t="shared" si="49"/>
        <v>0</v>
      </c>
      <c r="I908" s="171" t="s">
        <v>1234</v>
      </c>
    </row>
    <row r="909" spans="1:9" x14ac:dyDescent="0.2">
      <c r="A909" s="243">
        <v>112667</v>
      </c>
      <c r="B909" s="244" t="s">
        <v>329</v>
      </c>
      <c r="C909" s="244" t="s">
        <v>139</v>
      </c>
      <c r="D909" s="244" t="s">
        <v>1589</v>
      </c>
      <c r="E909" s="245">
        <v>43617</v>
      </c>
      <c r="F909" s="118">
        <v>1016.96</v>
      </c>
      <c r="G909" s="118">
        <f>SUMIF(CONFERÊNCIA!A:A,A909,CONFERÊNCIA!J:J)</f>
        <v>1016.96</v>
      </c>
      <c r="H909" s="120">
        <f t="shared" si="49"/>
        <v>0</v>
      </c>
      <c r="I909" s="171" t="s">
        <v>1234</v>
      </c>
    </row>
    <row r="910" spans="1:9" x14ac:dyDescent="0.2">
      <c r="A910" s="243">
        <v>112677</v>
      </c>
      <c r="B910" s="244" t="s">
        <v>334</v>
      </c>
      <c r="C910" s="244" t="s">
        <v>15</v>
      </c>
      <c r="D910" s="244" t="s">
        <v>1589</v>
      </c>
      <c r="E910" s="245">
        <v>43617</v>
      </c>
      <c r="F910" s="118">
        <v>1016.96</v>
      </c>
      <c r="G910" s="118">
        <f>SUMIF(CONFERÊNCIA!A:A,A910,CONFERÊNCIA!J:J)</f>
        <v>1016.96</v>
      </c>
      <c r="H910" s="120">
        <f t="shared" si="49"/>
        <v>0</v>
      </c>
      <c r="I910" s="171" t="s">
        <v>1234</v>
      </c>
    </row>
    <row r="911" spans="1:9" x14ac:dyDescent="0.2">
      <c r="A911" s="243">
        <v>112682</v>
      </c>
      <c r="B911" s="244" t="s">
        <v>338</v>
      </c>
      <c r="C911" s="244" t="s">
        <v>5</v>
      </c>
      <c r="D911" s="244" t="s">
        <v>8</v>
      </c>
      <c r="E911" s="245">
        <v>43617</v>
      </c>
      <c r="F911" s="118">
        <v>1016.96</v>
      </c>
      <c r="G911" s="118">
        <f>SUMIF(CONFERÊNCIA!A:A,A911,CONFERÊNCIA!J:J)</f>
        <v>1016.96</v>
      </c>
      <c r="H911" s="120">
        <f t="shared" si="49"/>
        <v>0</v>
      </c>
      <c r="I911" s="171" t="s">
        <v>1234</v>
      </c>
    </row>
    <row r="912" spans="1:9" x14ac:dyDescent="0.2">
      <c r="A912" s="243">
        <v>112684</v>
      </c>
      <c r="B912" s="244" t="s">
        <v>340</v>
      </c>
      <c r="C912" s="244" t="s">
        <v>2</v>
      </c>
      <c r="D912" s="244" t="s">
        <v>10</v>
      </c>
      <c r="E912" s="245">
        <v>43617</v>
      </c>
      <c r="F912" s="118">
        <v>1016.96</v>
      </c>
      <c r="G912" s="118">
        <f>SUMIF(CONFERÊNCIA!A:A,A912,CONFERÊNCIA!J:J)</f>
        <v>1016.96</v>
      </c>
      <c r="H912" s="120">
        <f t="shared" si="49"/>
        <v>0</v>
      </c>
      <c r="I912" s="171" t="s">
        <v>1234</v>
      </c>
    </row>
    <row r="913" spans="1:9" x14ac:dyDescent="0.2">
      <c r="A913" s="243">
        <v>112687</v>
      </c>
      <c r="B913" s="244" t="s">
        <v>343</v>
      </c>
      <c r="C913" s="244" t="s">
        <v>2</v>
      </c>
      <c r="D913" s="244" t="s">
        <v>0</v>
      </c>
      <c r="E913" s="245">
        <v>43617</v>
      </c>
      <c r="F913" s="118">
        <v>1016.96</v>
      </c>
      <c r="G913" s="118">
        <f>SUMIF(CONFERÊNCIA!A:A,A913,CONFERÊNCIA!J:J)</f>
        <v>1016.96</v>
      </c>
      <c r="H913" s="120">
        <f t="shared" si="49"/>
        <v>0</v>
      </c>
      <c r="I913" s="171" t="s">
        <v>1234</v>
      </c>
    </row>
    <row r="914" spans="1:9" x14ac:dyDescent="0.2">
      <c r="A914" s="243">
        <v>112690</v>
      </c>
      <c r="B914" s="244" t="s">
        <v>1552</v>
      </c>
      <c r="C914" s="244" t="s">
        <v>5</v>
      </c>
      <c r="D914" s="244" t="s">
        <v>10</v>
      </c>
      <c r="E914" s="245">
        <v>43617</v>
      </c>
      <c r="F914" s="118">
        <v>940.39</v>
      </c>
      <c r="G914" s="118">
        <f>SUMIF(CONFERÊNCIA!A:A,A914,CONFERÊNCIA!J:J)</f>
        <v>1016.96</v>
      </c>
      <c r="H914" s="120">
        <f t="shared" si="49"/>
        <v>76.57000000000005</v>
      </c>
      <c r="I914" s="171" t="s">
        <v>1234</v>
      </c>
    </row>
    <row r="915" spans="1:9" x14ac:dyDescent="0.2">
      <c r="A915" s="243">
        <v>115814</v>
      </c>
      <c r="B915" s="244" t="s">
        <v>1168</v>
      </c>
      <c r="C915" s="244" t="s">
        <v>120</v>
      </c>
      <c r="D915" s="244" t="s">
        <v>1589</v>
      </c>
      <c r="E915" s="245">
        <v>44154</v>
      </c>
      <c r="F915" s="118">
        <v>1016.96</v>
      </c>
      <c r="G915" s="118">
        <f>SUMIF(CONFERÊNCIA!A:A,A915,CONFERÊNCIA!J:J)</f>
        <v>1016.95</v>
      </c>
      <c r="H915" s="120">
        <f t="shared" si="49"/>
        <v>-9.9999999999909051E-3</v>
      </c>
      <c r="I915" s="171" t="s">
        <v>1731</v>
      </c>
    </row>
    <row r="916" spans="1:9" x14ac:dyDescent="0.2">
      <c r="A916" s="243">
        <v>114030</v>
      </c>
      <c r="B916" s="244" t="s">
        <v>999</v>
      </c>
      <c r="C916" s="244" t="s">
        <v>5</v>
      </c>
      <c r="D916" s="244" t="s">
        <v>8</v>
      </c>
      <c r="E916" s="245">
        <v>43710</v>
      </c>
      <c r="F916" s="118">
        <v>1016.96</v>
      </c>
      <c r="G916" s="118">
        <f>SUMIF(CONFERÊNCIA!A:A,A916,CONFERÊNCIA!J:J)</f>
        <v>1016.96</v>
      </c>
      <c r="H916" s="120">
        <f t="shared" si="49"/>
        <v>0</v>
      </c>
      <c r="I916" s="171" t="s">
        <v>1234</v>
      </c>
    </row>
    <row r="917" spans="1:9" x14ac:dyDescent="0.2">
      <c r="A917" s="243">
        <v>119643</v>
      </c>
      <c r="B917" s="244" t="s">
        <v>1476</v>
      </c>
      <c r="C917" s="244" t="s">
        <v>5</v>
      </c>
      <c r="D917" s="244" t="s">
        <v>0</v>
      </c>
      <c r="E917" s="245">
        <v>44725</v>
      </c>
      <c r="F917" s="118">
        <v>863.83</v>
      </c>
      <c r="G917" s="118">
        <f>SUMIF(CONFERÊNCIA!A:A,A917,CONFERÊNCIA!J:J)</f>
        <v>1016.96</v>
      </c>
      <c r="H917" s="120">
        <f t="shared" si="49"/>
        <v>153.13</v>
      </c>
      <c r="I917" s="171" t="s">
        <v>1234</v>
      </c>
    </row>
    <row r="918" spans="1:9" x14ac:dyDescent="0.2">
      <c r="A918" s="243">
        <v>121949</v>
      </c>
      <c r="B918" s="244" t="s">
        <v>1623</v>
      </c>
      <c r="C918" s="244" t="s">
        <v>1464</v>
      </c>
      <c r="D918" s="244" t="s">
        <v>1591</v>
      </c>
      <c r="E918" s="245">
        <v>45040</v>
      </c>
      <c r="F918" s="118">
        <v>657.5</v>
      </c>
      <c r="G918" s="118">
        <f>SUMIF(CONFERÊNCIA!A:A,A918,CONFERÊNCIA!J:J)</f>
        <v>657.5</v>
      </c>
      <c r="H918" s="120">
        <f t="shared" si="49"/>
        <v>0</v>
      </c>
      <c r="I918" s="171" t="s">
        <v>1234</v>
      </c>
    </row>
    <row r="919" spans="1:9" x14ac:dyDescent="0.2">
      <c r="A919" s="243">
        <v>116386</v>
      </c>
      <c r="B919" s="244" t="s">
        <v>1215</v>
      </c>
      <c r="C919" s="244" t="s">
        <v>15</v>
      </c>
      <c r="D919" s="244" t="s">
        <v>1589</v>
      </c>
      <c r="E919" s="245">
        <v>44328</v>
      </c>
      <c r="F919" s="118">
        <v>1016.96</v>
      </c>
      <c r="G919" s="118">
        <f>SUMIF(CONFERÊNCIA!A:A,A919,CONFERÊNCIA!J:J)</f>
        <v>1016.96</v>
      </c>
      <c r="H919" s="120">
        <f t="shared" si="49"/>
        <v>0</v>
      </c>
      <c r="I919" s="171" t="s">
        <v>1235</v>
      </c>
    </row>
    <row r="920" spans="1:9" x14ac:dyDescent="0.2">
      <c r="A920" s="243">
        <v>112693</v>
      </c>
      <c r="B920" s="244" t="s">
        <v>346</v>
      </c>
      <c r="C920" s="244" t="s">
        <v>2</v>
      </c>
      <c r="D920" s="244" t="s">
        <v>19</v>
      </c>
      <c r="E920" s="245">
        <v>43617</v>
      </c>
      <c r="F920" s="118">
        <v>1016.96</v>
      </c>
      <c r="G920" s="118">
        <f>SUMIF(CONFERÊNCIA!A:A,A920,CONFERÊNCIA!J:J)</f>
        <v>1016.96</v>
      </c>
      <c r="H920" s="120">
        <f t="shared" si="49"/>
        <v>0</v>
      </c>
      <c r="I920" s="171" t="s">
        <v>1234</v>
      </c>
    </row>
    <row r="921" spans="1:9" x14ac:dyDescent="0.2">
      <c r="A921" s="243">
        <v>112694</v>
      </c>
      <c r="B921" s="244" t="s">
        <v>347</v>
      </c>
      <c r="C921" s="244" t="s">
        <v>39</v>
      </c>
      <c r="D921" s="244" t="s">
        <v>19</v>
      </c>
      <c r="E921" s="245">
        <v>43617</v>
      </c>
      <c r="F921" s="118">
        <v>1016.96</v>
      </c>
      <c r="G921" s="118">
        <f>SUMIF(CONFERÊNCIA!A:A,A921,CONFERÊNCIA!J:J)</f>
        <v>1016.96</v>
      </c>
      <c r="H921" s="120">
        <f t="shared" si="49"/>
        <v>0</v>
      </c>
      <c r="I921" s="171" t="s">
        <v>1234</v>
      </c>
    </row>
    <row r="922" spans="1:9" x14ac:dyDescent="0.2">
      <c r="A922" s="243">
        <v>112699</v>
      </c>
      <c r="B922" s="244" t="s">
        <v>351</v>
      </c>
      <c r="C922" s="244" t="s">
        <v>2</v>
      </c>
      <c r="D922" s="244" t="s">
        <v>0</v>
      </c>
      <c r="E922" s="245">
        <v>43617</v>
      </c>
      <c r="F922" s="118">
        <v>1016.96</v>
      </c>
      <c r="G922" s="118">
        <f>SUMIF(CONFERÊNCIA!A:A,A922,CONFERÊNCIA!J:J)</f>
        <v>1016.96</v>
      </c>
      <c r="H922" s="120">
        <f t="shared" si="49"/>
        <v>0</v>
      </c>
      <c r="I922" s="171" t="s">
        <v>1234</v>
      </c>
    </row>
    <row r="923" spans="1:9" x14ac:dyDescent="0.2">
      <c r="A923" s="243">
        <v>119922</v>
      </c>
      <c r="B923" s="244" t="s">
        <v>1487</v>
      </c>
      <c r="C923" s="244" t="s">
        <v>5</v>
      </c>
      <c r="D923" s="244" t="s">
        <v>1589</v>
      </c>
      <c r="E923" s="245">
        <v>44760</v>
      </c>
      <c r="F923" s="118">
        <v>1016.96</v>
      </c>
      <c r="G923" s="118">
        <f>SUMIF(CONFERÊNCIA!A:A,A923,CONFERÊNCIA!J:J)</f>
        <v>978.67000000000007</v>
      </c>
      <c r="H923" s="120">
        <f t="shared" si="49"/>
        <v>-38.289999999999964</v>
      </c>
      <c r="I923" s="171" t="s">
        <v>1235</v>
      </c>
    </row>
    <row r="924" spans="1:9" x14ac:dyDescent="0.2">
      <c r="A924" s="243">
        <v>118060</v>
      </c>
      <c r="B924" s="244" t="s">
        <v>1410</v>
      </c>
      <c r="C924" s="244" t="s">
        <v>5</v>
      </c>
      <c r="D924" s="244" t="s">
        <v>0</v>
      </c>
      <c r="E924" s="245">
        <v>44567</v>
      </c>
      <c r="F924" s="118">
        <v>978.67000000000007</v>
      </c>
      <c r="G924" s="118">
        <f>SUMIF(CONFERÊNCIA!A:A,A924,CONFERÊNCIA!J:J)</f>
        <v>978.67000000000007</v>
      </c>
      <c r="H924" s="120">
        <f t="shared" si="49"/>
        <v>0</v>
      </c>
      <c r="I924" s="171" t="s">
        <v>1235</v>
      </c>
    </row>
    <row r="925" spans="1:9" x14ac:dyDescent="0.2">
      <c r="A925" s="243">
        <v>112732</v>
      </c>
      <c r="B925" s="244" t="s">
        <v>372</v>
      </c>
      <c r="C925" s="244" t="s">
        <v>5</v>
      </c>
      <c r="D925" s="244" t="s">
        <v>0</v>
      </c>
      <c r="E925" s="245">
        <v>43617</v>
      </c>
      <c r="F925" s="118">
        <v>1016.96</v>
      </c>
      <c r="G925" s="118">
        <f>SUMIF(CONFERÊNCIA!A:A,A925,CONFERÊNCIA!J:J)</f>
        <v>1016.96</v>
      </c>
      <c r="H925" s="120">
        <f t="shared" si="49"/>
        <v>0</v>
      </c>
      <c r="I925" s="171" t="s">
        <v>1234</v>
      </c>
    </row>
    <row r="926" spans="1:9" x14ac:dyDescent="0.2">
      <c r="A926" s="243">
        <v>112748</v>
      </c>
      <c r="B926" s="244" t="s">
        <v>382</v>
      </c>
      <c r="C926" s="244" t="s">
        <v>5</v>
      </c>
      <c r="D926" s="244" t="s">
        <v>10</v>
      </c>
      <c r="E926" s="245">
        <v>43617</v>
      </c>
      <c r="F926" s="118">
        <v>1016.96</v>
      </c>
      <c r="G926" s="118">
        <f>SUMIF(CONFERÊNCIA!A:A,A926,CONFERÊNCIA!J:J)</f>
        <v>1016.96</v>
      </c>
      <c r="H926" s="120">
        <f t="shared" si="49"/>
        <v>0</v>
      </c>
      <c r="I926" s="171" t="s">
        <v>1234</v>
      </c>
    </row>
    <row r="927" spans="1:9" x14ac:dyDescent="0.2">
      <c r="A927" s="243">
        <v>112771</v>
      </c>
      <c r="B927" s="244" t="s">
        <v>397</v>
      </c>
      <c r="C927" s="244" t="s">
        <v>15</v>
      </c>
      <c r="D927" s="244" t="s">
        <v>1589</v>
      </c>
      <c r="E927" s="245">
        <v>43617</v>
      </c>
      <c r="F927" s="118">
        <v>1016.96</v>
      </c>
      <c r="G927" s="118">
        <f>SUMIF(CONFERÊNCIA!A:A,A927,CONFERÊNCIA!J:J)</f>
        <v>1016.96</v>
      </c>
      <c r="H927" s="120">
        <f t="shared" ref="H927:H958" si="50">G927-F927</f>
        <v>0</v>
      </c>
      <c r="I927" s="171" t="s">
        <v>1234</v>
      </c>
    </row>
    <row r="928" spans="1:9" x14ac:dyDescent="0.2">
      <c r="A928" s="243">
        <v>112775</v>
      </c>
      <c r="B928" s="244" t="s">
        <v>400</v>
      </c>
      <c r="C928" s="244" t="s">
        <v>5</v>
      </c>
      <c r="D928" s="244" t="s">
        <v>0</v>
      </c>
      <c r="E928" s="245">
        <v>43617</v>
      </c>
      <c r="F928" s="118">
        <v>1016.96</v>
      </c>
      <c r="G928" s="118">
        <f>SUMIF(CONFERÊNCIA!A:A,A928,CONFERÊNCIA!J:J)</f>
        <v>1016.96</v>
      </c>
      <c r="H928" s="120">
        <f t="shared" si="50"/>
        <v>0</v>
      </c>
      <c r="I928" s="171" t="s">
        <v>1234</v>
      </c>
    </row>
    <row r="929" spans="1:9" x14ac:dyDescent="0.2">
      <c r="A929" s="243">
        <v>119242</v>
      </c>
      <c r="B929" s="244" t="s">
        <v>1456</v>
      </c>
      <c r="C929" s="244" t="s">
        <v>1457</v>
      </c>
      <c r="D929" s="244" t="s">
        <v>1591</v>
      </c>
      <c r="E929" s="245">
        <v>44658</v>
      </c>
      <c r="F929" s="118">
        <v>1016.96</v>
      </c>
      <c r="G929" s="118">
        <f>SUMIF(CONFERÊNCIA!A:A,A929,CONFERÊNCIA!J:J)</f>
        <v>1016.96</v>
      </c>
      <c r="H929" s="120">
        <f t="shared" si="50"/>
        <v>0</v>
      </c>
      <c r="I929" s="171" t="s">
        <v>1234</v>
      </c>
    </row>
    <row r="930" spans="1:9" x14ac:dyDescent="0.2">
      <c r="A930" s="243">
        <v>112781</v>
      </c>
      <c r="B930" s="244" t="s">
        <v>405</v>
      </c>
      <c r="C930" s="244" t="s">
        <v>39</v>
      </c>
      <c r="D930" s="244" t="s">
        <v>0</v>
      </c>
      <c r="E930" s="245">
        <v>43617</v>
      </c>
      <c r="F930" s="118">
        <v>1016.96</v>
      </c>
      <c r="G930" s="118">
        <f>SUMIF(CONFERÊNCIA!A:A,A930,CONFERÊNCIA!J:J)</f>
        <v>1016.96</v>
      </c>
      <c r="H930" s="120">
        <f t="shared" si="50"/>
        <v>0</v>
      </c>
      <c r="I930" s="171" t="s">
        <v>1234</v>
      </c>
    </row>
    <row r="931" spans="1:9" x14ac:dyDescent="0.2">
      <c r="A931" s="243">
        <v>122632</v>
      </c>
      <c r="B931" s="244" t="s">
        <v>1726</v>
      </c>
      <c r="C931" s="244" t="s">
        <v>15</v>
      </c>
      <c r="D931" s="244" t="s">
        <v>1589</v>
      </c>
      <c r="E931" s="245">
        <v>45145</v>
      </c>
      <c r="F931" s="118">
        <v>0</v>
      </c>
      <c r="G931" s="118">
        <f>SUMIF(CONFERÊNCIA!A:A,A931,CONFERÊNCIA!J:J)</f>
        <v>1845.5900000000001</v>
      </c>
      <c r="H931" s="120">
        <f t="shared" si="50"/>
        <v>1845.5900000000001</v>
      </c>
      <c r="I931" s="171" t="s">
        <v>1236</v>
      </c>
    </row>
    <row r="932" spans="1:9" x14ac:dyDescent="0.2">
      <c r="A932" s="243">
        <v>114527</v>
      </c>
      <c r="B932" s="244" t="s">
        <v>1052</v>
      </c>
      <c r="C932" s="244" t="s">
        <v>2</v>
      </c>
      <c r="D932" s="244" t="s">
        <v>0</v>
      </c>
      <c r="E932" s="245">
        <v>43813</v>
      </c>
      <c r="F932" s="118">
        <v>1016.96</v>
      </c>
      <c r="G932" s="118">
        <f>SUMIF(CONFERÊNCIA!A:A,A932,CONFERÊNCIA!J:J)</f>
        <v>1016.96</v>
      </c>
      <c r="H932" s="120">
        <f t="shared" si="50"/>
        <v>0</v>
      </c>
      <c r="I932" s="171" t="s">
        <v>1234</v>
      </c>
    </row>
    <row r="933" spans="1:9" x14ac:dyDescent="0.2">
      <c r="A933" s="243">
        <v>112803</v>
      </c>
      <c r="B933" s="244" t="s">
        <v>422</v>
      </c>
      <c r="C933" s="244" t="s">
        <v>2</v>
      </c>
      <c r="D933" s="244" t="s">
        <v>0</v>
      </c>
      <c r="E933" s="245">
        <v>43617</v>
      </c>
      <c r="F933" s="118">
        <v>1016.96</v>
      </c>
      <c r="G933" s="118">
        <f>SUMIF(CONFERÊNCIA!A:A,A933,CONFERÊNCIA!J:J)</f>
        <v>1016.96</v>
      </c>
      <c r="H933" s="120">
        <f t="shared" si="50"/>
        <v>0</v>
      </c>
      <c r="I933" s="171" t="s">
        <v>1234</v>
      </c>
    </row>
    <row r="934" spans="1:9" x14ac:dyDescent="0.2">
      <c r="A934" s="243">
        <v>112809</v>
      </c>
      <c r="B934" s="244" t="s">
        <v>426</v>
      </c>
      <c r="C934" s="244" t="s">
        <v>5</v>
      </c>
      <c r="D934" s="244" t="s">
        <v>8</v>
      </c>
      <c r="E934" s="245">
        <v>43621</v>
      </c>
      <c r="F934" s="118">
        <v>1016.96</v>
      </c>
      <c r="G934" s="118">
        <f>SUMIF(CONFERÊNCIA!A:A,A934,CONFERÊNCIA!J:J)</f>
        <v>1016.96</v>
      </c>
      <c r="H934" s="120">
        <f t="shared" si="50"/>
        <v>0</v>
      </c>
      <c r="I934" s="171" t="s">
        <v>1234</v>
      </c>
    </row>
    <row r="935" spans="1:9" x14ac:dyDescent="0.2">
      <c r="A935" s="243">
        <v>116980</v>
      </c>
      <c r="B935" s="244" t="s">
        <v>1247</v>
      </c>
      <c r="C935" s="244" t="s">
        <v>15</v>
      </c>
      <c r="D935" s="244" t="s">
        <v>1589</v>
      </c>
      <c r="E935" s="245">
        <v>44419</v>
      </c>
      <c r="F935" s="118">
        <v>1016.96</v>
      </c>
      <c r="G935" s="118">
        <f>SUMIF(CONFERÊNCIA!A:A,A935,CONFERÊNCIA!J:J)</f>
        <v>1016.96</v>
      </c>
      <c r="H935" s="120">
        <f t="shared" si="50"/>
        <v>0</v>
      </c>
      <c r="I935" s="171" t="s">
        <v>1234</v>
      </c>
    </row>
    <row r="936" spans="1:9" x14ac:dyDescent="0.2">
      <c r="A936" s="243">
        <v>121317</v>
      </c>
      <c r="B936" s="244" t="s">
        <v>1542</v>
      </c>
      <c r="C936" s="244" t="s">
        <v>5</v>
      </c>
      <c r="D936" s="244" t="s">
        <v>10</v>
      </c>
      <c r="E936" s="245">
        <v>44945</v>
      </c>
      <c r="F936" s="118">
        <v>940.39</v>
      </c>
      <c r="G936" s="118">
        <f>SUMIF(CONFERÊNCIA!A:A,A936,CONFERÊNCIA!J:J)</f>
        <v>1016.96</v>
      </c>
      <c r="H936" s="120">
        <f t="shared" si="50"/>
        <v>76.57000000000005</v>
      </c>
      <c r="I936" s="171" t="s">
        <v>1234</v>
      </c>
    </row>
    <row r="937" spans="1:9" x14ac:dyDescent="0.2">
      <c r="A937" s="243">
        <v>112813</v>
      </c>
      <c r="B937" s="244" t="s">
        <v>394</v>
      </c>
      <c r="C937" s="244" t="s">
        <v>5</v>
      </c>
      <c r="D937" s="244" t="s">
        <v>10</v>
      </c>
      <c r="E937" s="245">
        <v>43617</v>
      </c>
      <c r="F937" s="118">
        <v>1016.96</v>
      </c>
      <c r="G937" s="118">
        <f>SUMIF(CONFERÊNCIA!A:A,A937,CONFERÊNCIA!J:J)</f>
        <v>1016.96</v>
      </c>
      <c r="H937" s="120">
        <f t="shared" si="50"/>
        <v>0</v>
      </c>
      <c r="I937" s="171" t="s">
        <v>1234</v>
      </c>
    </row>
    <row r="938" spans="1:9" x14ac:dyDescent="0.2">
      <c r="A938" s="243">
        <v>112837</v>
      </c>
      <c r="B938" s="244" t="s">
        <v>446</v>
      </c>
      <c r="C938" s="244" t="s">
        <v>15</v>
      </c>
      <c r="D938" s="244" t="s">
        <v>1589</v>
      </c>
      <c r="E938" s="245">
        <v>43617</v>
      </c>
      <c r="F938" s="118">
        <v>273.8</v>
      </c>
      <c r="G938" s="118">
        <f>SUMIF(CONFERÊNCIA!A:A,A938,CONFERÊNCIA!J:J)</f>
        <v>1016.96</v>
      </c>
      <c r="H938" s="120">
        <f t="shared" si="50"/>
        <v>743.16000000000008</v>
      </c>
      <c r="I938" s="171" t="s">
        <v>1234</v>
      </c>
    </row>
    <row r="939" spans="1:9" x14ac:dyDescent="0.2">
      <c r="A939" s="243">
        <v>122090</v>
      </c>
      <c r="B939" s="244" t="s">
        <v>1643</v>
      </c>
      <c r="C939" s="244" t="s">
        <v>5</v>
      </c>
      <c r="D939" s="244" t="s">
        <v>19</v>
      </c>
      <c r="E939" s="245">
        <v>45061</v>
      </c>
      <c r="F939" s="118">
        <v>186.21</v>
      </c>
      <c r="G939" s="118">
        <f>SUMIF(CONFERÊNCIA!A:A,A939,CONFERÊNCIA!J:J)</f>
        <v>0</v>
      </c>
      <c r="H939" s="120">
        <f t="shared" si="50"/>
        <v>-186.21</v>
      </c>
      <c r="I939" s="171" t="s">
        <v>1731</v>
      </c>
    </row>
    <row r="940" spans="1:9" x14ac:dyDescent="0.2">
      <c r="A940" s="243">
        <v>121687</v>
      </c>
      <c r="B940" s="244" t="s">
        <v>1600</v>
      </c>
      <c r="C940" s="244" t="s">
        <v>5</v>
      </c>
      <c r="D940" s="244" t="s">
        <v>10</v>
      </c>
      <c r="E940" s="245">
        <v>44994</v>
      </c>
      <c r="F940" s="118">
        <v>1016.96</v>
      </c>
      <c r="G940" s="118">
        <f>SUMIF(CONFERÊNCIA!A:A,A940,CONFERÊNCIA!J:J)</f>
        <v>1016.96</v>
      </c>
      <c r="H940" s="120">
        <f t="shared" si="50"/>
        <v>0</v>
      </c>
      <c r="I940" s="171" t="s">
        <v>1234</v>
      </c>
    </row>
    <row r="941" spans="1:9" x14ac:dyDescent="0.2">
      <c r="A941" s="243">
        <v>112892</v>
      </c>
      <c r="B941" s="244" t="s">
        <v>480</v>
      </c>
      <c r="C941" s="244" t="s">
        <v>378</v>
      </c>
      <c r="D941" s="244" t="s">
        <v>1589</v>
      </c>
      <c r="E941" s="245">
        <v>43617</v>
      </c>
      <c r="F941" s="118">
        <v>1016.96</v>
      </c>
      <c r="G941" s="118">
        <f>SUMIF(CONFERÊNCIA!A:A,A941,CONFERÊNCIA!J:J)</f>
        <v>1016.96</v>
      </c>
      <c r="H941" s="120">
        <f t="shared" si="50"/>
        <v>0</v>
      </c>
      <c r="I941" s="171" t="s">
        <v>1234</v>
      </c>
    </row>
    <row r="942" spans="1:9" x14ac:dyDescent="0.2">
      <c r="A942" s="243">
        <v>112897</v>
      </c>
      <c r="B942" s="244" t="s">
        <v>485</v>
      </c>
      <c r="C942" s="244" t="s">
        <v>2</v>
      </c>
      <c r="D942" s="244" t="s">
        <v>8</v>
      </c>
      <c r="E942" s="245">
        <v>43617</v>
      </c>
      <c r="F942" s="118">
        <v>1016.96</v>
      </c>
      <c r="G942" s="118">
        <f>SUMIF(CONFERÊNCIA!A:A,A942,CONFERÊNCIA!J:J)</f>
        <v>1016.96</v>
      </c>
      <c r="H942" s="120">
        <f t="shared" si="50"/>
        <v>0</v>
      </c>
      <c r="I942" s="171" t="s">
        <v>1235</v>
      </c>
    </row>
    <row r="943" spans="1:9" x14ac:dyDescent="0.2">
      <c r="A943" s="243">
        <v>112902</v>
      </c>
      <c r="B943" s="244" t="s">
        <v>488</v>
      </c>
      <c r="C943" s="244" t="s">
        <v>5</v>
      </c>
      <c r="D943" s="244" t="s">
        <v>8</v>
      </c>
      <c r="E943" s="245">
        <v>43617</v>
      </c>
      <c r="F943" s="118">
        <v>1016.96</v>
      </c>
      <c r="G943" s="118">
        <f>SUMIF(CONFERÊNCIA!A:A,A943,CONFERÊNCIA!J:J)</f>
        <v>1016.96</v>
      </c>
      <c r="H943" s="120">
        <f t="shared" si="50"/>
        <v>0</v>
      </c>
      <c r="I943" s="171" t="s">
        <v>1234</v>
      </c>
    </row>
    <row r="944" spans="1:9" x14ac:dyDescent="0.2">
      <c r="A944" s="243">
        <v>121955</v>
      </c>
      <c r="B944" s="244" t="s">
        <v>1624</v>
      </c>
      <c r="C944" s="244" t="s">
        <v>5</v>
      </c>
      <c r="D944" s="244" t="s">
        <v>8</v>
      </c>
      <c r="E944" s="245">
        <v>45040</v>
      </c>
      <c r="F944" s="118">
        <v>1016.96</v>
      </c>
      <c r="G944" s="118">
        <f>SUMIF(CONFERÊNCIA!A:A,A944,CONFERÊNCIA!J:J)</f>
        <v>1016.96</v>
      </c>
      <c r="H944" s="120">
        <f t="shared" si="50"/>
        <v>0</v>
      </c>
      <c r="I944" s="171" t="s">
        <v>1234</v>
      </c>
    </row>
    <row r="945" spans="1:9" x14ac:dyDescent="0.2">
      <c r="A945" s="243">
        <v>112906</v>
      </c>
      <c r="B945" s="244" t="s">
        <v>1574</v>
      </c>
      <c r="C945" s="244" t="s">
        <v>2</v>
      </c>
      <c r="D945" s="244" t="s">
        <v>0</v>
      </c>
      <c r="E945" s="245">
        <v>43617</v>
      </c>
      <c r="F945" s="118">
        <v>1016.96</v>
      </c>
      <c r="G945" s="118">
        <f>SUMIF(CONFERÊNCIA!A:A,A945,CONFERÊNCIA!J:J)</f>
        <v>1016.96</v>
      </c>
      <c r="H945" s="120">
        <f t="shared" si="50"/>
        <v>0</v>
      </c>
      <c r="I945" s="171" t="s">
        <v>1234</v>
      </c>
    </row>
    <row r="946" spans="1:9" x14ac:dyDescent="0.2">
      <c r="A946" s="243">
        <v>112920</v>
      </c>
      <c r="B946" s="244" t="s">
        <v>498</v>
      </c>
      <c r="C946" s="244" t="s">
        <v>15</v>
      </c>
      <c r="D946" s="244" t="s">
        <v>1589</v>
      </c>
      <c r="E946" s="245">
        <v>43627</v>
      </c>
      <c r="F946" s="118">
        <v>1016.96</v>
      </c>
      <c r="G946" s="118">
        <f>SUMIF(CONFERÊNCIA!A:A,A946,CONFERÊNCIA!J:J)</f>
        <v>1016.96</v>
      </c>
      <c r="H946" s="120">
        <f t="shared" si="50"/>
        <v>0</v>
      </c>
      <c r="I946" s="171" t="s">
        <v>1234</v>
      </c>
    </row>
    <row r="947" spans="1:9" x14ac:dyDescent="0.2">
      <c r="A947" s="243">
        <v>112975</v>
      </c>
      <c r="B947" s="244" t="s">
        <v>529</v>
      </c>
      <c r="C947" s="244" t="s">
        <v>416</v>
      </c>
      <c r="D947" s="244" t="s">
        <v>1589</v>
      </c>
      <c r="E947" s="245">
        <v>43617</v>
      </c>
      <c r="F947" s="118">
        <v>1016.96</v>
      </c>
      <c r="G947" s="118">
        <f>SUMIF(CONFERÊNCIA!A:A,A947,CONFERÊNCIA!J:J)</f>
        <v>1016.96</v>
      </c>
      <c r="H947" s="120">
        <f t="shared" si="50"/>
        <v>0</v>
      </c>
      <c r="I947" s="171" t="s">
        <v>1234</v>
      </c>
    </row>
    <row r="948" spans="1:9" x14ac:dyDescent="0.2">
      <c r="A948" s="243">
        <v>122235</v>
      </c>
      <c r="B948" s="244" t="s">
        <v>1669</v>
      </c>
      <c r="C948" s="244" t="s">
        <v>15</v>
      </c>
      <c r="D948" s="244" t="s">
        <v>1589</v>
      </c>
      <c r="E948" s="245">
        <v>45089</v>
      </c>
      <c r="F948" s="118">
        <v>1016.96</v>
      </c>
      <c r="G948" s="118">
        <f>SUMIF(CONFERÊNCIA!A:A,A948,CONFERÊNCIA!J:J)</f>
        <v>1016.96</v>
      </c>
      <c r="H948" s="120">
        <f t="shared" si="50"/>
        <v>0</v>
      </c>
      <c r="I948" s="171" t="s">
        <v>1234</v>
      </c>
    </row>
    <row r="949" spans="1:9" x14ac:dyDescent="0.2">
      <c r="A949" s="243">
        <v>112996</v>
      </c>
      <c r="B949" s="244" t="s">
        <v>539</v>
      </c>
      <c r="C949" s="244" t="s">
        <v>2</v>
      </c>
      <c r="D949" s="244" t="s">
        <v>8</v>
      </c>
      <c r="E949" s="245">
        <v>43617</v>
      </c>
      <c r="F949" s="118">
        <v>1016.96</v>
      </c>
      <c r="G949" s="118">
        <f>SUMIF(CONFERÊNCIA!A:A,A949,CONFERÊNCIA!J:J)</f>
        <v>1016.96</v>
      </c>
      <c r="H949" s="120">
        <f t="shared" si="50"/>
        <v>0</v>
      </c>
      <c r="I949" s="171" t="s">
        <v>1234</v>
      </c>
    </row>
    <row r="950" spans="1:9" x14ac:dyDescent="0.2">
      <c r="A950" s="243">
        <v>113002</v>
      </c>
      <c r="B950" s="244" t="s">
        <v>541</v>
      </c>
      <c r="C950" s="244" t="s">
        <v>2</v>
      </c>
      <c r="D950" s="244" t="s">
        <v>0</v>
      </c>
      <c r="E950" s="245">
        <v>43617</v>
      </c>
      <c r="F950" s="118">
        <v>1016.96</v>
      </c>
      <c r="G950" s="118">
        <f>SUMIF(CONFERÊNCIA!A:A,A950,CONFERÊNCIA!J:J)</f>
        <v>1016.96</v>
      </c>
      <c r="H950" s="120">
        <f t="shared" si="50"/>
        <v>0</v>
      </c>
      <c r="I950" s="171" t="s">
        <v>1234</v>
      </c>
    </row>
    <row r="951" spans="1:9" x14ac:dyDescent="0.2">
      <c r="A951" s="243">
        <v>119924</v>
      </c>
      <c r="B951" s="244" t="s">
        <v>1488</v>
      </c>
      <c r="C951" s="244" t="s">
        <v>5</v>
      </c>
      <c r="D951" s="244" t="s">
        <v>1589</v>
      </c>
      <c r="E951" s="245">
        <v>44760</v>
      </c>
      <c r="F951" s="118">
        <v>1016.96</v>
      </c>
      <c r="G951" s="118">
        <f>SUMIF(CONFERÊNCIA!A:A,A951,CONFERÊNCIA!J:J)</f>
        <v>978.67000000000007</v>
      </c>
      <c r="H951" s="120">
        <f t="shared" si="50"/>
        <v>-38.289999999999964</v>
      </c>
      <c r="I951" s="171" t="s">
        <v>1234</v>
      </c>
    </row>
    <row r="952" spans="1:9" x14ac:dyDescent="0.2">
      <c r="A952" s="243">
        <v>113024</v>
      </c>
      <c r="B952" s="244" t="s">
        <v>548</v>
      </c>
      <c r="C952" s="244" t="s">
        <v>39</v>
      </c>
      <c r="D952" s="244" t="s">
        <v>0</v>
      </c>
      <c r="E952" s="245">
        <v>43617</v>
      </c>
      <c r="F952" s="118">
        <v>1016.96</v>
      </c>
      <c r="G952" s="118">
        <f>SUMIF(CONFERÊNCIA!A:A,A952,CONFERÊNCIA!J:J)</f>
        <v>1016.96</v>
      </c>
      <c r="H952" s="120">
        <f t="shared" si="50"/>
        <v>0</v>
      </c>
      <c r="I952" s="171" t="s">
        <v>1234</v>
      </c>
    </row>
    <row r="953" spans="1:9" x14ac:dyDescent="0.2">
      <c r="A953" s="243">
        <v>113033</v>
      </c>
      <c r="B953" s="244" t="s">
        <v>553</v>
      </c>
      <c r="C953" s="244" t="s">
        <v>15</v>
      </c>
      <c r="D953" s="244" t="s">
        <v>1589</v>
      </c>
      <c r="E953" s="245">
        <v>43617</v>
      </c>
      <c r="F953" s="118">
        <v>1016.96</v>
      </c>
      <c r="G953" s="118">
        <f>SUMIF(CONFERÊNCIA!A:A,A953,CONFERÊNCIA!J:J)</f>
        <v>1016.96</v>
      </c>
      <c r="H953" s="120">
        <f t="shared" si="50"/>
        <v>0</v>
      </c>
      <c r="I953" s="171" t="s">
        <v>1234</v>
      </c>
    </row>
    <row r="954" spans="1:9" x14ac:dyDescent="0.2">
      <c r="A954" s="243">
        <v>116006</v>
      </c>
      <c r="B954" s="244" t="s">
        <v>1174</v>
      </c>
      <c r="C954" s="244" t="s">
        <v>5</v>
      </c>
      <c r="D954" s="244" t="s">
        <v>0</v>
      </c>
      <c r="E954" s="245">
        <v>44207</v>
      </c>
      <c r="F954" s="118">
        <v>1016.96</v>
      </c>
      <c r="G954" s="118">
        <f>SUMIF(CONFERÊNCIA!A:A,A954,CONFERÊNCIA!J:J)</f>
        <v>1016.96</v>
      </c>
      <c r="H954" s="120">
        <f t="shared" si="50"/>
        <v>0</v>
      </c>
      <c r="I954" s="171" t="s">
        <v>1235</v>
      </c>
    </row>
    <row r="955" spans="1:9" x14ac:dyDescent="0.2">
      <c r="A955" s="243">
        <v>113042</v>
      </c>
      <c r="B955" s="244" t="s">
        <v>558</v>
      </c>
      <c r="C955" s="244" t="s">
        <v>5</v>
      </c>
      <c r="D955" s="244" t="s">
        <v>0</v>
      </c>
      <c r="E955" s="245">
        <v>43617</v>
      </c>
      <c r="F955" s="118">
        <v>1016.96</v>
      </c>
      <c r="G955" s="118">
        <f>SUMIF(CONFERÊNCIA!A:A,A955,CONFERÊNCIA!J:J)</f>
        <v>1016.96</v>
      </c>
      <c r="H955" s="120">
        <f t="shared" si="50"/>
        <v>0</v>
      </c>
      <c r="I955" s="171" t="s">
        <v>1234</v>
      </c>
    </row>
    <row r="956" spans="1:9" x14ac:dyDescent="0.2">
      <c r="A956" s="243">
        <v>117247</v>
      </c>
      <c r="B956" s="244" t="s">
        <v>1265</v>
      </c>
      <c r="C956" s="244" t="s">
        <v>182</v>
      </c>
      <c r="D956" s="244" t="s">
        <v>10</v>
      </c>
      <c r="E956" s="245">
        <v>44487</v>
      </c>
      <c r="F956" s="118">
        <v>1016.96</v>
      </c>
      <c r="G956" s="118">
        <f>SUMIF(CONFERÊNCIA!A:A,A956,CONFERÊNCIA!J:J)</f>
        <v>1016.96</v>
      </c>
      <c r="H956" s="120">
        <f t="shared" si="50"/>
        <v>0</v>
      </c>
      <c r="I956" s="171" t="s">
        <v>1235</v>
      </c>
    </row>
    <row r="957" spans="1:9" x14ac:dyDescent="0.2">
      <c r="A957" s="243">
        <v>116321</v>
      </c>
      <c r="B957" s="244" t="s">
        <v>1207</v>
      </c>
      <c r="C957" s="244" t="s">
        <v>5</v>
      </c>
      <c r="D957" s="244" t="s">
        <v>0</v>
      </c>
      <c r="E957" s="245">
        <v>44308</v>
      </c>
      <c r="F957" s="118">
        <v>1016.96</v>
      </c>
      <c r="G957" s="118">
        <f>SUMIF(CONFERÊNCIA!A:A,A957,CONFERÊNCIA!J:J)</f>
        <v>1016.96</v>
      </c>
      <c r="H957" s="120">
        <f t="shared" si="50"/>
        <v>0</v>
      </c>
      <c r="I957" s="171" t="s">
        <v>1234</v>
      </c>
    </row>
    <row r="958" spans="1:9" x14ac:dyDescent="0.2">
      <c r="A958" s="243">
        <v>113055</v>
      </c>
      <c r="B958" s="244" t="s">
        <v>563</v>
      </c>
      <c r="C958" s="244" t="s">
        <v>2</v>
      </c>
      <c r="D958" s="244" t="s">
        <v>19</v>
      </c>
      <c r="E958" s="245">
        <v>43617</v>
      </c>
      <c r="F958" s="118">
        <v>1016.96</v>
      </c>
      <c r="G958" s="118">
        <f>SUMIF(CONFERÊNCIA!A:A,A958,CONFERÊNCIA!J:J)</f>
        <v>1016.96</v>
      </c>
      <c r="H958" s="120">
        <f t="shared" si="50"/>
        <v>0</v>
      </c>
      <c r="I958" s="171" t="s">
        <v>1234</v>
      </c>
    </row>
    <row r="959" spans="1:9" x14ac:dyDescent="0.2">
      <c r="A959" s="243">
        <v>113073</v>
      </c>
      <c r="B959" s="244" t="s">
        <v>572</v>
      </c>
      <c r="C959" s="244" t="s">
        <v>2</v>
      </c>
      <c r="D959" s="244" t="s">
        <v>0</v>
      </c>
      <c r="E959" s="245">
        <v>43617</v>
      </c>
      <c r="F959" s="118">
        <v>1016.96</v>
      </c>
      <c r="G959" s="118">
        <f>SUMIF(CONFERÊNCIA!A:A,A959,CONFERÊNCIA!J:J)</f>
        <v>1016.96</v>
      </c>
      <c r="H959" s="120">
        <f t="shared" ref="H959:H998" si="51">G959-F959</f>
        <v>0</v>
      </c>
      <c r="I959" s="171" t="s">
        <v>1234</v>
      </c>
    </row>
    <row r="960" spans="1:9" x14ac:dyDescent="0.2">
      <c r="A960" s="243">
        <v>121855</v>
      </c>
      <c r="B960" s="244" t="s">
        <v>1625</v>
      </c>
      <c r="C960" s="244" t="s">
        <v>5</v>
      </c>
      <c r="D960" s="244" t="s">
        <v>10</v>
      </c>
      <c r="E960" s="245">
        <v>45022</v>
      </c>
      <c r="F960" s="118">
        <v>1016.96</v>
      </c>
      <c r="G960" s="118">
        <f>SUMIF(CONFERÊNCIA!A:A,A960,CONFERÊNCIA!J:J)</f>
        <v>1016.96</v>
      </c>
      <c r="H960" s="120">
        <f t="shared" si="51"/>
        <v>0</v>
      </c>
      <c r="I960" s="171" t="s">
        <v>1234</v>
      </c>
    </row>
    <row r="961" spans="1:9" x14ac:dyDescent="0.2">
      <c r="A961" s="243">
        <v>113095</v>
      </c>
      <c r="B961" s="244" t="s">
        <v>585</v>
      </c>
      <c r="C961" s="244" t="s">
        <v>146</v>
      </c>
      <c r="D961" s="244" t="s">
        <v>10</v>
      </c>
      <c r="E961" s="245">
        <v>43617</v>
      </c>
      <c r="F961" s="118">
        <v>1016.96</v>
      </c>
      <c r="G961" s="118">
        <f>SUMIF(CONFERÊNCIA!A:A,A961,CONFERÊNCIA!J:J)</f>
        <v>1016.96</v>
      </c>
      <c r="H961" s="120">
        <f t="shared" si="51"/>
        <v>0</v>
      </c>
      <c r="I961" s="171" t="s">
        <v>1234</v>
      </c>
    </row>
    <row r="962" spans="1:9" x14ac:dyDescent="0.2">
      <c r="A962" s="243">
        <v>113101</v>
      </c>
      <c r="B962" s="244" t="s">
        <v>587</v>
      </c>
      <c r="C962" s="244" t="s">
        <v>5</v>
      </c>
      <c r="D962" s="244" t="s">
        <v>8</v>
      </c>
      <c r="E962" s="245">
        <v>43617</v>
      </c>
      <c r="F962" s="118">
        <v>1016.96</v>
      </c>
      <c r="G962" s="118">
        <f>SUMIF(CONFERÊNCIA!A:A,A962,CONFERÊNCIA!J:J)</f>
        <v>1016.96</v>
      </c>
      <c r="H962" s="120">
        <f t="shared" si="51"/>
        <v>0</v>
      </c>
      <c r="I962" s="171" t="s">
        <v>1234</v>
      </c>
    </row>
    <row r="963" spans="1:9" x14ac:dyDescent="0.2">
      <c r="A963" s="243">
        <v>113106</v>
      </c>
      <c r="B963" s="244" t="s">
        <v>85</v>
      </c>
      <c r="C963" s="244" t="s">
        <v>2</v>
      </c>
      <c r="D963" s="244" t="s">
        <v>0</v>
      </c>
      <c r="E963" s="245">
        <v>43617</v>
      </c>
      <c r="F963" s="118">
        <v>1016.96</v>
      </c>
      <c r="G963" s="118">
        <f>SUMIF(CONFERÊNCIA!A:A,A963,CONFERÊNCIA!J:J)</f>
        <v>1016.96</v>
      </c>
      <c r="H963" s="120">
        <f t="shared" si="51"/>
        <v>0</v>
      </c>
      <c r="I963" s="171" t="s">
        <v>1235</v>
      </c>
    </row>
    <row r="964" spans="1:9" x14ac:dyDescent="0.2">
      <c r="A964" s="243">
        <v>113110</v>
      </c>
      <c r="B964" s="244" t="s">
        <v>591</v>
      </c>
      <c r="C964" s="244" t="s">
        <v>2</v>
      </c>
      <c r="D964" s="244" t="s">
        <v>8</v>
      </c>
      <c r="E964" s="245">
        <v>43617</v>
      </c>
      <c r="F964" s="118">
        <v>1016.96</v>
      </c>
      <c r="G964" s="118">
        <f>SUMIF(CONFERÊNCIA!A:A,A964,CONFERÊNCIA!J:J)</f>
        <v>1016.96</v>
      </c>
      <c r="H964" s="120">
        <f t="shared" si="51"/>
        <v>0</v>
      </c>
      <c r="I964" s="171" t="s">
        <v>1234</v>
      </c>
    </row>
    <row r="965" spans="1:9" x14ac:dyDescent="0.2">
      <c r="A965" s="243">
        <v>113116</v>
      </c>
      <c r="B965" s="244" t="s">
        <v>594</v>
      </c>
      <c r="C965" s="244" t="s">
        <v>2</v>
      </c>
      <c r="D965" s="244" t="s">
        <v>10</v>
      </c>
      <c r="E965" s="245">
        <v>43617</v>
      </c>
      <c r="F965" s="118">
        <v>1016.96</v>
      </c>
      <c r="G965" s="118">
        <f>SUMIF(CONFERÊNCIA!A:A,A965,CONFERÊNCIA!J:J)</f>
        <v>1016.96</v>
      </c>
      <c r="H965" s="120">
        <f t="shared" si="51"/>
        <v>0</v>
      </c>
      <c r="I965" s="171" t="s">
        <v>1234</v>
      </c>
    </row>
    <row r="966" spans="1:9" x14ac:dyDescent="0.2">
      <c r="A966" s="243">
        <v>113122</v>
      </c>
      <c r="B966" s="244" t="s">
        <v>1524</v>
      </c>
      <c r="C966" s="244" t="s">
        <v>2</v>
      </c>
      <c r="D966" s="244" t="s">
        <v>0</v>
      </c>
      <c r="E966" s="245">
        <v>43617</v>
      </c>
      <c r="F966" s="118">
        <v>1016.96</v>
      </c>
      <c r="G966" s="118">
        <f>SUMIF(CONFERÊNCIA!A:A,A966,CONFERÊNCIA!J:J)</f>
        <v>1016.96</v>
      </c>
      <c r="H966" s="120">
        <f t="shared" si="51"/>
        <v>0</v>
      </c>
      <c r="I966" s="171" t="s">
        <v>1234</v>
      </c>
    </row>
    <row r="967" spans="1:9" x14ac:dyDescent="0.2">
      <c r="A967" s="243">
        <v>113127</v>
      </c>
      <c r="B967" s="244" t="s">
        <v>1267</v>
      </c>
      <c r="C967" s="244" t="s">
        <v>2</v>
      </c>
      <c r="D967" s="244" t="s">
        <v>10</v>
      </c>
      <c r="E967" s="245">
        <v>43617</v>
      </c>
      <c r="F967" s="118">
        <v>1016.96</v>
      </c>
      <c r="G967" s="118">
        <f>SUMIF(CONFERÊNCIA!A:A,A967,CONFERÊNCIA!J:J)</f>
        <v>1016.96</v>
      </c>
      <c r="H967" s="120">
        <f t="shared" si="51"/>
        <v>0</v>
      </c>
      <c r="I967" s="171" t="s">
        <v>1234</v>
      </c>
    </row>
    <row r="968" spans="1:9" x14ac:dyDescent="0.2">
      <c r="A968" s="243">
        <v>113137</v>
      </c>
      <c r="B968" s="244" t="s">
        <v>607</v>
      </c>
      <c r="C968" s="244" t="s">
        <v>22</v>
      </c>
      <c r="D968" s="244" t="s">
        <v>1589</v>
      </c>
      <c r="E968" s="245">
        <v>43617</v>
      </c>
      <c r="F968" s="118">
        <v>1016.96</v>
      </c>
      <c r="G968" s="118">
        <f>SUMIF(CONFERÊNCIA!A:A,A968,CONFERÊNCIA!J:J)</f>
        <v>1016.96</v>
      </c>
      <c r="H968" s="120">
        <f t="shared" si="51"/>
        <v>0</v>
      </c>
      <c r="I968" s="171" t="s">
        <v>1234</v>
      </c>
    </row>
    <row r="969" spans="1:9" x14ac:dyDescent="0.2">
      <c r="A969" s="243">
        <v>113140</v>
      </c>
      <c r="B969" s="244" t="s">
        <v>609</v>
      </c>
      <c r="C969" s="244" t="s">
        <v>2</v>
      </c>
      <c r="D969" s="244" t="s">
        <v>0</v>
      </c>
      <c r="E969" s="245">
        <v>43617</v>
      </c>
      <c r="F969" s="118">
        <v>1016.96</v>
      </c>
      <c r="G969" s="118">
        <f>SUMIF(CONFERÊNCIA!A:A,A969,CONFERÊNCIA!J:J)</f>
        <v>1016.96</v>
      </c>
      <c r="H969" s="120">
        <f t="shared" si="51"/>
        <v>0</v>
      </c>
      <c r="I969" s="171" t="s">
        <v>1234</v>
      </c>
    </row>
    <row r="970" spans="1:9" x14ac:dyDescent="0.2">
      <c r="A970" s="243">
        <v>113142</v>
      </c>
      <c r="B970" s="244" t="s">
        <v>611</v>
      </c>
      <c r="C970" s="244" t="s">
        <v>22</v>
      </c>
      <c r="D970" s="244" t="s">
        <v>1589</v>
      </c>
      <c r="E970" s="245">
        <v>43617</v>
      </c>
      <c r="F970" s="118">
        <v>1016.96</v>
      </c>
      <c r="G970" s="118">
        <f>SUMIF(CONFERÊNCIA!A:A,A970,CONFERÊNCIA!J:J)</f>
        <v>1016.96</v>
      </c>
      <c r="H970" s="120">
        <f t="shared" si="51"/>
        <v>0</v>
      </c>
      <c r="I970" s="171" t="s">
        <v>1235</v>
      </c>
    </row>
    <row r="971" spans="1:9" x14ac:dyDescent="0.2">
      <c r="A971" s="243">
        <v>113146</v>
      </c>
      <c r="B971" s="244" t="s">
        <v>612</v>
      </c>
      <c r="C971" s="244" t="s">
        <v>2</v>
      </c>
      <c r="D971" s="244" t="s">
        <v>10</v>
      </c>
      <c r="E971" s="245">
        <v>43617</v>
      </c>
      <c r="F971" s="118">
        <v>1016.96</v>
      </c>
      <c r="G971" s="118">
        <f>SUMIF(CONFERÊNCIA!A:A,A971,CONFERÊNCIA!J:J)</f>
        <v>1016.96</v>
      </c>
      <c r="H971" s="120">
        <f t="shared" si="51"/>
        <v>0</v>
      </c>
      <c r="I971" s="171" t="s">
        <v>1234</v>
      </c>
    </row>
    <row r="972" spans="1:9" x14ac:dyDescent="0.2">
      <c r="A972" s="243">
        <v>113149</v>
      </c>
      <c r="B972" s="244" t="s">
        <v>613</v>
      </c>
      <c r="C972" s="244" t="s">
        <v>2</v>
      </c>
      <c r="D972" s="244" t="s">
        <v>19</v>
      </c>
      <c r="E972" s="245">
        <v>43617</v>
      </c>
      <c r="F972" s="118">
        <v>1016.96</v>
      </c>
      <c r="G972" s="118">
        <f>SUMIF(CONFERÊNCIA!A:A,A972,CONFERÊNCIA!J:J)</f>
        <v>1016.96</v>
      </c>
      <c r="H972" s="120">
        <f t="shared" si="51"/>
        <v>0</v>
      </c>
      <c r="I972" s="171" t="s">
        <v>1234</v>
      </c>
    </row>
    <row r="973" spans="1:9" x14ac:dyDescent="0.2">
      <c r="A973" s="243">
        <v>113155</v>
      </c>
      <c r="B973" s="244" t="s">
        <v>617</v>
      </c>
      <c r="C973" s="244" t="s">
        <v>15</v>
      </c>
      <c r="D973" s="244" t="s">
        <v>1589</v>
      </c>
      <c r="E973" s="245">
        <v>43617</v>
      </c>
      <c r="F973" s="118">
        <v>1016.96</v>
      </c>
      <c r="G973" s="118">
        <f>SUMIF(CONFERÊNCIA!A:A,A973,CONFERÊNCIA!J:J)</f>
        <v>1016.96</v>
      </c>
      <c r="H973" s="120">
        <f t="shared" si="51"/>
        <v>0</v>
      </c>
      <c r="I973" s="171" t="s">
        <v>1234</v>
      </c>
    </row>
    <row r="974" spans="1:9" x14ac:dyDescent="0.2">
      <c r="A974" s="243">
        <v>113167</v>
      </c>
      <c r="B974" s="244" t="s">
        <v>626</v>
      </c>
      <c r="C974" s="244" t="s">
        <v>2</v>
      </c>
      <c r="D974" s="244" t="s">
        <v>0</v>
      </c>
      <c r="E974" s="245">
        <v>43617</v>
      </c>
      <c r="F974" s="118">
        <v>1016.96</v>
      </c>
      <c r="G974" s="118">
        <f>SUMIF(CONFERÊNCIA!A:A,A974,CONFERÊNCIA!J:J)</f>
        <v>1016.96</v>
      </c>
      <c r="H974" s="120">
        <f t="shared" si="51"/>
        <v>0</v>
      </c>
      <c r="I974" s="171" t="s">
        <v>1234</v>
      </c>
    </row>
    <row r="975" spans="1:9" x14ac:dyDescent="0.2">
      <c r="A975" s="243">
        <v>113169</v>
      </c>
      <c r="B975" s="244" t="s">
        <v>627</v>
      </c>
      <c r="C975" s="244" t="s">
        <v>2</v>
      </c>
      <c r="D975" s="244" t="s">
        <v>19</v>
      </c>
      <c r="E975" s="245">
        <v>43617</v>
      </c>
      <c r="F975" s="118">
        <v>1110.06</v>
      </c>
      <c r="G975" s="118">
        <f>SUMIF(CONFERÊNCIA!A:A,A975,CONFERÊNCIA!J:J)</f>
        <v>1016.96</v>
      </c>
      <c r="H975" s="120">
        <f t="shared" si="51"/>
        <v>-93.099999999999909</v>
      </c>
      <c r="I975" s="171" t="s">
        <v>1234</v>
      </c>
    </row>
    <row r="976" spans="1:9" x14ac:dyDescent="0.2">
      <c r="A976" s="243">
        <v>113172</v>
      </c>
      <c r="B976" s="244" t="s">
        <v>629</v>
      </c>
      <c r="C976" s="244" t="s">
        <v>2</v>
      </c>
      <c r="D976" s="244" t="s">
        <v>0</v>
      </c>
      <c r="E976" s="245">
        <v>43617</v>
      </c>
      <c r="F976" s="118">
        <v>978.67000000000007</v>
      </c>
      <c r="G976" s="118">
        <f>SUMIF(CONFERÊNCIA!A:A,A976,CONFERÊNCIA!J:J)</f>
        <v>1016.96</v>
      </c>
      <c r="H976" s="120">
        <f t="shared" si="51"/>
        <v>38.289999999999964</v>
      </c>
      <c r="I976" s="171" t="s">
        <v>1234</v>
      </c>
    </row>
    <row r="977" spans="1:9" x14ac:dyDescent="0.2">
      <c r="A977" s="243">
        <v>113177</v>
      </c>
      <c r="B977" s="244" t="s">
        <v>631</v>
      </c>
      <c r="C977" s="244" t="s">
        <v>2</v>
      </c>
      <c r="D977" s="244" t="s">
        <v>10</v>
      </c>
      <c r="E977" s="245">
        <v>43617</v>
      </c>
      <c r="F977" s="118">
        <v>1016.96</v>
      </c>
      <c r="G977" s="118">
        <f>SUMIF(CONFERÊNCIA!A:A,A977,CONFERÊNCIA!J:J)</f>
        <v>1016.96</v>
      </c>
      <c r="H977" s="120">
        <f t="shared" si="51"/>
        <v>0</v>
      </c>
      <c r="I977" s="171" t="s">
        <v>1234</v>
      </c>
    </row>
    <row r="978" spans="1:9" x14ac:dyDescent="0.2">
      <c r="A978" s="243">
        <v>113185</v>
      </c>
      <c r="B978" s="244" t="s">
        <v>635</v>
      </c>
      <c r="C978" s="244" t="s">
        <v>15</v>
      </c>
      <c r="D978" s="244" t="s">
        <v>1589</v>
      </c>
      <c r="E978" s="245">
        <v>43617</v>
      </c>
      <c r="F978" s="118">
        <v>1016.96</v>
      </c>
      <c r="G978" s="118">
        <f>SUMIF(CONFERÊNCIA!A:A,A978,CONFERÊNCIA!J:J)</f>
        <v>1016.96</v>
      </c>
      <c r="H978" s="120">
        <f t="shared" si="51"/>
        <v>0</v>
      </c>
      <c r="I978" s="171" t="s">
        <v>1234</v>
      </c>
    </row>
    <row r="979" spans="1:9" x14ac:dyDescent="0.2">
      <c r="A979" s="243">
        <v>113189</v>
      </c>
      <c r="B979" s="244" t="s">
        <v>638</v>
      </c>
      <c r="C979" s="244" t="s">
        <v>22</v>
      </c>
      <c r="D979" s="244" t="s">
        <v>1589</v>
      </c>
      <c r="E979" s="245">
        <v>43617</v>
      </c>
      <c r="F979" s="118">
        <v>1016.96</v>
      </c>
      <c r="G979" s="118">
        <f>SUMIF(CONFERÊNCIA!A:A,A979,CONFERÊNCIA!J:J)</f>
        <v>1016.96</v>
      </c>
      <c r="H979" s="120">
        <f t="shared" si="51"/>
        <v>0</v>
      </c>
      <c r="I979" s="171" t="s">
        <v>1234</v>
      </c>
    </row>
    <row r="980" spans="1:9" x14ac:dyDescent="0.2">
      <c r="A980" s="243">
        <v>113720</v>
      </c>
      <c r="B980" s="244" t="s">
        <v>937</v>
      </c>
      <c r="C980" s="244" t="s">
        <v>930</v>
      </c>
      <c r="D980" s="244" t="s">
        <v>1591</v>
      </c>
      <c r="E980" s="245">
        <v>43619</v>
      </c>
      <c r="F980" s="118">
        <v>1016.96</v>
      </c>
      <c r="G980" s="118">
        <f>SUMIF(CONFERÊNCIA!A:A,A980,CONFERÊNCIA!J:J)</f>
        <v>1016.96</v>
      </c>
      <c r="H980" s="120">
        <f t="shared" si="51"/>
        <v>0</v>
      </c>
      <c r="I980" s="171" t="s">
        <v>1234</v>
      </c>
    </row>
    <row r="981" spans="1:9" x14ac:dyDescent="0.2">
      <c r="A981" s="243">
        <v>113198</v>
      </c>
      <c r="B981" s="244" t="s">
        <v>641</v>
      </c>
      <c r="C981" s="244" t="s">
        <v>146</v>
      </c>
      <c r="D981" s="244" t="s">
        <v>19</v>
      </c>
      <c r="E981" s="245">
        <v>43617</v>
      </c>
      <c r="F981" s="118">
        <v>1016.96</v>
      </c>
      <c r="G981" s="118">
        <f>SUMIF(CONFERÊNCIA!A:A,A981,CONFERÊNCIA!J:J)</f>
        <v>1016.96</v>
      </c>
      <c r="H981" s="120">
        <f t="shared" si="51"/>
        <v>0</v>
      </c>
      <c r="I981" s="171" t="s">
        <v>1234</v>
      </c>
    </row>
    <row r="982" spans="1:9" x14ac:dyDescent="0.2">
      <c r="A982" s="243">
        <v>113203</v>
      </c>
      <c r="B982" s="244" t="s">
        <v>645</v>
      </c>
      <c r="C982" s="244" t="s">
        <v>5</v>
      </c>
      <c r="D982" s="244" t="s">
        <v>0</v>
      </c>
      <c r="E982" s="245">
        <v>43617</v>
      </c>
      <c r="F982" s="118">
        <v>1016.96</v>
      </c>
      <c r="G982" s="118">
        <f>SUMIF(CONFERÊNCIA!A:A,A982,CONFERÊNCIA!J:J)</f>
        <v>1016.96</v>
      </c>
      <c r="H982" s="120">
        <f t="shared" si="51"/>
        <v>0</v>
      </c>
      <c r="I982" s="171" t="s">
        <v>1234</v>
      </c>
    </row>
    <row r="983" spans="1:9" x14ac:dyDescent="0.2">
      <c r="A983" s="243">
        <v>114726</v>
      </c>
      <c r="B983" s="244" t="s">
        <v>1083</v>
      </c>
      <c r="C983" s="244" t="s">
        <v>5</v>
      </c>
      <c r="D983" s="244" t="s">
        <v>0</v>
      </c>
      <c r="E983" s="245">
        <v>43874</v>
      </c>
      <c r="F983" s="118">
        <v>1016.96</v>
      </c>
      <c r="G983" s="118">
        <f>SUMIF(CONFERÊNCIA!A:A,A983,CONFERÊNCIA!J:J)</f>
        <v>1016.96</v>
      </c>
      <c r="H983" s="120">
        <f t="shared" si="51"/>
        <v>0</v>
      </c>
      <c r="I983" s="171" t="s">
        <v>1235</v>
      </c>
    </row>
    <row r="984" spans="1:9" x14ac:dyDescent="0.2">
      <c r="A984" s="243">
        <v>113205</v>
      </c>
      <c r="B984" s="244" t="s">
        <v>647</v>
      </c>
      <c r="C984" s="244" t="s">
        <v>2</v>
      </c>
      <c r="D984" s="244" t="s">
        <v>0</v>
      </c>
      <c r="E984" s="245">
        <v>43617</v>
      </c>
      <c r="F984" s="118">
        <v>1016.96</v>
      </c>
      <c r="G984" s="118">
        <f>SUMIF(CONFERÊNCIA!A:A,A984,CONFERÊNCIA!J:J)</f>
        <v>1016.96</v>
      </c>
      <c r="H984" s="120">
        <f t="shared" si="51"/>
        <v>0</v>
      </c>
      <c r="I984" s="171" t="s">
        <v>1234</v>
      </c>
    </row>
    <row r="985" spans="1:9" x14ac:dyDescent="0.2">
      <c r="A985" s="243">
        <v>115399</v>
      </c>
      <c r="B985" s="244" t="s">
        <v>1156</v>
      </c>
      <c r="C985" s="244" t="s">
        <v>5</v>
      </c>
      <c r="D985" s="244" t="s">
        <v>0</v>
      </c>
      <c r="E985" s="245">
        <v>44048</v>
      </c>
      <c r="F985" s="118">
        <v>1016.96</v>
      </c>
      <c r="G985" s="118">
        <f>SUMIF(CONFERÊNCIA!A:A,A985,CONFERÊNCIA!J:J)</f>
        <v>1016.96</v>
      </c>
      <c r="H985" s="120">
        <f t="shared" si="51"/>
        <v>0</v>
      </c>
      <c r="I985" s="171" t="s">
        <v>1234</v>
      </c>
    </row>
    <row r="986" spans="1:9" x14ac:dyDescent="0.2">
      <c r="A986" s="243">
        <v>113208</v>
      </c>
      <c r="B986" s="244" t="s">
        <v>650</v>
      </c>
      <c r="C986" s="244" t="s">
        <v>2</v>
      </c>
      <c r="D986" s="244" t="s">
        <v>19</v>
      </c>
      <c r="E986" s="245">
        <v>43617</v>
      </c>
      <c r="F986" s="118">
        <v>1016.96</v>
      </c>
      <c r="G986" s="118">
        <f>SUMIF(CONFERÊNCIA!A:A,A986,CONFERÊNCIA!J:J)</f>
        <v>1016.96</v>
      </c>
      <c r="H986" s="120">
        <f t="shared" si="51"/>
        <v>0</v>
      </c>
      <c r="I986" s="171" t="s">
        <v>1234</v>
      </c>
    </row>
    <row r="987" spans="1:9" x14ac:dyDescent="0.2">
      <c r="A987" s="243">
        <v>117362</v>
      </c>
      <c r="B987" s="244" t="s">
        <v>1270</v>
      </c>
      <c r="C987" s="244" t="s">
        <v>282</v>
      </c>
      <c r="D987" s="244" t="s">
        <v>1589</v>
      </c>
      <c r="E987" s="245">
        <v>44508</v>
      </c>
      <c r="F987" s="118">
        <v>1016.96</v>
      </c>
      <c r="G987" s="118">
        <f>SUMIF(CONFERÊNCIA!A:A,A987,CONFERÊNCIA!J:J)</f>
        <v>1016.96</v>
      </c>
      <c r="H987" s="120">
        <f t="shared" si="51"/>
        <v>0</v>
      </c>
      <c r="I987" s="171" t="s">
        <v>1234</v>
      </c>
    </row>
    <row r="988" spans="1:9" x14ac:dyDescent="0.2">
      <c r="A988" s="243">
        <v>113217</v>
      </c>
      <c r="B988" s="244" t="s">
        <v>653</v>
      </c>
      <c r="C988" s="244" t="s">
        <v>5</v>
      </c>
      <c r="D988" s="244" t="s">
        <v>10</v>
      </c>
      <c r="E988" s="245">
        <v>43617</v>
      </c>
      <c r="F988" s="118">
        <v>978.67000000000007</v>
      </c>
      <c r="G988" s="118">
        <f>SUMIF(CONFERÊNCIA!A:A,A988,CONFERÊNCIA!J:J)</f>
        <v>978.67000000000007</v>
      </c>
      <c r="H988" s="120">
        <f t="shared" si="51"/>
        <v>0</v>
      </c>
      <c r="I988" s="171" t="s">
        <v>1234</v>
      </c>
    </row>
    <row r="989" spans="1:9" x14ac:dyDescent="0.2">
      <c r="A989" s="243">
        <v>113227</v>
      </c>
      <c r="B989" s="244" t="s">
        <v>660</v>
      </c>
      <c r="C989" s="244" t="s">
        <v>15</v>
      </c>
      <c r="D989" s="244" t="s">
        <v>1589</v>
      </c>
      <c r="E989" s="245">
        <v>43617</v>
      </c>
      <c r="F989" s="118">
        <v>1016.96</v>
      </c>
      <c r="G989" s="118">
        <f>SUMIF(CONFERÊNCIA!A:A,A989,CONFERÊNCIA!J:J)</f>
        <v>1016.96</v>
      </c>
      <c r="H989" s="120">
        <f t="shared" si="51"/>
        <v>0</v>
      </c>
      <c r="I989" s="171" t="s">
        <v>1235</v>
      </c>
    </row>
    <row r="990" spans="1:9" x14ac:dyDescent="0.2">
      <c r="A990" s="243">
        <v>115220</v>
      </c>
      <c r="B990" s="244" t="s">
        <v>1148</v>
      </c>
      <c r="C990" s="244" t="s">
        <v>5</v>
      </c>
      <c r="D990" s="244" t="s">
        <v>8</v>
      </c>
      <c r="E990" s="245">
        <v>44018</v>
      </c>
      <c r="F990" s="118">
        <v>1016.96</v>
      </c>
      <c r="G990" s="118">
        <f>SUMIF(CONFERÊNCIA!A:A,A990,CONFERÊNCIA!J:J)</f>
        <v>1016.96</v>
      </c>
      <c r="H990" s="120">
        <f t="shared" si="51"/>
        <v>0</v>
      </c>
      <c r="I990" s="171" t="s">
        <v>1234</v>
      </c>
    </row>
    <row r="991" spans="1:9" x14ac:dyDescent="0.2">
      <c r="A991" s="243">
        <v>118641</v>
      </c>
      <c r="B991" s="244" t="s">
        <v>1411</v>
      </c>
      <c r="C991" s="244" t="s">
        <v>5</v>
      </c>
      <c r="D991" s="244" t="s">
        <v>0</v>
      </c>
      <c r="E991" s="245">
        <v>44582</v>
      </c>
      <c r="F991" s="118">
        <v>940.39</v>
      </c>
      <c r="G991" s="118">
        <f>SUMIF(CONFERÊNCIA!A:A,A991,CONFERÊNCIA!J:J)</f>
        <v>1016.96</v>
      </c>
      <c r="H991" s="120">
        <f t="shared" si="51"/>
        <v>76.57000000000005</v>
      </c>
      <c r="I991" s="171" t="s">
        <v>1234</v>
      </c>
    </row>
    <row r="992" spans="1:9" x14ac:dyDescent="0.2">
      <c r="A992" s="243">
        <v>114034</v>
      </c>
      <c r="B992" s="244" t="s">
        <v>1001</v>
      </c>
      <c r="C992" s="244" t="s">
        <v>146</v>
      </c>
      <c r="D992" s="244" t="s">
        <v>10</v>
      </c>
      <c r="E992" s="245">
        <v>43710</v>
      </c>
      <c r="F992" s="118">
        <v>1016.96</v>
      </c>
      <c r="G992" s="118">
        <f>SUMIF(CONFERÊNCIA!A:A,A992,CONFERÊNCIA!J:J)</f>
        <v>1016.96</v>
      </c>
      <c r="H992" s="120">
        <f t="shared" si="51"/>
        <v>0</v>
      </c>
      <c r="I992" s="171" t="s">
        <v>1234</v>
      </c>
    </row>
    <row r="993" spans="1:9" x14ac:dyDescent="0.2">
      <c r="A993" s="243">
        <v>118050</v>
      </c>
      <c r="B993" s="244" t="s">
        <v>1412</v>
      </c>
      <c r="C993" s="244" t="s">
        <v>5</v>
      </c>
      <c r="D993" s="244" t="s">
        <v>0</v>
      </c>
      <c r="E993" s="245">
        <v>44567</v>
      </c>
      <c r="F993" s="118">
        <v>1016.96</v>
      </c>
      <c r="G993" s="118">
        <f>SUMIF(CONFERÊNCIA!A:A,A993,CONFERÊNCIA!J:J)</f>
        <v>1016.96</v>
      </c>
      <c r="H993" s="120">
        <f t="shared" si="51"/>
        <v>0</v>
      </c>
      <c r="I993" s="171" t="s">
        <v>1234</v>
      </c>
    </row>
    <row r="994" spans="1:9" x14ac:dyDescent="0.2">
      <c r="A994" s="243">
        <v>122082</v>
      </c>
      <c r="B994" s="244" t="s">
        <v>1644</v>
      </c>
      <c r="C994" s="244" t="s">
        <v>5</v>
      </c>
      <c r="D994" s="244" t="s">
        <v>19</v>
      </c>
      <c r="E994" s="245">
        <v>45061</v>
      </c>
      <c r="F994" s="118">
        <v>1016.96</v>
      </c>
      <c r="G994" s="118">
        <f>SUMIF(CONFERÊNCIA!A:A,A994,CONFERÊNCIA!J:J)</f>
        <v>1016.96</v>
      </c>
      <c r="H994" s="120">
        <f t="shared" si="51"/>
        <v>0</v>
      </c>
      <c r="I994" s="171" t="s">
        <v>1234</v>
      </c>
    </row>
    <row r="995" spans="1:9" x14ac:dyDescent="0.2">
      <c r="A995" s="243">
        <v>113237</v>
      </c>
      <c r="B995" s="244" t="s">
        <v>665</v>
      </c>
      <c r="C995" s="244" t="s">
        <v>2</v>
      </c>
      <c r="D995" s="244" t="s">
        <v>10</v>
      </c>
      <c r="E995" s="245">
        <v>43617</v>
      </c>
      <c r="F995" s="118">
        <v>1016.96</v>
      </c>
      <c r="G995" s="118">
        <f>SUMIF(CONFERÊNCIA!A:A,A995,CONFERÊNCIA!J:J)</f>
        <v>1016.96</v>
      </c>
      <c r="H995" s="120">
        <f t="shared" si="51"/>
        <v>0</v>
      </c>
      <c r="I995" s="171" t="s">
        <v>1234</v>
      </c>
    </row>
    <row r="996" spans="1:9" x14ac:dyDescent="0.2">
      <c r="A996" s="243">
        <v>113242</v>
      </c>
      <c r="B996" s="244" t="s">
        <v>666</v>
      </c>
      <c r="C996" s="244" t="s">
        <v>5</v>
      </c>
      <c r="D996" s="244" t="s">
        <v>19</v>
      </c>
      <c r="E996" s="245">
        <v>43617</v>
      </c>
      <c r="F996" s="118">
        <v>1016.96</v>
      </c>
      <c r="G996" s="118">
        <f>SUMIF(CONFERÊNCIA!A:A,A996,CONFERÊNCIA!J:J)</f>
        <v>1016.96</v>
      </c>
      <c r="H996" s="120">
        <f t="shared" si="51"/>
        <v>0</v>
      </c>
      <c r="I996" s="171" t="s">
        <v>1234</v>
      </c>
    </row>
    <row r="997" spans="1:9" x14ac:dyDescent="0.2">
      <c r="A997" s="243">
        <v>113244</v>
      </c>
      <c r="B997" s="244" t="s">
        <v>667</v>
      </c>
      <c r="C997" s="244" t="s">
        <v>2</v>
      </c>
      <c r="D997" s="244" t="s">
        <v>0</v>
      </c>
      <c r="E997" s="245">
        <v>43617</v>
      </c>
      <c r="F997" s="118">
        <v>1016.96</v>
      </c>
      <c r="G997" s="118">
        <f>SUMIF(CONFERÊNCIA!A:A,A997,CONFERÊNCIA!J:J)</f>
        <v>1016.96</v>
      </c>
      <c r="H997" s="120">
        <f t="shared" si="51"/>
        <v>0</v>
      </c>
      <c r="I997" s="171" t="s">
        <v>1234</v>
      </c>
    </row>
    <row r="998" spans="1:9" x14ac:dyDescent="0.2">
      <c r="A998" s="243">
        <v>116228</v>
      </c>
      <c r="B998" s="244" t="s">
        <v>1196</v>
      </c>
      <c r="C998" s="244" t="s">
        <v>5</v>
      </c>
      <c r="D998" s="244" t="s">
        <v>19</v>
      </c>
      <c r="E998" s="245">
        <v>44273</v>
      </c>
      <c r="F998" s="118">
        <v>1016.96</v>
      </c>
      <c r="G998" s="118">
        <f>SUMIF(CONFERÊNCIA!A:A,A998,CONFERÊNCIA!J:J)</f>
        <v>1016.96</v>
      </c>
      <c r="H998" s="120">
        <f t="shared" si="51"/>
        <v>0</v>
      </c>
      <c r="I998" s="171" t="s">
        <v>1234</v>
      </c>
    </row>
    <row r="999" spans="1:9" x14ac:dyDescent="0.2">
      <c r="A999" s="243">
        <v>113250</v>
      </c>
      <c r="B999" s="244" t="s">
        <v>670</v>
      </c>
      <c r="C999" s="244" t="s">
        <v>5</v>
      </c>
      <c r="D999" s="244" t="s">
        <v>10</v>
      </c>
      <c r="E999" s="245">
        <v>43617</v>
      </c>
      <c r="F999" s="118">
        <v>1016.96</v>
      </c>
      <c r="G999" s="118">
        <f>SUMIF(CONFERÊNCIA!A:A,A999,CONFERÊNCIA!J:J)</f>
        <v>1016.96</v>
      </c>
      <c r="H999" s="120">
        <f t="shared" ref="H999:H1037" si="52">G999-F999</f>
        <v>0</v>
      </c>
      <c r="I999" s="171" t="s">
        <v>1234</v>
      </c>
    </row>
    <row r="1000" spans="1:9" x14ac:dyDescent="0.2">
      <c r="A1000" s="243">
        <v>119930</v>
      </c>
      <c r="B1000" s="244" t="s">
        <v>1489</v>
      </c>
      <c r="C1000" s="244" t="s">
        <v>5</v>
      </c>
      <c r="D1000" s="244" t="s">
        <v>0</v>
      </c>
      <c r="E1000" s="245">
        <v>44760</v>
      </c>
      <c r="F1000" s="118">
        <v>1016.96</v>
      </c>
      <c r="G1000" s="118">
        <f>SUMIF(CONFERÊNCIA!A:A,A1000,CONFERÊNCIA!J:J)</f>
        <v>1016.96</v>
      </c>
      <c r="H1000" s="120">
        <f t="shared" si="52"/>
        <v>0</v>
      </c>
      <c r="I1000" s="171" t="s">
        <v>1234</v>
      </c>
    </row>
    <row r="1001" spans="1:9" x14ac:dyDescent="0.2">
      <c r="A1001" s="243">
        <v>113263</v>
      </c>
      <c r="B1001" s="244" t="s">
        <v>677</v>
      </c>
      <c r="C1001" s="244" t="s">
        <v>2</v>
      </c>
      <c r="D1001" s="244" t="s">
        <v>10</v>
      </c>
      <c r="E1001" s="245">
        <v>43617</v>
      </c>
      <c r="F1001" s="118">
        <v>1016.96</v>
      </c>
      <c r="G1001" s="118">
        <f>SUMIF(CONFERÊNCIA!A:A,A1001,CONFERÊNCIA!J:J)</f>
        <v>1016.96</v>
      </c>
      <c r="H1001" s="120">
        <f t="shared" si="52"/>
        <v>0</v>
      </c>
      <c r="I1001" s="171" t="s">
        <v>1234</v>
      </c>
    </row>
    <row r="1002" spans="1:9" x14ac:dyDescent="0.2">
      <c r="A1002" s="243">
        <v>113650</v>
      </c>
      <c r="B1002" s="244" t="s">
        <v>898</v>
      </c>
      <c r="C1002" s="244" t="s">
        <v>22</v>
      </c>
      <c r="D1002" s="244" t="s">
        <v>1589</v>
      </c>
      <c r="E1002" s="245">
        <v>43617</v>
      </c>
      <c r="F1002" s="118">
        <v>1016.96</v>
      </c>
      <c r="G1002" s="118">
        <f>SUMIF(CONFERÊNCIA!A:A,A1002,CONFERÊNCIA!J:J)</f>
        <v>1016.96</v>
      </c>
      <c r="H1002" s="120">
        <f t="shared" si="52"/>
        <v>0</v>
      </c>
      <c r="I1002" s="171" t="s">
        <v>1234</v>
      </c>
    </row>
    <row r="1003" spans="1:9" x14ac:dyDescent="0.2">
      <c r="A1003" s="243">
        <v>113273</v>
      </c>
      <c r="B1003" s="244" t="s">
        <v>682</v>
      </c>
      <c r="C1003" s="244" t="s">
        <v>22</v>
      </c>
      <c r="D1003" s="244" t="s">
        <v>1589</v>
      </c>
      <c r="E1003" s="245">
        <v>43617</v>
      </c>
      <c r="F1003" s="118">
        <v>1016.96</v>
      </c>
      <c r="G1003" s="118">
        <f>SUMIF(CONFERÊNCIA!A:A,A1003,CONFERÊNCIA!J:J)</f>
        <v>1016.96</v>
      </c>
      <c r="H1003" s="120">
        <f t="shared" si="52"/>
        <v>0</v>
      </c>
      <c r="I1003" s="171" t="s">
        <v>1234</v>
      </c>
    </row>
    <row r="1004" spans="1:9" x14ac:dyDescent="0.2">
      <c r="A1004" s="243">
        <v>113276</v>
      </c>
      <c r="B1004" s="244" t="s">
        <v>684</v>
      </c>
      <c r="C1004" s="244" t="s">
        <v>5</v>
      </c>
      <c r="D1004" s="244" t="s">
        <v>10</v>
      </c>
      <c r="E1004" s="245">
        <v>43617</v>
      </c>
      <c r="F1004" s="118">
        <v>1016.96</v>
      </c>
      <c r="G1004" s="118">
        <f>SUMIF(CONFERÊNCIA!A:A,A1004,CONFERÊNCIA!J:J)</f>
        <v>1016.96</v>
      </c>
      <c r="H1004" s="120">
        <f t="shared" si="52"/>
        <v>0</v>
      </c>
      <c r="I1004" s="171" t="s">
        <v>1234</v>
      </c>
    </row>
    <row r="1005" spans="1:9" x14ac:dyDescent="0.2">
      <c r="A1005" s="243">
        <v>113279</v>
      </c>
      <c r="B1005" s="244" t="s">
        <v>686</v>
      </c>
      <c r="C1005" s="244" t="s">
        <v>385</v>
      </c>
      <c r="D1005" s="244" t="s">
        <v>1589</v>
      </c>
      <c r="E1005" s="245">
        <v>43617</v>
      </c>
      <c r="F1005" s="118">
        <v>1016.96</v>
      </c>
      <c r="G1005" s="118">
        <f>SUMIF(CONFERÊNCIA!A:A,A1005,CONFERÊNCIA!J:J)</f>
        <v>1016.96</v>
      </c>
      <c r="H1005" s="120">
        <f t="shared" si="52"/>
        <v>0</v>
      </c>
      <c r="I1005" s="171" t="s">
        <v>1234</v>
      </c>
    </row>
    <row r="1006" spans="1:9" x14ac:dyDescent="0.2">
      <c r="A1006" s="243">
        <v>113282</v>
      </c>
      <c r="B1006" s="244" t="s">
        <v>688</v>
      </c>
      <c r="C1006" s="244" t="s">
        <v>15</v>
      </c>
      <c r="D1006" s="244" t="s">
        <v>1589</v>
      </c>
      <c r="E1006" s="245">
        <v>43617</v>
      </c>
      <c r="F1006" s="118">
        <v>1016.96</v>
      </c>
      <c r="G1006" s="118">
        <f>SUMIF(CONFERÊNCIA!A:A,A1006,CONFERÊNCIA!J:J)</f>
        <v>1016.96</v>
      </c>
      <c r="H1006" s="120">
        <f t="shared" si="52"/>
        <v>0</v>
      </c>
      <c r="I1006" s="171" t="s">
        <v>1234</v>
      </c>
    </row>
    <row r="1007" spans="1:9" x14ac:dyDescent="0.2">
      <c r="A1007" s="243">
        <v>114641</v>
      </c>
      <c r="B1007" s="244" t="s">
        <v>1065</v>
      </c>
      <c r="C1007" s="244" t="s">
        <v>282</v>
      </c>
      <c r="D1007" s="244" t="s">
        <v>1589</v>
      </c>
      <c r="E1007" s="245">
        <v>43850</v>
      </c>
      <c r="F1007" s="118">
        <v>1016.96</v>
      </c>
      <c r="G1007" s="118">
        <f>SUMIF(CONFERÊNCIA!A:A,A1007,CONFERÊNCIA!J:J)</f>
        <v>1016.96</v>
      </c>
      <c r="H1007" s="120">
        <f t="shared" si="52"/>
        <v>0</v>
      </c>
      <c r="I1007" s="171" t="s">
        <v>1234</v>
      </c>
    </row>
    <row r="1008" spans="1:9" x14ac:dyDescent="0.2">
      <c r="A1008" s="243">
        <v>113286</v>
      </c>
      <c r="B1008" s="244" t="s">
        <v>689</v>
      </c>
      <c r="C1008" s="244" t="s">
        <v>22</v>
      </c>
      <c r="D1008" s="244" t="s">
        <v>1589</v>
      </c>
      <c r="E1008" s="245">
        <v>43617</v>
      </c>
      <c r="F1008" s="118">
        <v>1016.96</v>
      </c>
      <c r="G1008" s="118">
        <f>SUMIF(CONFERÊNCIA!A:A,A1008,CONFERÊNCIA!J:J)</f>
        <v>1016.96</v>
      </c>
      <c r="H1008" s="120">
        <f t="shared" si="52"/>
        <v>0</v>
      </c>
      <c r="I1008" s="171" t="s">
        <v>1234</v>
      </c>
    </row>
    <row r="1009" spans="1:9" x14ac:dyDescent="0.2">
      <c r="A1009" s="243">
        <v>121315</v>
      </c>
      <c r="B1009" s="244" t="s">
        <v>1543</v>
      </c>
      <c r="C1009" s="244" t="s">
        <v>2</v>
      </c>
      <c r="D1009" s="244" t="s">
        <v>19</v>
      </c>
      <c r="E1009" s="245">
        <v>44945</v>
      </c>
      <c r="F1009" s="118">
        <v>1016.96</v>
      </c>
      <c r="G1009" s="118">
        <f>SUMIF(CONFERÊNCIA!A:A,A1009,CONFERÊNCIA!J:J)</f>
        <v>1016.96</v>
      </c>
      <c r="H1009" s="120">
        <f t="shared" si="52"/>
        <v>0</v>
      </c>
      <c r="I1009" s="171" t="s">
        <v>1234</v>
      </c>
    </row>
    <row r="1010" spans="1:9" x14ac:dyDescent="0.2">
      <c r="A1010" s="243">
        <v>114757</v>
      </c>
      <c r="B1010" s="244" t="s">
        <v>1097</v>
      </c>
      <c r="C1010" s="244" t="s">
        <v>15</v>
      </c>
      <c r="D1010" s="244" t="s">
        <v>1589</v>
      </c>
      <c r="E1010" s="245">
        <v>43874</v>
      </c>
      <c r="F1010" s="118">
        <v>1016.96</v>
      </c>
      <c r="G1010" s="118">
        <f>SUMIF(CONFERÊNCIA!A:A,A1010,CONFERÊNCIA!J:J)</f>
        <v>1016.96</v>
      </c>
      <c r="H1010" s="120">
        <f t="shared" si="52"/>
        <v>0</v>
      </c>
      <c r="I1010" s="171" t="s">
        <v>1234</v>
      </c>
    </row>
    <row r="1011" spans="1:9" x14ac:dyDescent="0.2">
      <c r="A1011" s="243">
        <v>114267</v>
      </c>
      <c r="B1011" s="244" t="s">
        <v>1032</v>
      </c>
      <c r="C1011" s="244" t="s">
        <v>5</v>
      </c>
      <c r="D1011" s="244" t="s">
        <v>0</v>
      </c>
      <c r="E1011" s="245">
        <v>43804</v>
      </c>
      <c r="F1011" s="118">
        <v>1016.96</v>
      </c>
      <c r="G1011" s="118">
        <f>SUMIF(CONFERÊNCIA!A:A,A1011,CONFERÊNCIA!J:J)</f>
        <v>1016.96</v>
      </c>
      <c r="H1011" s="120">
        <f t="shared" si="52"/>
        <v>0</v>
      </c>
      <c r="I1011" s="171" t="s">
        <v>1234</v>
      </c>
    </row>
    <row r="1012" spans="1:9" x14ac:dyDescent="0.2">
      <c r="A1012" s="243">
        <v>113292</v>
      </c>
      <c r="B1012" s="244" t="s">
        <v>693</v>
      </c>
      <c r="C1012" s="244" t="s">
        <v>2</v>
      </c>
      <c r="D1012" s="244" t="s">
        <v>8</v>
      </c>
      <c r="E1012" s="245">
        <v>43617</v>
      </c>
      <c r="F1012" s="118">
        <v>1016.96</v>
      </c>
      <c r="G1012" s="118">
        <f>SUMIF(CONFERÊNCIA!A:A,A1012,CONFERÊNCIA!J:J)</f>
        <v>1016.96</v>
      </c>
      <c r="H1012" s="120">
        <f t="shared" si="52"/>
        <v>0</v>
      </c>
      <c r="I1012" s="171" t="s">
        <v>1234</v>
      </c>
    </row>
    <row r="1013" spans="1:9" x14ac:dyDescent="0.2">
      <c r="A1013" s="243">
        <v>113294</v>
      </c>
      <c r="B1013" s="244" t="s">
        <v>694</v>
      </c>
      <c r="C1013" s="244" t="s">
        <v>2</v>
      </c>
      <c r="D1013" s="244" t="s">
        <v>19</v>
      </c>
      <c r="E1013" s="245">
        <v>43617</v>
      </c>
      <c r="F1013" s="118">
        <v>1016.96</v>
      </c>
      <c r="G1013" s="118">
        <f>SUMIF(CONFERÊNCIA!A:A,A1013,CONFERÊNCIA!J:J)</f>
        <v>1016.96</v>
      </c>
      <c r="H1013" s="120">
        <f t="shared" si="52"/>
        <v>0</v>
      </c>
      <c r="I1013" s="171" t="s">
        <v>1234</v>
      </c>
    </row>
    <row r="1014" spans="1:9" x14ac:dyDescent="0.2">
      <c r="A1014" s="243">
        <v>113313</v>
      </c>
      <c r="B1014" s="244" t="s">
        <v>703</v>
      </c>
      <c r="C1014" s="244" t="s">
        <v>5</v>
      </c>
      <c r="D1014" s="244" t="s">
        <v>0</v>
      </c>
      <c r="E1014" s="245">
        <v>43617</v>
      </c>
      <c r="F1014" s="118">
        <v>1016.96</v>
      </c>
      <c r="G1014" s="118">
        <f>SUMIF(CONFERÊNCIA!A:A,A1014,CONFERÊNCIA!J:J)</f>
        <v>978.67000000000007</v>
      </c>
      <c r="H1014" s="120">
        <f t="shared" si="52"/>
        <v>-38.289999999999964</v>
      </c>
      <c r="I1014" s="171" t="s">
        <v>1234</v>
      </c>
    </row>
    <row r="1015" spans="1:9" x14ac:dyDescent="0.2">
      <c r="A1015" s="243">
        <v>119126</v>
      </c>
      <c r="B1015" s="244" t="s">
        <v>1446</v>
      </c>
      <c r="C1015" s="244" t="s">
        <v>15</v>
      </c>
      <c r="D1015" s="244" t="s">
        <v>1589</v>
      </c>
      <c r="E1015" s="245">
        <v>44630</v>
      </c>
      <c r="F1015" s="118">
        <v>1016.96</v>
      </c>
      <c r="G1015" s="118">
        <f>SUMIF(CONFERÊNCIA!A:A,A1015,CONFERÊNCIA!J:J)</f>
        <v>1016.96</v>
      </c>
      <c r="H1015" s="120">
        <f t="shared" si="52"/>
        <v>0</v>
      </c>
      <c r="I1015" s="171" t="s">
        <v>1234</v>
      </c>
    </row>
    <row r="1016" spans="1:9" x14ac:dyDescent="0.2">
      <c r="A1016" s="243">
        <v>118993</v>
      </c>
      <c r="B1016" s="244" t="s">
        <v>1433</v>
      </c>
      <c r="C1016" s="244" t="s">
        <v>936</v>
      </c>
      <c r="D1016" s="244" t="s">
        <v>1589</v>
      </c>
      <c r="E1016" s="245">
        <v>44613</v>
      </c>
      <c r="F1016" s="118">
        <v>1016.96</v>
      </c>
      <c r="G1016" s="118">
        <f>SUMIF(CONFERÊNCIA!A:A,A1016,CONFERÊNCIA!J:J)</f>
        <v>1016.96</v>
      </c>
      <c r="H1016" s="120">
        <f t="shared" si="52"/>
        <v>0</v>
      </c>
      <c r="I1016" s="171" t="s">
        <v>1234</v>
      </c>
    </row>
    <row r="1017" spans="1:9" x14ac:dyDescent="0.2">
      <c r="A1017" s="243">
        <v>114254</v>
      </c>
      <c r="B1017" s="244" t="s">
        <v>1022</v>
      </c>
      <c r="C1017" s="244" t="s">
        <v>2</v>
      </c>
      <c r="D1017" s="244" t="s">
        <v>0</v>
      </c>
      <c r="E1017" s="245">
        <v>43804</v>
      </c>
      <c r="F1017" s="118">
        <v>1016.96</v>
      </c>
      <c r="G1017" s="118">
        <f>SUMIF(CONFERÊNCIA!A:A,A1017,CONFERÊNCIA!J:J)</f>
        <v>1016.96</v>
      </c>
      <c r="H1017" s="120">
        <f t="shared" si="52"/>
        <v>0</v>
      </c>
      <c r="I1017" s="171" t="s">
        <v>1234</v>
      </c>
    </row>
    <row r="1018" spans="1:9" x14ac:dyDescent="0.2">
      <c r="A1018" s="243">
        <v>113324</v>
      </c>
      <c r="B1018" s="244" t="s">
        <v>708</v>
      </c>
      <c r="C1018" s="244" t="s">
        <v>2</v>
      </c>
      <c r="D1018" s="244" t="s">
        <v>0</v>
      </c>
      <c r="E1018" s="245">
        <v>43617</v>
      </c>
      <c r="F1018" s="118">
        <v>1016.96</v>
      </c>
      <c r="G1018" s="118">
        <f>SUMIF(CONFERÊNCIA!A:A,A1018,CONFERÊNCIA!J:J)</f>
        <v>1016.96</v>
      </c>
      <c r="H1018" s="120">
        <f t="shared" si="52"/>
        <v>0</v>
      </c>
      <c r="I1018" s="171" t="s">
        <v>1234</v>
      </c>
    </row>
    <row r="1019" spans="1:9" x14ac:dyDescent="0.2">
      <c r="A1019" s="243">
        <v>122418</v>
      </c>
      <c r="B1019" s="244" t="s">
        <v>1710</v>
      </c>
      <c r="C1019" s="244" t="s">
        <v>15</v>
      </c>
      <c r="D1019" s="244" t="s">
        <v>1589</v>
      </c>
      <c r="E1019" s="245">
        <v>45117</v>
      </c>
      <c r="F1019" s="118">
        <v>1016.96</v>
      </c>
      <c r="G1019" s="118">
        <f>SUMIF(CONFERÊNCIA!A:A,A1019,CONFERÊNCIA!J:J)</f>
        <v>1016.96</v>
      </c>
      <c r="H1019" s="120">
        <f t="shared" si="52"/>
        <v>0</v>
      </c>
      <c r="I1019" s="171" t="s">
        <v>1234</v>
      </c>
    </row>
    <row r="1020" spans="1:9" x14ac:dyDescent="0.2">
      <c r="A1020" s="243">
        <v>113329</v>
      </c>
      <c r="B1020" s="244" t="s">
        <v>712</v>
      </c>
      <c r="C1020" s="244" t="s">
        <v>2</v>
      </c>
      <c r="D1020" s="244" t="s">
        <v>32</v>
      </c>
      <c r="E1020" s="245">
        <v>43617</v>
      </c>
      <c r="F1020" s="118">
        <v>1016.96</v>
      </c>
      <c r="G1020" s="118">
        <f>SUMIF(CONFERÊNCIA!A:A,A1020,CONFERÊNCIA!J:J)</f>
        <v>1016.96</v>
      </c>
      <c r="H1020" s="120">
        <f t="shared" si="52"/>
        <v>0</v>
      </c>
      <c r="I1020" s="171" t="s">
        <v>1234</v>
      </c>
    </row>
    <row r="1021" spans="1:9" x14ac:dyDescent="0.2">
      <c r="A1021" s="243">
        <v>114934</v>
      </c>
      <c r="B1021" s="244" t="s">
        <v>1121</v>
      </c>
      <c r="C1021" s="244" t="s">
        <v>481</v>
      </c>
      <c r="D1021" s="244" t="s">
        <v>1589</v>
      </c>
      <c r="E1021" s="245">
        <v>43916</v>
      </c>
      <c r="F1021" s="118">
        <v>1016.96</v>
      </c>
      <c r="G1021" s="118">
        <f>SUMIF(CONFERÊNCIA!A:A,A1021,CONFERÊNCIA!J:J)</f>
        <v>1016.96</v>
      </c>
      <c r="H1021" s="120">
        <f t="shared" si="52"/>
        <v>0</v>
      </c>
      <c r="I1021" s="171" t="s">
        <v>1234</v>
      </c>
    </row>
    <row r="1022" spans="1:9" x14ac:dyDescent="0.2">
      <c r="A1022" s="243">
        <v>113337</v>
      </c>
      <c r="B1022" s="244" t="s">
        <v>716</v>
      </c>
      <c r="C1022" s="244" t="s">
        <v>5</v>
      </c>
      <c r="D1022" s="244" t="s">
        <v>10</v>
      </c>
      <c r="E1022" s="245">
        <v>43617</v>
      </c>
      <c r="F1022" s="118">
        <v>1016.96</v>
      </c>
      <c r="G1022" s="118">
        <f>SUMIF(CONFERÊNCIA!A:A,A1022,CONFERÊNCIA!J:J)</f>
        <v>1016.96</v>
      </c>
      <c r="H1022" s="120">
        <f t="shared" si="52"/>
        <v>0</v>
      </c>
      <c r="I1022" s="171" t="s">
        <v>1234</v>
      </c>
    </row>
    <row r="1023" spans="1:9" x14ac:dyDescent="0.2">
      <c r="A1023" s="243">
        <v>113342</v>
      </c>
      <c r="B1023" s="244" t="s">
        <v>719</v>
      </c>
      <c r="C1023" s="244" t="s">
        <v>5</v>
      </c>
      <c r="D1023" s="244" t="s">
        <v>10</v>
      </c>
      <c r="E1023" s="245">
        <v>43617</v>
      </c>
      <c r="F1023" s="118">
        <v>1016.96</v>
      </c>
      <c r="G1023" s="118">
        <f>SUMIF(CONFERÊNCIA!A:A,A1023,CONFERÊNCIA!J:J)</f>
        <v>1016.96</v>
      </c>
      <c r="H1023" s="120">
        <f t="shared" si="52"/>
        <v>0</v>
      </c>
      <c r="I1023" s="171" t="s">
        <v>1234</v>
      </c>
    </row>
    <row r="1024" spans="1:9" x14ac:dyDescent="0.2">
      <c r="A1024" s="243">
        <v>118995</v>
      </c>
      <c r="B1024" s="244" t="s">
        <v>1434</v>
      </c>
      <c r="C1024" s="244" t="s">
        <v>15</v>
      </c>
      <c r="D1024" s="244" t="s">
        <v>1589</v>
      </c>
      <c r="E1024" s="245">
        <v>44613</v>
      </c>
      <c r="F1024" s="118">
        <v>1016.96</v>
      </c>
      <c r="G1024" s="118">
        <f>SUMIF(CONFERÊNCIA!A:A,A1024,CONFERÊNCIA!J:J)</f>
        <v>1016.96</v>
      </c>
      <c r="H1024" s="120">
        <f t="shared" si="52"/>
        <v>0</v>
      </c>
      <c r="I1024" s="171" t="s">
        <v>1234</v>
      </c>
    </row>
    <row r="1025" spans="1:9" x14ac:dyDescent="0.2">
      <c r="A1025" s="243">
        <v>113721</v>
      </c>
      <c r="B1025" s="244" t="s">
        <v>938</v>
      </c>
      <c r="C1025" s="244" t="s">
        <v>470</v>
      </c>
      <c r="D1025" s="244" t="s">
        <v>8</v>
      </c>
      <c r="E1025" s="245">
        <v>43619</v>
      </c>
      <c r="F1025" s="118">
        <v>1016.96</v>
      </c>
      <c r="G1025" s="118">
        <f>SUMIF(CONFERÊNCIA!A:A,A1025,CONFERÊNCIA!J:J)</f>
        <v>1016.96</v>
      </c>
      <c r="H1025" s="120">
        <f t="shared" si="52"/>
        <v>0</v>
      </c>
      <c r="I1025" s="171" t="s">
        <v>1234</v>
      </c>
    </row>
    <row r="1026" spans="1:9" x14ac:dyDescent="0.2">
      <c r="A1026" s="243">
        <v>113783</v>
      </c>
      <c r="B1026" s="244" t="s">
        <v>982</v>
      </c>
      <c r="C1026" s="244" t="s">
        <v>1663</v>
      </c>
      <c r="D1026" s="244" t="s">
        <v>1589</v>
      </c>
      <c r="E1026" s="245">
        <v>43624</v>
      </c>
      <c r="F1026" s="118">
        <v>1016.96</v>
      </c>
      <c r="G1026" s="118">
        <f>SUMIF(CONFERÊNCIA!A:A,A1026,CONFERÊNCIA!J:J)</f>
        <v>1016.96</v>
      </c>
      <c r="H1026" s="120">
        <f t="shared" si="52"/>
        <v>0</v>
      </c>
      <c r="I1026" s="171" t="s">
        <v>1234</v>
      </c>
    </row>
    <row r="1027" spans="1:9" x14ac:dyDescent="0.2">
      <c r="A1027" s="243">
        <v>112193</v>
      </c>
      <c r="B1027" s="244" t="s">
        <v>25</v>
      </c>
      <c r="C1027" s="244" t="s">
        <v>5</v>
      </c>
      <c r="D1027" s="244" t="s">
        <v>10</v>
      </c>
      <c r="E1027" s="245">
        <v>43617</v>
      </c>
      <c r="F1027" s="118">
        <v>1016.96</v>
      </c>
      <c r="G1027" s="118">
        <f>SUMIF(CONFERÊNCIA!A:A,A1027,CONFERÊNCIA!J:J)</f>
        <v>1016.96</v>
      </c>
      <c r="H1027" s="120">
        <f t="shared" si="52"/>
        <v>0</v>
      </c>
      <c r="I1027" s="171" t="s">
        <v>1235</v>
      </c>
    </row>
    <row r="1028" spans="1:9" x14ac:dyDescent="0.2">
      <c r="A1028" s="243">
        <v>122254</v>
      </c>
      <c r="B1028" s="244" t="s">
        <v>1670</v>
      </c>
      <c r="C1028" s="244" t="s">
        <v>967</v>
      </c>
      <c r="D1028" s="244" t="s">
        <v>1589</v>
      </c>
      <c r="E1028" s="245">
        <v>45089</v>
      </c>
      <c r="F1028" s="118">
        <v>1016.96</v>
      </c>
      <c r="G1028" s="118">
        <f>SUMIF(CONFERÊNCIA!A:A,A1028,CONFERÊNCIA!J:J)</f>
        <v>1016.96</v>
      </c>
      <c r="H1028" s="120">
        <f t="shared" si="52"/>
        <v>0</v>
      </c>
      <c r="I1028" s="171" t="s">
        <v>1234</v>
      </c>
    </row>
    <row r="1029" spans="1:9" x14ac:dyDescent="0.2">
      <c r="A1029" s="243">
        <v>117414</v>
      </c>
      <c r="B1029" s="244" t="s">
        <v>1280</v>
      </c>
      <c r="C1029" s="244" t="s">
        <v>2</v>
      </c>
      <c r="D1029" s="244" t="s">
        <v>10</v>
      </c>
      <c r="E1029" s="245">
        <v>44522</v>
      </c>
      <c r="F1029" s="118">
        <v>1016.96</v>
      </c>
      <c r="G1029" s="118">
        <f>SUMIF(CONFERÊNCIA!A:A,A1029,CONFERÊNCIA!J:J)</f>
        <v>1016.96</v>
      </c>
      <c r="H1029" s="120">
        <f t="shared" si="52"/>
        <v>0</v>
      </c>
      <c r="I1029" s="171" t="s">
        <v>1234</v>
      </c>
    </row>
    <row r="1030" spans="1:9" x14ac:dyDescent="0.2">
      <c r="A1030" s="243">
        <v>112201</v>
      </c>
      <c r="B1030" s="244" t="s">
        <v>30</v>
      </c>
      <c r="C1030" s="244" t="s">
        <v>5</v>
      </c>
      <c r="D1030" s="244" t="s">
        <v>10</v>
      </c>
      <c r="E1030" s="245">
        <v>43617</v>
      </c>
      <c r="F1030" s="118">
        <v>1016.96</v>
      </c>
      <c r="G1030" s="118">
        <f>SUMIF(CONFERÊNCIA!A:A,A1030,CONFERÊNCIA!J:J)</f>
        <v>1016.96</v>
      </c>
      <c r="H1030" s="120">
        <f t="shared" si="52"/>
        <v>0</v>
      </c>
      <c r="I1030" s="171" t="s">
        <v>1234</v>
      </c>
    </row>
    <row r="1031" spans="1:9" x14ac:dyDescent="0.2">
      <c r="A1031" s="243">
        <v>113778</v>
      </c>
      <c r="B1031" s="244" t="s">
        <v>979</v>
      </c>
      <c r="C1031" s="244" t="s">
        <v>7</v>
      </c>
      <c r="D1031" s="244" t="s">
        <v>0</v>
      </c>
      <c r="E1031" s="245">
        <v>43623</v>
      </c>
      <c r="F1031" s="118">
        <v>1016.96</v>
      </c>
      <c r="G1031" s="118">
        <f>SUMIF(CONFERÊNCIA!A:A,A1031,CONFERÊNCIA!J:J)</f>
        <v>1016.96</v>
      </c>
      <c r="H1031" s="120">
        <f t="shared" si="52"/>
        <v>0</v>
      </c>
      <c r="I1031" s="171" t="s">
        <v>1234</v>
      </c>
    </row>
    <row r="1032" spans="1:9" x14ac:dyDescent="0.2">
      <c r="A1032" s="243">
        <v>112230</v>
      </c>
      <c r="B1032" s="244" t="s">
        <v>52</v>
      </c>
      <c r="C1032" s="244" t="s">
        <v>2</v>
      </c>
      <c r="D1032" s="244" t="s">
        <v>0</v>
      </c>
      <c r="E1032" s="245">
        <v>43617</v>
      </c>
      <c r="F1032" s="118">
        <v>1016.96</v>
      </c>
      <c r="G1032" s="118">
        <f>SUMIF(CONFERÊNCIA!A:A,A1032,CONFERÊNCIA!J:J)</f>
        <v>1016.96</v>
      </c>
      <c r="H1032" s="120">
        <f t="shared" si="52"/>
        <v>0</v>
      </c>
      <c r="I1032" s="171" t="s">
        <v>1235</v>
      </c>
    </row>
    <row r="1033" spans="1:9" x14ac:dyDescent="0.2">
      <c r="A1033" s="243">
        <v>114106</v>
      </c>
      <c r="B1033" s="244" t="s">
        <v>1010</v>
      </c>
      <c r="C1033" s="244" t="s">
        <v>5</v>
      </c>
      <c r="D1033" s="244" t="s">
        <v>10</v>
      </c>
      <c r="E1033" s="245">
        <v>43728</v>
      </c>
      <c r="F1033" s="118">
        <v>1016.96</v>
      </c>
      <c r="G1033" s="118">
        <f>SUMIF(CONFERÊNCIA!A:A,A1033,CONFERÊNCIA!J:J)</f>
        <v>1016.96</v>
      </c>
      <c r="H1033" s="120">
        <f t="shared" si="52"/>
        <v>0</v>
      </c>
      <c r="I1033" s="171" t="s">
        <v>1234</v>
      </c>
    </row>
    <row r="1034" spans="1:9" x14ac:dyDescent="0.2">
      <c r="A1034" s="243">
        <v>119672</v>
      </c>
      <c r="B1034" s="244" t="s">
        <v>1477</v>
      </c>
      <c r="C1034" s="244" t="s">
        <v>2</v>
      </c>
      <c r="D1034" s="244" t="s">
        <v>0</v>
      </c>
      <c r="E1034" s="245">
        <v>44725</v>
      </c>
      <c r="F1034" s="118">
        <v>1016.96</v>
      </c>
      <c r="G1034" s="118">
        <f>SUMIF(CONFERÊNCIA!A:A,A1034,CONFERÊNCIA!J:J)</f>
        <v>1016.96</v>
      </c>
      <c r="H1034" s="120">
        <f t="shared" si="52"/>
        <v>0</v>
      </c>
      <c r="I1034" s="171" t="s">
        <v>1234</v>
      </c>
    </row>
    <row r="1035" spans="1:9" x14ac:dyDescent="0.2">
      <c r="A1035" s="243">
        <v>112240</v>
      </c>
      <c r="B1035" s="244" t="s">
        <v>58</v>
      </c>
      <c r="C1035" s="244" t="s">
        <v>2</v>
      </c>
      <c r="D1035" s="244" t="s">
        <v>0</v>
      </c>
      <c r="E1035" s="245">
        <v>43617</v>
      </c>
      <c r="F1035" s="118">
        <v>1016.96</v>
      </c>
      <c r="G1035" s="118">
        <f>SUMIF(CONFERÊNCIA!A:A,A1035,CONFERÊNCIA!J:J)</f>
        <v>1016.96</v>
      </c>
      <c r="H1035" s="120">
        <f t="shared" si="52"/>
        <v>0</v>
      </c>
      <c r="I1035" s="171" t="s">
        <v>1234</v>
      </c>
    </row>
    <row r="1036" spans="1:9" x14ac:dyDescent="0.2">
      <c r="A1036" s="243">
        <v>112262</v>
      </c>
      <c r="B1036" s="244" t="s">
        <v>72</v>
      </c>
      <c r="C1036" s="244" t="s">
        <v>5</v>
      </c>
      <c r="D1036" s="244" t="s">
        <v>0</v>
      </c>
      <c r="E1036" s="245">
        <v>43617</v>
      </c>
      <c r="F1036" s="118">
        <v>1016.96</v>
      </c>
      <c r="G1036" s="118">
        <f>SUMIF(CONFERÊNCIA!A:A,A1036,CONFERÊNCIA!J:J)</f>
        <v>1016.96</v>
      </c>
      <c r="H1036" s="120">
        <f t="shared" si="52"/>
        <v>0</v>
      </c>
      <c r="I1036" s="171" t="s">
        <v>1234</v>
      </c>
    </row>
    <row r="1037" spans="1:9" x14ac:dyDescent="0.2">
      <c r="A1037" s="243">
        <v>119742</v>
      </c>
      <c r="B1037" s="244" t="s">
        <v>1166</v>
      </c>
      <c r="C1037" s="244" t="s">
        <v>120</v>
      </c>
      <c r="D1037" s="244" t="s">
        <v>1589</v>
      </c>
      <c r="E1037" s="245">
        <v>44733</v>
      </c>
      <c r="F1037" s="118">
        <v>1016.96</v>
      </c>
      <c r="G1037" s="118">
        <f>SUMIF(CONFERÊNCIA!A:A,A1037,CONFERÊNCIA!J:J)</f>
        <v>1016.96</v>
      </c>
      <c r="H1037" s="120">
        <f t="shared" si="52"/>
        <v>0</v>
      </c>
      <c r="I1037" s="171" t="s">
        <v>1234</v>
      </c>
    </row>
    <row r="1038" spans="1:9" x14ac:dyDescent="0.2">
      <c r="A1038" s="243">
        <v>112277</v>
      </c>
      <c r="B1038" s="244" t="s">
        <v>82</v>
      </c>
      <c r="C1038" s="244" t="s">
        <v>5</v>
      </c>
      <c r="D1038" s="244" t="s">
        <v>8</v>
      </c>
      <c r="E1038" s="245">
        <v>43617</v>
      </c>
      <c r="F1038" s="118">
        <v>1016.96</v>
      </c>
      <c r="G1038" s="118">
        <f>SUMIF(CONFERÊNCIA!A:A,A1038,CONFERÊNCIA!J:J)</f>
        <v>1016.96</v>
      </c>
      <c r="H1038" s="120">
        <f t="shared" ref="H1038:H1075" si="53">G1038-F1038</f>
        <v>0</v>
      </c>
      <c r="I1038" s="171" t="s">
        <v>1234</v>
      </c>
    </row>
    <row r="1039" spans="1:9" x14ac:dyDescent="0.2">
      <c r="A1039" s="243">
        <v>112306</v>
      </c>
      <c r="B1039" s="244" t="s">
        <v>100</v>
      </c>
      <c r="C1039" s="244" t="s">
        <v>2</v>
      </c>
      <c r="D1039" s="244" t="s">
        <v>10</v>
      </c>
      <c r="E1039" s="245">
        <v>43617</v>
      </c>
      <c r="F1039" s="118">
        <v>1016.96</v>
      </c>
      <c r="G1039" s="118">
        <f>SUMIF(CONFERÊNCIA!A:A,A1039,CONFERÊNCIA!J:J)</f>
        <v>1016.96</v>
      </c>
      <c r="H1039" s="120">
        <f t="shared" si="53"/>
        <v>0</v>
      </c>
      <c r="I1039" s="171" t="s">
        <v>1234</v>
      </c>
    </row>
    <row r="1040" spans="1:9" x14ac:dyDescent="0.2">
      <c r="A1040" s="243">
        <v>113675</v>
      </c>
      <c r="B1040" s="244" t="s">
        <v>912</v>
      </c>
      <c r="C1040" s="244" t="s">
        <v>5</v>
      </c>
      <c r="D1040" s="244" t="s">
        <v>19</v>
      </c>
      <c r="E1040" s="245">
        <v>43617</v>
      </c>
      <c r="F1040" s="118">
        <v>1016.96</v>
      </c>
      <c r="G1040" s="118">
        <f>SUMIF(CONFERÊNCIA!A:A,A1040,CONFERÊNCIA!J:J)</f>
        <v>1016.96</v>
      </c>
      <c r="H1040" s="120">
        <f t="shared" si="53"/>
        <v>0</v>
      </c>
      <c r="I1040" s="171" t="s">
        <v>1234</v>
      </c>
    </row>
    <row r="1041" spans="1:9" x14ac:dyDescent="0.2">
      <c r="A1041" s="243">
        <v>112373</v>
      </c>
      <c r="B1041" s="244" t="s">
        <v>137</v>
      </c>
      <c r="C1041" s="244" t="s">
        <v>5</v>
      </c>
      <c r="D1041" s="244" t="s">
        <v>0</v>
      </c>
      <c r="E1041" s="245">
        <v>43617</v>
      </c>
      <c r="F1041" s="118">
        <v>1016.96</v>
      </c>
      <c r="G1041" s="118">
        <f>SUMIF(CONFERÊNCIA!A:A,A1041,CONFERÊNCIA!J:J)</f>
        <v>1016.96</v>
      </c>
      <c r="H1041" s="120">
        <f t="shared" si="53"/>
        <v>0</v>
      </c>
      <c r="I1041" s="171" t="s">
        <v>1234</v>
      </c>
    </row>
    <row r="1042" spans="1:9" x14ac:dyDescent="0.2">
      <c r="A1042" s="243">
        <v>112380</v>
      </c>
      <c r="B1042" s="244" t="s">
        <v>143</v>
      </c>
      <c r="C1042" s="244" t="s">
        <v>2</v>
      </c>
      <c r="D1042" s="244" t="s">
        <v>0</v>
      </c>
      <c r="E1042" s="245">
        <v>43617</v>
      </c>
      <c r="F1042" s="118">
        <v>1016.96</v>
      </c>
      <c r="G1042" s="118">
        <f>SUMIF(CONFERÊNCIA!A:A,A1042,CONFERÊNCIA!J:J)</f>
        <v>1016.96</v>
      </c>
      <c r="H1042" s="120">
        <f t="shared" si="53"/>
        <v>0</v>
      </c>
      <c r="I1042" s="171" t="s">
        <v>1234</v>
      </c>
    </row>
    <row r="1043" spans="1:9" x14ac:dyDescent="0.2">
      <c r="A1043" s="243">
        <v>112392</v>
      </c>
      <c r="B1043" s="244" t="s">
        <v>150</v>
      </c>
      <c r="C1043" s="244" t="s">
        <v>2</v>
      </c>
      <c r="D1043" s="244" t="s">
        <v>0</v>
      </c>
      <c r="E1043" s="245">
        <v>43617</v>
      </c>
      <c r="F1043" s="118">
        <v>1016.96</v>
      </c>
      <c r="G1043" s="118">
        <f>SUMIF(CONFERÊNCIA!A:A,A1043,CONFERÊNCIA!J:J)</f>
        <v>1016.96</v>
      </c>
      <c r="H1043" s="120">
        <f t="shared" si="53"/>
        <v>0</v>
      </c>
      <c r="I1043" s="171" t="s">
        <v>1234</v>
      </c>
    </row>
    <row r="1044" spans="1:9" x14ac:dyDescent="0.2">
      <c r="A1044" s="243">
        <v>116719</v>
      </c>
      <c r="B1044" s="244" t="s">
        <v>1222</v>
      </c>
      <c r="C1044" s="244" t="s">
        <v>2</v>
      </c>
      <c r="D1044" s="244" t="s">
        <v>8</v>
      </c>
      <c r="E1044" s="245">
        <v>44368</v>
      </c>
      <c r="F1044" s="118">
        <v>1016.96</v>
      </c>
      <c r="G1044" s="118">
        <f>SUMIF(CONFERÊNCIA!A:A,A1044,CONFERÊNCIA!J:J)</f>
        <v>902.11</v>
      </c>
      <c r="H1044" s="120">
        <f t="shared" si="53"/>
        <v>-114.85000000000002</v>
      </c>
      <c r="I1044" s="171" t="s">
        <v>1234</v>
      </c>
    </row>
    <row r="1045" spans="1:9" x14ac:dyDescent="0.2">
      <c r="A1045" s="243">
        <v>112397</v>
      </c>
      <c r="B1045" s="244" t="s">
        <v>153</v>
      </c>
      <c r="C1045" s="244" t="s">
        <v>2</v>
      </c>
      <c r="D1045" s="244" t="s">
        <v>10</v>
      </c>
      <c r="E1045" s="245">
        <v>43617</v>
      </c>
      <c r="F1045" s="118">
        <v>1016.96</v>
      </c>
      <c r="G1045" s="118">
        <f>SUMIF(CONFERÊNCIA!A:A,A1045,CONFERÊNCIA!J:J)</f>
        <v>1016.96</v>
      </c>
      <c r="H1045" s="120">
        <f t="shared" si="53"/>
        <v>0</v>
      </c>
      <c r="I1045" s="171" t="s">
        <v>1234</v>
      </c>
    </row>
    <row r="1046" spans="1:9" x14ac:dyDescent="0.2">
      <c r="A1046" s="243">
        <v>112402</v>
      </c>
      <c r="B1046" s="244" t="s">
        <v>158</v>
      </c>
      <c r="C1046" s="244" t="s">
        <v>5</v>
      </c>
      <c r="D1046" s="244" t="s">
        <v>0</v>
      </c>
      <c r="E1046" s="245">
        <v>43617</v>
      </c>
      <c r="F1046" s="118">
        <v>1016.96</v>
      </c>
      <c r="G1046" s="118">
        <f>SUMIF(CONFERÊNCIA!A:A,A1046,CONFERÊNCIA!J:J)</f>
        <v>1016.96</v>
      </c>
      <c r="H1046" s="120">
        <f t="shared" si="53"/>
        <v>0</v>
      </c>
      <c r="I1046" s="171" t="s">
        <v>1234</v>
      </c>
    </row>
    <row r="1047" spans="1:9" x14ac:dyDescent="0.2">
      <c r="A1047" s="243">
        <v>112405</v>
      </c>
      <c r="B1047" s="244" t="s">
        <v>160</v>
      </c>
      <c r="C1047" s="244" t="s">
        <v>2</v>
      </c>
      <c r="D1047" s="244" t="s">
        <v>8</v>
      </c>
      <c r="E1047" s="245">
        <v>43617</v>
      </c>
      <c r="F1047" s="118">
        <v>1016.96</v>
      </c>
      <c r="G1047" s="118">
        <f>SUMIF(CONFERÊNCIA!A:A,A1047,CONFERÊNCIA!J:J)</f>
        <v>1016.96</v>
      </c>
      <c r="H1047" s="120">
        <f t="shared" si="53"/>
        <v>0</v>
      </c>
      <c r="I1047" s="171" t="s">
        <v>1234</v>
      </c>
    </row>
    <row r="1048" spans="1:9" x14ac:dyDescent="0.2">
      <c r="A1048" s="243">
        <v>114928</v>
      </c>
      <c r="B1048" s="244" t="s">
        <v>1118</v>
      </c>
      <c r="C1048" s="244" t="s">
        <v>5</v>
      </c>
      <c r="D1048" s="244" t="s">
        <v>1589</v>
      </c>
      <c r="E1048" s="245">
        <v>43916</v>
      </c>
      <c r="F1048" s="118">
        <v>1016.96</v>
      </c>
      <c r="G1048" s="118">
        <f>SUMIF(CONFERÊNCIA!A:A,A1048,CONFERÊNCIA!J:J)</f>
        <v>1016.96</v>
      </c>
      <c r="H1048" s="120">
        <f t="shared" si="53"/>
        <v>0</v>
      </c>
      <c r="I1048" s="171" t="s">
        <v>1235</v>
      </c>
    </row>
    <row r="1049" spans="1:9" x14ac:dyDescent="0.2">
      <c r="A1049" s="243">
        <v>112445</v>
      </c>
      <c r="B1049" s="244" t="s">
        <v>186</v>
      </c>
      <c r="C1049" s="244" t="s">
        <v>2</v>
      </c>
      <c r="D1049" s="244" t="s">
        <v>10</v>
      </c>
      <c r="E1049" s="245">
        <v>43617</v>
      </c>
      <c r="F1049" s="118">
        <v>1016.96</v>
      </c>
      <c r="G1049" s="118">
        <f>SUMIF(CONFERÊNCIA!A:A,A1049,CONFERÊNCIA!J:J)</f>
        <v>1016.96</v>
      </c>
      <c r="H1049" s="120">
        <f t="shared" si="53"/>
        <v>0</v>
      </c>
      <c r="I1049" s="171" t="s">
        <v>1234</v>
      </c>
    </row>
    <row r="1050" spans="1:9" x14ac:dyDescent="0.2">
      <c r="A1050" s="243">
        <v>121690</v>
      </c>
      <c r="B1050" s="244" t="s">
        <v>1601</v>
      </c>
      <c r="C1050" s="244" t="s">
        <v>470</v>
      </c>
      <c r="D1050" s="244" t="s">
        <v>1591</v>
      </c>
      <c r="E1050" s="245">
        <v>44994</v>
      </c>
      <c r="F1050" s="118">
        <v>1016.96</v>
      </c>
      <c r="G1050" s="118">
        <f>SUMIF(CONFERÊNCIA!A:A,A1050,CONFERÊNCIA!J:J)</f>
        <v>1016.96</v>
      </c>
      <c r="H1050" s="120">
        <f t="shared" si="53"/>
        <v>0</v>
      </c>
      <c r="I1050" s="171" t="s">
        <v>1234</v>
      </c>
    </row>
    <row r="1051" spans="1:9" x14ac:dyDescent="0.2">
      <c r="A1051" s="243">
        <v>114272</v>
      </c>
      <c r="B1051" s="244" t="s">
        <v>1033</v>
      </c>
      <c r="C1051" s="244" t="s">
        <v>2</v>
      </c>
      <c r="D1051" s="244" t="s">
        <v>10</v>
      </c>
      <c r="E1051" s="245">
        <v>43804</v>
      </c>
      <c r="F1051" s="118">
        <v>1016.96</v>
      </c>
      <c r="G1051" s="118">
        <f>SUMIF(CONFERÊNCIA!A:A,A1051,CONFERÊNCIA!J:J)</f>
        <v>1016.96</v>
      </c>
      <c r="H1051" s="120">
        <f t="shared" si="53"/>
        <v>0</v>
      </c>
      <c r="I1051" s="171" t="s">
        <v>1234</v>
      </c>
    </row>
    <row r="1052" spans="1:9" x14ac:dyDescent="0.2">
      <c r="A1052" s="243">
        <v>116713</v>
      </c>
      <c r="B1052" s="244" t="s">
        <v>1219</v>
      </c>
      <c r="C1052" s="244" t="s">
        <v>2</v>
      </c>
      <c r="D1052" s="244" t="s">
        <v>19</v>
      </c>
      <c r="E1052" s="245">
        <v>44368</v>
      </c>
      <c r="F1052" s="118">
        <v>1016.96</v>
      </c>
      <c r="G1052" s="118">
        <f>SUMIF(CONFERÊNCIA!A:A,A1052,CONFERÊNCIA!J:J)</f>
        <v>1016.96</v>
      </c>
      <c r="H1052" s="120">
        <f t="shared" si="53"/>
        <v>0</v>
      </c>
      <c r="I1052" s="171" t="s">
        <v>1234</v>
      </c>
    </row>
    <row r="1053" spans="1:9" x14ac:dyDescent="0.2">
      <c r="A1053" s="243">
        <v>112453</v>
      </c>
      <c r="B1053" s="244" t="s">
        <v>191</v>
      </c>
      <c r="C1053" s="244" t="s">
        <v>2</v>
      </c>
      <c r="D1053" s="244" t="s">
        <v>19</v>
      </c>
      <c r="E1053" s="245">
        <v>43617</v>
      </c>
      <c r="F1053" s="118">
        <v>1016.96</v>
      </c>
      <c r="G1053" s="118">
        <f>SUMIF(CONFERÊNCIA!A:A,A1053,CONFERÊNCIA!J:J)</f>
        <v>1016.96</v>
      </c>
      <c r="H1053" s="120">
        <f t="shared" si="53"/>
        <v>0</v>
      </c>
      <c r="I1053" s="171" t="s">
        <v>1234</v>
      </c>
    </row>
    <row r="1054" spans="1:9" x14ac:dyDescent="0.2">
      <c r="A1054" s="243">
        <v>112469</v>
      </c>
      <c r="B1054" s="244" t="s">
        <v>198</v>
      </c>
      <c r="C1054" s="244" t="s">
        <v>2</v>
      </c>
      <c r="D1054" s="244" t="s">
        <v>10</v>
      </c>
      <c r="E1054" s="245">
        <v>43617</v>
      </c>
      <c r="F1054" s="118">
        <v>1016.96</v>
      </c>
      <c r="G1054" s="118">
        <f>SUMIF(CONFERÊNCIA!A:A,A1054,CONFERÊNCIA!J:J)</f>
        <v>1016.96</v>
      </c>
      <c r="H1054" s="120">
        <f t="shared" si="53"/>
        <v>0</v>
      </c>
      <c r="I1054" s="171" t="s">
        <v>1234</v>
      </c>
    </row>
    <row r="1055" spans="1:9" x14ac:dyDescent="0.2">
      <c r="A1055" s="243">
        <v>112476</v>
      </c>
      <c r="B1055" s="244" t="s">
        <v>204</v>
      </c>
      <c r="C1055" s="244" t="s">
        <v>904</v>
      </c>
      <c r="D1055" s="244" t="s">
        <v>1591</v>
      </c>
      <c r="E1055" s="245">
        <v>43617</v>
      </c>
      <c r="F1055" s="118">
        <v>1016.96</v>
      </c>
      <c r="G1055" s="118">
        <f>SUMIF(CONFERÊNCIA!A:A,A1055,CONFERÊNCIA!J:J)</f>
        <v>1016.96</v>
      </c>
      <c r="H1055" s="120">
        <f t="shared" si="53"/>
        <v>0</v>
      </c>
      <c r="I1055" s="171" t="s">
        <v>1234</v>
      </c>
    </row>
    <row r="1056" spans="1:9" x14ac:dyDescent="0.2">
      <c r="A1056" s="243">
        <v>115012</v>
      </c>
      <c r="B1056" s="244" t="s">
        <v>1144</v>
      </c>
      <c r="C1056" s="244" t="s">
        <v>5</v>
      </c>
      <c r="D1056" s="244" t="s">
        <v>1589</v>
      </c>
      <c r="E1056" s="245">
        <v>43930</v>
      </c>
      <c r="F1056" s="118">
        <v>672.42000000000007</v>
      </c>
      <c r="G1056" s="118">
        <f>SUMIF(CONFERÊNCIA!A:A,A1056,CONFERÊNCIA!J:J)</f>
        <v>825.55</v>
      </c>
      <c r="H1056" s="120">
        <f t="shared" si="53"/>
        <v>153.12999999999988</v>
      </c>
      <c r="I1056" s="171" t="s">
        <v>1234</v>
      </c>
    </row>
    <row r="1057" spans="1:9" x14ac:dyDescent="0.2">
      <c r="A1057" s="243">
        <v>114733</v>
      </c>
      <c r="B1057" s="244" t="s">
        <v>1087</v>
      </c>
      <c r="C1057" s="244" t="s">
        <v>5</v>
      </c>
      <c r="D1057" s="244" t="s">
        <v>32</v>
      </c>
      <c r="E1057" s="245">
        <v>43874</v>
      </c>
      <c r="F1057" s="118">
        <v>1016.96</v>
      </c>
      <c r="G1057" s="118">
        <f>SUMIF(CONFERÊNCIA!A:A,A1057,CONFERÊNCIA!J:J)</f>
        <v>978.67000000000007</v>
      </c>
      <c r="H1057" s="120">
        <f t="shared" si="53"/>
        <v>-38.289999999999964</v>
      </c>
      <c r="I1057" s="171" t="s">
        <v>1234</v>
      </c>
    </row>
    <row r="1058" spans="1:9" x14ac:dyDescent="0.2">
      <c r="A1058" s="243">
        <v>116031</v>
      </c>
      <c r="B1058" s="244" t="s">
        <v>1182</v>
      </c>
      <c r="C1058" s="244" t="s">
        <v>5</v>
      </c>
      <c r="D1058" s="244" t="s">
        <v>0</v>
      </c>
      <c r="E1058" s="245">
        <v>44207</v>
      </c>
      <c r="F1058" s="118">
        <v>1016.96</v>
      </c>
      <c r="G1058" s="118">
        <f>SUMIF(CONFERÊNCIA!A:A,A1058,CONFERÊNCIA!J:J)</f>
        <v>1016.96</v>
      </c>
      <c r="H1058" s="120">
        <f t="shared" si="53"/>
        <v>0</v>
      </c>
      <c r="I1058" s="171" t="s">
        <v>1235</v>
      </c>
    </row>
    <row r="1059" spans="1:9" x14ac:dyDescent="0.2">
      <c r="A1059" s="243">
        <v>116977</v>
      </c>
      <c r="B1059" s="244" t="s">
        <v>1245</v>
      </c>
      <c r="C1059" s="244" t="s">
        <v>5</v>
      </c>
      <c r="D1059" s="244" t="s">
        <v>1589</v>
      </c>
      <c r="E1059" s="245">
        <v>44419</v>
      </c>
      <c r="F1059" s="118">
        <v>1016.96</v>
      </c>
      <c r="G1059" s="118">
        <f>SUMIF(CONFERÊNCIA!A:A,A1059,CONFERÊNCIA!J:J)</f>
        <v>1016.96</v>
      </c>
      <c r="H1059" s="120">
        <f t="shared" si="53"/>
        <v>0</v>
      </c>
      <c r="I1059" s="171" t="s">
        <v>1234</v>
      </c>
    </row>
    <row r="1060" spans="1:9" x14ac:dyDescent="0.2">
      <c r="A1060" s="243">
        <v>112492</v>
      </c>
      <c r="B1060" s="244" t="s">
        <v>213</v>
      </c>
      <c r="C1060" s="244" t="s">
        <v>2</v>
      </c>
      <c r="D1060" s="244" t="s">
        <v>8</v>
      </c>
      <c r="E1060" s="245">
        <v>43617</v>
      </c>
      <c r="F1060" s="118">
        <v>1016.96</v>
      </c>
      <c r="G1060" s="118">
        <f>SUMIF(CONFERÊNCIA!A:A,A1060,CONFERÊNCIA!J:J)</f>
        <v>1016.96</v>
      </c>
      <c r="H1060" s="120">
        <f t="shared" si="53"/>
        <v>0</v>
      </c>
      <c r="I1060" s="171" t="s">
        <v>1234</v>
      </c>
    </row>
    <row r="1061" spans="1:9" x14ac:dyDescent="0.2">
      <c r="A1061" s="243">
        <v>112497</v>
      </c>
      <c r="B1061" s="244" t="s">
        <v>216</v>
      </c>
      <c r="C1061" s="244" t="s">
        <v>5</v>
      </c>
      <c r="D1061" s="244" t="s">
        <v>10</v>
      </c>
      <c r="E1061" s="245">
        <v>43617</v>
      </c>
      <c r="F1061" s="118">
        <v>1016.96</v>
      </c>
      <c r="G1061" s="118">
        <f>SUMIF(CONFERÊNCIA!A:A,A1061,CONFERÊNCIA!J:J)</f>
        <v>1016.96</v>
      </c>
      <c r="H1061" s="120">
        <f t="shared" si="53"/>
        <v>0</v>
      </c>
      <c r="I1061" s="171" t="s">
        <v>1234</v>
      </c>
    </row>
    <row r="1062" spans="1:9" x14ac:dyDescent="0.2">
      <c r="A1062" s="243">
        <v>112578</v>
      </c>
      <c r="B1062" s="244" t="s">
        <v>275</v>
      </c>
      <c r="C1062" s="244" t="s">
        <v>5</v>
      </c>
      <c r="D1062" s="244" t="s">
        <v>19</v>
      </c>
      <c r="E1062" s="245">
        <v>43617</v>
      </c>
      <c r="F1062" s="118">
        <v>1016.96</v>
      </c>
      <c r="G1062" s="118">
        <f>SUMIF(CONFERÊNCIA!A:A,A1062,CONFERÊNCIA!J:J)</f>
        <v>1016.96</v>
      </c>
      <c r="H1062" s="120">
        <f t="shared" si="53"/>
        <v>0</v>
      </c>
      <c r="I1062" s="171" t="s">
        <v>1234</v>
      </c>
    </row>
    <row r="1063" spans="1:9" x14ac:dyDescent="0.2">
      <c r="A1063" s="243">
        <v>119925</v>
      </c>
      <c r="B1063" s="244" t="s">
        <v>1490</v>
      </c>
      <c r="C1063" s="244" t="s">
        <v>5</v>
      </c>
      <c r="D1063" s="244" t="s">
        <v>1589</v>
      </c>
      <c r="E1063" s="245">
        <v>44760</v>
      </c>
      <c r="F1063" s="118">
        <v>1016.96</v>
      </c>
      <c r="G1063" s="118">
        <f>SUMIF(CONFERÊNCIA!A:A,A1063,CONFERÊNCIA!J:J)</f>
        <v>1016.96</v>
      </c>
      <c r="H1063" s="120">
        <f t="shared" si="53"/>
        <v>0</v>
      </c>
      <c r="I1063" s="171" t="s">
        <v>1234</v>
      </c>
    </row>
    <row r="1064" spans="1:9" x14ac:dyDescent="0.2">
      <c r="A1064" s="243">
        <v>112608</v>
      </c>
      <c r="B1064" s="244" t="s">
        <v>293</v>
      </c>
      <c r="C1064" s="244" t="s">
        <v>15</v>
      </c>
      <c r="D1064" s="244" t="s">
        <v>1589</v>
      </c>
      <c r="E1064" s="245">
        <v>43617</v>
      </c>
      <c r="F1064" s="118">
        <v>1016.96</v>
      </c>
      <c r="G1064" s="118">
        <f>SUMIF(CONFERÊNCIA!A:A,A1064,CONFERÊNCIA!J:J)</f>
        <v>1016.96</v>
      </c>
      <c r="H1064" s="120">
        <f t="shared" si="53"/>
        <v>0</v>
      </c>
      <c r="I1064" s="171" t="s">
        <v>1234</v>
      </c>
    </row>
    <row r="1065" spans="1:9" x14ac:dyDescent="0.2">
      <c r="A1065" s="243">
        <v>121686</v>
      </c>
      <c r="B1065" s="244" t="s">
        <v>1602</v>
      </c>
      <c r="C1065" s="244" t="s">
        <v>5</v>
      </c>
      <c r="D1065" s="244" t="s">
        <v>10</v>
      </c>
      <c r="E1065" s="245">
        <v>44994</v>
      </c>
      <c r="F1065" s="118">
        <v>863.83</v>
      </c>
      <c r="G1065" s="118">
        <f>SUMIF(CONFERÊNCIA!A:A,A1065,CONFERÊNCIA!J:J)</f>
        <v>863.83</v>
      </c>
      <c r="H1065" s="120">
        <f t="shared" si="53"/>
        <v>0</v>
      </c>
      <c r="I1065" s="171" t="s">
        <v>1234</v>
      </c>
    </row>
    <row r="1066" spans="1:9" x14ac:dyDescent="0.2">
      <c r="A1066" s="243">
        <v>122250</v>
      </c>
      <c r="B1066" s="244" t="s">
        <v>1671</v>
      </c>
      <c r="C1066" s="244" t="s">
        <v>5</v>
      </c>
      <c r="D1066" s="244" t="s">
        <v>1589</v>
      </c>
      <c r="E1066" s="245">
        <v>45089</v>
      </c>
      <c r="F1066" s="118">
        <v>978.67000000000007</v>
      </c>
      <c r="G1066" s="118">
        <f>SUMIF(CONFERÊNCIA!A:A,A1066,CONFERÊNCIA!J:J)</f>
        <v>634.14</v>
      </c>
      <c r="H1066" s="120">
        <f t="shared" si="53"/>
        <v>-344.53000000000009</v>
      </c>
      <c r="I1066" s="171" t="s">
        <v>1234</v>
      </c>
    </row>
    <row r="1067" spans="1:9" x14ac:dyDescent="0.2">
      <c r="A1067" s="243">
        <v>116981</v>
      </c>
      <c r="B1067" s="244" t="s">
        <v>1248</v>
      </c>
      <c r="C1067" s="244" t="s">
        <v>5</v>
      </c>
      <c r="D1067" s="244" t="s">
        <v>0</v>
      </c>
      <c r="E1067" s="245">
        <v>44419</v>
      </c>
      <c r="F1067" s="118">
        <v>1016.96</v>
      </c>
      <c r="G1067" s="118">
        <f>SUMIF(CONFERÊNCIA!A:A,A1067,CONFERÊNCIA!J:J)</f>
        <v>1016.96</v>
      </c>
      <c r="H1067" s="120">
        <f t="shared" si="53"/>
        <v>0</v>
      </c>
      <c r="I1067" s="171" t="s">
        <v>1234</v>
      </c>
    </row>
    <row r="1068" spans="1:9" x14ac:dyDescent="0.2">
      <c r="A1068" s="243">
        <v>112615</v>
      </c>
      <c r="B1068" s="244" t="s">
        <v>300</v>
      </c>
      <c r="C1068" s="244" t="s">
        <v>2</v>
      </c>
      <c r="D1068" s="244" t="s">
        <v>8</v>
      </c>
      <c r="E1068" s="245">
        <v>43617</v>
      </c>
      <c r="F1068" s="118">
        <v>1016.96</v>
      </c>
      <c r="G1068" s="118">
        <f>SUMIF(CONFERÊNCIA!A:A,A1068,CONFERÊNCIA!J:J)</f>
        <v>1016.96</v>
      </c>
      <c r="H1068" s="120">
        <f t="shared" si="53"/>
        <v>0</v>
      </c>
      <c r="I1068" s="171" t="s">
        <v>1234</v>
      </c>
    </row>
    <row r="1069" spans="1:9" x14ac:dyDescent="0.2">
      <c r="A1069" s="243">
        <v>112621</v>
      </c>
      <c r="B1069" s="244" t="s">
        <v>305</v>
      </c>
      <c r="C1069" s="244" t="s">
        <v>5</v>
      </c>
      <c r="D1069" s="244" t="s">
        <v>1589</v>
      </c>
      <c r="E1069" s="245">
        <v>43617</v>
      </c>
      <c r="F1069" s="118">
        <v>1016.96</v>
      </c>
      <c r="G1069" s="118">
        <f>SUMIF(CONFERÊNCIA!A:A,A1069,CONFERÊNCIA!J:J)</f>
        <v>1016.96</v>
      </c>
      <c r="H1069" s="120">
        <f t="shared" si="53"/>
        <v>0</v>
      </c>
      <c r="I1069" s="171" t="s">
        <v>1234</v>
      </c>
    </row>
    <row r="1070" spans="1:9" x14ac:dyDescent="0.2">
      <c r="A1070" s="243">
        <v>112635</v>
      </c>
      <c r="B1070" s="244" t="s">
        <v>313</v>
      </c>
      <c r="C1070" s="244" t="s">
        <v>2</v>
      </c>
      <c r="D1070" s="244" t="s">
        <v>8</v>
      </c>
      <c r="E1070" s="245">
        <v>43617</v>
      </c>
      <c r="F1070" s="118">
        <v>1016.96</v>
      </c>
      <c r="G1070" s="118">
        <f>SUMIF(CONFERÊNCIA!A:A,A1070,CONFERÊNCIA!J:J)</f>
        <v>1016.96</v>
      </c>
      <c r="H1070" s="120">
        <f t="shared" si="53"/>
        <v>0</v>
      </c>
      <c r="I1070" s="171" t="s">
        <v>1234</v>
      </c>
    </row>
    <row r="1071" spans="1:9" x14ac:dyDescent="0.2">
      <c r="A1071" s="243">
        <v>112659</v>
      </c>
      <c r="B1071" s="244" t="s">
        <v>325</v>
      </c>
      <c r="C1071" s="244" t="s">
        <v>2</v>
      </c>
      <c r="D1071" s="244" t="s">
        <v>10</v>
      </c>
      <c r="E1071" s="245">
        <v>43617</v>
      </c>
      <c r="F1071" s="118">
        <v>1016.96</v>
      </c>
      <c r="G1071" s="118">
        <f>SUMIF(CONFERÊNCIA!A:A,A1071,CONFERÊNCIA!J:J)</f>
        <v>1016.96</v>
      </c>
      <c r="H1071" s="120">
        <f t="shared" si="53"/>
        <v>0</v>
      </c>
      <c r="I1071" s="171" t="s">
        <v>1234</v>
      </c>
    </row>
    <row r="1072" spans="1:9" x14ac:dyDescent="0.2">
      <c r="A1072" s="243">
        <v>114750</v>
      </c>
      <c r="B1072" s="244" t="s">
        <v>1095</v>
      </c>
      <c r="C1072" s="244" t="s">
        <v>5</v>
      </c>
      <c r="D1072" s="244" t="s">
        <v>0</v>
      </c>
      <c r="E1072" s="245">
        <v>43874</v>
      </c>
      <c r="F1072" s="118">
        <v>1016.96</v>
      </c>
      <c r="G1072" s="118">
        <f>SUMIF(CONFERÊNCIA!A:A,A1072,CONFERÊNCIA!J:J)</f>
        <v>978.67000000000007</v>
      </c>
      <c r="H1072" s="120">
        <f t="shared" si="53"/>
        <v>-38.289999999999964</v>
      </c>
      <c r="I1072" s="171" t="s">
        <v>1234</v>
      </c>
    </row>
    <row r="1073" spans="1:9" x14ac:dyDescent="0.2">
      <c r="A1073" s="243">
        <v>112669</v>
      </c>
      <c r="B1073" s="244" t="s">
        <v>331</v>
      </c>
      <c r="C1073" s="244" t="s">
        <v>2</v>
      </c>
      <c r="D1073" s="244" t="s">
        <v>0</v>
      </c>
      <c r="E1073" s="245">
        <v>43617</v>
      </c>
      <c r="F1073" s="118">
        <v>1016.96</v>
      </c>
      <c r="G1073" s="118">
        <f>SUMIF(CONFERÊNCIA!A:A,A1073,CONFERÊNCIA!J:J)</f>
        <v>1016.96</v>
      </c>
      <c r="H1073" s="120">
        <f t="shared" si="53"/>
        <v>0</v>
      </c>
      <c r="I1073" s="171" t="s">
        <v>1234</v>
      </c>
    </row>
    <row r="1074" spans="1:9" x14ac:dyDescent="0.2">
      <c r="A1074" s="243">
        <v>112675</v>
      </c>
      <c r="B1074" s="244" t="s">
        <v>333</v>
      </c>
      <c r="C1074" s="244" t="s">
        <v>2</v>
      </c>
      <c r="D1074" s="244" t="s">
        <v>10</v>
      </c>
      <c r="E1074" s="245">
        <v>43617</v>
      </c>
      <c r="F1074" s="118">
        <v>1016.96</v>
      </c>
      <c r="G1074" s="118">
        <f>SUMIF(CONFERÊNCIA!A:A,A1074,CONFERÊNCIA!J:J)</f>
        <v>1016.96</v>
      </c>
      <c r="H1074" s="120">
        <f t="shared" si="53"/>
        <v>0</v>
      </c>
      <c r="I1074" s="171" t="s">
        <v>1234</v>
      </c>
    </row>
    <row r="1075" spans="1:9" x14ac:dyDescent="0.2">
      <c r="A1075" s="243">
        <v>112681</v>
      </c>
      <c r="B1075" s="244" t="s">
        <v>337</v>
      </c>
      <c r="C1075" s="244" t="s">
        <v>2</v>
      </c>
      <c r="D1075" s="244" t="s">
        <v>10</v>
      </c>
      <c r="E1075" s="245">
        <v>43617</v>
      </c>
      <c r="F1075" s="118">
        <v>1016.96</v>
      </c>
      <c r="G1075" s="118">
        <f>SUMIF(CONFERÊNCIA!A:A,A1075,CONFERÊNCIA!J:J)</f>
        <v>1016.96</v>
      </c>
      <c r="H1075" s="120">
        <f t="shared" si="53"/>
        <v>0</v>
      </c>
      <c r="I1075" s="171" t="s">
        <v>1235</v>
      </c>
    </row>
    <row r="1076" spans="1:9" x14ac:dyDescent="0.2">
      <c r="A1076" s="243">
        <v>114231</v>
      </c>
      <c r="B1076" s="244" t="s">
        <v>1019</v>
      </c>
      <c r="C1076" s="244" t="s">
        <v>146</v>
      </c>
      <c r="D1076" s="244" t="s">
        <v>19</v>
      </c>
      <c r="E1076" s="245">
        <v>43788</v>
      </c>
      <c r="F1076" s="118">
        <v>1016.96</v>
      </c>
      <c r="G1076" s="118">
        <f>SUMIF(CONFERÊNCIA!A:A,A1076,CONFERÊNCIA!J:J)</f>
        <v>1016.96</v>
      </c>
      <c r="H1076" s="120">
        <f t="shared" ref="H1076:H1120" si="54">G1076-F1076</f>
        <v>0</v>
      </c>
      <c r="I1076" s="171" t="s">
        <v>1234</v>
      </c>
    </row>
    <row r="1077" spans="1:9" x14ac:dyDescent="0.2">
      <c r="A1077" s="243">
        <v>112692</v>
      </c>
      <c r="B1077" s="244" t="s">
        <v>345</v>
      </c>
      <c r="C1077" s="244" t="s">
        <v>2</v>
      </c>
      <c r="D1077" s="244" t="s">
        <v>32</v>
      </c>
      <c r="E1077" s="245">
        <v>43617</v>
      </c>
      <c r="F1077" s="118">
        <v>1016.96</v>
      </c>
      <c r="G1077" s="118">
        <f>SUMIF(CONFERÊNCIA!A:A,A1077,CONFERÊNCIA!J:J)</f>
        <v>1016.96</v>
      </c>
      <c r="H1077" s="120">
        <f t="shared" si="54"/>
        <v>0</v>
      </c>
      <c r="I1077" s="171" t="s">
        <v>1234</v>
      </c>
    </row>
    <row r="1078" spans="1:9" x14ac:dyDescent="0.2">
      <c r="A1078" s="243">
        <v>113741</v>
      </c>
      <c r="B1078" s="244" t="s">
        <v>963</v>
      </c>
      <c r="C1078" s="244" t="s">
        <v>964</v>
      </c>
      <c r="D1078" s="244" t="s">
        <v>1591</v>
      </c>
      <c r="E1078" s="245">
        <v>43619</v>
      </c>
      <c r="F1078" s="118">
        <v>1016.96</v>
      </c>
      <c r="G1078" s="118">
        <f>SUMIF(CONFERÊNCIA!A:A,A1078,CONFERÊNCIA!J:J)</f>
        <v>1016.96</v>
      </c>
      <c r="H1078" s="120">
        <f t="shared" si="54"/>
        <v>0</v>
      </c>
      <c r="I1078" s="171" t="s">
        <v>1234</v>
      </c>
    </row>
    <row r="1079" spans="1:9" x14ac:dyDescent="0.2">
      <c r="A1079" s="243">
        <v>113582</v>
      </c>
      <c r="B1079" s="244" t="s">
        <v>859</v>
      </c>
      <c r="C1079" s="244" t="s">
        <v>2</v>
      </c>
      <c r="D1079" s="244" t="s">
        <v>0</v>
      </c>
      <c r="E1079" s="245">
        <v>43617</v>
      </c>
      <c r="F1079" s="118">
        <v>1016.96</v>
      </c>
      <c r="G1079" s="118">
        <f>SUMIF(CONFERÊNCIA!A:A,A1079,CONFERÊNCIA!J:J)</f>
        <v>1016.96</v>
      </c>
      <c r="H1079" s="120">
        <f t="shared" si="54"/>
        <v>0</v>
      </c>
      <c r="I1079" s="171" t="s">
        <v>1234</v>
      </c>
    </row>
    <row r="1080" spans="1:9" x14ac:dyDescent="0.2">
      <c r="A1080" s="243">
        <v>116718</v>
      </c>
      <c r="B1080" s="244" t="s">
        <v>1221</v>
      </c>
      <c r="C1080" s="244" t="s">
        <v>2</v>
      </c>
      <c r="D1080" s="244" t="s">
        <v>19</v>
      </c>
      <c r="E1080" s="245">
        <v>44368</v>
      </c>
      <c r="F1080" s="118">
        <v>1016.96</v>
      </c>
      <c r="G1080" s="118">
        <f>SUMIF(CONFERÊNCIA!A:A,A1080,CONFERÊNCIA!J:J)</f>
        <v>1016.96</v>
      </c>
      <c r="H1080" s="120">
        <f t="shared" si="54"/>
        <v>0</v>
      </c>
      <c r="I1080" s="171" t="s">
        <v>1234</v>
      </c>
    </row>
    <row r="1081" spans="1:9" x14ac:dyDescent="0.2">
      <c r="A1081" s="243">
        <v>112703</v>
      </c>
      <c r="B1081" s="244" t="s">
        <v>353</v>
      </c>
      <c r="C1081" s="244" t="s">
        <v>2</v>
      </c>
      <c r="D1081" s="244" t="s">
        <v>10</v>
      </c>
      <c r="E1081" s="245">
        <v>43617</v>
      </c>
      <c r="F1081" s="118">
        <v>1016.96</v>
      </c>
      <c r="G1081" s="118">
        <f>SUMIF(CONFERÊNCIA!A:A,A1081,CONFERÊNCIA!J:J)</f>
        <v>1016.96</v>
      </c>
      <c r="H1081" s="120">
        <f t="shared" si="54"/>
        <v>0</v>
      </c>
      <c r="I1081" s="171" t="s">
        <v>1234</v>
      </c>
    </row>
    <row r="1082" spans="1:9" x14ac:dyDescent="0.2">
      <c r="A1082" s="243">
        <v>114105</v>
      </c>
      <c r="B1082" s="244" t="s">
        <v>1009</v>
      </c>
      <c r="C1082" s="244" t="s">
        <v>5</v>
      </c>
      <c r="D1082" s="244" t="s">
        <v>1589</v>
      </c>
      <c r="E1082" s="245">
        <v>43728</v>
      </c>
      <c r="F1082" s="118">
        <v>1016.96</v>
      </c>
      <c r="G1082" s="118">
        <f>SUMIF(CONFERÊNCIA!A:A,A1082,CONFERÊNCIA!J:J)</f>
        <v>1016.96</v>
      </c>
      <c r="H1082" s="120">
        <f t="shared" si="54"/>
        <v>0</v>
      </c>
      <c r="I1082" s="171" t="s">
        <v>1234</v>
      </c>
    </row>
    <row r="1083" spans="1:9" x14ac:dyDescent="0.2">
      <c r="A1083" s="243">
        <v>114930</v>
      </c>
      <c r="B1083" s="244" t="s">
        <v>1119</v>
      </c>
      <c r="C1083" s="244" t="s">
        <v>5</v>
      </c>
      <c r="D1083" s="244" t="s">
        <v>10</v>
      </c>
      <c r="E1083" s="245">
        <v>43916</v>
      </c>
      <c r="F1083" s="118">
        <v>1016.96</v>
      </c>
      <c r="G1083" s="118">
        <f>SUMIF(CONFERÊNCIA!A:A,A1083,CONFERÊNCIA!J:J)</f>
        <v>1016.96</v>
      </c>
      <c r="H1083" s="120">
        <f t="shared" si="54"/>
        <v>0</v>
      </c>
      <c r="I1083" s="171" t="s">
        <v>1235</v>
      </c>
    </row>
    <row r="1084" spans="1:9" x14ac:dyDescent="0.2">
      <c r="A1084" s="243">
        <v>112718</v>
      </c>
      <c r="B1084" s="244" t="s">
        <v>362</v>
      </c>
      <c r="C1084" s="244" t="s">
        <v>2</v>
      </c>
      <c r="D1084" s="244" t="s">
        <v>8</v>
      </c>
      <c r="E1084" s="245">
        <v>43617</v>
      </c>
      <c r="F1084" s="118">
        <v>1016.96</v>
      </c>
      <c r="G1084" s="118">
        <f>SUMIF(CONFERÊNCIA!A:A,A1084,CONFERÊNCIA!J:J)</f>
        <v>1016.96</v>
      </c>
      <c r="H1084" s="120">
        <f t="shared" si="54"/>
        <v>0</v>
      </c>
      <c r="I1084" s="171" t="s">
        <v>1234</v>
      </c>
    </row>
    <row r="1085" spans="1:9" x14ac:dyDescent="0.2">
      <c r="A1085" s="243">
        <v>112731</v>
      </c>
      <c r="B1085" s="244" t="s">
        <v>371</v>
      </c>
      <c r="C1085" s="244" t="s">
        <v>2</v>
      </c>
      <c r="D1085" s="244" t="s">
        <v>8</v>
      </c>
      <c r="E1085" s="245">
        <v>43617</v>
      </c>
      <c r="F1085" s="118">
        <v>1016.96</v>
      </c>
      <c r="G1085" s="118">
        <f>SUMIF(CONFERÊNCIA!A:A,A1085,CONFERÊNCIA!J:J)</f>
        <v>1016.96</v>
      </c>
      <c r="H1085" s="120">
        <f t="shared" si="54"/>
        <v>0</v>
      </c>
      <c r="I1085" s="171" t="s">
        <v>1234</v>
      </c>
    </row>
    <row r="1086" spans="1:9" x14ac:dyDescent="0.2">
      <c r="A1086" s="243">
        <v>115447</v>
      </c>
      <c r="B1086" s="244" t="s">
        <v>1165</v>
      </c>
      <c r="C1086" s="244" t="s">
        <v>146</v>
      </c>
      <c r="D1086" s="244" t="s">
        <v>19</v>
      </c>
      <c r="E1086" s="245">
        <v>44062</v>
      </c>
      <c r="F1086" s="118">
        <v>1016.96</v>
      </c>
      <c r="G1086" s="118">
        <f>SUMIF(CONFERÊNCIA!A:A,A1086,CONFERÊNCIA!J:J)</f>
        <v>1016.96</v>
      </c>
      <c r="H1086" s="120">
        <f t="shared" si="54"/>
        <v>0</v>
      </c>
      <c r="I1086" s="171" t="s">
        <v>1234</v>
      </c>
    </row>
    <row r="1087" spans="1:9" x14ac:dyDescent="0.2">
      <c r="A1087" s="243">
        <v>112744</v>
      </c>
      <c r="B1087" s="244" t="s">
        <v>379</v>
      </c>
      <c r="C1087" s="244" t="s">
        <v>39</v>
      </c>
      <c r="D1087" s="244" t="s">
        <v>10</v>
      </c>
      <c r="E1087" s="245">
        <v>43617</v>
      </c>
      <c r="F1087" s="118">
        <v>1016.96</v>
      </c>
      <c r="G1087" s="118">
        <f>SUMIF(CONFERÊNCIA!A:A,A1087,CONFERÊNCIA!J:J)</f>
        <v>1016.96</v>
      </c>
      <c r="H1087" s="120">
        <f t="shared" si="54"/>
        <v>0</v>
      </c>
      <c r="I1087" s="171" t="s">
        <v>1234</v>
      </c>
    </row>
    <row r="1088" spans="1:9" x14ac:dyDescent="0.2">
      <c r="A1088" s="243">
        <v>119928</v>
      </c>
      <c r="B1088" s="244" t="s">
        <v>1491</v>
      </c>
      <c r="C1088" s="244" t="s">
        <v>5</v>
      </c>
      <c r="D1088" s="244" t="s">
        <v>1589</v>
      </c>
      <c r="E1088" s="245">
        <v>44760</v>
      </c>
      <c r="F1088" s="118">
        <v>1016.96</v>
      </c>
      <c r="G1088" s="118">
        <f>SUMIF(CONFERÊNCIA!A:A,A1088,CONFERÊNCIA!J:J)</f>
        <v>1016.96</v>
      </c>
      <c r="H1088" s="120">
        <f t="shared" si="54"/>
        <v>0</v>
      </c>
      <c r="I1088" s="171" t="s">
        <v>1235</v>
      </c>
    </row>
    <row r="1089" spans="1:9" x14ac:dyDescent="0.2">
      <c r="A1089" s="243">
        <v>121319</v>
      </c>
      <c r="B1089" s="244" t="s">
        <v>1544</v>
      </c>
      <c r="C1089" s="244" t="s">
        <v>5</v>
      </c>
      <c r="D1089" s="244" t="s">
        <v>0</v>
      </c>
      <c r="E1089" s="245">
        <v>44945</v>
      </c>
      <c r="F1089" s="118">
        <v>978.67000000000007</v>
      </c>
      <c r="G1089" s="118">
        <f>SUMIF(CONFERÊNCIA!A:A,A1089,CONFERÊNCIA!J:J)</f>
        <v>1016.96</v>
      </c>
      <c r="H1089" s="120">
        <f t="shared" si="54"/>
        <v>38.289999999999964</v>
      </c>
      <c r="I1089" s="171" t="s">
        <v>1234</v>
      </c>
    </row>
    <row r="1090" spans="1:9" x14ac:dyDescent="0.2">
      <c r="A1090" s="243">
        <v>121025</v>
      </c>
      <c r="B1090" s="244" t="s">
        <v>1525</v>
      </c>
      <c r="C1090" s="244" t="s">
        <v>2</v>
      </c>
      <c r="D1090" s="244" t="s">
        <v>8</v>
      </c>
      <c r="E1090" s="245">
        <v>44900</v>
      </c>
      <c r="F1090" s="118">
        <v>1016.96</v>
      </c>
      <c r="G1090" s="118">
        <f>SUMIF(CONFERÊNCIA!A:A,A1090,CONFERÊNCIA!J:J)</f>
        <v>1016.96</v>
      </c>
      <c r="H1090" s="120">
        <f t="shared" si="54"/>
        <v>0</v>
      </c>
      <c r="I1090" s="171" t="s">
        <v>1234</v>
      </c>
    </row>
    <row r="1091" spans="1:9" x14ac:dyDescent="0.2">
      <c r="A1091" s="243">
        <v>112761</v>
      </c>
      <c r="B1091" s="244" t="s">
        <v>389</v>
      </c>
      <c r="C1091" s="244" t="s">
        <v>2</v>
      </c>
      <c r="D1091" s="244" t="s">
        <v>10</v>
      </c>
      <c r="E1091" s="245">
        <v>43617</v>
      </c>
      <c r="F1091" s="118">
        <v>1016.96</v>
      </c>
      <c r="G1091" s="118">
        <f>SUMIF(CONFERÊNCIA!A:A,A1091,CONFERÊNCIA!J:J)</f>
        <v>1016.96</v>
      </c>
      <c r="H1091" s="120">
        <f t="shared" si="54"/>
        <v>0</v>
      </c>
      <c r="I1091" s="171" t="s">
        <v>1234</v>
      </c>
    </row>
    <row r="1092" spans="1:9" x14ac:dyDescent="0.2">
      <c r="A1092" s="243">
        <v>112765</v>
      </c>
      <c r="B1092" s="244" t="s">
        <v>392</v>
      </c>
      <c r="C1092" s="244" t="s">
        <v>2</v>
      </c>
      <c r="D1092" s="244" t="s">
        <v>0</v>
      </c>
      <c r="E1092" s="245">
        <v>43617</v>
      </c>
      <c r="F1092" s="118">
        <v>1016.96</v>
      </c>
      <c r="G1092" s="118">
        <f>SUMIF(CONFERÊNCIA!A:A,A1092,CONFERÊNCIA!J:J)</f>
        <v>1016.96</v>
      </c>
      <c r="H1092" s="120">
        <f t="shared" si="54"/>
        <v>0</v>
      </c>
      <c r="I1092" s="171" t="s">
        <v>1234</v>
      </c>
    </row>
    <row r="1093" spans="1:9" x14ac:dyDescent="0.2">
      <c r="A1093" s="243">
        <v>112772</v>
      </c>
      <c r="B1093" s="244" t="s">
        <v>398</v>
      </c>
      <c r="C1093" s="244" t="s">
        <v>2</v>
      </c>
      <c r="D1093" s="244" t="s">
        <v>0</v>
      </c>
      <c r="E1093" s="245">
        <v>43617</v>
      </c>
      <c r="F1093" s="118">
        <v>1016.96</v>
      </c>
      <c r="G1093" s="118">
        <f>SUMIF(CONFERÊNCIA!A:A,A1093,CONFERÊNCIA!J:J)</f>
        <v>1016.96</v>
      </c>
      <c r="H1093" s="120">
        <f t="shared" si="54"/>
        <v>0</v>
      </c>
      <c r="I1093" s="171" t="s">
        <v>1234</v>
      </c>
    </row>
    <row r="1094" spans="1:9" x14ac:dyDescent="0.2">
      <c r="A1094" s="243">
        <v>112780</v>
      </c>
      <c r="B1094" s="244" t="s">
        <v>404</v>
      </c>
      <c r="C1094" s="244" t="s">
        <v>2</v>
      </c>
      <c r="D1094" s="244" t="s">
        <v>8</v>
      </c>
      <c r="E1094" s="245">
        <v>43617</v>
      </c>
      <c r="F1094" s="118">
        <v>1016.96</v>
      </c>
      <c r="G1094" s="118">
        <f>SUMIF(CONFERÊNCIA!A:A,A1094,CONFERÊNCIA!J:J)</f>
        <v>1016.96</v>
      </c>
      <c r="H1094" s="120">
        <f t="shared" si="54"/>
        <v>0</v>
      </c>
      <c r="I1094" s="171" t="s">
        <v>1234</v>
      </c>
    </row>
    <row r="1095" spans="1:9" x14ac:dyDescent="0.2">
      <c r="A1095" s="243">
        <v>112785</v>
      </c>
      <c r="B1095" s="244" t="s">
        <v>408</v>
      </c>
      <c r="C1095" s="244" t="s">
        <v>2</v>
      </c>
      <c r="D1095" s="244" t="s">
        <v>10</v>
      </c>
      <c r="E1095" s="245">
        <v>43617</v>
      </c>
      <c r="F1095" s="118">
        <v>1016.96</v>
      </c>
      <c r="G1095" s="118">
        <f>SUMIF(CONFERÊNCIA!A:A,A1095,CONFERÊNCIA!J:J)</f>
        <v>1016.96</v>
      </c>
      <c r="H1095" s="120">
        <f t="shared" si="54"/>
        <v>0</v>
      </c>
      <c r="I1095" s="171" t="s">
        <v>1234</v>
      </c>
    </row>
    <row r="1096" spans="1:9" x14ac:dyDescent="0.2">
      <c r="A1096" s="243">
        <v>112802</v>
      </c>
      <c r="B1096" s="244" t="s">
        <v>421</v>
      </c>
      <c r="C1096" s="244" t="s">
        <v>15</v>
      </c>
      <c r="D1096" s="244" t="s">
        <v>1589</v>
      </c>
      <c r="E1096" s="245">
        <v>43617</v>
      </c>
      <c r="F1096" s="118">
        <v>1016.96</v>
      </c>
      <c r="G1096" s="118">
        <f>SUMIF(CONFERÊNCIA!A:A,A1096,CONFERÊNCIA!J:J)</f>
        <v>1016.96</v>
      </c>
      <c r="H1096" s="120">
        <f t="shared" si="54"/>
        <v>0</v>
      </c>
      <c r="I1096" s="171" t="s">
        <v>1234</v>
      </c>
    </row>
    <row r="1097" spans="1:9" x14ac:dyDescent="0.2">
      <c r="A1097" s="243">
        <v>112810</v>
      </c>
      <c r="B1097" s="244" t="s">
        <v>427</v>
      </c>
      <c r="C1097" s="244" t="s">
        <v>2</v>
      </c>
      <c r="D1097" s="244" t="s">
        <v>0</v>
      </c>
      <c r="E1097" s="245">
        <v>43617</v>
      </c>
      <c r="F1097" s="118">
        <v>1016.96</v>
      </c>
      <c r="G1097" s="118">
        <f>SUMIF(CONFERÊNCIA!A:A,A1097,CONFERÊNCIA!J:J)</f>
        <v>1016.96</v>
      </c>
      <c r="H1097" s="120">
        <f t="shared" si="54"/>
        <v>0</v>
      </c>
      <c r="I1097" s="171" t="s">
        <v>1234</v>
      </c>
    </row>
    <row r="1098" spans="1:9" x14ac:dyDescent="0.2">
      <c r="A1098" s="243">
        <v>112816</v>
      </c>
      <c r="B1098" s="244" t="s">
        <v>432</v>
      </c>
      <c r="C1098" s="244" t="s">
        <v>22</v>
      </c>
      <c r="D1098" s="244" t="s">
        <v>1589</v>
      </c>
      <c r="E1098" s="245">
        <v>43617</v>
      </c>
      <c r="F1098" s="118">
        <v>1016.96</v>
      </c>
      <c r="G1098" s="118">
        <f>SUMIF(CONFERÊNCIA!A:A,A1098,CONFERÊNCIA!J:J)</f>
        <v>1016.96</v>
      </c>
      <c r="H1098" s="120">
        <f t="shared" si="54"/>
        <v>0</v>
      </c>
      <c r="I1098" s="171" t="s">
        <v>1234</v>
      </c>
    </row>
    <row r="1099" spans="1:9" x14ac:dyDescent="0.2">
      <c r="A1099" s="243">
        <v>114711</v>
      </c>
      <c r="B1099" s="244" t="s">
        <v>1081</v>
      </c>
      <c r="C1099" s="244" t="s">
        <v>5</v>
      </c>
      <c r="D1099" s="244" t="s">
        <v>10</v>
      </c>
      <c r="E1099" s="245">
        <v>43874</v>
      </c>
      <c r="F1099" s="118">
        <v>1016.96</v>
      </c>
      <c r="G1099" s="118">
        <f>SUMIF(CONFERÊNCIA!A:A,A1099,CONFERÊNCIA!J:J)</f>
        <v>1016.96</v>
      </c>
      <c r="H1099" s="120">
        <f t="shared" si="54"/>
        <v>0</v>
      </c>
      <c r="I1099" s="171" t="s">
        <v>1235</v>
      </c>
    </row>
    <row r="1100" spans="1:9" x14ac:dyDescent="0.2">
      <c r="A1100" s="243">
        <v>114761</v>
      </c>
      <c r="B1100" s="244" t="s">
        <v>1099</v>
      </c>
      <c r="C1100" s="244" t="s">
        <v>15</v>
      </c>
      <c r="D1100" s="244" t="s">
        <v>1589</v>
      </c>
      <c r="E1100" s="245">
        <v>43874</v>
      </c>
      <c r="F1100" s="118">
        <v>1016.96</v>
      </c>
      <c r="G1100" s="118">
        <f>SUMIF(CONFERÊNCIA!A:A,A1100,CONFERÊNCIA!J:J)</f>
        <v>1016.96</v>
      </c>
      <c r="H1100" s="120">
        <f t="shared" si="54"/>
        <v>0</v>
      </c>
      <c r="I1100" s="171" t="s">
        <v>1234</v>
      </c>
    </row>
    <row r="1101" spans="1:9" x14ac:dyDescent="0.2">
      <c r="A1101" s="243">
        <v>112833</v>
      </c>
      <c r="B1101" s="244" t="s">
        <v>444</v>
      </c>
      <c r="C1101" s="244" t="s">
        <v>2</v>
      </c>
      <c r="D1101" s="244" t="s">
        <v>8</v>
      </c>
      <c r="E1101" s="245">
        <v>43617</v>
      </c>
      <c r="F1101" s="118">
        <v>1016.96</v>
      </c>
      <c r="G1101" s="118">
        <f>SUMIF(CONFERÊNCIA!A:A,A1101,CONFERÊNCIA!J:J)</f>
        <v>1016.96</v>
      </c>
      <c r="H1101" s="120">
        <f t="shared" si="54"/>
        <v>0</v>
      </c>
      <c r="I1101" s="171" t="s">
        <v>1234</v>
      </c>
    </row>
    <row r="1102" spans="1:9" x14ac:dyDescent="0.2">
      <c r="A1102" s="243">
        <v>112845</v>
      </c>
      <c r="B1102" s="244" t="s">
        <v>450</v>
      </c>
      <c r="C1102" s="244" t="s">
        <v>15</v>
      </c>
      <c r="D1102" s="244" t="s">
        <v>1589</v>
      </c>
      <c r="E1102" s="245">
        <v>43617</v>
      </c>
      <c r="F1102" s="118">
        <v>1016.96</v>
      </c>
      <c r="G1102" s="118">
        <f>SUMIF(CONFERÊNCIA!A:A,A1102,CONFERÊNCIA!J:J)</f>
        <v>1016.96</v>
      </c>
      <c r="H1102" s="120">
        <f t="shared" si="54"/>
        <v>0</v>
      </c>
      <c r="I1102" s="171" t="s">
        <v>1234</v>
      </c>
    </row>
    <row r="1103" spans="1:9" x14ac:dyDescent="0.2">
      <c r="A1103" s="243">
        <v>119107</v>
      </c>
      <c r="B1103" s="244" t="s">
        <v>1447</v>
      </c>
      <c r="C1103" s="244" t="s">
        <v>5</v>
      </c>
      <c r="D1103" s="244" t="s">
        <v>19</v>
      </c>
      <c r="E1103" s="245">
        <v>44630</v>
      </c>
      <c r="F1103" s="118">
        <v>1016.96</v>
      </c>
      <c r="G1103" s="118">
        <f>SUMIF(CONFERÊNCIA!A:A,A1103,CONFERÊNCIA!J:J)</f>
        <v>1016.96</v>
      </c>
      <c r="H1103" s="120">
        <f t="shared" si="54"/>
        <v>0</v>
      </c>
      <c r="I1103" s="171" t="s">
        <v>1234</v>
      </c>
    </row>
    <row r="1104" spans="1:9" x14ac:dyDescent="0.2">
      <c r="A1104" s="243">
        <v>112871</v>
      </c>
      <c r="B1104" s="244" t="s">
        <v>465</v>
      </c>
      <c r="C1104" s="244" t="s">
        <v>2</v>
      </c>
      <c r="D1104" s="244" t="s">
        <v>8</v>
      </c>
      <c r="E1104" s="245">
        <v>43617</v>
      </c>
      <c r="F1104" s="118">
        <v>1016.96</v>
      </c>
      <c r="G1104" s="118">
        <f>SUMIF(CONFERÊNCIA!A:A,A1104,CONFERÊNCIA!J:J)</f>
        <v>1016.96</v>
      </c>
      <c r="H1104" s="120">
        <f t="shared" si="54"/>
        <v>0</v>
      </c>
      <c r="I1104" s="171" t="s">
        <v>1234</v>
      </c>
    </row>
    <row r="1105" spans="1:9" x14ac:dyDescent="0.2">
      <c r="A1105" s="243">
        <v>114774</v>
      </c>
      <c r="B1105" s="244" t="s">
        <v>1105</v>
      </c>
      <c r="C1105" s="244" t="s">
        <v>5</v>
      </c>
      <c r="D1105" s="244" t="s">
        <v>32</v>
      </c>
      <c r="E1105" s="245">
        <v>43874</v>
      </c>
      <c r="F1105" s="118">
        <v>1016.96</v>
      </c>
      <c r="G1105" s="118">
        <f>SUMIF(CONFERÊNCIA!A:A,A1105,CONFERÊNCIA!J:J)</f>
        <v>1016.96</v>
      </c>
      <c r="H1105" s="120">
        <f t="shared" si="54"/>
        <v>0</v>
      </c>
      <c r="I1105" s="171" t="s">
        <v>1234</v>
      </c>
    </row>
    <row r="1106" spans="1:9" x14ac:dyDescent="0.2">
      <c r="A1106" s="243">
        <v>112877</v>
      </c>
      <c r="B1106" s="244" t="s">
        <v>471</v>
      </c>
      <c r="C1106" s="244" t="s">
        <v>5</v>
      </c>
      <c r="D1106" s="244" t="s">
        <v>19</v>
      </c>
      <c r="E1106" s="245">
        <v>43617</v>
      </c>
      <c r="F1106" s="118">
        <v>1016.96</v>
      </c>
      <c r="G1106" s="118">
        <f>SUMIF(CONFERÊNCIA!A:A,A1106,CONFERÊNCIA!J:J)</f>
        <v>1016.96</v>
      </c>
      <c r="H1106" s="120">
        <f t="shared" si="54"/>
        <v>0</v>
      </c>
      <c r="I1106" s="171" t="s">
        <v>1234</v>
      </c>
    </row>
    <row r="1107" spans="1:9" x14ac:dyDescent="0.2">
      <c r="A1107" s="243">
        <v>112887</v>
      </c>
      <c r="B1107" s="244" t="s">
        <v>477</v>
      </c>
      <c r="C1107" s="244" t="s">
        <v>2</v>
      </c>
      <c r="D1107" s="244" t="s">
        <v>8</v>
      </c>
      <c r="E1107" s="245">
        <v>43617</v>
      </c>
      <c r="F1107" s="118">
        <v>1016.96</v>
      </c>
      <c r="G1107" s="118">
        <f>SUMIF(CONFERÊNCIA!A:A,A1107,CONFERÊNCIA!J:J)</f>
        <v>1016.96</v>
      </c>
      <c r="H1107" s="120">
        <f t="shared" si="54"/>
        <v>0</v>
      </c>
      <c r="I1107" s="171" t="s">
        <v>1234</v>
      </c>
    </row>
    <row r="1108" spans="1:9" x14ac:dyDescent="0.2">
      <c r="A1108" s="243">
        <v>112894</v>
      </c>
      <c r="B1108" s="244" t="s">
        <v>483</v>
      </c>
      <c r="C1108" s="244" t="s">
        <v>2</v>
      </c>
      <c r="D1108" s="244" t="s">
        <v>19</v>
      </c>
      <c r="E1108" s="245">
        <v>43617</v>
      </c>
      <c r="F1108" s="118">
        <v>1016.96</v>
      </c>
      <c r="G1108" s="118">
        <f>SUMIF(CONFERÊNCIA!A:A,A1108,CONFERÊNCIA!J:J)</f>
        <v>1016.96</v>
      </c>
      <c r="H1108" s="120">
        <f t="shared" si="54"/>
        <v>0</v>
      </c>
      <c r="I1108" s="171" t="s">
        <v>1234</v>
      </c>
    </row>
    <row r="1109" spans="1:9" x14ac:dyDescent="0.2">
      <c r="A1109" s="243">
        <v>112908</v>
      </c>
      <c r="B1109" s="244" t="s">
        <v>492</v>
      </c>
      <c r="C1109" s="244" t="s">
        <v>5</v>
      </c>
      <c r="D1109" s="244" t="s">
        <v>10</v>
      </c>
      <c r="E1109" s="245">
        <v>43617</v>
      </c>
      <c r="F1109" s="118">
        <v>1016.96</v>
      </c>
      <c r="G1109" s="118">
        <f>SUMIF(CONFERÊNCIA!A:A,A1109,CONFERÊNCIA!J:J)</f>
        <v>1016.96</v>
      </c>
      <c r="H1109" s="120">
        <f t="shared" si="54"/>
        <v>0</v>
      </c>
      <c r="I1109" s="171" t="s">
        <v>1234</v>
      </c>
    </row>
    <row r="1110" spans="1:9" x14ac:dyDescent="0.2">
      <c r="A1110" s="243">
        <v>113004</v>
      </c>
      <c r="B1110" s="244" t="s">
        <v>543</v>
      </c>
      <c r="C1110" s="244" t="s">
        <v>5</v>
      </c>
      <c r="D1110" s="244" t="s">
        <v>0</v>
      </c>
      <c r="E1110" s="245">
        <v>43617</v>
      </c>
      <c r="F1110" s="118">
        <v>1016.96</v>
      </c>
      <c r="G1110" s="118">
        <f>SUMIF(CONFERÊNCIA!A:A,A1110,CONFERÊNCIA!J:J)</f>
        <v>1016.96</v>
      </c>
      <c r="H1110" s="120">
        <f t="shared" si="54"/>
        <v>0</v>
      </c>
      <c r="I1110" s="171" t="s">
        <v>1234</v>
      </c>
    </row>
    <row r="1111" spans="1:9" x14ac:dyDescent="0.2">
      <c r="A1111" s="243">
        <v>115229</v>
      </c>
      <c r="B1111" s="244" t="s">
        <v>1151</v>
      </c>
      <c r="C1111" s="244" t="s">
        <v>942</v>
      </c>
      <c r="D1111" s="244" t="s">
        <v>1589</v>
      </c>
      <c r="E1111" s="245">
        <v>44018</v>
      </c>
      <c r="F1111" s="118">
        <v>1016.96</v>
      </c>
      <c r="G1111" s="118">
        <f>SUMIF(CONFERÊNCIA!A:A,A1111,CONFERÊNCIA!J:J)</f>
        <v>1016.96</v>
      </c>
      <c r="H1111" s="120">
        <f t="shared" si="54"/>
        <v>0</v>
      </c>
      <c r="I1111" s="171" t="s">
        <v>1234</v>
      </c>
    </row>
    <row r="1112" spans="1:9" x14ac:dyDescent="0.2">
      <c r="A1112" s="243">
        <v>113025</v>
      </c>
      <c r="B1112" s="244" t="s">
        <v>549</v>
      </c>
      <c r="C1112" s="244" t="s">
        <v>2</v>
      </c>
      <c r="D1112" s="244" t="s">
        <v>19</v>
      </c>
      <c r="E1112" s="245">
        <v>43617</v>
      </c>
      <c r="F1112" s="118">
        <v>1016.96</v>
      </c>
      <c r="G1112" s="118">
        <f>SUMIF(CONFERÊNCIA!A:A,A1112,CONFERÊNCIA!J:J)</f>
        <v>1016.96</v>
      </c>
      <c r="H1112" s="120">
        <f t="shared" si="54"/>
        <v>0</v>
      </c>
      <c r="I1112" s="171" t="s">
        <v>1234</v>
      </c>
    </row>
    <row r="1113" spans="1:9" x14ac:dyDescent="0.2">
      <c r="A1113" s="243">
        <v>113032</v>
      </c>
      <c r="B1113" s="244" t="s">
        <v>1288</v>
      </c>
      <c r="C1113" s="244" t="s">
        <v>2</v>
      </c>
      <c r="D1113" s="244" t="s">
        <v>0</v>
      </c>
      <c r="E1113" s="245">
        <v>43617</v>
      </c>
      <c r="F1113" s="118">
        <v>1016.96</v>
      </c>
      <c r="G1113" s="118">
        <f>SUMIF(CONFERÊNCIA!A:A,A1113,CONFERÊNCIA!J:J)</f>
        <v>1016.96</v>
      </c>
      <c r="H1113" s="120">
        <f t="shared" si="54"/>
        <v>0</v>
      </c>
      <c r="I1113" s="171" t="s">
        <v>1234</v>
      </c>
    </row>
    <row r="1114" spans="1:9" x14ac:dyDescent="0.2">
      <c r="A1114" s="243">
        <v>113044</v>
      </c>
      <c r="B1114" s="244" t="s">
        <v>560</v>
      </c>
      <c r="C1114" s="244" t="s">
        <v>15</v>
      </c>
      <c r="D1114" s="244" t="s">
        <v>1589</v>
      </c>
      <c r="E1114" s="245">
        <v>43617</v>
      </c>
      <c r="F1114" s="118">
        <v>1016.96</v>
      </c>
      <c r="G1114" s="118">
        <f>SUMIF(CONFERÊNCIA!A:A,A1114,CONFERÊNCIA!J:J)</f>
        <v>1016.96</v>
      </c>
      <c r="H1114" s="120">
        <f t="shared" si="54"/>
        <v>0</v>
      </c>
      <c r="I1114" s="171" t="s">
        <v>1234</v>
      </c>
    </row>
    <row r="1115" spans="1:9" x14ac:dyDescent="0.2">
      <c r="A1115" s="243">
        <v>113083</v>
      </c>
      <c r="B1115" s="244" t="s">
        <v>580</v>
      </c>
      <c r="C1115" s="244" t="s">
        <v>146</v>
      </c>
      <c r="D1115" s="244" t="s">
        <v>0</v>
      </c>
      <c r="E1115" s="245">
        <v>43617</v>
      </c>
      <c r="F1115" s="118">
        <v>1016.96</v>
      </c>
      <c r="G1115" s="118">
        <f>SUMIF(CONFERÊNCIA!A:A,A1115,CONFERÊNCIA!J:J)</f>
        <v>1016.96</v>
      </c>
      <c r="H1115" s="120">
        <f t="shared" si="54"/>
        <v>0</v>
      </c>
      <c r="I1115" s="171" t="s">
        <v>1235</v>
      </c>
    </row>
    <row r="1116" spans="1:9" x14ac:dyDescent="0.2">
      <c r="A1116" s="243">
        <v>113141</v>
      </c>
      <c r="B1116" s="244" t="s">
        <v>610</v>
      </c>
      <c r="C1116" s="244" t="s">
        <v>2</v>
      </c>
      <c r="D1116" s="244" t="s">
        <v>10</v>
      </c>
      <c r="E1116" s="245">
        <v>43617</v>
      </c>
      <c r="F1116" s="118">
        <v>1016.96</v>
      </c>
      <c r="G1116" s="118">
        <f>SUMIF(CONFERÊNCIA!A:A,A1116,CONFERÊNCIA!J:J)</f>
        <v>1016.96</v>
      </c>
      <c r="H1116" s="120">
        <f t="shared" si="54"/>
        <v>0</v>
      </c>
      <c r="I1116" s="171" t="s">
        <v>1234</v>
      </c>
    </row>
    <row r="1117" spans="1:9" x14ac:dyDescent="0.2">
      <c r="A1117" s="243">
        <v>113669</v>
      </c>
      <c r="B1117" s="244" t="s">
        <v>909</v>
      </c>
      <c r="C1117" s="244" t="s">
        <v>2</v>
      </c>
      <c r="D1117" s="244" t="s">
        <v>0</v>
      </c>
      <c r="E1117" s="245">
        <v>43617</v>
      </c>
      <c r="F1117" s="118">
        <v>1016.96</v>
      </c>
      <c r="G1117" s="118">
        <f>SUMIF(CONFERÊNCIA!A:A,A1117,CONFERÊNCIA!J:J)</f>
        <v>1016.96</v>
      </c>
      <c r="H1117" s="120">
        <f t="shared" si="54"/>
        <v>0</v>
      </c>
      <c r="I1117" s="171" t="s">
        <v>1235</v>
      </c>
    </row>
    <row r="1118" spans="1:9" x14ac:dyDescent="0.2">
      <c r="A1118" s="243">
        <v>113671</v>
      </c>
      <c r="B1118" s="244" t="s">
        <v>910</v>
      </c>
      <c r="C1118" s="244" t="s">
        <v>5</v>
      </c>
      <c r="D1118" s="244" t="s">
        <v>8</v>
      </c>
      <c r="E1118" s="245">
        <v>43617</v>
      </c>
      <c r="F1118" s="118">
        <v>1016.96</v>
      </c>
      <c r="G1118" s="118">
        <f>SUMIF(CONFERÊNCIA!A:A,A1118,CONFERÊNCIA!J:J)</f>
        <v>1016.96</v>
      </c>
      <c r="H1118" s="120">
        <f t="shared" si="54"/>
        <v>0</v>
      </c>
      <c r="I1118" s="171" t="s">
        <v>1234</v>
      </c>
    </row>
    <row r="1119" spans="1:9" x14ac:dyDescent="0.2">
      <c r="A1119" s="243">
        <v>113183</v>
      </c>
      <c r="B1119" s="244" t="s">
        <v>634</v>
      </c>
      <c r="C1119" s="244" t="s">
        <v>22</v>
      </c>
      <c r="D1119" s="244" t="s">
        <v>1589</v>
      </c>
      <c r="E1119" s="245">
        <v>43617</v>
      </c>
      <c r="F1119" s="118">
        <v>1016.96</v>
      </c>
      <c r="G1119" s="118">
        <f>SUMIF(CONFERÊNCIA!A:A,A1119,CONFERÊNCIA!J:J)</f>
        <v>1016.96</v>
      </c>
      <c r="H1119" s="120">
        <f t="shared" si="54"/>
        <v>0</v>
      </c>
      <c r="I1119" s="171" t="s">
        <v>1234</v>
      </c>
    </row>
    <row r="1120" spans="1:9" x14ac:dyDescent="0.2">
      <c r="A1120" s="243">
        <v>113188</v>
      </c>
      <c r="B1120" s="244" t="s">
        <v>637</v>
      </c>
      <c r="C1120" s="244" t="s">
        <v>5</v>
      </c>
      <c r="D1120" s="244" t="s">
        <v>8</v>
      </c>
      <c r="E1120" s="245">
        <v>43617</v>
      </c>
      <c r="F1120" s="118">
        <v>1016.96</v>
      </c>
      <c r="G1120" s="118">
        <f>SUMIF(CONFERÊNCIA!A:A,A1120,CONFERÊNCIA!J:J)</f>
        <v>1016.96</v>
      </c>
      <c r="H1120" s="120">
        <f t="shared" si="54"/>
        <v>0</v>
      </c>
      <c r="I1120" s="171" t="s">
        <v>1234</v>
      </c>
    </row>
    <row r="1121" spans="1:9" x14ac:dyDescent="0.2">
      <c r="A1121" s="243">
        <v>113743</v>
      </c>
      <c r="B1121" s="244" t="s">
        <v>966</v>
      </c>
      <c r="C1121" s="244" t="s">
        <v>1526</v>
      </c>
      <c r="D1121" s="244" t="s">
        <v>1591</v>
      </c>
      <c r="E1121" s="245">
        <v>43619</v>
      </c>
      <c r="F1121" s="118">
        <v>1016.96</v>
      </c>
      <c r="G1121" s="118">
        <f>SUMIF(CONFERÊNCIA!A:A,A1121,CONFERÊNCIA!J:J)</f>
        <v>1016.96</v>
      </c>
      <c r="H1121" s="120">
        <f t="shared" ref="H1121:H1157" si="55">G1121-F1121</f>
        <v>0</v>
      </c>
      <c r="I1121" s="171" t="s">
        <v>1234</v>
      </c>
    </row>
    <row r="1122" spans="1:9" x14ac:dyDescent="0.2">
      <c r="A1122" s="243">
        <v>113192</v>
      </c>
      <c r="B1122" s="244" t="s">
        <v>639</v>
      </c>
      <c r="C1122" s="244" t="s">
        <v>2</v>
      </c>
      <c r="D1122" s="244" t="s">
        <v>19</v>
      </c>
      <c r="E1122" s="245">
        <v>43617</v>
      </c>
      <c r="F1122" s="118">
        <v>1016.96</v>
      </c>
      <c r="G1122" s="118">
        <f>SUMIF(CONFERÊNCIA!A:A,A1122,CONFERÊNCIA!J:J)</f>
        <v>1016.96</v>
      </c>
      <c r="H1122" s="120">
        <f t="shared" si="55"/>
        <v>0</v>
      </c>
      <c r="I1122" s="171" t="s">
        <v>1234</v>
      </c>
    </row>
    <row r="1123" spans="1:9" x14ac:dyDescent="0.2">
      <c r="A1123" s="243">
        <v>122555</v>
      </c>
      <c r="B1123" s="244" t="s">
        <v>1711</v>
      </c>
      <c r="C1123" s="244" t="s">
        <v>5</v>
      </c>
      <c r="D1123" s="244" t="s">
        <v>8</v>
      </c>
      <c r="E1123" s="245">
        <v>45131</v>
      </c>
      <c r="F1123" s="118">
        <v>1290.76</v>
      </c>
      <c r="G1123" s="118">
        <f>SUMIF(CONFERÊNCIA!A:A,A1123,CONFERÊNCIA!J:J)</f>
        <v>1016.96</v>
      </c>
      <c r="H1123" s="120">
        <f t="shared" si="55"/>
        <v>-273.79999999999995</v>
      </c>
      <c r="I1123" s="171" t="s">
        <v>1234</v>
      </c>
    </row>
    <row r="1124" spans="1:9" x14ac:dyDescent="0.2">
      <c r="A1124" s="243">
        <v>118054</v>
      </c>
      <c r="B1124" s="244" t="s">
        <v>1413</v>
      </c>
      <c r="C1124" s="244" t="s">
        <v>5</v>
      </c>
      <c r="D1124" s="244" t="s">
        <v>10</v>
      </c>
      <c r="E1124" s="245">
        <v>44567</v>
      </c>
      <c r="F1124" s="118">
        <v>1016.96</v>
      </c>
      <c r="G1124" s="118">
        <f>SUMIF(CONFERÊNCIA!A:A,A1124,CONFERÊNCIA!J:J)</f>
        <v>1016.96</v>
      </c>
      <c r="H1124" s="120">
        <f t="shared" si="55"/>
        <v>0</v>
      </c>
      <c r="I1124" s="171" t="s">
        <v>1234</v>
      </c>
    </row>
    <row r="1125" spans="1:9" x14ac:dyDescent="0.2">
      <c r="A1125" s="243">
        <v>113722</v>
      </c>
      <c r="B1125" s="244" t="s">
        <v>939</v>
      </c>
      <c r="C1125" s="244" t="s">
        <v>5</v>
      </c>
      <c r="D1125" s="244" t="s">
        <v>10</v>
      </c>
      <c r="E1125" s="245">
        <v>43619</v>
      </c>
      <c r="F1125" s="118">
        <v>1016.96</v>
      </c>
      <c r="G1125" s="118">
        <f>SUMIF(CONFERÊNCIA!A:A,A1125,CONFERÊNCIA!J:J)</f>
        <v>1016.96</v>
      </c>
      <c r="H1125" s="120">
        <f t="shared" si="55"/>
        <v>0</v>
      </c>
      <c r="I1125" s="171" t="s">
        <v>1234</v>
      </c>
    </row>
    <row r="1126" spans="1:9" x14ac:dyDescent="0.2">
      <c r="A1126" s="243">
        <v>113201</v>
      </c>
      <c r="B1126" s="244" t="s">
        <v>643</v>
      </c>
      <c r="C1126" s="244" t="s">
        <v>2</v>
      </c>
      <c r="D1126" s="244" t="s">
        <v>8</v>
      </c>
      <c r="E1126" s="245">
        <v>43617</v>
      </c>
      <c r="F1126" s="118">
        <v>1016.96</v>
      </c>
      <c r="G1126" s="118">
        <f>SUMIF(CONFERÊNCIA!A:A,A1126,CONFERÊNCIA!J:J)</f>
        <v>1016.96</v>
      </c>
      <c r="H1126" s="120">
        <f t="shared" si="55"/>
        <v>0</v>
      </c>
      <c r="I1126" s="171" t="s">
        <v>1234</v>
      </c>
    </row>
    <row r="1127" spans="1:9" x14ac:dyDescent="0.2">
      <c r="A1127" s="243">
        <v>113803</v>
      </c>
      <c r="B1127" s="244" t="s">
        <v>987</v>
      </c>
      <c r="C1127" s="244" t="s">
        <v>15</v>
      </c>
      <c r="D1127" s="244" t="s">
        <v>1589</v>
      </c>
      <c r="E1127" s="245">
        <v>43630</v>
      </c>
      <c r="F1127" s="118">
        <v>1016.96</v>
      </c>
      <c r="G1127" s="118">
        <f>SUMIF(CONFERÊNCIA!A:A,A1127,CONFERÊNCIA!J:J)</f>
        <v>1016.96</v>
      </c>
      <c r="H1127" s="120">
        <f t="shared" si="55"/>
        <v>0</v>
      </c>
      <c r="I1127" s="171" t="s">
        <v>1235</v>
      </c>
    </row>
    <row r="1128" spans="1:9" x14ac:dyDescent="0.2">
      <c r="A1128" s="243">
        <v>113218</v>
      </c>
      <c r="B1128" s="244" t="s">
        <v>654</v>
      </c>
      <c r="C1128" s="244" t="s">
        <v>15</v>
      </c>
      <c r="D1128" s="244" t="s">
        <v>1589</v>
      </c>
      <c r="E1128" s="245">
        <v>43617</v>
      </c>
      <c r="F1128" s="118">
        <v>1016.96</v>
      </c>
      <c r="G1128" s="118">
        <f>SUMIF(CONFERÊNCIA!A:A,A1128,CONFERÊNCIA!J:J)</f>
        <v>1016.96</v>
      </c>
      <c r="H1128" s="120">
        <f t="shared" si="55"/>
        <v>0</v>
      </c>
      <c r="I1128" s="171" t="s">
        <v>1234</v>
      </c>
    </row>
    <row r="1129" spans="1:9" x14ac:dyDescent="0.2">
      <c r="A1129" s="243">
        <v>113224</v>
      </c>
      <c r="B1129" s="244" t="s">
        <v>657</v>
      </c>
      <c r="C1129" s="244" t="s">
        <v>5</v>
      </c>
      <c r="D1129" s="244" t="s">
        <v>0</v>
      </c>
      <c r="E1129" s="245">
        <v>43617</v>
      </c>
      <c r="F1129" s="118">
        <v>1016.96</v>
      </c>
      <c r="G1129" s="118">
        <f>SUMIF(CONFERÊNCIA!A:A,A1129,CONFERÊNCIA!J:J)</f>
        <v>1016.96</v>
      </c>
      <c r="H1129" s="120">
        <f t="shared" si="55"/>
        <v>0</v>
      </c>
      <c r="I1129" s="171" t="s">
        <v>1234</v>
      </c>
    </row>
    <row r="1130" spans="1:9" x14ac:dyDescent="0.2">
      <c r="A1130" s="243">
        <v>114094</v>
      </c>
      <c r="B1130" s="244" t="s">
        <v>1006</v>
      </c>
      <c r="C1130" s="244" t="s">
        <v>5</v>
      </c>
      <c r="D1130" s="244" t="s">
        <v>8</v>
      </c>
      <c r="E1130" s="245">
        <v>43728</v>
      </c>
      <c r="F1130" s="118">
        <v>1016.96</v>
      </c>
      <c r="G1130" s="118">
        <f>SUMIF(CONFERÊNCIA!A:A,A1130,CONFERÊNCIA!J:J)</f>
        <v>1016.96</v>
      </c>
      <c r="H1130" s="120">
        <f t="shared" si="55"/>
        <v>0</v>
      </c>
      <c r="I1130" s="171" t="s">
        <v>1234</v>
      </c>
    </row>
    <row r="1131" spans="1:9" x14ac:dyDescent="0.2">
      <c r="A1131" s="243">
        <v>113235</v>
      </c>
      <c r="B1131" s="244" t="s">
        <v>664</v>
      </c>
      <c r="C1131" s="244" t="s">
        <v>5</v>
      </c>
      <c r="D1131" s="244" t="s">
        <v>0</v>
      </c>
      <c r="E1131" s="245">
        <v>43617</v>
      </c>
      <c r="F1131" s="118">
        <v>1016.96</v>
      </c>
      <c r="G1131" s="118">
        <f>SUMIF(CONFERÊNCIA!A:A,A1131,CONFERÊNCIA!J:J)</f>
        <v>1016.96</v>
      </c>
      <c r="H1131" s="120">
        <f t="shared" si="55"/>
        <v>0</v>
      </c>
      <c r="I1131" s="171" t="s">
        <v>1234</v>
      </c>
    </row>
    <row r="1132" spans="1:9" x14ac:dyDescent="0.2">
      <c r="A1132" s="243">
        <v>119125</v>
      </c>
      <c r="B1132" s="244" t="s">
        <v>1448</v>
      </c>
      <c r="C1132" s="244" t="s">
        <v>15</v>
      </c>
      <c r="D1132" s="244" t="s">
        <v>1589</v>
      </c>
      <c r="E1132" s="245">
        <v>44630</v>
      </c>
      <c r="F1132" s="118">
        <v>1016.96</v>
      </c>
      <c r="G1132" s="118">
        <f>SUMIF(CONFERÊNCIA!A:A,A1132,CONFERÊNCIA!J:J)</f>
        <v>1016.96</v>
      </c>
      <c r="H1132" s="120">
        <f t="shared" si="55"/>
        <v>0</v>
      </c>
      <c r="I1132" s="171" t="s">
        <v>1234</v>
      </c>
    </row>
    <row r="1133" spans="1:9" x14ac:dyDescent="0.2">
      <c r="A1133" s="243">
        <v>116730</v>
      </c>
      <c r="B1133" s="244" t="s">
        <v>1226</v>
      </c>
      <c r="C1133" s="244" t="s">
        <v>15</v>
      </c>
      <c r="D1133" s="244" t="s">
        <v>1589</v>
      </c>
      <c r="E1133" s="245">
        <v>44368</v>
      </c>
      <c r="F1133" s="118">
        <v>1016.96</v>
      </c>
      <c r="G1133" s="118">
        <f>SUMIF(CONFERÊNCIA!A:A,A1133,CONFERÊNCIA!J:J)</f>
        <v>1016.96</v>
      </c>
      <c r="H1133" s="120">
        <f t="shared" si="55"/>
        <v>0</v>
      </c>
      <c r="I1133" s="171" t="s">
        <v>1234</v>
      </c>
    </row>
    <row r="1134" spans="1:9" x14ac:dyDescent="0.2">
      <c r="A1134" s="243">
        <v>114088</v>
      </c>
      <c r="B1134" s="244" t="s">
        <v>1003</v>
      </c>
      <c r="C1134" s="244" t="s">
        <v>5</v>
      </c>
      <c r="D1134" s="244" t="s">
        <v>0</v>
      </c>
      <c r="E1134" s="245">
        <v>43728</v>
      </c>
      <c r="F1134" s="118">
        <v>1016.96</v>
      </c>
      <c r="G1134" s="118">
        <f>SUMIF(CONFERÊNCIA!A:A,A1134,CONFERÊNCIA!J:J)</f>
        <v>1016.96</v>
      </c>
      <c r="H1134" s="120">
        <f t="shared" si="55"/>
        <v>0</v>
      </c>
      <c r="I1134" s="171" t="s">
        <v>1234</v>
      </c>
    </row>
    <row r="1135" spans="1:9" x14ac:dyDescent="0.2">
      <c r="A1135" s="243">
        <v>122247</v>
      </c>
      <c r="B1135" s="244" t="s">
        <v>1672</v>
      </c>
      <c r="C1135" s="244" t="s">
        <v>5</v>
      </c>
      <c r="D1135" s="244" t="s">
        <v>0</v>
      </c>
      <c r="E1135" s="245">
        <v>45089</v>
      </c>
      <c r="F1135" s="118">
        <v>1016.96</v>
      </c>
      <c r="G1135" s="118">
        <f>SUMIF(CONFERÊNCIA!A:A,A1135,CONFERÊNCIA!J:J)</f>
        <v>940.39</v>
      </c>
      <c r="H1135" s="120">
        <f t="shared" si="55"/>
        <v>-76.57000000000005</v>
      </c>
      <c r="I1135" s="171" t="s">
        <v>1234</v>
      </c>
    </row>
    <row r="1136" spans="1:9" x14ac:dyDescent="0.2">
      <c r="A1136" s="243">
        <v>114980</v>
      </c>
      <c r="B1136" s="244" t="s">
        <v>1139</v>
      </c>
      <c r="C1136" s="244" t="s">
        <v>5</v>
      </c>
      <c r="D1136" s="244" t="s">
        <v>0</v>
      </c>
      <c r="E1136" s="245">
        <v>43917</v>
      </c>
      <c r="F1136" s="118">
        <v>1016.96</v>
      </c>
      <c r="G1136" s="118">
        <f>SUMIF(CONFERÊNCIA!A:A,A1136,CONFERÊNCIA!J:J)</f>
        <v>1016.96</v>
      </c>
      <c r="H1136" s="120">
        <f t="shared" si="55"/>
        <v>0</v>
      </c>
      <c r="I1136" s="171" t="s">
        <v>1234</v>
      </c>
    </row>
    <row r="1137" spans="1:9" x14ac:dyDescent="0.2">
      <c r="A1137" s="243">
        <v>113255</v>
      </c>
      <c r="B1137" s="244" t="s">
        <v>673</v>
      </c>
      <c r="C1137" s="244" t="s">
        <v>22</v>
      </c>
      <c r="D1137" s="244" t="s">
        <v>1589</v>
      </c>
      <c r="E1137" s="245">
        <v>43617</v>
      </c>
      <c r="F1137" s="118">
        <v>1016.96</v>
      </c>
      <c r="G1137" s="118">
        <f>SUMIF(CONFERÊNCIA!A:A,A1137,CONFERÊNCIA!J:J)</f>
        <v>1016.96</v>
      </c>
      <c r="H1137" s="120">
        <f t="shared" si="55"/>
        <v>0</v>
      </c>
      <c r="I1137" s="171" t="s">
        <v>1234</v>
      </c>
    </row>
    <row r="1138" spans="1:9" x14ac:dyDescent="0.2">
      <c r="A1138" s="243">
        <v>116983</v>
      </c>
      <c r="B1138" s="244" t="s">
        <v>1249</v>
      </c>
      <c r="C1138" s="244" t="s">
        <v>5</v>
      </c>
      <c r="D1138" s="244" t="s">
        <v>0</v>
      </c>
      <c r="E1138" s="245">
        <v>44419</v>
      </c>
      <c r="F1138" s="118">
        <v>1016.96</v>
      </c>
      <c r="G1138" s="118">
        <f>SUMIF(CONFERÊNCIA!A:A,A1138,CONFERÊNCIA!J:J)</f>
        <v>1016.96</v>
      </c>
      <c r="H1138" s="120">
        <f t="shared" si="55"/>
        <v>0</v>
      </c>
      <c r="I1138" s="171" t="s">
        <v>1234</v>
      </c>
    </row>
    <row r="1139" spans="1:9" x14ac:dyDescent="0.2">
      <c r="A1139" s="243">
        <v>113262</v>
      </c>
      <c r="B1139" s="244" t="s">
        <v>676</v>
      </c>
      <c r="C1139" s="244" t="s">
        <v>2</v>
      </c>
      <c r="D1139" s="244" t="s">
        <v>10</v>
      </c>
      <c r="E1139" s="245">
        <v>43617</v>
      </c>
      <c r="F1139" s="118">
        <v>1016.96</v>
      </c>
      <c r="G1139" s="118">
        <f>SUMIF(CONFERÊNCIA!A:A,A1139,CONFERÊNCIA!J:J)</f>
        <v>1016.96</v>
      </c>
      <c r="H1139" s="120">
        <f t="shared" si="55"/>
        <v>0</v>
      </c>
      <c r="I1139" s="171" t="s">
        <v>1234</v>
      </c>
    </row>
    <row r="1140" spans="1:9" x14ac:dyDescent="0.2">
      <c r="A1140" s="243">
        <v>116720</v>
      </c>
      <c r="B1140" s="244" t="s">
        <v>680</v>
      </c>
      <c r="C1140" s="244" t="s">
        <v>2</v>
      </c>
      <c r="D1140" s="244" t="s">
        <v>10</v>
      </c>
      <c r="E1140" s="245">
        <v>44368</v>
      </c>
      <c r="F1140" s="118">
        <v>1016.96</v>
      </c>
      <c r="G1140" s="118">
        <f>SUMIF(CONFERÊNCIA!A:A,A1140,CONFERÊNCIA!J:J)</f>
        <v>1016.96</v>
      </c>
      <c r="H1140" s="120">
        <f t="shared" si="55"/>
        <v>0</v>
      </c>
      <c r="I1140" s="171" t="s">
        <v>1234</v>
      </c>
    </row>
    <row r="1141" spans="1:9" x14ac:dyDescent="0.2">
      <c r="A1141" s="243">
        <v>113288</v>
      </c>
      <c r="B1141" s="244" t="s">
        <v>691</v>
      </c>
      <c r="C1141" s="244" t="s">
        <v>2</v>
      </c>
      <c r="D1141" s="244" t="s">
        <v>0</v>
      </c>
      <c r="E1141" s="245">
        <v>43617</v>
      </c>
      <c r="F1141" s="118">
        <v>1016.96</v>
      </c>
      <c r="G1141" s="118">
        <f>SUMIF(CONFERÊNCIA!A:A,A1141,CONFERÊNCIA!J:J)</f>
        <v>1016.96</v>
      </c>
      <c r="H1141" s="120">
        <f t="shared" si="55"/>
        <v>0</v>
      </c>
      <c r="I1141" s="171" t="s">
        <v>1234</v>
      </c>
    </row>
    <row r="1142" spans="1:9" x14ac:dyDescent="0.2">
      <c r="A1142" s="243">
        <v>120623</v>
      </c>
      <c r="B1142" s="244" t="s">
        <v>1517</v>
      </c>
      <c r="C1142" s="244" t="s">
        <v>205</v>
      </c>
      <c r="D1142" s="244" t="s">
        <v>1589</v>
      </c>
      <c r="E1142" s="245">
        <v>44837</v>
      </c>
      <c r="F1142" s="118">
        <v>1016.96</v>
      </c>
      <c r="G1142" s="118">
        <f>SUMIF(CONFERÊNCIA!A:A,A1142,CONFERÊNCIA!J:J)</f>
        <v>1016.96</v>
      </c>
      <c r="H1142" s="120">
        <f t="shared" si="55"/>
        <v>0</v>
      </c>
      <c r="I1142" s="171" t="s">
        <v>1234</v>
      </c>
    </row>
    <row r="1143" spans="1:9" x14ac:dyDescent="0.2">
      <c r="A1143" s="243">
        <v>114742</v>
      </c>
      <c r="B1143" s="244" t="s">
        <v>1090</v>
      </c>
      <c r="C1143" s="244" t="s">
        <v>5</v>
      </c>
      <c r="D1143" s="244" t="s">
        <v>0</v>
      </c>
      <c r="E1143" s="245">
        <v>43874</v>
      </c>
      <c r="F1143" s="118">
        <v>359.46</v>
      </c>
      <c r="G1143" s="118">
        <f>SUMIF(CONFERÊNCIA!A:A,A1143,CONFERÊNCIA!J:J)</f>
        <v>1055.92</v>
      </c>
      <c r="H1143" s="120">
        <f t="shared" si="55"/>
        <v>696.46</v>
      </c>
      <c r="I1143" s="171" t="s">
        <v>1234</v>
      </c>
    </row>
    <row r="1144" spans="1:9" x14ac:dyDescent="0.2">
      <c r="A1144" s="243">
        <v>113350</v>
      </c>
      <c r="B1144" s="244" t="s">
        <v>721</v>
      </c>
      <c r="C1144" s="244" t="s">
        <v>5</v>
      </c>
      <c r="D1144" s="244" t="s">
        <v>0</v>
      </c>
      <c r="E1144" s="245">
        <v>43617</v>
      </c>
      <c r="F1144" s="118">
        <v>1016.96</v>
      </c>
      <c r="G1144" s="118">
        <f>SUMIF(CONFERÊNCIA!A:A,A1144,CONFERÊNCIA!J:J)</f>
        <v>1016.96</v>
      </c>
      <c r="H1144" s="120">
        <f t="shared" si="55"/>
        <v>0</v>
      </c>
      <c r="I1144" s="171" t="s">
        <v>1234</v>
      </c>
    </row>
    <row r="1145" spans="1:9" x14ac:dyDescent="0.2">
      <c r="A1145" s="243">
        <v>113356</v>
      </c>
      <c r="B1145" s="244" t="s">
        <v>648</v>
      </c>
      <c r="C1145" s="244" t="s">
        <v>5</v>
      </c>
      <c r="D1145" s="244" t="s">
        <v>8</v>
      </c>
      <c r="E1145" s="245">
        <v>43617</v>
      </c>
      <c r="F1145" s="118">
        <v>1016.96</v>
      </c>
      <c r="G1145" s="118">
        <f>SUMIF(CONFERÊNCIA!A:A,A1145,CONFERÊNCIA!J:J)</f>
        <v>1016.96</v>
      </c>
      <c r="H1145" s="120">
        <f t="shared" si="55"/>
        <v>0</v>
      </c>
      <c r="I1145" s="171" t="s">
        <v>1234</v>
      </c>
    </row>
    <row r="1146" spans="1:9" x14ac:dyDescent="0.2">
      <c r="A1146" s="243">
        <v>113365</v>
      </c>
      <c r="B1146" s="244" t="s">
        <v>648</v>
      </c>
      <c r="C1146" s="244" t="s">
        <v>15</v>
      </c>
      <c r="D1146" s="244" t="s">
        <v>1589</v>
      </c>
      <c r="E1146" s="245">
        <v>43617</v>
      </c>
      <c r="F1146" s="118">
        <v>1016.96</v>
      </c>
      <c r="G1146" s="118">
        <f>SUMIF(CONFERÊNCIA!A:A,A1146,CONFERÊNCIA!J:J)</f>
        <v>1016.96</v>
      </c>
      <c r="H1146" s="120">
        <f t="shared" si="55"/>
        <v>0</v>
      </c>
      <c r="I1146" s="171" t="s">
        <v>1234</v>
      </c>
    </row>
    <row r="1147" spans="1:9" x14ac:dyDescent="0.2">
      <c r="A1147" s="243">
        <v>122424</v>
      </c>
      <c r="B1147" s="244" t="s">
        <v>1712</v>
      </c>
      <c r="C1147" s="244" t="s">
        <v>5</v>
      </c>
      <c r="D1147" s="244" t="s">
        <v>1589</v>
      </c>
      <c r="E1147" s="245">
        <v>45117</v>
      </c>
      <c r="F1147" s="118">
        <v>1016.96</v>
      </c>
      <c r="G1147" s="118">
        <f>SUMIF(CONFERÊNCIA!A:A,A1147,CONFERÊNCIA!J:J)</f>
        <v>902.11</v>
      </c>
      <c r="H1147" s="120">
        <f t="shared" si="55"/>
        <v>-114.85000000000002</v>
      </c>
      <c r="I1147" s="171" t="s">
        <v>1234</v>
      </c>
    </row>
    <row r="1148" spans="1:9" x14ac:dyDescent="0.2">
      <c r="A1148" s="243">
        <v>113389</v>
      </c>
      <c r="B1148" s="244" t="s">
        <v>748</v>
      </c>
      <c r="C1148" s="244" t="s">
        <v>22</v>
      </c>
      <c r="D1148" s="244" t="s">
        <v>1589</v>
      </c>
      <c r="E1148" s="245">
        <v>43617</v>
      </c>
      <c r="F1148" s="118">
        <v>1016.96</v>
      </c>
      <c r="G1148" s="118">
        <f>SUMIF(CONFERÊNCIA!A:A,A1148,CONFERÊNCIA!J:J)</f>
        <v>1016.96</v>
      </c>
      <c r="H1148" s="120">
        <f t="shared" si="55"/>
        <v>0</v>
      </c>
      <c r="I1148" s="171" t="s">
        <v>1234</v>
      </c>
    </row>
    <row r="1149" spans="1:9" x14ac:dyDescent="0.2">
      <c r="A1149" s="243">
        <v>119646</v>
      </c>
      <c r="B1149" s="244" t="s">
        <v>1478</v>
      </c>
      <c r="C1149" s="244" t="s">
        <v>5</v>
      </c>
      <c r="D1149" s="244" t="s">
        <v>8</v>
      </c>
      <c r="E1149" s="245">
        <v>44725</v>
      </c>
      <c r="F1149" s="118">
        <v>1016.96</v>
      </c>
      <c r="G1149" s="118">
        <f>SUMIF(CONFERÊNCIA!A:A,A1149,CONFERÊNCIA!J:J)</f>
        <v>1016.96</v>
      </c>
      <c r="H1149" s="120">
        <f t="shared" si="55"/>
        <v>0</v>
      </c>
      <c r="I1149" s="171" t="s">
        <v>1234</v>
      </c>
    </row>
    <row r="1150" spans="1:9" x14ac:dyDescent="0.2">
      <c r="A1150" s="243">
        <v>121028</v>
      </c>
      <c r="B1150" s="244" t="s">
        <v>1527</v>
      </c>
      <c r="C1150" s="244" t="s">
        <v>2</v>
      </c>
      <c r="D1150" s="244" t="s">
        <v>32</v>
      </c>
      <c r="E1150" s="245">
        <v>44900</v>
      </c>
      <c r="F1150" s="118">
        <v>1016.96</v>
      </c>
      <c r="G1150" s="118">
        <f>SUMIF(CONFERÊNCIA!A:A,A1150,CONFERÊNCIA!J:J)</f>
        <v>1016.96</v>
      </c>
      <c r="H1150" s="120">
        <f t="shared" si="55"/>
        <v>0</v>
      </c>
      <c r="I1150" s="171" t="s">
        <v>1234</v>
      </c>
    </row>
    <row r="1151" spans="1:9" x14ac:dyDescent="0.2">
      <c r="A1151" s="243">
        <v>113399</v>
      </c>
      <c r="B1151" s="244" t="s">
        <v>756</v>
      </c>
      <c r="C1151" s="244" t="s">
        <v>5</v>
      </c>
      <c r="D1151" s="244" t="s">
        <v>8</v>
      </c>
      <c r="E1151" s="245">
        <v>43617</v>
      </c>
      <c r="F1151" s="118">
        <v>1016.96</v>
      </c>
      <c r="G1151" s="118">
        <f>SUMIF(CONFERÊNCIA!A:A,A1151,CONFERÊNCIA!J:J)</f>
        <v>1016.96</v>
      </c>
      <c r="H1151" s="120">
        <f t="shared" si="55"/>
        <v>0</v>
      </c>
      <c r="I1151" s="171" t="s">
        <v>1234</v>
      </c>
    </row>
    <row r="1152" spans="1:9" x14ac:dyDescent="0.2">
      <c r="A1152" s="243">
        <v>113407</v>
      </c>
      <c r="B1152" s="244" t="s">
        <v>761</v>
      </c>
      <c r="C1152" s="244" t="s">
        <v>15</v>
      </c>
      <c r="D1152" s="244" t="s">
        <v>1589</v>
      </c>
      <c r="E1152" s="245">
        <v>43617</v>
      </c>
      <c r="F1152" s="118">
        <v>1016.96</v>
      </c>
      <c r="G1152" s="118">
        <f>SUMIF(CONFERÊNCIA!A:A,A1152,CONFERÊNCIA!J:J)</f>
        <v>1016.96</v>
      </c>
      <c r="H1152" s="120">
        <f t="shared" si="55"/>
        <v>0</v>
      </c>
      <c r="I1152" s="171" t="s">
        <v>1234</v>
      </c>
    </row>
    <row r="1153" spans="1:9" x14ac:dyDescent="0.2">
      <c r="A1153" s="243">
        <v>113429</v>
      </c>
      <c r="B1153" s="244" t="s">
        <v>775</v>
      </c>
      <c r="C1153" s="244" t="s">
        <v>2</v>
      </c>
      <c r="D1153" s="244" t="s">
        <v>0</v>
      </c>
      <c r="E1153" s="245">
        <v>43617</v>
      </c>
      <c r="F1153" s="118">
        <v>1016.96</v>
      </c>
      <c r="G1153" s="118">
        <f>SUMIF(CONFERÊNCIA!A:A,A1153,CONFERÊNCIA!J:J)</f>
        <v>1016.96</v>
      </c>
      <c r="H1153" s="120">
        <f t="shared" si="55"/>
        <v>0</v>
      </c>
      <c r="I1153" s="171" t="s">
        <v>1234</v>
      </c>
    </row>
    <row r="1154" spans="1:9" x14ac:dyDescent="0.2">
      <c r="A1154" s="243">
        <v>113436</v>
      </c>
      <c r="B1154" s="244" t="s">
        <v>780</v>
      </c>
      <c r="C1154" s="244" t="s">
        <v>2</v>
      </c>
      <c r="D1154" s="244" t="s">
        <v>10</v>
      </c>
      <c r="E1154" s="245">
        <v>43617</v>
      </c>
      <c r="F1154" s="118">
        <v>1016.96</v>
      </c>
      <c r="G1154" s="118">
        <f>SUMIF(CONFERÊNCIA!A:A,A1154,CONFERÊNCIA!J:J)</f>
        <v>1016.96</v>
      </c>
      <c r="H1154" s="120">
        <f t="shared" si="55"/>
        <v>0</v>
      </c>
      <c r="I1154" s="171" t="s">
        <v>1234</v>
      </c>
    </row>
    <row r="1155" spans="1:9" x14ac:dyDescent="0.2">
      <c r="A1155" s="243">
        <v>122086</v>
      </c>
      <c r="B1155" s="244" t="s">
        <v>1645</v>
      </c>
      <c r="C1155" s="244" t="s">
        <v>5</v>
      </c>
      <c r="D1155" s="244" t="s">
        <v>1589</v>
      </c>
      <c r="E1155" s="245">
        <v>45061</v>
      </c>
      <c r="F1155" s="118">
        <v>1016.96</v>
      </c>
      <c r="G1155" s="118">
        <f>SUMIF(CONFERÊNCIA!A:A,A1155,CONFERÊNCIA!J:J)</f>
        <v>1016.96</v>
      </c>
      <c r="H1155" s="120">
        <f t="shared" si="55"/>
        <v>0</v>
      </c>
      <c r="I1155" s="171" t="s">
        <v>1234</v>
      </c>
    </row>
    <row r="1156" spans="1:9" x14ac:dyDescent="0.2">
      <c r="A1156" s="243">
        <v>113443</v>
      </c>
      <c r="B1156" s="244" t="s">
        <v>374</v>
      </c>
      <c r="C1156" s="244" t="s">
        <v>2</v>
      </c>
      <c r="D1156" s="244" t="s">
        <v>19</v>
      </c>
      <c r="E1156" s="245">
        <v>43617</v>
      </c>
      <c r="F1156" s="118">
        <v>1016.96</v>
      </c>
      <c r="G1156" s="118">
        <f>SUMIF(CONFERÊNCIA!A:A,A1156,CONFERÊNCIA!J:J)</f>
        <v>1016.96</v>
      </c>
      <c r="H1156" s="120">
        <f t="shared" si="55"/>
        <v>0</v>
      </c>
      <c r="I1156" s="171" t="s">
        <v>1234</v>
      </c>
    </row>
    <row r="1157" spans="1:9" x14ac:dyDescent="0.2">
      <c r="A1157" s="243">
        <v>113449</v>
      </c>
      <c r="B1157" s="244" t="s">
        <v>788</v>
      </c>
      <c r="C1157" s="244" t="s">
        <v>5</v>
      </c>
      <c r="D1157" s="244" t="s">
        <v>0</v>
      </c>
      <c r="E1157" s="245">
        <v>43617</v>
      </c>
      <c r="F1157" s="118">
        <v>1016.96</v>
      </c>
      <c r="G1157" s="118">
        <f>SUMIF(CONFERÊNCIA!A:A,A1157,CONFERÊNCIA!J:J)</f>
        <v>1016.96</v>
      </c>
      <c r="H1157" s="120">
        <f t="shared" si="55"/>
        <v>0</v>
      </c>
      <c r="I1157" s="171" t="s">
        <v>1234</v>
      </c>
    </row>
    <row r="1158" spans="1:9" x14ac:dyDescent="0.2">
      <c r="A1158" s="243">
        <v>113463</v>
      </c>
      <c r="B1158" s="244" t="s">
        <v>795</v>
      </c>
      <c r="C1158" s="244" t="s">
        <v>2</v>
      </c>
      <c r="D1158" s="244" t="s">
        <v>32</v>
      </c>
      <c r="E1158" s="245">
        <v>43617</v>
      </c>
      <c r="F1158" s="118">
        <v>1016.96</v>
      </c>
      <c r="G1158" s="118">
        <f>SUMIF(CONFERÊNCIA!A:A,A1158,CONFERÊNCIA!J:J)</f>
        <v>1016.96</v>
      </c>
      <c r="H1158" s="120">
        <f t="shared" ref="H1158:H1195" si="56">G1158-F1158</f>
        <v>0</v>
      </c>
      <c r="I1158" s="171" t="s">
        <v>1234</v>
      </c>
    </row>
    <row r="1159" spans="1:9" x14ac:dyDescent="0.2">
      <c r="A1159" s="243">
        <v>113470</v>
      </c>
      <c r="B1159" s="244" t="s">
        <v>799</v>
      </c>
      <c r="C1159" s="244" t="s">
        <v>2</v>
      </c>
      <c r="D1159" s="244" t="s">
        <v>0</v>
      </c>
      <c r="E1159" s="245">
        <v>43617</v>
      </c>
      <c r="F1159" s="118">
        <v>1016.96</v>
      </c>
      <c r="G1159" s="118">
        <f>SUMIF(CONFERÊNCIA!A:A,A1159,CONFERÊNCIA!J:J)</f>
        <v>1016.96</v>
      </c>
      <c r="H1159" s="120">
        <f t="shared" si="56"/>
        <v>0</v>
      </c>
      <c r="I1159" s="171" t="s">
        <v>1235</v>
      </c>
    </row>
    <row r="1160" spans="1:9" x14ac:dyDescent="0.2">
      <c r="A1160" s="243">
        <v>113708</v>
      </c>
      <c r="B1160" s="244" t="s">
        <v>928</v>
      </c>
      <c r="C1160" s="244" t="s">
        <v>5</v>
      </c>
      <c r="D1160" s="244" t="s">
        <v>32</v>
      </c>
      <c r="E1160" s="245">
        <v>43617</v>
      </c>
      <c r="F1160" s="118">
        <v>1016.96</v>
      </c>
      <c r="G1160" s="118">
        <f>SUMIF(CONFERÊNCIA!A:A,A1160,CONFERÊNCIA!J:J)</f>
        <v>1016.96</v>
      </c>
      <c r="H1160" s="120">
        <f t="shared" si="56"/>
        <v>0</v>
      </c>
      <c r="I1160" s="171" t="s">
        <v>1234</v>
      </c>
    </row>
    <row r="1161" spans="1:9" x14ac:dyDescent="0.2">
      <c r="A1161" s="243">
        <v>113742</v>
      </c>
      <c r="B1161" s="244" t="s">
        <v>965</v>
      </c>
      <c r="C1161" s="244" t="s">
        <v>1718</v>
      </c>
      <c r="D1161" s="244" t="s">
        <v>1591</v>
      </c>
      <c r="E1161" s="245">
        <v>43619</v>
      </c>
      <c r="F1161" s="118">
        <v>1016.96</v>
      </c>
      <c r="G1161" s="118">
        <f>SUMIF(CONFERÊNCIA!A:A,A1161,CONFERÊNCIA!J:J)</f>
        <v>1016.96</v>
      </c>
      <c r="H1161" s="120">
        <f t="shared" si="56"/>
        <v>0</v>
      </c>
      <c r="I1161" s="171" t="s">
        <v>1234</v>
      </c>
    </row>
    <row r="1162" spans="1:9" x14ac:dyDescent="0.2">
      <c r="A1162" s="243">
        <v>120178</v>
      </c>
      <c r="B1162" s="244" t="s">
        <v>1505</v>
      </c>
      <c r="C1162" s="244" t="s">
        <v>5</v>
      </c>
      <c r="D1162" s="244" t="s">
        <v>1589</v>
      </c>
      <c r="E1162" s="245">
        <v>44791</v>
      </c>
      <c r="F1162" s="118">
        <v>1016.96</v>
      </c>
      <c r="G1162" s="118">
        <f>SUMIF(CONFERÊNCIA!A:A,A1162,CONFERÊNCIA!J:J)</f>
        <v>1016.96</v>
      </c>
      <c r="H1162" s="120">
        <f t="shared" si="56"/>
        <v>0</v>
      </c>
      <c r="I1162" s="171" t="s">
        <v>1234</v>
      </c>
    </row>
    <row r="1163" spans="1:9" x14ac:dyDescent="0.2">
      <c r="A1163" s="243">
        <v>122348</v>
      </c>
      <c r="B1163" s="244" t="s">
        <v>1673</v>
      </c>
      <c r="C1163" s="244" t="s">
        <v>2</v>
      </c>
      <c r="D1163" s="244" t="s">
        <v>8</v>
      </c>
      <c r="E1163" s="245">
        <v>45098</v>
      </c>
      <c r="F1163" s="118">
        <v>1016.96</v>
      </c>
      <c r="G1163" s="118">
        <f>SUMIF(CONFERÊNCIA!A:A,A1163,CONFERÊNCIA!J:J)</f>
        <v>1016.96</v>
      </c>
      <c r="H1163" s="120">
        <f t="shared" si="56"/>
        <v>0</v>
      </c>
      <c r="I1163" s="171" t="s">
        <v>1234</v>
      </c>
    </row>
    <row r="1164" spans="1:9" x14ac:dyDescent="0.2">
      <c r="A1164" s="243">
        <v>113764</v>
      </c>
      <c r="B1164" s="244" t="s">
        <v>970</v>
      </c>
      <c r="C1164" s="244" t="s">
        <v>1668</v>
      </c>
      <c r="D1164" s="244" t="s">
        <v>1589</v>
      </c>
      <c r="E1164" s="245">
        <v>43621</v>
      </c>
      <c r="F1164" s="118">
        <v>1016.96</v>
      </c>
      <c r="G1164" s="118">
        <f>SUMIF(CONFERÊNCIA!A:A,A1164,CONFERÊNCIA!J:J)</f>
        <v>1016.96</v>
      </c>
      <c r="H1164" s="120">
        <f t="shared" si="56"/>
        <v>0</v>
      </c>
      <c r="I1164" s="171" t="s">
        <v>1234</v>
      </c>
    </row>
    <row r="1165" spans="1:9" x14ac:dyDescent="0.2">
      <c r="A1165" s="243">
        <v>113477</v>
      </c>
      <c r="B1165" s="244" t="s">
        <v>802</v>
      </c>
      <c r="C1165" s="244" t="s">
        <v>5</v>
      </c>
      <c r="D1165" s="244" t="s">
        <v>10</v>
      </c>
      <c r="E1165" s="245">
        <v>43617</v>
      </c>
      <c r="F1165" s="118">
        <v>1016.96</v>
      </c>
      <c r="G1165" s="118">
        <f>SUMIF(CONFERÊNCIA!A:A,A1165,CONFERÊNCIA!J:J)</f>
        <v>1016.96</v>
      </c>
      <c r="H1165" s="120">
        <f t="shared" si="56"/>
        <v>0</v>
      </c>
      <c r="I1165" s="171" t="s">
        <v>1234</v>
      </c>
    </row>
    <row r="1166" spans="1:9" x14ac:dyDescent="0.2">
      <c r="A1166" s="243">
        <v>113493</v>
      </c>
      <c r="B1166" s="244" t="s">
        <v>811</v>
      </c>
      <c r="C1166" s="244" t="s">
        <v>2</v>
      </c>
      <c r="D1166" s="244" t="s">
        <v>0</v>
      </c>
      <c r="E1166" s="245">
        <v>43617</v>
      </c>
      <c r="F1166" s="118">
        <v>327.88</v>
      </c>
      <c r="G1166" s="118">
        <f>SUMIF(CONFERÊNCIA!A:A,A1166,CONFERÊNCIA!J:J)</f>
        <v>0</v>
      </c>
      <c r="H1166" s="120">
        <f t="shared" si="56"/>
        <v>-327.88</v>
      </c>
      <c r="I1166" s="171" t="s">
        <v>1234</v>
      </c>
    </row>
    <row r="1167" spans="1:9" x14ac:dyDescent="0.2">
      <c r="A1167" s="243">
        <v>113496</v>
      </c>
      <c r="B1167" s="244" t="s">
        <v>812</v>
      </c>
      <c r="C1167" s="244" t="s">
        <v>2</v>
      </c>
      <c r="D1167" s="244" t="s">
        <v>10</v>
      </c>
      <c r="E1167" s="245">
        <v>43617</v>
      </c>
      <c r="F1167" s="118">
        <v>1016.96</v>
      </c>
      <c r="G1167" s="118">
        <f>SUMIF(CONFERÊNCIA!A:A,A1167,CONFERÊNCIA!J:J)</f>
        <v>1016.96</v>
      </c>
      <c r="H1167" s="120">
        <f t="shared" si="56"/>
        <v>0</v>
      </c>
      <c r="I1167" s="171" t="s">
        <v>1234</v>
      </c>
    </row>
    <row r="1168" spans="1:9" x14ac:dyDescent="0.2">
      <c r="A1168" s="243">
        <v>114554</v>
      </c>
      <c r="B1168" s="244" t="s">
        <v>1061</v>
      </c>
      <c r="C1168" s="244" t="s">
        <v>5</v>
      </c>
      <c r="D1168" s="244" t="s">
        <v>8</v>
      </c>
      <c r="E1168" s="245">
        <v>43817</v>
      </c>
      <c r="F1168" s="118">
        <v>1016.96</v>
      </c>
      <c r="G1168" s="118">
        <f>SUMIF(CONFERÊNCIA!A:A,A1168,CONFERÊNCIA!J:J)</f>
        <v>978.67000000000007</v>
      </c>
      <c r="H1168" s="120">
        <f t="shared" si="56"/>
        <v>-38.289999999999964</v>
      </c>
      <c r="I1168" s="171" t="s">
        <v>1235</v>
      </c>
    </row>
    <row r="1169" spans="1:9" x14ac:dyDescent="0.2">
      <c r="A1169" s="243">
        <v>113500</v>
      </c>
      <c r="B1169" s="244" t="s">
        <v>815</v>
      </c>
      <c r="C1169" s="244" t="s">
        <v>5</v>
      </c>
      <c r="D1169" s="244" t="s">
        <v>19</v>
      </c>
      <c r="E1169" s="245">
        <v>43617</v>
      </c>
      <c r="F1169" s="118">
        <v>1016.96</v>
      </c>
      <c r="G1169" s="118">
        <f>SUMIF(CONFERÊNCIA!A:A,A1169,CONFERÊNCIA!J:J)</f>
        <v>1016.96</v>
      </c>
      <c r="H1169" s="120">
        <f t="shared" si="56"/>
        <v>0</v>
      </c>
      <c r="I1169" s="171" t="s">
        <v>1234</v>
      </c>
    </row>
    <row r="1170" spans="1:9" x14ac:dyDescent="0.2">
      <c r="A1170" s="243">
        <v>113504</v>
      </c>
      <c r="B1170" s="244" t="s">
        <v>816</v>
      </c>
      <c r="C1170" s="244" t="s">
        <v>2</v>
      </c>
      <c r="D1170" s="244" t="s">
        <v>19</v>
      </c>
      <c r="E1170" s="245">
        <v>43617</v>
      </c>
      <c r="F1170" s="118">
        <v>1016.96</v>
      </c>
      <c r="G1170" s="118">
        <f>SUMIF(CONFERÊNCIA!A:A,A1170,CONFERÊNCIA!J:J)</f>
        <v>1016.96</v>
      </c>
      <c r="H1170" s="120">
        <f t="shared" si="56"/>
        <v>0</v>
      </c>
      <c r="I1170" s="171" t="s">
        <v>1234</v>
      </c>
    </row>
    <row r="1171" spans="1:9" x14ac:dyDescent="0.2">
      <c r="A1171" s="243">
        <v>116985</v>
      </c>
      <c r="B1171" s="244" t="s">
        <v>1250</v>
      </c>
      <c r="C1171" s="244" t="s">
        <v>5</v>
      </c>
      <c r="D1171" s="244" t="s">
        <v>0</v>
      </c>
      <c r="E1171" s="245">
        <v>44419</v>
      </c>
      <c r="F1171" s="118">
        <v>1016.96</v>
      </c>
      <c r="G1171" s="118">
        <f>SUMIF(CONFERÊNCIA!A:A,A1171,CONFERÊNCIA!J:J)</f>
        <v>1016.96</v>
      </c>
      <c r="H1171" s="120">
        <f t="shared" si="56"/>
        <v>0</v>
      </c>
      <c r="I1171" s="171" t="s">
        <v>1234</v>
      </c>
    </row>
    <row r="1172" spans="1:9" x14ac:dyDescent="0.2">
      <c r="A1172" s="243">
        <v>113520</v>
      </c>
      <c r="B1172" s="244" t="s">
        <v>824</v>
      </c>
      <c r="C1172" s="244" t="s">
        <v>146</v>
      </c>
      <c r="D1172" s="244" t="s">
        <v>32</v>
      </c>
      <c r="E1172" s="245">
        <v>43617</v>
      </c>
      <c r="F1172" s="118">
        <v>1016.96</v>
      </c>
      <c r="G1172" s="118">
        <f>SUMIF(CONFERÊNCIA!A:A,A1172,CONFERÊNCIA!J:J)</f>
        <v>1016.96</v>
      </c>
      <c r="H1172" s="120">
        <f t="shared" si="56"/>
        <v>0</v>
      </c>
      <c r="I1172" s="171" t="s">
        <v>1234</v>
      </c>
    </row>
    <row r="1173" spans="1:9" x14ac:dyDescent="0.2">
      <c r="A1173" s="243">
        <v>113526</v>
      </c>
      <c r="B1173" s="244" t="s">
        <v>827</v>
      </c>
      <c r="C1173" s="244" t="s">
        <v>5</v>
      </c>
      <c r="D1173" s="244" t="s">
        <v>19</v>
      </c>
      <c r="E1173" s="245">
        <v>43617</v>
      </c>
      <c r="F1173" s="118">
        <v>1016.96</v>
      </c>
      <c r="G1173" s="118">
        <f>SUMIF(CONFERÊNCIA!A:A,A1173,CONFERÊNCIA!J:J)</f>
        <v>1016.96</v>
      </c>
      <c r="H1173" s="120">
        <f t="shared" si="56"/>
        <v>0</v>
      </c>
      <c r="I1173" s="171" t="s">
        <v>1234</v>
      </c>
    </row>
    <row r="1174" spans="1:9" x14ac:dyDescent="0.2">
      <c r="A1174" s="243">
        <v>121325</v>
      </c>
      <c r="B1174" s="244" t="s">
        <v>1545</v>
      </c>
      <c r="C1174" s="244" t="s">
        <v>2</v>
      </c>
      <c r="D1174" s="244" t="s">
        <v>32</v>
      </c>
      <c r="E1174" s="245">
        <v>44945</v>
      </c>
      <c r="F1174" s="118">
        <v>1016.96</v>
      </c>
      <c r="G1174" s="118">
        <f>SUMIF(CONFERÊNCIA!A:A,A1174,CONFERÊNCIA!J:J)</f>
        <v>978.67000000000007</v>
      </c>
      <c r="H1174" s="120">
        <f t="shared" si="56"/>
        <v>-38.289999999999964</v>
      </c>
      <c r="I1174" s="171" t="s">
        <v>1234</v>
      </c>
    </row>
    <row r="1175" spans="1:9" x14ac:dyDescent="0.2">
      <c r="A1175" s="243">
        <v>113531</v>
      </c>
      <c r="B1175" s="244" t="s">
        <v>830</v>
      </c>
      <c r="C1175" s="244" t="s">
        <v>2</v>
      </c>
      <c r="D1175" s="244" t="s">
        <v>10</v>
      </c>
      <c r="E1175" s="245">
        <v>43617</v>
      </c>
      <c r="F1175" s="118">
        <v>1016.96</v>
      </c>
      <c r="G1175" s="118">
        <f>SUMIF(CONFERÊNCIA!A:A,A1175,CONFERÊNCIA!J:J)</f>
        <v>1016.96</v>
      </c>
      <c r="H1175" s="120">
        <f t="shared" si="56"/>
        <v>0</v>
      </c>
      <c r="I1175" s="171" t="s">
        <v>1234</v>
      </c>
    </row>
    <row r="1176" spans="1:9" x14ac:dyDescent="0.2">
      <c r="A1176" s="243">
        <v>113536</v>
      </c>
      <c r="B1176" s="244" t="s">
        <v>834</v>
      </c>
      <c r="C1176" s="244" t="s">
        <v>2</v>
      </c>
      <c r="D1176" s="244" t="s">
        <v>10</v>
      </c>
      <c r="E1176" s="245">
        <v>43617</v>
      </c>
      <c r="F1176" s="118">
        <v>1016.96</v>
      </c>
      <c r="G1176" s="118">
        <f>SUMIF(CONFERÊNCIA!A:A,A1176,CONFERÊNCIA!J:J)</f>
        <v>1016.96</v>
      </c>
      <c r="H1176" s="120">
        <f t="shared" si="56"/>
        <v>0</v>
      </c>
      <c r="I1176" s="171" t="s">
        <v>1234</v>
      </c>
    </row>
    <row r="1177" spans="1:9" x14ac:dyDescent="0.2">
      <c r="A1177" s="243">
        <v>113547</v>
      </c>
      <c r="B1177" s="244" t="s">
        <v>841</v>
      </c>
      <c r="C1177" s="244" t="s">
        <v>146</v>
      </c>
      <c r="D1177" s="244" t="s">
        <v>8</v>
      </c>
      <c r="E1177" s="245">
        <v>43617</v>
      </c>
      <c r="F1177" s="118">
        <v>1016.96</v>
      </c>
      <c r="G1177" s="118">
        <f>SUMIF(CONFERÊNCIA!A:A,A1177,CONFERÊNCIA!J:J)</f>
        <v>1016.96</v>
      </c>
      <c r="H1177" s="120">
        <f t="shared" si="56"/>
        <v>0</v>
      </c>
      <c r="I1177" s="171" t="s">
        <v>1234</v>
      </c>
    </row>
    <row r="1178" spans="1:9" x14ac:dyDescent="0.2">
      <c r="A1178" s="243">
        <v>113552</v>
      </c>
      <c r="B1178" s="244" t="s">
        <v>846</v>
      </c>
      <c r="C1178" s="244" t="s">
        <v>22</v>
      </c>
      <c r="D1178" s="244" t="s">
        <v>1589</v>
      </c>
      <c r="E1178" s="245">
        <v>43617</v>
      </c>
      <c r="F1178" s="118">
        <v>1016.96</v>
      </c>
      <c r="G1178" s="118">
        <f>SUMIF(CONFERÊNCIA!A:A,A1178,CONFERÊNCIA!J:J)</f>
        <v>1016.96</v>
      </c>
      <c r="H1178" s="120">
        <f t="shared" si="56"/>
        <v>0</v>
      </c>
      <c r="I1178" s="171" t="s">
        <v>1234</v>
      </c>
    </row>
    <row r="1179" spans="1:9" x14ac:dyDescent="0.2">
      <c r="A1179" s="243">
        <v>113555</v>
      </c>
      <c r="B1179" s="244" t="s">
        <v>728</v>
      </c>
      <c r="C1179" s="244" t="s">
        <v>2</v>
      </c>
      <c r="D1179" s="244" t="s">
        <v>19</v>
      </c>
      <c r="E1179" s="245">
        <v>43617</v>
      </c>
      <c r="F1179" s="118">
        <v>1016.96</v>
      </c>
      <c r="G1179" s="118">
        <f>SUMIF(CONFERÊNCIA!A:A,A1179,CONFERÊNCIA!J:J)</f>
        <v>1016.96</v>
      </c>
      <c r="H1179" s="120">
        <f t="shared" si="56"/>
        <v>0</v>
      </c>
      <c r="I1179" s="171" t="s">
        <v>1234</v>
      </c>
    </row>
    <row r="1180" spans="1:9" x14ac:dyDescent="0.2">
      <c r="A1180" s="243">
        <v>113557</v>
      </c>
      <c r="B1180" s="244" t="s">
        <v>848</v>
      </c>
      <c r="C1180" s="244" t="s">
        <v>2</v>
      </c>
      <c r="D1180" s="244" t="s">
        <v>32</v>
      </c>
      <c r="E1180" s="245">
        <v>43617</v>
      </c>
      <c r="F1180" s="118">
        <v>1016.96</v>
      </c>
      <c r="G1180" s="118">
        <f>SUMIF(CONFERÊNCIA!A:A,A1180,CONFERÊNCIA!J:J)</f>
        <v>1016.96</v>
      </c>
      <c r="H1180" s="120">
        <f t="shared" si="56"/>
        <v>0</v>
      </c>
      <c r="I1180" s="171" t="s">
        <v>1234</v>
      </c>
    </row>
    <row r="1181" spans="1:9" x14ac:dyDescent="0.2">
      <c r="A1181" s="243">
        <v>113559</v>
      </c>
      <c r="B1181" s="244" t="s">
        <v>850</v>
      </c>
      <c r="C1181" s="244" t="s">
        <v>2</v>
      </c>
      <c r="D1181" s="244" t="s">
        <v>0</v>
      </c>
      <c r="E1181" s="245">
        <v>43617</v>
      </c>
      <c r="F1181" s="118">
        <v>1016.96</v>
      </c>
      <c r="G1181" s="118">
        <f>SUMIF(CONFERÊNCIA!A:A,A1181,CONFERÊNCIA!J:J)</f>
        <v>1016.96</v>
      </c>
      <c r="H1181" s="120">
        <f t="shared" si="56"/>
        <v>0</v>
      </c>
      <c r="I1181" s="171" t="s">
        <v>1234</v>
      </c>
    </row>
    <row r="1182" spans="1:9" x14ac:dyDescent="0.2">
      <c r="A1182" s="243">
        <v>113565</v>
      </c>
      <c r="B1182" s="244" t="s">
        <v>853</v>
      </c>
      <c r="C1182" s="244" t="s">
        <v>15</v>
      </c>
      <c r="D1182" s="244" t="s">
        <v>1589</v>
      </c>
      <c r="E1182" s="245">
        <v>43617</v>
      </c>
      <c r="F1182" s="118">
        <v>1016.96</v>
      </c>
      <c r="G1182" s="118">
        <f>SUMIF(CONFERÊNCIA!A:A,A1182,CONFERÊNCIA!J:J)</f>
        <v>1016.96</v>
      </c>
      <c r="H1182" s="120">
        <f t="shared" si="56"/>
        <v>0</v>
      </c>
      <c r="I1182" s="171" t="s">
        <v>1234</v>
      </c>
    </row>
    <row r="1183" spans="1:9" x14ac:dyDescent="0.2">
      <c r="A1183" s="243">
        <v>121816</v>
      </c>
      <c r="B1183" s="244" t="s">
        <v>1607</v>
      </c>
      <c r="C1183" s="244" t="s">
        <v>1464</v>
      </c>
      <c r="D1183" s="244" t="s">
        <v>1591</v>
      </c>
      <c r="E1183" s="245">
        <v>45019</v>
      </c>
      <c r="F1183" s="118">
        <v>657.5</v>
      </c>
      <c r="G1183" s="118">
        <f>SUMIF(CONFERÊNCIA!A:A,A1183,CONFERÊNCIA!J:J)</f>
        <v>657.5</v>
      </c>
      <c r="H1183" s="120">
        <f t="shared" si="56"/>
        <v>0</v>
      </c>
      <c r="I1183" s="171" t="s">
        <v>1234</v>
      </c>
    </row>
    <row r="1184" spans="1:9" x14ac:dyDescent="0.2">
      <c r="A1184" s="243">
        <v>113573</v>
      </c>
      <c r="B1184" s="244" t="s">
        <v>856</v>
      </c>
      <c r="C1184" s="244" t="s">
        <v>2</v>
      </c>
      <c r="D1184" s="244" t="s">
        <v>8</v>
      </c>
      <c r="E1184" s="245">
        <v>43617</v>
      </c>
      <c r="F1184" s="118">
        <v>1016.96</v>
      </c>
      <c r="G1184" s="118">
        <f>SUMIF(CONFERÊNCIA!A:A,A1184,CONFERÊNCIA!J:J)</f>
        <v>1016.96</v>
      </c>
      <c r="H1184" s="120">
        <f t="shared" si="56"/>
        <v>0</v>
      </c>
      <c r="I1184" s="171" t="s">
        <v>1234</v>
      </c>
    </row>
    <row r="1185" spans="1:9" x14ac:dyDescent="0.2">
      <c r="A1185" s="243">
        <v>113577</v>
      </c>
      <c r="B1185" s="244" t="s">
        <v>857</v>
      </c>
      <c r="C1185" s="244" t="s">
        <v>22</v>
      </c>
      <c r="D1185" s="244" t="s">
        <v>1589</v>
      </c>
      <c r="E1185" s="245">
        <v>43617</v>
      </c>
      <c r="F1185" s="118">
        <v>1016.96</v>
      </c>
      <c r="G1185" s="118">
        <f>SUMIF(CONFERÊNCIA!A:A,A1185,CONFERÊNCIA!J:J)</f>
        <v>1016.96</v>
      </c>
      <c r="H1185" s="120">
        <f t="shared" si="56"/>
        <v>0</v>
      </c>
      <c r="I1185" s="171" t="s">
        <v>1234</v>
      </c>
    </row>
    <row r="1186" spans="1:9" x14ac:dyDescent="0.2">
      <c r="A1186" s="243">
        <v>113687</v>
      </c>
      <c r="B1186" s="244" t="s">
        <v>918</v>
      </c>
      <c r="C1186" s="244" t="s">
        <v>2</v>
      </c>
      <c r="D1186" s="244" t="s">
        <v>0</v>
      </c>
      <c r="E1186" s="245">
        <v>43617</v>
      </c>
      <c r="F1186" s="118">
        <v>1016.96</v>
      </c>
      <c r="G1186" s="118">
        <f>SUMIF(CONFERÊNCIA!A:A,A1186,CONFERÊNCIA!J:J)</f>
        <v>1016.96</v>
      </c>
      <c r="H1186" s="120">
        <f t="shared" si="56"/>
        <v>0</v>
      </c>
      <c r="I1186" s="171" t="s">
        <v>1234</v>
      </c>
    </row>
    <row r="1187" spans="1:9" x14ac:dyDescent="0.2">
      <c r="A1187" s="243">
        <v>113587</v>
      </c>
      <c r="B1187" s="244" t="s">
        <v>863</v>
      </c>
      <c r="C1187" s="244" t="s">
        <v>2</v>
      </c>
      <c r="D1187" s="244" t="s">
        <v>32</v>
      </c>
      <c r="E1187" s="245">
        <v>43617</v>
      </c>
      <c r="F1187" s="118">
        <v>1016.96</v>
      </c>
      <c r="G1187" s="118">
        <f>SUMIF(CONFERÊNCIA!A:A,A1187,CONFERÊNCIA!J:J)</f>
        <v>1016.96</v>
      </c>
      <c r="H1187" s="120">
        <f t="shared" si="56"/>
        <v>0</v>
      </c>
      <c r="I1187" s="171" t="s">
        <v>1234</v>
      </c>
    </row>
    <row r="1188" spans="1:9" x14ac:dyDescent="0.2">
      <c r="A1188" s="243">
        <v>114259</v>
      </c>
      <c r="B1188" s="244" t="s">
        <v>1026</v>
      </c>
      <c r="C1188" s="244" t="s">
        <v>5</v>
      </c>
      <c r="D1188" s="244" t="s">
        <v>32</v>
      </c>
      <c r="E1188" s="245">
        <v>43804</v>
      </c>
      <c r="F1188" s="118">
        <v>1016.96</v>
      </c>
      <c r="G1188" s="118">
        <f>SUMIF(CONFERÊNCIA!A:A,A1188,CONFERÊNCIA!J:J)</f>
        <v>1016.96</v>
      </c>
      <c r="H1188" s="120">
        <f t="shared" si="56"/>
        <v>0</v>
      </c>
      <c r="I1188" s="171" t="s">
        <v>1234</v>
      </c>
    </row>
    <row r="1189" spans="1:9" x14ac:dyDescent="0.2">
      <c r="A1189" s="243">
        <v>113608</v>
      </c>
      <c r="B1189" s="244" t="s">
        <v>873</v>
      </c>
      <c r="C1189" s="244" t="s">
        <v>2</v>
      </c>
      <c r="D1189" s="244" t="s">
        <v>19</v>
      </c>
      <c r="E1189" s="245">
        <v>43617</v>
      </c>
      <c r="F1189" s="118">
        <v>1016.96</v>
      </c>
      <c r="G1189" s="118">
        <f>SUMIF(CONFERÊNCIA!A:A,A1189,CONFERÊNCIA!J:J)</f>
        <v>1016.96</v>
      </c>
      <c r="H1189" s="120">
        <f t="shared" si="56"/>
        <v>0</v>
      </c>
      <c r="I1189" s="171" t="s">
        <v>1234</v>
      </c>
    </row>
    <row r="1190" spans="1:9" x14ac:dyDescent="0.2">
      <c r="A1190" s="243">
        <v>113667</v>
      </c>
      <c r="B1190" s="244" t="s">
        <v>907</v>
      </c>
      <c r="C1190" s="244" t="s">
        <v>2</v>
      </c>
      <c r="D1190" s="244" t="s">
        <v>19</v>
      </c>
      <c r="E1190" s="245">
        <v>43617</v>
      </c>
      <c r="F1190" s="118">
        <v>1016.96</v>
      </c>
      <c r="G1190" s="118">
        <f>SUMIF(CONFERÊNCIA!A:A,A1190,CONFERÊNCIA!J:J)</f>
        <v>1016.96</v>
      </c>
      <c r="H1190" s="120">
        <f t="shared" si="56"/>
        <v>0</v>
      </c>
      <c r="I1190" s="171" t="s">
        <v>1234</v>
      </c>
    </row>
    <row r="1191" spans="1:9" x14ac:dyDescent="0.2">
      <c r="A1191" s="243">
        <v>113668</v>
      </c>
      <c r="B1191" s="244" t="s">
        <v>908</v>
      </c>
      <c r="C1191" s="244" t="s">
        <v>15</v>
      </c>
      <c r="D1191" s="244" t="s">
        <v>1589</v>
      </c>
      <c r="E1191" s="245">
        <v>43617</v>
      </c>
      <c r="F1191" s="118">
        <v>1016.96</v>
      </c>
      <c r="G1191" s="118">
        <f>SUMIF(CONFERÊNCIA!A:A,A1191,CONFERÊNCIA!J:J)</f>
        <v>1016.96</v>
      </c>
      <c r="H1191" s="120">
        <f t="shared" si="56"/>
        <v>0</v>
      </c>
      <c r="I1191" s="171" t="s">
        <v>1234</v>
      </c>
    </row>
    <row r="1192" spans="1:9" x14ac:dyDescent="0.2">
      <c r="A1192" s="243">
        <v>114099</v>
      </c>
      <c r="B1192" s="244" t="s">
        <v>1007</v>
      </c>
      <c r="C1192" s="244" t="s">
        <v>5</v>
      </c>
      <c r="D1192" s="244" t="s">
        <v>1589</v>
      </c>
      <c r="E1192" s="245">
        <v>43728</v>
      </c>
      <c r="F1192" s="118">
        <v>1016.96</v>
      </c>
      <c r="G1192" s="118">
        <f>SUMIF(CONFERÊNCIA!A:A,A1192,CONFERÊNCIA!J:J)</f>
        <v>1016.96</v>
      </c>
      <c r="H1192" s="120">
        <f t="shared" si="56"/>
        <v>0</v>
      </c>
      <c r="I1192" s="171" t="s">
        <v>1234</v>
      </c>
    </row>
    <row r="1193" spans="1:9" x14ac:dyDescent="0.2">
      <c r="A1193" s="243">
        <v>113663</v>
      </c>
      <c r="B1193" s="244" t="s">
        <v>905</v>
      </c>
      <c r="C1193" s="244" t="s">
        <v>15</v>
      </c>
      <c r="D1193" s="244" t="s">
        <v>1589</v>
      </c>
      <c r="E1193" s="245">
        <v>43617</v>
      </c>
      <c r="F1193" s="118">
        <v>1016.96</v>
      </c>
      <c r="G1193" s="118">
        <f>SUMIF(CONFERÊNCIA!A:A,A1193,CONFERÊNCIA!J:J)</f>
        <v>1016.96</v>
      </c>
      <c r="H1193" s="120">
        <f t="shared" si="56"/>
        <v>0</v>
      </c>
      <c r="I1193" s="171" t="s">
        <v>1234</v>
      </c>
    </row>
    <row r="1194" spans="1:9" x14ac:dyDescent="0.2">
      <c r="A1194" s="243">
        <v>114539</v>
      </c>
      <c r="B1194" s="244" t="s">
        <v>1055</v>
      </c>
      <c r="C1194" s="244" t="s">
        <v>2</v>
      </c>
      <c r="D1194" s="244" t="s">
        <v>0</v>
      </c>
      <c r="E1194" s="245">
        <v>43817</v>
      </c>
      <c r="F1194" s="118">
        <v>1016.96</v>
      </c>
      <c r="G1194" s="118">
        <f>SUMIF(CONFERÊNCIA!A:A,A1194,CONFERÊNCIA!J:J)</f>
        <v>1016.96</v>
      </c>
      <c r="H1194" s="120">
        <f t="shared" si="56"/>
        <v>0</v>
      </c>
      <c r="I1194" s="171" t="s">
        <v>1234</v>
      </c>
    </row>
    <row r="1195" spans="1:9" x14ac:dyDescent="0.2">
      <c r="A1195" s="243">
        <v>119675</v>
      </c>
      <c r="B1195" s="244" t="s">
        <v>1479</v>
      </c>
      <c r="C1195" s="244" t="s">
        <v>5</v>
      </c>
      <c r="D1195" s="244" t="s">
        <v>1589</v>
      </c>
      <c r="E1195" s="245">
        <v>44725</v>
      </c>
      <c r="F1195" s="118">
        <v>1016.96</v>
      </c>
      <c r="G1195" s="118">
        <f>SUMIF(CONFERÊNCIA!A:A,A1195,CONFERÊNCIA!J:J)</f>
        <v>1016.96</v>
      </c>
      <c r="H1195" s="120">
        <f t="shared" si="56"/>
        <v>0</v>
      </c>
      <c r="I1195" s="171" t="s">
        <v>1234</v>
      </c>
    </row>
    <row r="1196" spans="1:9" x14ac:dyDescent="0.2">
      <c r="A1196" s="243">
        <v>113658</v>
      </c>
      <c r="B1196" s="244" t="s">
        <v>902</v>
      </c>
      <c r="C1196" s="244" t="s">
        <v>146</v>
      </c>
      <c r="D1196" s="244" t="s">
        <v>10</v>
      </c>
      <c r="E1196" s="245">
        <v>43617</v>
      </c>
      <c r="F1196" s="118">
        <v>1016.96</v>
      </c>
      <c r="G1196" s="118">
        <f>SUMIF(CONFERÊNCIA!A:A,A1196,CONFERÊNCIA!J:J)</f>
        <v>1016.96</v>
      </c>
      <c r="H1196" s="120">
        <f t="shared" ref="H1196:H1238" si="57">G1196-F1196</f>
        <v>0</v>
      </c>
      <c r="I1196" s="171" t="s">
        <v>1234</v>
      </c>
    </row>
    <row r="1197" spans="1:9" x14ac:dyDescent="0.2">
      <c r="A1197" s="243">
        <v>113654</v>
      </c>
      <c r="B1197" s="244" t="s">
        <v>899</v>
      </c>
      <c r="C1197" s="244" t="s">
        <v>22</v>
      </c>
      <c r="D1197" s="244" t="s">
        <v>1589</v>
      </c>
      <c r="E1197" s="245">
        <v>43617</v>
      </c>
      <c r="F1197" s="118">
        <v>1016.96</v>
      </c>
      <c r="G1197" s="118">
        <f>SUMIF(CONFERÊNCIA!A:A,A1197,CONFERÊNCIA!J:J)</f>
        <v>1016.96</v>
      </c>
      <c r="H1197" s="120">
        <f t="shared" si="57"/>
        <v>0</v>
      </c>
      <c r="I1197" s="171" t="s">
        <v>1234</v>
      </c>
    </row>
    <row r="1198" spans="1:9" x14ac:dyDescent="0.2">
      <c r="A1198" s="243">
        <v>113929</v>
      </c>
      <c r="B1198" s="244" t="s">
        <v>994</v>
      </c>
      <c r="C1198" s="244" t="s">
        <v>2</v>
      </c>
      <c r="D1198" s="244" t="s">
        <v>0</v>
      </c>
      <c r="E1198" s="245">
        <v>43682</v>
      </c>
      <c r="F1198" s="118">
        <v>1016.96</v>
      </c>
      <c r="G1198" s="118">
        <f>SUMIF(CONFERÊNCIA!A:A,A1198,CONFERÊNCIA!J:J)</f>
        <v>1016.96</v>
      </c>
      <c r="H1198" s="120">
        <f t="shared" si="57"/>
        <v>0</v>
      </c>
      <c r="I1198" s="171" t="s">
        <v>1234</v>
      </c>
    </row>
    <row r="1199" spans="1:9" x14ac:dyDescent="0.2">
      <c r="A1199" s="243">
        <v>118055</v>
      </c>
      <c r="B1199" s="244" t="s">
        <v>1414</v>
      </c>
      <c r="C1199" s="244" t="s">
        <v>5</v>
      </c>
      <c r="D1199" s="244" t="s">
        <v>8</v>
      </c>
      <c r="E1199" s="245">
        <v>44567</v>
      </c>
      <c r="F1199" s="118">
        <v>1016.96</v>
      </c>
      <c r="G1199" s="118">
        <f>SUMIF(CONFERÊNCIA!A:A,A1199,CONFERÊNCIA!J:J)</f>
        <v>978.67000000000007</v>
      </c>
      <c r="H1199" s="120">
        <f t="shared" si="57"/>
        <v>-38.289999999999964</v>
      </c>
      <c r="I1199" s="171" t="s">
        <v>1235</v>
      </c>
    </row>
    <row r="1200" spans="1:9" x14ac:dyDescent="0.2">
      <c r="A1200" s="243">
        <v>114933</v>
      </c>
      <c r="B1200" s="244" t="s">
        <v>1120</v>
      </c>
      <c r="C1200" s="244" t="s">
        <v>22</v>
      </c>
      <c r="D1200" s="244" t="s">
        <v>1589</v>
      </c>
      <c r="E1200" s="245">
        <v>43916</v>
      </c>
      <c r="F1200" s="118">
        <v>1016.96</v>
      </c>
      <c r="G1200" s="118">
        <f>SUMIF(CONFERÊNCIA!A:A,A1200,CONFERÊNCIA!J:J)</f>
        <v>1016.96</v>
      </c>
      <c r="H1200" s="120">
        <f t="shared" si="57"/>
        <v>0</v>
      </c>
      <c r="I1200" s="171" t="s">
        <v>1234</v>
      </c>
    </row>
    <row r="1201" spans="1:9" x14ac:dyDescent="0.2">
      <c r="A1201" s="243">
        <v>116232</v>
      </c>
      <c r="B1201" s="244" t="s">
        <v>1198</v>
      </c>
      <c r="C1201" s="244" t="s">
        <v>5</v>
      </c>
      <c r="D1201" s="244" t="s">
        <v>0</v>
      </c>
      <c r="E1201" s="245">
        <v>44273</v>
      </c>
      <c r="F1201" s="118">
        <v>1016.96</v>
      </c>
      <c r="G1201" s="118">
        <f>SUMIF(CONFERÊNCIA!A:A,A1201,CONFERÊNCIA!J:J)</f>
        <v>1016.96</v>
      </c>
      <c r="H1201" s="120">
        <f t="shared" si="57"/>
        <v>0</v>
      </c>
      <c r="I1201" s="171" t="s">
        <v>1234</v>
      </c>
    </row>
    <row r="1202" spans="1:9" x14ac:dyDescent="0.2">
      <c r="A1202" s="243">
        <v>113884</v>
      </c>
      <c r="B1202" s="244" t="s">
        <v>1255</v>
      </c>
      <c r="C1202" s="244" t="s">
        <v>1256</v>
      </c>
      <c r="D1202" s="244" t="s">
        <v>1252</v>
      </c>
      <c r="E1202" s="245">
        <v>43663</v>
      </c>
      <c r="F1202" s="118">
        <v>1380</v>
      </c>
      <c r="G1202" s="118">
        <f>SUMIF(CONFERÊNCIA!A:A,A1202,CONFERÊNCIA!J:J)</f>
        <v>1200</v>
      </c>
      <c r="H1202" s="120">
        <f t="shared" si="57"/>
        <v>-180</v>
      </c>
      <c r="I1202" s="171" t="s">
        <v>1234</v>
      </c>
    </row>
    <row r="1203" spans="1:9" x14ac:dyDescent="0.2">
      <c r="A1203" s="243">
        <v>113648</v>
      </c>
      <c r="B1203" s="244" t="s">
        <v>896</v>
      </c>
      <c r="C1203" s="244" t="s">
        <v>2</v>
      </c>
      <c r="D1203" s="244" t="s">
        <v>0</v>
      </c>
      <c r="E1203" s="245">
        <v>43617</v>
      </c>
      <c r="F1203" s="118">
        <v>1016.96</v>
      </c>
      <c r="G1203" s="118">
        <f>SUMIF(CONFERÊNCIA!A:A,A1203,CONFERÊNCIA!J:J)</f>
        <v>1016.96</v>
      </c>
      <c r="H1203" s="120">
        <f t="shared" si="57"/>
        <v>0</v>
      </c>
      <c r="I1203" s="171" t="s">
        <v>1234</v>
      </c>
    </row>
    <row r="1204" spans="1:9" x14ac:dyDescent="0.2">
      <c r="A1204" s="243">
        <v>113643</v>
      </c>
      <c r="B1204" s="244" t="s">
        <v>893</v>
      </c>
      <c r="C1204" s="244" t="s">
        <v>5</v>
      </c>
      <c r="D1204" s="244" t="s">
        <v>0</v>
      </c>
      <c r="E1204" s="245">
        <v>43617</v>
      </c>
      <c r="F1204" s="118">
        <v>1016.96</v>
      </c>
      <c r="G1204" s="118">
        <f>SUMIF(CONFERÊNCIA!A:A,A1204,CONFERÊNCIA!J:J)</f>
        <v>1016.96</v>
      </c>
      <c r="H1204" s="120">
        <f t="shared" si="57"/>
        <v>0</v>
      </c>
      <c r="I1204" s="171" t="s">
        <v>1234</v>
      </c>
    </row>
    <row r="1205" spans="1:9" x14ac:dyDescent="0.2">
      <c r="A1205" s="243">
        <v>113638</v>
      </c>
      <c r="B1205" s="244" t="s">
        <v>892</v>
      </c>
      <c r="C1205" s="244" t="s">
        <v>146</v>
      </c>
      <c r="D1205" s="244" t="s">
        <v>8</v>
      </c>
      <c r="E1205" s="245">
        <v>43617</v>
      </c>
      <c r="F1205" s="118">
        <v>1016.96</v>
      </c>
      <c r="G1205" s="118">
        <f>SUMIF(CONFERÊNCIA!A:A,A1205,CONFERÊNCIA!J:J)</f>
        <v>1016.96</v>
      </c>
      <c r="H1205" s="120">
        <f t="shared" si="57"/>
        <v>0</v>
      </c>
      <c r="I1205" s="171" t="s">
        <v>1234</v>
      </c>
    </row>
    <row r="1206" spans="1:9" x14ac:dyDescent="0.2">
      <c r="A1206" s="243">
        <v>113634</v>
      </c>
      <c r="B1206" s="244" t="s">
        <v>888</v>
      </c>
      <c r="C1206" s="244" t="s">
        <v>22</v>
      </c>
      <c r="D1206" s="244" t="s">
        <v>1589</v>
      </c>
      <c r="E1206" s="245">
        <v>43617</v>
      </c>
      <c r="F1206" s="118">
        <v>1016.96</v>
      </c>
      <c r="G1206" s="118">
        <f>SUMIF(CONFERÊNCIA!A:A,A1206,CONFERÊNCIA!J:J)</f>
        <v>1016.96</v>
      </c>
      <c r="H1206" s="120">
        <f t="shared" si="57"/>
        <v>0</v>
      </c>
      <c r="I1206" s="171" t="s">
        <v>1234</v>
      </c>
    </row>
    <row r="1207" spans="1:9" x14ac:dyDescent="0.2">
      <c r="A1207" s="243">
        <v>113630</v>
      </c>
      <c r="B1207" s="244" t="s">
        <v>885</v>
      </c>
      <c r="C1207" s="244" t="s">
        <v>2</v>
      </c>
      <c r="D1207" s="244" t="s">
        <v>32</v>
      </c>
      <c r="E1207" s="245">
        <v>43617</v>
      </c>
      <c r="F1207" s="118">
        <v>1016.96</v>
      </c>
      <c r="G1207" s="118">
        <f>SUMIF(CONFERÊNCIA!A:A,A1207,CONFERÊNCIA!J:J)</f>
        <v>1016.96</v>
      </c>
      <c r="H1207" s="120">
        <f t="shared" si="57"/>
        <v>0</v>
      </c>
      <c r="I1207" s="171" t="s">
        <v>1234</v>
      </c>
    </row>
    <row r="1208" spans="1:9" x14ac:dyDescent="0.2">
      <c r="A1208" s="243">
        <v>113627</v>
      </c>
      <c r="B1208" s="244" t="s">
        <v>883</v>
      </c>
      <c r="C1208" s="244" t="s">
        <v>5</v>
      </c>
      <c r="D1208" s="244" t="s">
        <v>10</v>
      </c>
      <c r="E1208" s="245">
        <v>43617</v>
      </c>
      <c r="F1208" s="118">
        <v>1016.96</v>
      </c>
      <c r="G1208" s="118">
        <f>SUMIF(CONFERÊNCIA!A:A,A1208,CONFERÊNCIA!J:J)</f>
        <v>1016.96</v>
      </c>
      <c r="H1208" s="120">
        <f t="shared" si="57"/>
        <v>0</v>
      </c>
      <c r="I1208" s="171" t="s">
        <v>1234</v>
      </c>
    </row>
    <row r="1209" spans="1:9" x14ac:dyDescent="0.2">
      <c r="A1209" s="243">
        <v>114734</v>
      </c>
      <c r="B1209" s="244" t="s">
        <v>1088</v>
      </c>
      <c r="C1209" s="244" t="s">
        <v>5</v>
      </c>
      <c r="D1209" s="244" t="s">
        <v>0</v>
      </c>
      <c r="E1209" s="245">
        <v>43874</v>
      </c>
      <c r="F1209" s="118">
        <v>1016.96</v>
      </c>
      <c r="G1209" s="118">
        <f>SUMIF(CONFERÊNCIA!A:A,A1209,CONFERÊNCIA!J:J)</f>
        <v>1016.96</v>
      </c>
      <c r="H1209" s="120">
        <f t="shared" si="57"/>
        <v>0</v>
      </c>
      <c r="I1209" s="171" t="s">
        <v>1234</v>
      </c>
    </row>
    <row r="1210" spans="1:9" x14ac:dyDescent="0.2">
      <c r="A1210" s="243">
        <v>113734</v>
      </c>
      <c r="B1210" s="244" t="s">
        <v>951</v>
      </c>
      <c r="C1210" s="244" t="s">
        <v>952</v>
      </c>
      <c r="D1210" s="244" t="s">
        <v>1589</v>
      </c>
      <c r="E1210" s="245">
        <v>43619</v>
      </c>
      <c r="F1210" s="118">
        <v>1016.96</v>
      </c>
      <c r="G1210" s="118">
        <f>SUMIF(CONFERÊNCIA!A:A,A1210,CONFERÊNCIA!J:J)</f>
        <v>1016.96</v>
      </c>
      <c r="H1210" s="120">
        <f t="shared" si="57"/>
        <v>0</v>
      </c>
      <c r="I1210" s="171" t="s">
        <v>1234</v>
      </c>
    </row>
    <row r="1211" spans="1:9" x14ac:dyDescent="0.2">
      <c r="A1211" s="243">
        <v>122403</v>
      </c>
      <c r="B1211" s="244" t="s">
        <v>1713</v>
      </c>
      <c r="C1211" s="244" t="s">
        <v>5</v>
      </c>
      <c r="D1211" s="244" t="s">
        <v>1589</v>
      </c>
      <c r="E1211" s="245">
        <v>45117</v>
      </c>
      <c r="F1211" s="118">
        <v>1016.96</v>
      </c>
      <c r="G1211" s="118">
        <f>SUMIF(CONFERÊNCIA!A:A,A1211,CONFERÊNCIA!J:J)</f>
        <v>1016.96</v>
      </c>
      <c r="H1211" s="120">
        <f t="shared" si="57"/>
        <v>0</v>
      </c>
      <c r="I1211" s="171" t="s">
        <v>1234</v>
      </c>
    </row>
    <row r="1212" spans="1:9" x14ac:dyDescent="0.2">
      <c r="A1212" s="243">
        <v>116329</v>
      </c>
      <c r="B1212" s="244" t="s">
        <v>1211</v>
      </c>
      <c r="C1212" s="244" t="s">
        <v>5</v>
      </c>
      <c r="D1212" s="244" t="s">
        <v>0</v>
      </c>
      <c r="E1212" s="245">
        <v>44308</v>
      </c>
      <c r="F1212" s="118">
        <v>1016.96</v>
      </c>
      <c r="G1212" s="118">
        <f>SUMIF(CONFERÊNCIA!A:A,A1212,CONFERÊNCIA!J:J)</f>
        <v>978.67000000000007</v>
      </c>
      <c r="H1212" s="120">
        <f t="shared" si="57"/>
        <v>-38.289999999999964</v>
      </c>
      <c r="I1212" s="171" t="s">
        <v>1234</v>
      </c>
    </row>
    <row r="1213" spans="1:9" x14ac:dyDescent="0.2">
      <c r="A1213" s="243">
        <v>118642</v>
      </c>
      <c r="B1213" s="244" t="s">
        <v>1415</v>
      </c>
      <c r="C1213" s="244" t="s">
        <v>941</v>
      </c>
      <c r="D1213" s="244" t="s">
        <v>1589</v>
      </c>
      <c r="E1213" s="245">
        <v>44582</v>
      </c>
      <c r="F1213" s="118">
        <v>1016.96</v>
      </c>
      <c r="G1213" s="118">
        <f>SUMIF(CONFERÊNCIA!A:A,A1213,CONFERÊNCIA!J:J)</f>
        <v>1016.96</v>
      </c>
      <c r="H1213" s="120">
        <f t="shared" si="57"/>
        <v>0</v>
      </c>
      <c r="I1213" s="171" t="s">
        <v>1234</v>
      </c>
    </row>
    <row r="1214" spans="1:9" x14ac:dyDescent="0.2">
      <c r="A1214" s="243">
        <v>114031</v>
      </c>
      <c r="B1214" s="244" t="s">
        <v>1000</v>
      </c>
      <c r="C1214" s="244" t="s">
        <v>146</v>
      </c>
      <c r="D1214" s="244" t="s">
        <v>10</v>
      </c>
      <c r="E1214" s="245">
        <v>43710</v>
      </c>
      <c r="F1214" s="118">
        <v>1016.96</v>
      </c>
      <c r="G1214" s="118">
        <f>SUMIF(CONFERÊNCIA!A:A,A1214,CONFERÊNCIA!J:J)</f>
        <v>1016.96</v>
      </c>
      <c r="H1214" s="120">
        <f t="shared" si="57"/>
        <v>0</v>
      </c>
      <c r="I1214" s="171" t="s">
        <v>1234</v>
      </c>
    </row>
    <row r="1215" spans="1:9" x14ac:dyDescent="0.2">
      <c r="A1215" s="243">
        <v>113689</v>
      </c>
      <c r="B1215" s="244" t="s">
        <v>919</v>
      </c>
      <c r="C1215" s="244" t="s">
        <v>2</v>
      </c>
      <c r="D1215" s="244" t="s">
        <v>8</v>
      </c>
      <c r="E1215" s="245">
        <v>43617</v>
      </c>
      <c r="F1215" s="118">
        <v>1016.96</v>
      </c>
      <c r="G1215" s="118">
        <f>SUMIF(CONFERÊNCIA!A:A,A1215,CONFERÊNCIA!J:J)</f>
        <v>1016.96</v>
      </c>
      <c r="H1215" s="120">
        <f t="shared" si="57"/>
        <v>0</v>
      </c>
      <c r="I1215" s="171" t="s">
        <v>1234</v>
      </c>
    </row>
    <row r="1216" spans="1:9" x14ac:dyDescent="0.2">
      <c r="A1216" s="243">
        <v>117240</v>
      </c>
      <c r="B1216" s="244" t="s">
        <v>1262</v>
      </c>
      <c r="C1216" s="244" t="s">
        <v>5</v>
      </c>
      <c r="D1216" s="244" t="s">
        <v>0</v>
      </c>
      <c r="E1216" s="245">
        <v>44487</v>
      </c>
      <c r="F1216" s="118">
        <v>1016.96</v>
      </c>
      <c r="G1216" s="118">
        <f>SUMIF(CONFERÊNCIA!A:A,A1216,CONFERÊNCIA!J:J)</f>
        <v>1016.96</v>
      </c>
      <c r="H1216" s="120">
        <f t="shared" si="57"/>
        <v>0</v>
      </c>
      <c r="I1216" s="171" t="s">
        <v>1234</v>
      </c>
    </row>
    <row r="1217" spans="1:9" x14ac:dyDescent="0.2">
      <c r="A1217" s="243">
        <v>120192</v>
      </c>
      <c r="B1217" s="244" t="s">
        <v>1506</v>
      </c>
      <c r="C1217" s="244" t="s">
        <v>5</v>
      </c>
      <c r="D1217" s="244" t="s">
        <v>8</v>
      </c>
      <c r="E1217" s="245">
        <v>44791</v>
      </c>
      <c r="F1217" s="118">
        <v>1016.96</v>
      </c>
      <c r="G1217" s="118">
        <f>SUMIF(CONFERÊNCIA!A:A,A1217,CONFERÊNCIA!J:J)</f>
        <v>1016.96</v>
      </c>
      <c r="H1217" s="120">
        <f t="shared" si="57"/>
        <v>0</v>
      </c>
      <c r="I1217" s="171" t="s">
        <v>1234</v>
      </c>
    </row>
    <row r="1218" spans="1:9" x14ac:dyDescent="0.2">
      <c r="A1218" s="243">
        <v>116320</v>
      </c>
      <c r="B1218" s="244" t="s">
        <v>1206</v>
      </c>
      <c r="C1218" s="244" t="s">
        <v>5</v>
      </c>
      <c r="D1218" s="244" t="s">
        <v>10</v>
      </c>
      <c r="E1218" s="245">
        <v>44308</v>
      </c>
      <c r="F1218" s="118">
        <v>1016.96</v>
      </c>
      <c r="G1218" s="118">
        <f>SUMIF(CONFERÊNCIA!A:A,A1218,CONFERÊNCIA!J:J)</f>
        <v>1016.96</v>
      </c>
      <c r="H1218" s="120">
        <f t="shared" si="57"/>
        <v>0</v>
      </c>
      <c r="I1218" s="171" t="s">
        <v>1235</v>
      </c>
    </row>
    <row r="1219" spans="1:9" x14ac:dyDescent="0.2">
      <c r="A1219" s="243">
        <v>119681</v>
      </c>
      <c r="B1219" s="244" t="s">
        <v>1480</v>
      </c>
      <c r="C1219" s="244" t="s">
        <v>5</v>
      </c>
      <c r="D1219" s="244" t="s">
        <v>10</v>
      </c>
      <c r="E1219" s="245">
        <v>44725</v>
      </c>
      <c r="F1219" s="118">
        <v>1016.96</v>
      </c>
      <c r="G1219" s="118">
        <f>SUMIF(CONFERÊNCIA!A:A,A1219,CONFERÊNCIA!J:J)</f>
        <v>1016.96</v>
      </c>
      <c r="H1219" s="120">
        <f t="shared" si="57"/>
        <v>0</v>
      </c>
      <c r="I1219" s="171" t="s">
        <v>1234</v>
      </c>
    </row>
    <row r="1220" spans="1:9" x14ac:dyDescent="0.2">
      <c r="A1220" s="243">
        <v>114258</v>
      </c>
      <c r="B1220" s="244" t="s">
        <v>1025</v>
      </c>
      <c r="C1220" s="244" t="s">
        <v>5</v>
      </c>
      <c r="D1220" s="244" t="s">
        <v>0</v>
      </c>
      <c r="E1220" s="245">
        <v>43804</v>
      </c>
      <c r="F1220" s="118">
        <v>1016.96</v>
      </c>
      <c r="G1220" s="118">
        <f>SUMIF(CONFERÊNCIA!A:A,A1220,CONFERÊNCIA!J:J)</f>
        <v>1016.96</v>
      </c>
      <c r="H1220" s="120">
        <f t="shared" si="57"/>
        <v>0</v>
      </c>
      <c r="I1220" s="171" t="s">
        <v>1234</v>
      </c>
    </row>
    <row r="1221" spans="1:9" x14ac:dyDescent="0.2">
      <c r="A1221" s="243">
        <v>113611</v>
      </c>
      <c r="B1221" s="244" t="s">
        <v>875</v>
      </c>
      <c r="C1221" s="244" t="s">
        <v>146</v>
      </c>
      <c r="D1221" s="244" t="s">
        <v>0</v>
      </c>
      <c r="E1221" s="245">
        <v>43617</v>
      </c>
      <c r="F1221" s="118">
        <v>1016.96</v>
      </c>
      <c r="G1221" s="118">
        <f>SUMIF(CONFERÊNCIA!A:A,A1221,CONFERÊNCIA!J:J)</f>
        <v>1016.96</v>
      </c>
      <c r="H1221" s="120">
        <f t="shared" si="57"/>
        <v>0</v>
      </c>
      <c r="I1221" s="171" t="s">
        <v>1234</v>
      </c>
    </row>
    <row r="1222" spans="1:9" x14ac:dyDescent="0.2">
      <c r="A1222" s="243">
        <v>112862</v>
      </c>
      <c r="B1222" s="244" t="s">
        <v>459</v>
      </c>
      <c r="C1222" s="244" t="s">
        <v>2</v>
      </c>
      <c r="D1222" s="244" t="s">
        <v>19</v>
      </c>
      <c r="E1222" s="245">
        <v>43617</v>
      </c>
      <c r="F1222" s="118">
        <v>1016.96</v>
      </c>
      <c r="G1222" s="118">
        <f>SUMIF(CONFERÊNCIA!A:A,A1222,CONFERÊNCIA!J:J)</f>
        <v>1016.96</v>
      </c>
      <c r="H1222" s="120">
        <f t="shared" si="57"/>
        <v>0</v>
      </c>
      <c r="I1222" s="171" t="s">
        <v>1234</v>
      </c>
    </row>
    <row r="1223" spans="1:9" x14ac:dyDescent="0.2">
      <c r="A1223" s="243">
        <v>112853</v>
      </c>
      <c r="B1223" s="244" t="s">
        <v>455</v>
      </c>
      <c r="C1223" s="244" t="s">
        <v>2</v>
      </c>
      <c r="D1223" s="244" t="s">
        <v>0</v>
      </c>
      <c r="E1223" s="245">
        <v>43617</v>
      </c>
      <c r="F1223" s="118">
        <v>1016.96</v>
      </c>
      <c r="G1223" s="118">
        <f>SUMIF(CONFERÊNCIA!A:A,A1223,CONFERÊNCIA!J:J)</f>
        <v>1016.96</v>
      </c>
      <c r="H1223" s="120">
        <f t="shared" si="57"/>
        <v>0</v>
      </c>
      <c r="I1223" s="171" t="s">
        <v>1234</v>
      </c>
    </row>
    <row r="1224" spans="1:9" x14ac:dyDescent="0.2">
      <c r="A1224" s="243">
        <v>114093</v>
      </c>
      <c r="B1224" s="244" t="s">
        <v>1005</v>
      </c>
      <c r="C1224" s="244" t="s">
        <v>5</v>
      </c>
      <c r="D1224" s="244" t="s">
        <v>8</v>
      </c>
      <c r="E1224" s="245">
        <v>43728</v>
      </c>
      <c r="F1224" s="118">
        <v>1016.96</v>
      </c>
      <c r="G1224" s="118">
        <f>SUMIF(CONFERÊNCIA!A:A,A1224,CONFERÊNCIA!J:J)</f>
        <v>1016.96</v>
      </c>
      <c r="H1224" s="120">
        <f t="shared" si="57"/>
        <v>0</v>
      </c>
      <c r="I1224" s="171" t="s">
        <v>1234</v>
      </c>
    </row>
    <row r="1225" spans="1:9" x14ac:dyDescent="0.2">
      <c r="A1225" s="243">
        <v>112823</v>
      </c>
      <c r="B1225" s="244" t="s">
        <v>436</v>
      </c>
      <c r="C1225" s="244" t="s">
        <v>2</v>
      </c>
      <c r="D1225" s="244" t="s">
        <v>32</v>
      </c>
      <c r="E1225" s="245">
        <v>43617</v>
      </c>
      <c r="F1225" s="118">
        <v>1016.96</v>
      </c>
      <c r="G1225" s="118">
        <f>SUMIF(CONFERÊNCIA!A:A,A1225,CONFERÊNCIA!J:J)</f>
        <v>1016.96</v>
      </c>
      <c r="H1225" s="120">
        <f t="shared" si="57"/>
        <v>0</v>
      </c>
      <c r="I1225" s="171" t="s">
        <v>1234</v>
      </c>
    </row>
    <row r="1226" spans="1:9" x14ac:dyDescent="0.2">
      <c r="A1226" s="243">
        <v>112811</v>
      </c>
      <c r="B1226" s="244" t="s">
        <v>428</v>
      </c>
      <c r="C1226" s="244" t="s">
        <v>15</v>
      </c>
      <c r="D1226" s="244" t="s">
        <v>1589</v>
      </c>
      <c r="E1226" s="245">
        <v>43617</v>
      </c>
      <c r="F1226" s="118">
        <v>1016.96</v>
      </c>
      <c r="G1226" s="118">
        <f>SUMIF(CONFERÊNCIA!A:A,A1226,CONFERÊNCIA!J:J)</f>
        <v>1016.96</v>
      </c>
      <c r="H1226" s="120">
        <f t="shared" si="57"/>
        <v>0</v>
      </c>
      <c r="I1226" s="171" t="s">
        <v>1234</v>
      </c>
    </row>
    <row r="1227" spans="1:9" x14ac:dyDescent="0.2">
      <c r="A1227" s="243">
        <v>113733</v>
      </c>
      <c r="B1227" s="244" t="s">
        <v>949</v>
      </c>
      <c r="C1227" s="244" t="s">
        <v>950</v>
      </c>
      <c r="D1227" s="244" t="s">
        <v>1589</v>
      </c>
      <c r="E1227" s="245">
        <v>43619</v>
      </c>
      <c r="F1227" s="118">
        <v>1016.96</v>
      </c>
      <c r="G1227" s="118">
        <f>SUMIF(CONFERÊNCIA!A:A,A1227,CONFERÊNCIA!J:J)</f>
        <v>1016.96</v>
      </c>
      <c r="H1227" s="120">
        <f t="shared" si="57"/>
        <v>0</v>
      </c>
      <c r="I1227" s="171" t="s">
        <v>1234</v>
      </c>
    </row>
    <row r="1228" spans="1:9" x14ac:dyDescent="0.2">
      <c r="A1228" s="243">
        <v>114732</v>
      </c>
      <c r="B1228" s="244" t="s">
        <v>1086</v>
      </c>
      <c r="C1228" s="244" t="s">
        <v>2</v>
      </c>
      <c r="D1228" s="244" t="s">
        <v>0</v>
      </c>
      <c r="E1228" s="245">
        <v>43874</v>
      </c>
      <c r="F1228" s="118">
        <v>1016.96</v>
      </c>
      <c r="G1228" s="118">
        <f>SUMIF(CONFERÊNCIA!A:A,A1228,CONFERÊNCIA!J:J)</f>
        <v>1016.96</v>
      </c>
      <c r="H1228" s="120">
        <f t="shared" si="57"/>
        <v>0</v>
      </c>
      <c r="I1228" s="171" t="s">
        <v>1234</v>
      </c>
    </row>
    <row r="1229" spans="1:9" x14ac:dyDescent="0.2">
      <c r="A1229" s="243">
        <v>112788</v>
      </c>
      <c r="B1229" s="244" t="s">
        <v>410</v>
      </c>
      <c r="C1229" s="244" t="s">
        <v>411</v>
      </c>
      <c r="D1229" s="244" t="s">
        <v>1589</v>
      </c>
      <c r="E1229" s="245">
        <v>43617</v>
      </c>
      <c r="F1229" s="118">
        <v>1016.96</v>
      </c>
      <c r="G1229" s="118">
        <f>SUMIF(CONFERÊNCIA!A:A,A1229,CONFERÊNCIA!J:J)</f>
        <v>1016.96</v>
      </c>
      <c r="H1229" s="120">
        <f t="shared" si="57"/>
        <v>0</v>
      </c>
      <c r="I1229" s="171" t="s">
        <v>1234</v>
      </c>
    </row>
    <row r="1230" spans="1:9" x14ac:dyDescent="0.2">
      <c r="A1230" s="243">
        <v>112778</v>
      </c>
      <c r="B1230" s="244" t="s">
        <v>402</v>
      </c>
      <c r="C1230" s="244" t="s">
        <v>2</v>
      </c>
      <c r="D1230" s="244" t="s">
        <v>8</v>
      </c>
      <c r="E1230" s="245">
        <v>43617</v>
      </c>
      <c r="F1230" s="118">
        <v>1016.96</v>
      </c>
      <c r="G1230" s="118">
        <f>SUMIF(CONFERÊNCIA!A:A,A1230,CONFERÊNCIA!J:J)</f>
        <v>1016.96</v>
      </c>
      <c r="H1230" s="120">
        <f t="shared" si="57"/>
        <v>0</v>
      </c>
      <c r="I1230" s="171" t="s">
        <v>1234</v>
      </c>
    </row>
    <row r="1231" spans="1:9" x14ac:dyDescent="0.2">
      <c r="A1231" s="243">
        <v>112769</v>
      </c>
      <c r="B1231" s="244" t="s">
        <v>396</v>
      </c>
      <c r="C1231" s="244" t="s">
        <v>15</v>
      </c>
      <c r="D1231" s="244" t="s">
        <v>1589</v>
      </c>
      <c r="E1231" s="245">
        <v>43617</v>
      </c>
      <c r="F1231" s="118">
        <v>1016.96</v>
      </c>
      <c r="G1231" s="118">
        <f>SUMIF(CONFERÊNCIA!A:A,A1231,CONFERÊNCIA!J:J)</f>
        <v>1016.96</v>
      </c>
      <c r="H1231" s="120">
        <f t="shared" si="57"/>
        <v>0</v>
      </c>
      <c r="I1231" s="171" t="s">
        <v>1234</v>
      </c>
    </row>
    <row r="1232" spans="1:9" x14ac:dyDescent="0.2">
      <c r="A1232" s="243">
        <v>116132</v>
      </c>
      <c r="B1232" s="244" t="s">
        <v>1191</v>
      </c>
      <c r="C1232" s="244" t="s">
        <v>15</v>
      </c>
      <c r="D1232" s="244" t="s">
        <v>1589</v>
      </c>
      <c r="E1232" s="245">
        <v>44249</v>
      </c>
      <c r="F1232" s="118">
        <v>1016.96</v>
      </c>
      <c r="G1232" s="118">
        <f>SUMIF(CONFERÊNCIA!A:A,A1232,CONFERÊNCIA!J:J)</f>
        <v>1016.96</v>
      </c>
      <c r="H1232" s="120">
        <f t="shared" si="57"/>
        <v>0</v>
      </c>
      <c r="I1232" s="171" t="s">
        <v>1234</v>
      </c>
    </row>
    <row r="1233" spans="1:9" x14ac:dyDescent="0.2">
      <c r="A1233" s="243">
        <v>112754</v>
      </c>
      <c r="B1233" s="244" t="s">
        <v>386</v>
      </c>
      <c r="C1233" s="244" t="s">
        <v>2</v>
      </c>
      <c r="D1233" s="244" t="s">
        <v>8</v>
      </c>
      <c r="E1233" s="245">
        <v>43617</v>
      </c>
      <c r="F1233" s="118">
        <v>1016.96</v>
      </c>
      <c r="G1233" s="118">
        <f>SUMIF(CONFERÊNCIA!A:A,A1233,CONFERÊNCIA!J:J)</f>
        <v>1016.96</v>
      </c>
      <c r="H1233" s="120">
        <f t="shared" si="57"/>
        <v>0</v>
      </c>
      <c r="I1233" s="171" t="s">
        <v>1234</v>
      </c>
    </row>
    <row r="1234" spans="1:9" x14ac:dyDescent="0.2">
      <c r="A1234" s="243">
        <v>113723</v>
      </c>
      <c r="B1234" s="244" t="s">
        <v>940</v>
      </c>
      <c r="C1234" s="244" t="s">
        <v>941</v>
      </c>
      <c r="D1234" s="244" t="s">
        <v>1589</v>
      </c>
      <c r="E1234" s="245">
        <v>43619</v>
      </c>
      <c r="F1234" s="118">
        <v>1016.96</v>
      </c>
      <c r="G1234" s="118">
        <f>SUMIF(CONFERÊNCIA!A:A,A1234,CONFERÊNCIA!J:J)</f>
        <v>1016.96</v>
      </c>
      <c r="H1234" s="120">
        <f t="shared" si="57"/>
        <v>0</v>
      </c>
      <c r="I1234" s="171" t="s">
        <v>1234</v>
      </c>
    </row>
    <row r="1235" spans="1:9" x14ac:dyDescent="0.2">
      <c r="A1235" s="243">
        <v>117241</v>
      </c>
      <c r="B1235" s="244" t="s">
        <v>1263</v>
      </c>
      <c r="C1235" s="244" t="s">
        <v>5</v>
      </c>
      <c r="D1235" s="244" t="s">
        <v>19</v>
      </c>
      <c r="E1235" s="245">
        <v>44487</v>
      </c>
      <c r="F1235" s="118">
        <v>1016.96</v>
      </c>
      <c r="G1235" s="118">
        <f>SUMIF(CONFERÊNCIA!A:A,A1235,CONFERÊNCIA!J:J)</f>
        <v>1016.96</v>
      </c>
      <c r="H1235" s="120">
        <f t="shared" si="57"/>
        <v>0</v>
      </c>
      <c r="I1235" s="171" t="s">
        <v>1234</v>
      </c>
    </row>
    <row r="1236" spans="1:9" x14ac:dyDescent="0.2">
      <c r="A1236" s="243">
        <v>112747</v>
      </c>
      <c r="B1236" s="244" t="s">
        <v>381</v>
      </c>
      <c r="C1236" s="244" t="s">
        <v>22</v>
      </c>
      <c r="D1236" s="244" t="s">
        <v>1589</v>
      </c>
      <c r="E1236" s="245">
        <v>43617</v>
      </c>
      <c r="F1236" s="118">
        <v>1016.96</v>
      </c>
      <c r="G1236" s="118">
        <f>SUMIF(CONFERÊNCIA!A:A,A1236,CONFERÊNCIA!J:J)</f>
        <v>1016.96</v>
      </c>
      <c r="H1236" s="120">
        <f t="shared" si="57"/>
        <v>0</v>
      </c>
      <c r="I1236" s="171" t="s">
        <v>1234</v>
      </c>
    </row>
    <row r="1237" spans="1:9" x14ac:dyDescent="0.2">
      <c r="A1237" s="243">
        <v>112741</v>
      </c>
      <c r="B1237" s="244" t="s">
        <v>376</v>
      </c>
      <c r="C1237" s="244" t="s">
        <v>2</v>
      </c>
      <c r="D1237" s="244" t="s">
        <v>8</v>
      </c>
      <c r="E1237" s="245">
        <v>43617</v>
      </c>
      <c r="F1237" s="118">
        <v>1016.96</v>
      </c>
      <c r="G1237" s="118">
        <f>SUMIF(CONFERÊNCIA!A:A,A1237,CONFERÊNCIA!J:J)</f>
        <v>1016.96</v>
      </c>
      <c r="H1237" s="120">
        <f t="shared" si="57"/>
        <v>0</v>
      </c>
      <c r="I1237" s="171" t="s">
        <v>1234</v>
      </c>
    </row>
    <row r="1238" spans="1:9" x14ac:dyDescent="0.2">
      <c r="A1238" s="243">
        <v>120355</v>
      </c>
      <c r="B1238" s="244" t="s">
        <v>1514</v>
      </c>
      <c r="C1238" s="244" t="s">
        <v>5</v>
      </c>
      <c r="D1238" s="244" t="s">
        <v>0</v>
      </c>
      <c r="E1238" s="245">
        <v>44820</v>
      </c>
      <c r="F1238" s="118">
        <v>1016.96</v>
      </c>
      <c r="G1238" s="118">
        <f>SUMIF(CONFERÊNCIA!A:A,A1238,CONFERÊNCIA!J:J)</f>
        <v>1016.96</v>
      </c>
      <c r="H1238" s="120">
        <f t="shared" si="57"/>
        <v>0</v>
      </c>
      <c r="I1238" s="171" t="s">
        <v>1234</v>
      </c>
    </row>
    <row r="1239" spans="1:9" x14ac:dyDescent="0.2">
      <c r="A1239" s="243">
        <v>119933</v>
      </c>
      <c r="B1239" s="244" t="s">
        <v>1492</v>
      </c>
      <c r="C1239" s="244" t="s">
        <v>5</v>
      </c>
      <c r="D1239" s="244" t="s">
        <v>32</v>
      </c>
      <c r="E1239" s="245">
        <v>44760</v>
      </c>
      <c r="F1239" s="118">
        <v>1016.96</v>
      </c>
      <c r="G1239" s="118">
        <f>SUMIF(CONFERÊNCIA!A:A,A1239,CONFERÊNCIA!J:J)</f>
        <v>1016.96</v>
      </c>
      <c r="H1239" s="120">
        <f t="shared" ref="H1239:H1272" si="58">G1239-F1239</f>
        <v>0</v>
      </c>
      <c r="I1239" s="171" t="s">
        <v>1234</v>
      </c>
    </row>
    <row r="1240" spans="1:9" x14ac:dyDescent="0.2">
      <c r="A1240" s="243">
        <v>112458</v>
      </c>
      <c r="B1240" s="244" t="s">
        <v>194</v>
      </c>
      <c r="C1240" s="244" t="s">
        <v>5</v>
      </c>
      <c r="D1240" s="244" t="s">
        <v>0</v>
      </c>
      <c r="E1240" s="245">
        <v>43617</v>
      </c>
      <c r="F1240" s="118">
        <v>1016.96</v>
      </c>
      <c r="G1240" s="118">
        <f>SUMIF(CONFERÊNCIA!A:A,A1240,CONFERÊNCIA!J:J)</f>
        <v>1016.96</v>
      </c>
      <c r="H1240" s="120">
        <f t="shared" si="58"/>
        <v>0</v>
      </c>
      <c r="I1240" s="171" t="s">
        <v>1234</v>
      </c>
    </row>
    <row r="1241" spans="1:9" x14ac:dyDescent="0.2">
      <c r="A1241" s="243">
        <v>115379</v>
      </c>
      <c r="B1241" s="244" t="s">
        <v>1272</v>
      </c>
      <c r="C1241" s="244" t="s">
        <v>5</v>
      </c>
      <c r="D1241" s="244" t="s">
        <v>32</v>
      </c>
      <c r="E1241" s="245">
        <v>44046</v>
      </c>
      <c r="F1241" s="118">
        <v>1016.96</v>
      </c>
      <c r="G1241" s="118">
        <f>SUMIF(CONFERÊNCIA!A:A,A1241,CONFERÊNCIA!J:J)</f>
        <v>1016.96</v>
      </c>
      <c r="H1241" s="120">
        <f t="shared" si="58"/>
        <v>0</v>
      </c>
      <c r="I1241" s="171" t="s">
        <v>1234</v>
      </c>
    </row>
    <row r="1242" spans="1:9" x14ac:dyDescent="0.2">
      <c r="A1242" s="243">
        <v>112448</v>
      </c>
      <c r="B1242" s="244" t="s">
        <v>187</v>
      </c>
      <c r="C1242" s="244" t="s">
        <v>2</v>
      </c>
      <c r="D1242" s="244" t="s">
        <v>19</v>
      </c>
      <c r="E1242" s="245">
        <v>43617</v>
      </c>
      <c r="F1242" s="118">
        <v>1016.96</v>
      </c>
      <c r="G1242" s="118">
        <f>SUMIF(CONFERÊNCIA!A:A,A1242,CONFERÊNCIA!J:J)</f>
        <v>1016.96</v>
      </c>
      <c r="H1242" s="120">
        <f t="shared" si="58"/>
        <v>0</v>
      </c>
      <c r="I1242" s="171" t="s">
        <v>1234</v>
      </c>
    </row>
    <row r="1243" spans="1:9" x14ac:dyDescent="0.2">
      <c r="A1243" s="243">
        <v>119117</v>
      </c>
      <c r="B1243" s="244" t="s">
        <v>1450</v>
      </c>
      <c r="C1243" s="244" t="s">
        <v>5</v>
      </c>
      <c r="D1243" s="244" t="s">
        <v>19</v>
      </c>
      <c r="E1243" s="245">
        <v>44630</v>
      </c>
      <c r="F1243" s="118">
        <v>1016.96</v>
      </c>
      <c r="G1243" s="118">
        <f>SUMIF(CONFERÊNCIA!A:A,A1243,CONFERÊNCIA!J:J)</f>
        <v>1016.96</v>
      </c>
      <c r="H1243" s="120">
        <f t="shared" si="58"/>
        <v>0</v>
      </c>
      <c r="I1243" s="171" t="s">
        <v>1234</v>
      </c>
    </row>
    <row r="1244" spans="1:9" x14ac:dyDescent="0.2">
      <c r="A1244" s="243">
        <v>112440</v>
      </c>
      <c r="B1244" s="244" t="s">
        <v>181</v>
      </c>
      <c r="C1244" s="244" t="s">
        <v>182</v>
      </c>
      <c r="D1244" s="244" t="s">
        <v>32</v>
      </c>
      <c r="E1244" s="245">
        <v>43617</v>
      </c>
      <c r="F1244" s="118">
        <v>1016.96</v>
      </c>
      <c r="G1244" s="118">
        <f>SUMIF(CONFERÊNCIA!A:A,A1244,CONFERÊNCIA!J:J)</f>
        <v>1016.96</v>
      </c>
      <c r="H1244" s="120">
        <f t="shared" si="58"/>
        <v>0</v>
      </c>
      <c r="I1244" s="171" t="s">
        <v>1234</v>
      </c>
    </row>
    <row r="1245" spans="1:9" x14ac:dyDescent="0.2">
      <c r="A1245" s="243">
        <v>116110</v>
      </c>
      <c r="B1245" s="244" t="s">
        <v>1188</v>
      </c>
      <c r="C1245" s="244" t="s">
        <v>15</v>
      </c>
      <c r="D1245" s="244" t="s">
        <v>1589</v>
      </c>
      <c r="E1245" s="245">
        <v>44236</v>
      </c>
      <c r="F1245" s="118">
        <v>1016.96</v>
      </c>
      <c r="G1245" s="118">
        <f>SUMIF(CONFERÊNCIA!A:A,A1245,CONFERÊNCIA!J:J)</f>
        <v>1016.96</v>
      </c>
      <c r="H1245" s="120">
        <f t="shared" si="58"/>
        <v>0</v>
      </c>
      <c r="I1245" s="171" t="s">
        <v>1234</v>
      </c>
    </row>
    <row r="1246" spans="1:9" x14ac:dyDescent="0.2">
      <c r="A1246" s="243">
        <v>114454</v>
      </c>
      <c r="B1246" s="244" t="s">
        <v>1041</v>
      </c>
      <c r="C1246" s="244" t="s">
        <v>5</v>
      </c>
      <c r="D1246" s="244" t="s">
        <v>0</v>
      </c>
      <c r="E1246" s="245">
        <v>43811</v>
      </c>
      <c r="F1246" s="118">
        <v>1016.96</v>
      </c>
      <c r="G1246" s="118">
        <f>SUMIF(CONFERÊNCIA!A:A,A1246,CONFERÊNCIA!J:J)</f>
        <v>1016.96</v>
      </c>
      <c r="H1246" s="120">
        <f t="shared" si="58"/>
        <v>0</v>
      </c>
      <c r="I1246" s="171" t="s">
        <v>1234</v>
      </c>
    </row>
    <row r="1247" spans="1:9" x14ac:dyDescent="0.2">
      <c r="A1247" s="243">
        <v>114937</v>
      </c>
      <c r="B1247" s="244" t="s">
        <v>1122</v>
      </c>
      <c r="C1247" s="244" t="s">
        <v>5</v>
      </c>
      <c r="D1247" s="244" t="s">
        <v>1589</v>
      </c>
      <c r="E1247" s="245">
        <v>43916</v>
      </c>
      <c r="F1247" s="118">
        <v>863.83</v>
      </c>
      <c r="G1247" s="118">
        <f>SUMIF(CONFERÊNCIA!A:A,A1247,CONFERÊNCIA!J:J)</f>
        <v>902.11</v>
      </c>
      <c r="H1247" s="120">
        <f t="shared" si="58"/>
        <v>38.279999999999973</v>
      </c>
      <c r="I1247" s="171" t="s">
        <v>1234</v>
      </c>
    </row>
    <row r="1248" spans="1:9" x14ac:dyDescent="0.2">
      <c r="A1248" s="243">
        <v>112414</v>
      </c>
      <c r="B1248" s="244" t="s">
        <v>165</v>
      </c>
      <c r="C1248" s="244" t="s">
        <v>15</v>
      </c>
      <c r="D1248" s="244" t="s">
        <v>1589</v>
      </c>
      <c r="E1248" s="245">
        <v>43617</v>
      </c>
      <c r="F1248" s="118">
        <v>1016.96</v>
      </c>
      <c r="G1248" s="118">
        <f>SUMIF(CONFERÊNCIA!A:A,A1248,CONFERÊNCIA!J:J)</f>
        <v>1016.96</v>
      </c>
      <c r="H1248" s="120">
        <f t="shared" si="58"/>
        <v>0</v>
      </c>
      <c r="I1248" s="171" t="s">
        <v>1234</v>
      </c>
    </row>
    <row r="1249" spans="1:9" x14ac:dyDescent="0.2">
      <c r="A1249" s="243">
        <v>112403</v>
      </c>
      <c r="B1249" s="244" t="s">
        <v>159</v>
      </c>
      <c r="C1249" s="244" t="s">
        <v>2</v>
      </c>
      <c r="D1249" s="244" t="s">
        <v>0</v>
      </c>
      <c r="E1249" s="245">
        <v>43617</v>
      </c>
      <c r="F1249" s="118">
        <v>1016.96</v>
      </c>
      <c r="G1249" s="118">
        <f>SUMIF(CONFERÊNCIA!A:A,A1249,CONFERÊNCIA!J:J)</f>
        <v>1016.96</v>
      </c>
      <c r="H1249" s="120">
        <f t="shared" si="58"/>
        <v>0</v>
      </c>
      <c r="I1249" s="171" t="s">
        <v>1234</v>
      </c>
    </row>
    <row r="1250" spans="1:9" x14ac:dyDescent="0.2">
      <c r="A1250" s="243">
        <v>112398</v>
      </c>
      <c r="B1250" s="244" t="s">
        <v>154</v>
      </c>
      <c r="C1250" s="244" t="s">
        <v>2</v>
      </c>
      <c r="D1250" s="244" t="s">
        <v>10</v>
      </c>
      <c r="E1250" s="245">
        <v>43617</v>
      </c>
      <c r="F1250" s="118">
        <v>1016.96</v>
      </c>
      <c r="G1250" s="118">
        <f>SUMIF(CONFERÊNCIA!A:A,A1250,CONFERÊNCIA!J:J)</f>
        <v>1016.96</v>
      </c>
      <c r="H1250" s="120">
        <f t="shared" si="58"/>
        <v>0</v>
      </c>
      <c r="I1250" s="171" t="s">
        <v>1234</v>
      </c>
    </row>
    <row r="1251" spans="1:9" x14ac:dyDescent="0.2">
      <c r="A1251" s="243">
        <v>120188</v>
      </c>
      <c r="B1251" s="244" t="s">
        <v>1507</v>
      </c>
      <c r="C1251" s="244" t="s">
        <v>5</v>
      </c>
      <c r="D1251" s="244" t="s">
        <v>19</v>
      </c>
      <c r="E1251" s="245">
        <v>44791</v>
      </c>
      <c r="F1251" s="118">
        <v>1016.96</v>
      </c>
      <c r="G1251" s="118">
        <f>SUMIF(CONFERÊNCIA!A:A,A1251,CONFERÊNCIA!J:J)</f>
        <v>1016.96</v>
      </c>
      <c r="H1251" s="120">
        <f t="shared" si="58"/>
        <v>0</v>
      </c>
      <c r="I1251" s="171" t="s">
        <v>1234</v>
      </c>
    </row>
    <row r="1252" spans="1:9" x14ac:dyDescent="0.2">
      <c r="A1252" s="243">
        <v>112301</v>
      </c>
      <c r="B1252" s="244" t="s">
        <v>98</v>
      </c>
      <c r="C1252" s="244" t="s">
        <v>5</v>
      </c>
      <c r="D1252" s="244" t="s">
        <v>19</v>
      </c>
      <c r="E1252" s="245">
        <v>43617</v>
      </c>
      <c r="F1252" s="118">
        <v>1016.96</v>
      </c>
      <c r="G1252" s="118">
        <f>SUMIF(CONFERÊNCIA!A:A,A1252,CONFERÊNCIA!J:J)</f>
        <v>1016.96</v>
      </c>
      <c r="H1252" s="120">
        <f t="shared" si="58"/>
        <v>0</v>
      </c>
      <c r="I1252" s="171" t="s">
        <v>1234</v>
      </c>
    </row>
    <row r="1253" spans="1:9" x14ac:dyDescent="0.2">
      <c r="A1253" s="243">
        <v>112172</v>
      </c>
      <c r="B1253" s="244" t="s">
        <v>6</v>
      </c>
      <c r="C1253" s="244" t="s">
        <v>7</v>
      </c>
      <c r="D1253" s="244" t="s">
        <v>10</v>
      </c>
      <c r="E1253" s="245">
        <v>43617</v>
      </c>
      <c r="F1253" s="118">
        <v>1016.96</v>
      </c>
      <c r="G1253" s="118">
        <f>SUMIF(CONFERÊNCIA!A:A,A1253,CONFERÊNCIA!J:J)</f>
        <v>1016.96</v>
      </c>
      <c r="H1253" s="120">
        <f t="shared" si="58"/>
        <v>0</v>
      </c>
      <c r="I1253" s="171" t="s">
        <v>1235</v>
      </c>
    </row>
    <row r="1254" spans="1:9" x14ac:dyDescent="0.2">
      <c r="A1254" s="243">
        <v>112196</v>
      </c>
      <c r="B1254" s="244" t="s">
        <v>27</v>
      </c>
      <c r="C1254" s="244" t="s">
        <v>5</v>
      </c>
      <c r="D1254" s="244" t="s">
        <v>19</v>
      </c>
      <c r="E1254" s="245">
        <v>43617</v>
      </c>
      <c r="F1254" s="118">
        <v>1016.96</v>
      </c>
      <c r="G1254" s="118">
        <f>SUMIF(CONFERÊNCIA!A:A,A1254,CONFERÊNCIA!J:J)</f>
        <v>1016.96</v>
      </c>
      <c r="H1254" s="120">
        <f t="shared" si="58"/>
        <v>0</v>
      </c>
      <c r="I1254" s="171" t="s">
        <v>1234</v>
      </c>
    </row>
    <row r="1255" spans="1:9" x14ac:dyDescent="0.2">
      <c r="A1255" s="243">
        <v>112199</v>
      </c>
      <c r="B1255" s="244" t="s">
        <v>29</v>
      </c>
      <c r="C1255" s="244" t="s">
        <v>5</v>
      </c>
      <c r="D1255" s="244" t="s">
        <v>19</v>
      </c>
      <c r="E1255" s="245">
        <v>43617</v>
      </c>
      <c r="F1255" s="118">
        <v>1016.96</v>
      </c>
      <c r="G1255" s="118">
        <f>SUMIF(CONFERÊNCIA!A:A,A1255,CONFERÊNCIA!J:J)</f>
        <v>1016.96</v>
      </c>
      <c r="H1255" s="120">
        <f t="shared" si="58"/>
        <v>0</v>
      </c>
      <c r="I1255" s="171" t="s">
        <v>1234</v>
      </c>
    </row>
    <row r="1256" spans="1:9" x14ac:dyDescent="0.2">
      <c r="A1256" s="243">
        <v>114256</v>
      </c>
      <c r="B1256" s="244" t="s">
        <v>1024</v>
      </c>
      <c r="C1256" s="244" t="s">
        <v>378</v>
      </c>
      <c r="D1256" s="244" t="s">
        <v>1589</v>
      </c>
      <c r="E1256" s="245">
        <v>43804</v>
      </c>
      <c r="F1256" s="118">
        <v>1016.96</v>
      </c>
      <c r="G1256" s="118">
        <f>SUMIF(CONFERÊNCIA!A:A,A1256,CONFERÊNCIA!J:J)</f>
        <v>1016.96</v>
      </c>
      <c r="H1256" s="120">
        <f t="shared" si="58"/>
        <v>0</v>
      </c>
      <c r="I1256" s="171" t="s">
        <v>1235</v>
      </c>
    </row>
    <row r="1257" spans="1:9" x14ac:dyDescent="0.2">
      <c r="A1257" s="243">
        <v>112202</v>
      </c>
      <c r="B1257" s="244" t="s">
        <v>31</v>
      </c>
      <c r="C1257" s="244" t="s">
        <v>5</v>
      </c>
      <c r="D1257" s="244" t="s">
        <v>19</v>
      </c>
      <c r="E1257" s="245">
        <v>43617</v>
      </c>
      <c r="F1257" s="118">
        <v>1016.96</v>
      </c>
      <c r="G1257" s="118">
        <f>SUMIF(CONFERÊNCIA!A:A,A1257,CONFERÊNCIA!J:J)</f>
        <v>1016.96</v>
      </c>
      <c r="H1257" s="120">
        <f t="shared" si="58"/>
        <v>0</v>
      </c>
      <c r="I1257" s="171" t="s">
        <v>1234</v>
      </c>
    </row>
    <row r="1258" spans="1:9" x14ac:dyDescent="0.2">
      <c r="A1258" s="243">
        <v>114958</v>
      </c>
      <c r="B1258" s="244" t="s">
        <v>1132</v>
      </c>
      <c r="C1258" s="244" t="s">
        <v>282</v>
      </c>
      <c r="D1258" s="244" t="s">
        <v>1589</v>
      </c>
      <c r="E1258" s="245">
        <v>43916</v>
      </c>
      <c r="F1258" s="118">
        <v>1016.96</v>
      </c>
      <c r="G1258" s="118">
        <f>SUMIF(CONFERÊNCIA!A:A,A1258,CONFERÊNCIA!J:J)</f>
        <v>1016.96</v>
      </c>
      <c r="H1258" s="120">
        <f t="shared" si="58"/>
        <v>0</v>
      </c>
      <c r="I1258" s="171" t="s">
        <v>1234</v>
      </c>
    </row>
    <row r="1259" spans="1:9" x14ac:dyDescent="0.2">
      <c r="A1259" s="243">
        <v>112639</v>
      </c>
      <c r="B1259" s="244" t="s">
        <v>210</v>
      </c>
      <c r="C1259" s="244" t="s">
        <v>2</v>
      </c>
      <c r="D1259" s="244" t="s">
        <v>0</v>
      </c>
      <c r="E1259" s="245">
        <v>43617</v>
      </c>
      <c r="F1259" s="118">
        <v>1016.96</v>
      </c>
      <c r="G1259" s="118">
        <f>SUMIF(CONFERÊNCIA!A:A,A1259,CONFERÊNCIA!J:J)</f>
        <v>1016.96</v>
      </c>
      <c r="H1259" s="120">
        <f t="shared" si="58"/>
        <v>0</v>
      </c>
      <c r="I1259" s="171" t="s">
        <v>1234</v>
      </c>
    </row>
    <row r="1260" spans="1:9" x14ac:dyDescent="0.2">
      <c r="A1260" s="243">
        <v>112257</v>
      </c>
      <c r="B1260" s="244" t="s">
        <v>68</v>
      </c>
      <c r="C1260" s="244" t="s">
        <v>2</v>
      </c>
      <c r="D1260" s="244" t="s">
        <v>19</v>
      </c>
      <c r="E1260" s="245">
        <v>43617</v>
      </c>
      <c r="F1260" s="118">
        <v>1016.96</v>
      </c>
      <c r="G1260" s="118">
        <f>SUMIF(CONFERÊNCIA!A:A,A1260,CONFERÊNCIA!J:J)</f>
        <v>1016.96</v>
      </c>
      <c r="H1260" s="120">
        <f t="shared" si="58"/>
        <v>0</v>
      </c>
      <c r="I1260" s="171" t="s">
        <v>1234</v>
      </c>
    </row>
    <row r="1261" spans="1:9" x14ac:dyDescent="0.2">
      <c r="A1261" s="243">
        <v>112261</v>
      </c>
      <c r="B1261" s="244" t="s">
        <v>71</v>
      </c>
      <c r="C1261" s="244" t="s">
        <v>2</v>
      </c>
      <c r="D1261" s="244" t="s">
        <v>10</v>
      </c>
      <c r="E1261" s="245">
        <v>43617</v>
      </c>
      <c r="F1261" s="118">
        <v>1016.96</v>
      </c>
      <c r="G1261" s="118">
        <f>SUMIF(CONFERÊNCIA!A:A,A1261,CONFERÊNCIA!J:J)</f>
        <v>1016.96</v>
      </c>
      <c r="H1261" s="120">
        <f t="shared" si="58"/>
        <v>0</v>
      </c>
      <c r="I1261" s="171" t="s">
        <v>1234</v>
      </c>
    </row>
    <row r="1262" spans="1:9" x14ac:dyDescent="0.2">
      <c r="A1262" s="243">
        <v>112263</v>
      </c>
      <c r="B1262" s="244" t="s">
        <v>73</v>
      </c>
      <c r="C1262" s="244" t="s">
        <v>2</v>
      </c>
      <c r="D1262" s="244" t="s">
        <v>10</v>
      </c>
      <c r="E1262" s="245">
        <v>43617</v>
      </c>
      <c r="F1262" s="118">
        <v>1016.96</v>
      </c>
      <c r="G1262" s="118">
        <f>SUMIF(CONFERÊNCIA!A:A,A1262,CONFERÊNCIA!J:J)</f>
        <v>1016.96</v>
      </c>
      <c r="H1262" s="120">
        <f t="shared" si="58"/>
        <v>0</v>
      </c>
      <c r="I1262" s="171" t="s">
        <v>1234</v>
      </c>
    </row>
    <row r="1263" spans="1:9" x14ac:dyDescent="0.2">
      <c r="A1263" s="243">
        <v>112381</v>
      </c>
      <c r="B1263" s="244" t="s">
        <v>144</v>
      </c>
      <c r="C1263" s="244" t="s">
        <v>22</v>
      </c>
      <c r="D1263" s="244" t="s">
        <v>1589</v>
      </c>
      <c r="E1263" s="245">
        <v>43617</v>
      </c>
      <c r="F1263" s="118">
        <v>1016.96</v>
      </c>
      <c r="G1263" s="118">
        <f>SUMIF(CONFERÊNCIA!A:A,A1263,CONFERÊNCIA!J:J)</f>
        <v>1016.96</v>
      </c>
      <c r="H1263" s="120">
        <f t="shared" si="58"/>
        <v>0</v>
      </c>
      <c r="I1263" s="171" t="s">
        <v>1234</v>
      </c>
    </row>
    <row r="1264" spans="1:9" x14ac:dyDescent="0.2">
      <c r="A1264" s="243">
        <v>112383</v>
      </c>
      <c r="B1264" s="244" t="s">
        <v>147</v>
      </c>
      <c r="C1264" s="244" t="s">
        <v>2</v>
      </c>
      <c r="D1264" s="244" t="s">
        <v>8</v>
      </c>
      <c r="E1264" s="245">
        <v>43617</v>
      </c>
      <c r="F1264" s="118">
        <v>1016.96</v>
      </c>
      <c r="G1264" s="118">
        <f>SUMIF(CONFERÊNCIA!A:A,A1264,CONFERÊNCIA!J:J)</f>
        <v>1016.96</v>
      </c>
      <c r="H1264" s="120">
        <f t="shared" si="58"/>
        <v>0</v>
      </c>
      <c r="I1264" s="171" t="s">
        <v>1234</v>
      </c>
    </row>
    <row r="1265" spans="1:9" x14ac:dyDescent="0.2">
      <c r="A1265" s="243">
        <v>117408</v>
      </c>
      <c r="B1265" s="244" t="s">
        <v>1276</v>
      </c>
      <c r="C1265" s="244" t="s">
        <v>2</v>
      </c>
      <c r="D1265" s="244" t="s">
        <v>8</v>
      </c>
      <c r="E1265" s="245">
        <v>44522</v>
      </c>
      <c r="F1265" s="118">
        <v>1016.96</v>
      </c>
      <c r="G1265" s="118">
        <f>SUMIF(CONFERÊNCIA!A:A,A1265,CONFERÊNCIA!J:J)</f>
        <v>1016.96</v>
      </c>
      <c r="H1265" s="120">
        <f t="shared" si="58"/>
        <v>0</v>
      </c>
      <c r="I1265" s="171" t="s">
        <v>1234</v>
      </c>
    </row>
    <row r="1266" spans="1:9" x14ac:dyDescent="0.2">
      <c r="A1266" s="243">
        <v>119929</v>
      </c>
      <c r="B1266" s="244" t="s">
        <v>1493</v>
      </c>
      <c r="C1266" s="244" t="s">
        <v>5</v>
      </c>
      <c r="D1266" s="244" t="s">
        <v>0</v>
      </c>
      <c r="E1266" s="245">
        <v>44760</v>
      </c>
      <c r="F1266" s="118">
        <v>1016.96</v>
      </c>
      <c r="G1266" s="118">
        <f>SUMIF(CONFERÊNCIA!A:A,A1266,CONFERÊNCIA!J:J)</f>
        <v>978.67000000000007</v>
      </c>
      <c r="H1266" s="120">
        <f t="shared" si="58"/>
        <v>-38.289999999999964</v>
      </c>
      <c r="I1266" s="171" t="s">
        <v>1234</v>
      </c>
    </row>
    <row r="1267" spans="1:9" x14ac:dyDescent="0.2">
      <c r="A1267" s="243">
        <v>114125</v>
      </c>
      <c r="B1267" s="244" t="s">
        <v>1016</v>
      </c>
      <c r="C1267" s="244" t="s">
        <v>2</v>
      </c>
      <c r="D1267" s="244" t="s">
        <v>0</v>
      </c>
      <c r="E1267" s="245">
        <v>43739</v>
      </c>
      <c r="F1267" s="118">
        <v>1016.96</v>
      </c>
      <c r="G1267" s="118">
        <f>SUMIF(CONFERÊNCIA!A:A,A1267,CONFERÊNCIA!J:J)</f>
        <v>1016.96</v>
      </c>
      <c r="H1267" s="120">
        <f t="shared" si="58"/>
        <v>0</v>
      </c>
      <c r="I1267" s="171" t="s">
        <v>1234</v>
      </c>
    </row>
    <row r="1268" spans="1:9" x14ac:dyDescent="0.2">
      <c r="A1268" s="243">
        <v>112666</v>
      </c>
      <c r="B1268" s="244" t="s">
        <v>328</v>
      </c>
      <c r="C1268" s="244" t="s">
        <v>282</v>
      </c>
      <c r="D1268" s="244" t="s">
        <v>1589</v>
      </c>
      <c r="E1268" s="245">
        <v>43617</v>
      </c>
      <c r="F1268" s="118">
        <v>1016.96</v>
      </c>
      <c r="G1268" s="118">
        <f>SUMIF(CONFERÊNCIA!A:A,A1268,CONFERÊNCIA!J:J)</f>
        <v>1016.96</v>
      </c>
      <c r="H1268" s="120">
        <f t="shared" si="58"/>
        <v>0</v>
      </c>
      <c r="I1268" s="171" t="s">
        <v>1234</v>
      </c>
    </row>
    <row r="1269" spans="1:9" x14ac:dyDescent="0.2">
      <c r="A1269" s="243">
        <v>112990</v>
      </c>
      <c r="B1269" s="244" t="s">
        <v>535</v>
      </c>
      <c r="C1269" s="244" t="s">
        <v>15</v>
      </c>
      <c r="D1269" s="244" t="s">
        <v>1589</v>
      </c>
      <c r="E1269" s="245">
        <v>43617</v>
      </c>
      <c r="F1269" s="118">
        <v>1016.96</v>
      </c>
      <c r="G1269" s="118">
        <f>SUMIF(CONFERÊNCIA!A:A,A1269,CONFERÊNCIA!J:J)</f>
        <v>1016.96</v>
      </c>
      <c r="H1269" s="120">
        <f t="shared" si="58"/>
        <v>0</v>
      </c>
      <c r="I1269" s="171" t="s">
        <v>1235</v>
      </c>
    </row>
    <row r="1270" spans="1:9" x14ac:dyDescent="0.2">
      <c r="A1270" s="243">
        <v>114955</v>
      </c>
      <c r="B1270" s="244" t="s">
        <v>1131</v>
      </c>
      <c r="C1270" s="244" t="s">
        <v>282</v>
      </c>
      <c r="D1270" s="244" t="s">
        <v>1589</v>
      </c>
      <c r="E1270" s="245">
        <v>43916</v>
      </c>
      <c r="F1270" s="118">
        <v>978.67000000000007</v>
      </c>
      <c r="G1270" s="118">
        <f>SUMIF(CONFERÊNCIA!A:A,A1270,CONFERÊNCIA!J:J)</f>
        <v>1016.96</v>
      </c>
      <c r="H1270" s="120">
        <f t="shared" si="58"/>
        <v>38.289999999999964</v>
      </c>
      <c r="I1270" s="171" t="s">
        <v>1234</v>
      </c>
    </row>
    <row r="1271" spans="1:9" x14ac:dyDescent="0.2">
      <c r="A1271" s="243">
        <v>114746</v>
      </c>
      <c r="B1271" s="244" t="s">
        <v>1092</v>
      </c>
      <c r="C1271" s="244" t="s">
        <v>2</v>
      </c>
      <c r="D1271" s="244" t="s">
        <v>8</v>
      </c>
      <c r="E1271" s="245">
        <v>43874</v>
      </c>
      <c r="F1271" s="118">
        <v>1016.96</v>
      </c>
      <c r="G1271" s="118">
        <f>SUMIF(CONFERÊNCIA!A:A,A1271,CONFERÊNCIA!J:J)</f>
        <v>1016.96</v>
      </c>
      <c r="H1271" s="120">
        <f t="shared" si="58"/>
        <v>0</v>
      </c>
      <c r="I1271" s="171" t="s">
        <v>1234</v>
      </c>
    </row>
    <row r="1272" spans="1:9" x14ac:dyDescent="0.2">
      <c r="A1272" s="243">
        <v>112674</v>
      </c>
      <c r="B1272" s="244" t="s">
        <v>332</v>
      </c>
      <c r="C1272" s="244" t="s">
        <v>2</v>
      </c>
      <c r="D1272" s="244" t="s">
        <v>0</v>
      </c>
      <c r="E1272" s="245">
        <v>43617</v>
      </c>
      <c r="F1272" s="118">
        <v>1016.96</v>
      </c>
      <c r="G1272" s="118">
        <f>SUMIF(CONFERÊNCIA!A:A,A1272,CONFERÊNCIA!J:J)</f>
        <v>1016.96</v>
      </c>
      <c r="H1272" s="120">
        <f t="shared" si="58"/>
        <v>0</v>
      </c>
      <c r="I1272" s="171" t="s">
        <v>1234</v>
      </c>
    </row>
    <row r="1273" spans="1:9" x14ac:dyDescent="0.2">
      <c r="A1273" s="243">
        <v>121327</v>
      </c>
      <c r="B1273" s="244" t="s">
        <v>1546</v>
      </c>
      <c r="C1273" s="244" t="s">
        <v>5</v>
      </c>
      <c r="D1273" s="244" t="s">
        <v>19</v>
      </c>
      <c r="E1273" s="245">
        <v>44945</v>
      </c>
      <c r="F1273" s="118">
        <v>1016.96</v>
      </c>
      <c r="G1273" s="118">
        <f>SUMIF(CONFERÊNCIA!A:A,A1273,CONFERÊNCIA!J:J)</f>
        <v>1016.96</v>
      </c>
      <c r="H1273" s="120">
        <f t="shared" ref="H1273:H1308" si="59">G1273-F1273</f>
        <v>0</v>
      </c>
      <c r="I1273" s="171" t="s">
        <v>1234</v>
      </c>
    </row>
    <row r="1274" spans="1:9" x14ac:dyDescent="0.2">
      <c r="A1274" s="243">
        <v>112274</v>
      </c>
      <c r="B1274" s="244" t="s">
        <v>80</v>
      </c>
      <c r="C1274" s="244" t="s">
        <v>22</v>
      </c>
      <c r="D1274" s="244" t="s">
        <v>1589</v>
      </c>
      <c r="E1274" s="245">
        <v>43617</v>
      </c>
      <c r="F1274" s="118">
        <v>1016.96</v>
      </c>
      <c r="G1274" s="118">
        <f>SUMIF(CONFERÊNCIA!A:A,A1274,CONFERÊNCIA!J:J)</f>
        <v>1016.96</v>
      </c>
      <c r="H1274" s="120">
        <f t="shared" si="59"/>
        <v>0</v>
      </c>
      <c r="I1274" s="171" t="s">
        <v>1235</v>
      </c>
    </row>
    <row r="1275" spans="1:9" x14ac:dyDescent="0.2">
      <c r="A1275" s="243">
        <v>116009</v>
      </c>
      <c r="B1275" s="244" t="s">
        <v>81</v>
      </c>
      <c r="C1275" s="244" t="s">
        <v>2</v>
      </c>
      <c r="D1275" s="244" t="s">
        <v>8</v>
      </c>
      <c r="E1275" s="245">
        <v>44207</v>
      </c>
      <c r="F1275" s="118">
        <v>1016.96</v>
      </c>
      <c r="G1275" s="118">
        <f>SUMIF(CONFERÊNCIA!A:A,A1275,CONFERÊNCIA!J:J)</f>
        <v>1016.96</v>
      </c>
      <c r="H1275" s="120">
        <f t="shared" si="59"/>
        <v>0</v>
      </c>
      <c r="I1275" s="171" t="s">
        <v>1234</v>
      </c>
    </row>
    <row r="1276" spans="1:9" x14ac:dyDescent="0.2">
      <c r="A1276" s="243">
        <v>112278</v>
      </c>
      <c r="B1276" s="244" t="s">
        <v>83</v>
      </c>
      <c r="C1276" s="244" t="s">
        <v>2</v>
      </c>
      <c r="D1276" s="244" t="s">
        <v>10</v>
      </c>
      <c r="E1276" s="245">
        <v>43617</v>
      </c>
      <c r="F1276" s="118">
        <v>1016.96</v>
      </c>
      <c r="G1276" s="118">
        <f>SUMIF(CONFERÊNCIA!A:A,A1276,CONFERÊNCIA!J:J)</f>
        <v>1016.96</v>
      </c>
      <c r="H1276" s="120">
        <f t="shared" si="59"/>
        <v>0</v>
      </c>
      <c r="I1276" s="171" t="s">
        <v>1234</v>
      </c>
    </row>
    <row r="1277" spans="1:9" x14ac:dyDescent="0.2">
      <c r="A1277" s="243">
        <v>112992</v>
      </c>
      <c r="B1277" s="244" t="s">
        <v>537</v>
      </c>
      <c r="C1277" s="244" t="s">
        <v>15</v>
      </c>
      <c r="D1277" s="244" t="s">
        <v>1589</v>
      </c>
      <c r="E1277" s="245">
        <v>43617</v>
      </c>
      <c r="F1277" s="118">
        <v>1016.96</v>
      </c>
      <c r="G1277" s="118">
        <f>SUMIF(CONFERÊNCIA!A:A,A1277,CONFERÊNCIA!J:J)</f>
        <v>1016.96</v>
      </c>
      <c r="H1277" s="120">
        <f t="shared" si="59"/>
        <v>0</v>
      </c>
      <c r="I1277" s="171" t="s">
        <v>1234</v>
      </c>
    </row>
    <row r="1278" spans="1:9" x14ac:dyDescent="0.2">
      <c r="A1278" s="243">
        <v>112686</v>
      </c>
      <c r="B1278" s="244" t="s">
        <v>342</v>
      </c>
      <c r="C1278" s="244" t="s">
        <v>22</v>
      </c>
      <c r="D1278" s="244" t="s">
        <v>1589</v>
      </c>
      <c r="E1278" s="245">
        <v>43617</v>
      </c>
      <c r="F1278" s="118">
        <v>1016.96</v>
      </c>
      <c r="G1278" s="118">
        <f>SUMIF(CONFERÊNCIA!A:A,A1278,CONFERÊNCIA!J:J)</f>
        <v>1016.96</v>
      </c>
      <c r="H1278" s="120">
        <f t="shared" si="59"/>
        <v>0</v>
      </c>
      <c r="I1278" s="171" t="s">
        <v>1234</v>
      </c>
    </row>
    <row r="1279" spans="1:9" x14ac:dyDescent="0.2">
      <c r="A1279" s="243">
        <v>114938</v>
      </c>
      <c r="B1279" s="244" t="s">
        <v>1123</v>
      </c>
      <c r="C1279" s="244" t="s">
        <v>5</v>
      </c>
      <c r="D1279" s="244" t="s">
        <v>8</v>
      </c>
      <c r="E1279" s="245">
        <v>43916</v>
      </c>
      <c r="F1279" s="118">
        <v>1016.96</v>
      </c>
      <c r="G1279" s="118">
        <f>SUMIF(CONFERÊNCIA!A:A,A1279,CONFERÊNCIA!J:J)</f>
        <v>1016.96</v>
      </c>
      <c r="H1279" s="120">
        <f t="shared" si="59"/>
        <v>0</v>
      </c>
      <c r="I1279" s="171" t="s">
        <v>1234</v>
      </c>
    </row>
    <row r="1280" spans="1:9" x14ac:dyDescent="0.2">
      <c r="A1280" s="243">
        <v>112428</v>
      </c>
      <c r="B1280" s="244" t="s">
        <v>172</v>
      </c>
      <c r="C1280" s="244" t="s">
        <v>2</v>
      </c>
      <c r="D1280" s="244" t="s">
        <v>8</v>
      </c>
      <c r="E1280" s="245">
        <v>43617</v>
      </c>
      <c r="F1280" s="118">
        <v>1016.96</v>
      </c>
      <c r="G1280" s="118">
        <f>SUMIF(CONFERÊNCIA!A:A,A1280,CONFERÊNCIA!J:J)</f>
        <v>1016.96</v>
      </c>
      <c r="H1280" s="120">
        <f t="shared" si="59"/>
        <v>0</v>
      </c>
      <c r="I1280" s="171" t="s">
        <v>1234</v>
      </c>
    </row>
    <row r="1281" spans="1:9" x14ac:dyDescent="0.2">
      <c r="A1281" s="243">
        <v>112432</v>
      </c>
      <c r="B1281" s="244" t="s">
        <v>175</v>
      </c>
      <c r="C1281" s="244" t="s">
        <v>5</v>
      </c>
      <c r="D1281" s="244" t="s">
        <v>8</v>
      </c>
      <c r="E1281" s="245">
        <v>43617</v>
      </c>
      <c r="F1281" s="118">
        <v>1016.96</v>
      </c>
      <c r="G1281" s="118">
        <f>SUMIF(CONFERÊNCIA!A:A,A1281,CONFERÊNCIA!J:J)</f>
        <v>1016.96</v>
      </c>
      <c r="H1281" s="120">
        <f t="shared" si="59"/>
        <v>0</v>
      </c>
      <c r="I1281" s="171" t="s">
        <v>1234</v>
      </c>
    </row>
    <row r="1282" spans="1:9" x14ac:dyDescent="0.2">
      <c r="A1282" s="243">
        <v>112282</v>
      </c>
      <c r="B1282" s="244" t="s">
        <v>88</v>
      </c>
      <c r="C1282" s="244" t="s">
        <v>2</v>
      </c>
      <c r="D1282" s="244" t="s">
        <v>10</v>
      </c>
      <c r="E1282" s="245">
        <v>43617</v>
      </c>
      <c r="F1282" s="118">
        <v>1016.96</v>
      </c>
      <c r="G1282" s="118">
        <f>SUMIF(CONFERÊNCIA!A:A,A1282,CONFERÊNCIA!J:J)</f>
        <v>1016.96</v>
      </c>
      <c r="H1282" s="120">
        <f t="shared" si="59"/>
        <v>0</v>
      </c>
      <c r="I1282" s="171" t="s">
        <v>1234</v>
      </c>
    </row>
    <row r="1283" spans="1:9" x14ac:dyDescent="0.2">
      <c r="A1283" s="243">
        <v>116237</v>
      </c>
      <c r="B1283" s="244" t="s">
        <v>1202</v>
      </c>
      <c r="C1283" s="244" t="s">
        <v>2</v>
      </c>
      <c r="D1283" s="244" t="s">
        <v>8</v>
      </c>
      <c r="E1283" s="245">
        <v>44273</v>
      </c>
      <c r="F1283" s="118">
        <v>1016.96</v>
      </c>
      <c r="G1283" s="118">
        <f>SUMIF(CONFERÊNCIA!A:A,A1283,CONFERÊNCIA!J:J)</f>
        <v>1016.96</v>
      </c>
      <c r="H1283" s="120">
        <f t="shared" si="59"/>
        <v>0</v>
      </c>
      <c r="I1283" s="171" t="s">
        <v>1234</v>
      </c>
    </row>
    <row r="1284" spans="1:9" x14ac:dyDescent="0.2">
      <c r="A1284" s="243">
        <v>121946</v>
      </c>
      <c r="B1284" s="244" t="s">
        <v>1626</v>
      </c>
      <c r="C1284" s="244" t="s">
        <v>1464</v>
      </c>
      <c r="D1284" s="244" t="s">
        <v>1591</v>
      </c>
      <c r="E1284" s="245">
        <v>45040</v>
      </c>
      <c r="F1284" s="118">
        <v>657.5</v>
      </c>
      <c r="G1284" s="118">
        <f>SUMIF(CONFERÊNCIA!A:A,A1284,CONFERÊNCIA!J:J)</f>
        <v>657.5</v>
      </c>
      <c r="H1284" s="120">
        <f t="shared" si="59"/>
        <v>0</v>
      </c>
      <c r="I1284" s="171" t="s">
        <v>1234</v>
      </c>
    </row>
    <row r="1285" spans="1:9" x14ac:dyDescent="0.2">
      <c r="A1285" s="243">
        <v>119241</v>
      </c>
      <c r="B1285" s="244" t="s">
        <v>1458</v>
      </c>
      <c r="C1285" s="244" t="s">
        <v>1457</v>
      </c>
      <c r="D1285" s="244" t="s">
        <v>1591</v>
      </c>
      <c r="E1285" s="245">
        <v>44658</v>
      </c>
      <c r="F1285" s="118">
        <v>1016.96</v>
      </c>
      <c r="G1285" s="118">
        <f>SUMIF(CONFERÊNCIA!A:A,A1285,CONFERÊNCIA!J:J)</f>
        <v>1016.96</v>
      </c>
      <c r="H1285" s="120">
        <f t="shared" si="59"/>
        <v>0</v>
      </c>
      <c r="I1285" s="171" t="s">
        <v>1234</v>
      </c>
    </row>
    <row r="1286" spans="1:9" x14ac:dyDescent="0.2">
      <c r="A1286" s="243">
        <v>122030</v>
      </c>
      <c r="B1286" s="244" t="s">
        <v>1585</v>
      </c>
      <c r="C1286" s="244" t="s">
        <v>967</v>
      </c>
      <c r="D1286" s="244" t="s">
        <v>1589</v>
      </c>
      <c r="E1286" s="245">
        <v>45054</v>
      </c>
      <c r="F1286" s="118">
        <v>1016.96</v>
      </c>
      <c r="G1286" s="118">
        <f>SUMIF(CONFERÊNCIA!A:A,A1286,CONFERÊNCIA!J:J)</f>
        <v>1016.96</v>
      </c>
      <c r="H1286" s="120">
        <f t="shared" si="59"/>
        <v>0</v>
      </c>
      <c r="I1286" s="171" t="s">
        <v>1234</v>
      </c>
    </row>
    <row r="1287" spans="1:9" x14ac:dyDescent="0.2">
      <c r="A1287" s="243">
        <v>121815</v>
      </c>
      <c r="B1287" s="244" t="s">
        <v>1608</v>
      </c>
      <c r="C1287" s="244" t="s">
        <v>1464</v>
      </c>
      <c r="D1287" s="244" t="s">
        <v>1591</v>
      </c>
      <c r="E1287" s="245">
        <v>45019</v>
      </c>
      <c r="F1287" s="118">
        <v>657.5</v>
      </c>
      <c r="G1287" s="118">
        <f>SUMIF(CONFERÊNCIA!A:A,A1287,CONFERÊNCIA!J:J)</f>
        <v>657.5</v>
      </c>
      <c r="H1287" s="120">
        <f t="shared" si="59"/>
        <v>0</v>
      </c>
      <c r="I1287" s="171" t="s">
        <v>1234</v>
      </c>
    </row>
    <row r="1288" spans="1:9" x14ac:dyDescent="0.2">
      <c r="A1288" s="243">
        <v>112217</v>
      </c>
      <c r="B1288" s="244" t="s">
        <v>40</v>
      </c>
      <c r="C1288" s="244" t="s">
        <v>2</v>
      </c>
      <c r="D1288" s="244" t="s">
        <v>19</v>
      </c>
      <c r="E1288" s="245">
        <v>43617</v>
      </c>
      <c r="F1288" s="118">
        <v>1016.96</v>
      </c>
      <c r="G1288" s="118">
        <f>SUMIF(CONFERÊNCIA!A:A,A1288,CONFERÊNCIA!J:J)</f>
        <v>1016.96</v>
      </c>
      <c r="H1288" s="120">
        <f t="shared" si="59"/>
        <v>0</v>
      </c>
      <c r="I1288" s="171" t="s">
        <v>1234</v>
      </c>
    </row>
    <row r="1289" spans="1:9" x14ac:dyDescent="0.2">
      <c r="A1289" s="243">
        <v>112434</v>
      </c>
      <c r="B1289" s="244" t="s">
        <v>177</v>
      </c>
      <c r="C1289" s="244" t="s">
        <v>2</v>
      </c>
      <c r="D1289" s="244" t="s">
        <v>8</v>
      </c>
      <c r="E1289" s="245">
        <v>43617</v>
      </c>
      <c r="F1289" s="118">
        <v>1016.96</v>
      </c>
      <c r="G1289" s="118">
        <f>SUMIF(CONFERÊNCIA!A:A,A1289,CONFERÊNCIA!J:J)</f>
        <v>1016.96</v>
      </c>
      <c r="H1289" s="120">
        <f t="shared" si="59"/>
        <v>0</v>
      </c>
      <c r="I1289" s="171" t="s">
        <v>1234</v>
      </c>
    </row>
    <row r="1290" spans="1:9" x14ac:dyDescent="0.2">
      <c r="A1290" s="243">
        <v>112698</v>
      </c>
      <c r="B1290" s="244" t="s">
        <v>349</v>
      </c>
      <c r="C1290" s="244" t="s">
        <v>2</v>
      </c>
      <c r="D1290" s="244" t="s">
        <v>0</v>
      </c>
      <c r="E1290" s="245">
        <v>43617</v>
      </c>
      <c r="F1290" s="118">
        <v>1016.96</v>
      </c>
      <c r="G1290" s="118">
        <f>SUMIF(CONFERÊNCIA!A:A,A1290,CONFERÊNCIA!J:J)</f>
        <v>1016.96</v>
      </c>
      <c r="H1290" s="120">
        <f t="shared" si="59"/>
        <v>0</v>
      </c>
      <c r="I1290" s="171" t="s">
        <v>1234</v>
      </c>
    </row>
    <row r="1291" spans="1:9" x14ac:dyDescent="0.2">
      <c r="A1291" s="243">
        <v>112444</v>
      </c>
      <c r="B1291" s="244" t="s">
        <v>185</v>
      </c>
      <c r="C1291" s="244" t="s">
        <v>5</v>
      </c>
      <c r="D1291" s="244" t="s">
        <v>8</v>
      </c>
      <c r="E1291" s="245">
        <v>43617</v>
      </c>
      <c r="F1291" s="118">
        <v>1016.96</v>
      </c>
      <c r="G1291" s="118">
        <f>SUMIF(CONFERÊNCIA!A:A,A1291,CONFERÊNCIA!J:J)</f>
        <v>1016.96</v>
      </c>
      <c r="H1291" s="120">
        <f t="shared" si="59"/>
        <v>0</v>
      </c>
      <c r="I1291" s="171" t="s">
        <v>1234</v>
      </c>
    </row>
    <row r="1292" spans="1:9" x14ac:dyDescent="0.2">
      <c r="A1292" s="243">
        <v>112220</v>
      </c>
      <c r="B1292" s="244" t="s">
        <v>41</v>
      </c>
      <c r="C1292" s="244" t="s">
        <v>2</v>
      </c>
      <c r="D1292" s="244" t="s">
        <v>19</v>
      </c>
      <c r="E1292" s="245">
        <v>43617</v>
      </c>
      <c r="F1292" s="118">
        <v>1016.96</v>
      </c>
      <c r="G1292" s="118">
        <f>SUMIF(CONFERÊNCIA!A:A,A1292,CONFERÊNCIA!J:J)</f>
        <v>1016.96</v>
      </c>
      <c r="H1292" s="120">
        <f t="shared" si="59"/>
        <v>0</v>
      </c>
      <c r="I1292" s="171" t="s">
        <v>1234</v>
      </c>
    </row>
    <row r="1293" spans="1:9" x14ac:dyDescent="0.2">
      <c r="A1293" s="243">
        <v>112704</v>
      </c>
      <c r="B1293" s="244" t="s">
        <v>354</v>
      </c>
      <c r="C1293" s="244" t="s">
        <v>22</v>
      </c>
      <c r="D1293" s="244" t="s">
        <v>1589</v>
      </c>
      <c r="E1293" s="245">
        <v>43617</v>
      </c>
      <c r="F1293" s="118">
        <v>1016.96</v>
      </c>
      <c r="G1293" s="118">
        <f>SUMIF(CONFERÊNCIA!A:A,A1293,CONFERÊNCIA!J:J)</f>
        <v>1016.96</v>
      </c>
      <c r="H1293" s="120">
        <f t="shared" si="59"/>
        <v>0</v>
      </c>
      <c r="I1293" s="171" t="s">
        <v>1234</v>
      </c>
    </row>
    <row r="1294" spans="1:9" x14ac:dyDescent="0.2">
      <c r="A1294" s="243">
        <v>113732</v>
      </c>
      <c r="B1294" s="244" t="s">
        <v>948</v>
      </c>
      <c r="C1294" s="244" t="s">
        <v>182</v>
      </c>
      <c r="D1294" s="244" t="s">
        <v>0</v>
      </c>
      <c r="E1294" s="245">
        <v>43617</v>
      </c>
      <c r="F1294" s="118">
        <v>1016.96</v>
      </c>
      <c r="G1294" s="118">
        <f>SUMIF(CONFERÊNCIA!A:A,A1294,CONFERÊNCIA!J:J)</f>
        <v>1016.96</v>
      </c>
      <c r="H1294" s="120">
        <f t="shared" si="59"/>
        <v>0</v>
      </c>
      <c r="I1294" s="171" t="s">
        <v>1234</v>
      </c>
    </row>
    <row r="1295" spans="1:9" x14ac:dyDescent="0.2">
      <c r="A1295" s="243">
        <v>112454</v>
      </c>
      <c r="B1295" s="244" t="s">
        <v>192</v>
      </c>
      <c r="C1295" s="244" t="s">
        <v>5</v>
      </c>
      <c r="D1295" s="244" t="s">
        <v>10</v>
      </c>
      <c r="E1295" s="245">
        <v>43617</v>
      </c>
      <c r="F1295" s="118">
        <v>174.75</v>
      </c>
      <c r="G1295" s="118">
        <f>SUMIF(CONFERÊNCIA!A:A,A1295,CONFERÊNCIA!J:J)</f>
        <v>0</v>
      </c>
      <c r="H1295" s="120">
        <f t="shared" si="59"/>
        <v>-174.75</v>
      </c>
      <c r="I1295" s="171" t="s">
        <v>1234</v>
      </c>
    </row>
    <row r="1296" spans="1:9" x14ac:dyDescent="0.2">
      <c r="A1296" s="243">
        <v>112457</v>
      </c>
      <c r="B1296" s="244" t="s">
        <v>193</v>
      </c>
      <c r="C1296" s="244" t="s">
        <v>2</v>
      </c>
      <c r="D1296" s="244" t="s">
        <v>8</v>
      </c>
      <c r="E1296" s="245">
        <v>43617</v>
      </c>
      <c r="F1296" s="118">
        <v>1016.96</v>
      </c>
      <c r="G1296" s="118">
        <f>SUMIF(CONFERÊNCIA!A:A,A1296,CONFERÊNCIA!J:J)</f>
        <v>1016.96</v>
      </c>
      <c r="H1296" s="120">
        <f t="shared" si="59"/>
        <v>0</v>
      </c>
      <c r="I1296" s="171" t="s">
        <v>1234</v>
      </c>
    </row>
    <row r="1297" spans="1:9" x14ac:dyDescent="0.2">
      <c r="A1297" s="243">
        <v>112706</v>
      </c>
      <c r="B1297" s="244" t="s">
        <v>355</v>
      </c>
      <c r="C1297" s="244" t="s">
        <v>2</v>
      </c>
      <c r="D1297" s="244" t="s">
        <v>0</v>
      </c>
      <c r="E1297" s="245">
        <v>43617</v>
      </c>
      <c r="F1297" s="118">
        <v>1016.96</v>
      </c>
      <c r="G1297" s="118">
        <f>SUMIF(CONFERÊNCIA!A:A,A1297,CONFERÊNCIA!J:J)</f>
        <v>1016.96</v>
      </c>
      <c r="H1297" s="120">
        <f t="shared" si="59"/>
        <v>0</v>
      </c>
      <c r="I1297" s="171" t="s">
        <v>1234</v>
      </c>
    </row>
    <row r="1298" spans="1:9" x14ac:dyDescent="0.2">
      <c r="A1298" s="243">
        <v>113003</v>
      </c>
      <c r="B1298" s="244" t="s">
        <v>542</v>
      </c>
      <c r="C1298" s="244" t="s">
        <v>15</v>
      </c>
      <c r="D1298" s="244" t="s">
        <v>1589</v>
      </c>
      <c r="E1298" s="245">
        <v>43617</v>
      </c>
      <c r="F1298" s="118">
        <v>1016.96</v>
      </c>
      <c r="G1298" s="118">
        <f>SUMIF(CONFERÊNCIA!A:A,A1298,CONFERÊNCIA!J:J)</f>
        <v>1016.96</v>
      </c>
      <c r="H1298" s="120">
        <f t="shared" si="59"/>
        <v>0</v>
      </c>
      <c r="I1298" s="171" t="s">
        <v>1234</v>
      </c>
    </row>
    <row r="1299" spans="1:9" x14ac:dyDescent="0.2">
      <c r="A1299" s="243">
        <v>112707</v>
      </c>
      <c r="B1299" s="244" t="s">
        <v>357</v>
      </c>
      <c r="C1299" s="244" t="s">
        <v>22</v>
      </c>
      <c r="D1299" s="244" t="s">
        <v>1589</v>
      </c>
      <c r="E1299" s="245">
        <v>43617</v>
      </c>
      <c r="F1299" s="118">
        <v>1016.96</v>
      </c>
      <c r="G1299" s="118">
        <f>SUMIF(CONFERÊNCIA!A:A,A1299,CONFERÊNCIA!J:J)</f>
        <v>1016.96</v>
      </c>
      <c r="H1299" s="120">
        <f t="shared" si="59"/>
        <v>0</v>
      </c>
      <c r="I1299" s="171" t="s">
        <v>1234</v>
      </c>
    </row>
    <row r="1300" spans="1:9" x14ac:dyDescent="0.2">
      <c r="A1300" s="243">
        <v>112290</v>
      </c>
      <c r="B1300" s="244" t="s">
        <v>91</v>
      </c>
      <c r="C1300" s="244" t="s">
        <v>2</v>
      </c>
      <c r="D1300" s="244" t="s">
        <v>10</v>
      </c>
      <c r="E1300" s="245">
        <v>43617</v>
      </c>
      <c r="F1300" s="118">
        <v>1016.96</v>
      </c>
      <c r="G1300" s="118">
        <f>SUMIF(CONFERÊNCIA!A:A,A1300,CONFERÊNCIA!J:J)</f>
        <v>1016.96</v>
      </c>
      <c r="H1300" s="120">
        <f t="shared" si="59"/>
        <v>0</v>
      </c>
      <c r="I1300" s="171" t="s">
        <v>1234</v>
      </c>
    </row>
    <row r="1301" spans="1:9" x14ac:dyDescent="0.2">
      <c r="A1301" s="243">
        <v>112461</v>
      </c>
      <c r="B1301" s="244" t="s">
        <v>196</v>
      </c>
      <c r="C1301" s="244" t="s">
        <v>39</v>
      </c>
      <c r="D1301" s="244" t="s">
        <v>10</v>
      </c>
      <c r="E1301" s="245">
        <v>43617</v>
      </c>
      <c r="F1301" s="118">
        <v>1016.96</v>
      </c>
      <c r="G1301" s="118">
        <f>SUMIF(CONFERÊNCIA!A:A,A1301,CONFERÊNCIA!J:J)</f>
        <v>1016.96</v>
      </c>
      <c r="H1301" s="120">
        <f t="shared" si="59"/>
        <v>0</v>
      </c>
      <c r="I1301" s="171" t="s">
        <v>1234</v>
      </c>
    </row>
    <row r="1302" spans="1:9" x14ac:dyDescent="0.2">
      <c r="A1302" s="243">
        <v>112714</v>
      </c>
      <c r="B1302" s="244" t="s">
        <v>359</v>
      </c>
      <c r="C1302" s="244" t="s">
        <v>2</v>
      </c>
      <c r="D1302" s="244" t="s">
        <v>0</v>
      </c>
      <c r="E1302" s="245">
        <v>43617</v>
      </c>
      <c r="F1302" s="118">
        <v>1016.96</v>
      </c>
      <c r="G1302" s="118">
        <f>SUMIF(CONFERÊNCIA!A:A,A1302,CONFERÊNCIA!J:J)</f>
        <v>1016.96</v>
      </c>
      <c r="H1302" s="120">
        <f t="shared" si="59"/>
        <v>0</v>
      </c>
      <c r="I1302" s="171" t="s">
        <v>1234</v>
      </c>
    </row>
    <row r="1303" spans="1:9" x14ac:dyDescent="0.2">
      <c r="A1303" s="243">
        <v>112224</v>
      </c>
      <c r="B1303" s="244" t="s">
        <v>46</v>
      </c>
      <c r="C1303" s="244" t="s">
        <v>2</v>
      </c>
      <c r="D1303" s="244" t="s">
        <v>19</v>
      </c>
      <c r="E1303" s="245">
        <v>43617</v>
      </c>
      <c r="F1303" s="118">
        <v>1016.96</v>
      </c>
      <c r="G1303" s="118">
        <f>SUMIF(CONFERÊNCIA!A:A,A1303,CONFERÊNCIA!J:J)</f>
        <v>1016.96</v>
      </c>
      <c r="H1303" s="120">
        <f t="shared" si="59"/>
        <v>0</v>
      </c>
      <c r="I1303" s="171" t="s">
        <v>1234</v>
      </c>
    </row>
    <row r="1304" spans="1:9" x14ac:dyDescent="0.2">
      <c r="A1304" s="243">
        <v>112294</v>
      </c>
      <c r="B1304" s="244" t="s">
        <v>93</v>
      </c>
      <c r="C1304" s="244" t="s">
        <v>2</v>
      </c>
      <c r="D1304" s="244" t="s">
        <v>10</v>
      </c>
      <c r="E1304" s="245">
        <v>43617</v>
      </c>
      <c r="F1304" s="118">
        <v>1016.96</v>
      </c>
      <c r="G1304" s="118">
        <f>SUMIF(CONFERÊNCIA!A:A,A1304,CONFERÊNCIA!J:J)</f>
        <v>1016.96</v>
      </c>
      <c r="H1304" s="120">
        <f t="shared" si="59"/>
        <v>0</v>
      </c>
      <c r="I1304" s="171" t="s">
        <v>1234</v>
      </c>
    </row>
    <row r="1305" spans="1:9" x14ac:dyDescent="0.2">
      <c r="A1305" s="243">
        <v>112717</v>
      </c>
      <c r="B1305" s="244" t="s">
        <v>361</v>
      </c>
      <c r="C1305" s="244" t="s">
        <v>22</v>
      </c>
      <c r="D1305" s="244" t="s">
        <v>1589</v>
      </c>
      <c r="E1305" s="245">
        <v>43617</v>
      </c>
      <c r="F1305" s="118">
        <v>1016.96</v>
      </c>
      <c r="G1305" s="118">
        <f>SUMIF(CONFERÊNCIA!A:A,A1305,CONFERÊNCIA!J:J)</f>
        <v>1016.96</v>
      </c>
      <c r="H1305" s="120">
        <f t="shared" si="59"/>
        <v>0</v>
      </c>
      <c r="I1305" s="171" t="s">
        <v>1234</v>
      </c>
    </row>
    <row r="1306" spans="1:9" x14ac:dyDescent="0.2">
      <c r="A1306" s="243">
        <v>112472</v>
      </c>
      <c r="B1306" s="244" t="s">
        <v>201</v>
      </c>
      <c r="C1306" s="244" t="s">
        <v>5</v>
      </c>
      <c r="D1306" s="244" t="s">
        <v>8</v>
      </c>
      <c r="E1306" s="245">
        <v>43617</v>
      </c>
      <c r="F1306" s="118">
        <v>1016.96</v>
      </c>
      <c r="G1306" s="118">
        <f>SUMIF(CONFERÊNCIA!A:A,A1306,CONFERÊNCIA!J:J)</f>
        <v>1016.96</v>
      </c>
      <c r="H1306" s="120">
        <f t="shared" si="59"/>
        <v>0</v>
      </c>
      <c r="I1306" s="171" t="s">
        <v>1234</v>
      </c>
    </row>
    <row r="1307" spans="1:9" x14ac:dyDescent="0.2">
      <c r="A1307" s="243">
        <v>112228</v>
      </c>
      <c r="B1307" s="244" t="s">
        <v>50</v>
      </c>
      <c r="C1307" s="244" t="s">
        <v>2</v>
      </c>
      <c r="D1307" s="244" t="s">
        <v>19</v>
      </c>
      <c r="E1307" s="245">
        <v>43617</v>
      </c>
      <c r="F1307" s="118">
        <v>1016.96</v>
      </c>
      <c r="G1307" s="118">
        <f>SUMIF(CONFERÊNCIA!A:A,A1307,CONFERÊNCIA!J:J)</f>
        <v>1016.96</v>
      </c>
      <c r="H1307" s="120">
        <f t="shared" si="59"/>
        <v>0</v>
      </c>
      <c r="I1307" s="171" t="s">
        <v>1234</v>
      </c>
    </row>
    <row r="1308" spans="1:9" x14ac:dyDescent="0.2">
      <c r="A1308" s="243">
        <v>112229</v>
      </c>
      <c r="B1308" s="244" t="s">
        <v>51</v>
      </c>
      <c r="C1308" s="244" t="s">
        <v>2</v>
      </c>
      <c r="D1308" s="244" t="s">
        <v>19</v>
      </c>
      <c r="E1308" s="245">
        <v>43617</v>
      </c>
      <c r="F1308" s="118">
        <v>1016.96</v>
      </c>
      <c r="G1308" s="118">
        <f>SUMIF(CONFERÊNCIA!A:A,A1308,CONFERÊNCIA!J:J)</f>
        <v>1016.96</v>
      </c>
      <c r="H1308" s="120">
        <f t="shared" si="59"/>
        <v>0</v>
      </c>
      <c r="I1308" s="171" t="s">
        <v>1234</v>
      </c>
    </row>
    <row r="1309" spans="1:9" x14ac:dyDescent="0.2">
      <c r="A1309" s="243">
        <v>112475</v>
      </c>
      <c r="B1309" s="244" t="s">
        <v>203</v>
      </c>
      <c r="C1309" s="244" t="s">
        <v>2</v>
      </c>
      <c r="D1309" s="244" t="s">
        <v>8</v>
      </c>
      <c r="E1309" s="245">
        <v>43617</v>
      </c>
      <c r="F1309" s="118">
        <v>1016.96</v>
      </c>
      <c r="G1309" s="118">
        <f>SUMIF(CONFERÊNCIA!A:A,A1309,CONFERÊNCIA!J:J)</f>
        <v>1016.96</v>
      </c>
      <c r="H1309" s="120">
        <f t="shared" ref="H1309:H1348" si="60">G1309-F1309</f>
        <v>0</v>
      </c>
      <c r="I1309" s="171" t="s">
        <v>1234</v>
      </c>
    </row>
    <row r="1310" spans="1:9" x14ac:dyDescent="0.2">
      <c r="A1310" s="243">
        <v>118994</v>
      </c>
      <c r="B1310" s="244" t="s">
        <v>1435</v>
      </c>
      <c r="C1310" s="244" t="s">
        <v>15</v>
      </c>
      <c r="D1310" s="244" t="s">
        <v>1589</v>
      </c>
      <c r="E1310" s="245">
        <v>44613</v>
      </c>
      <c r="F1310" s="118">
        <v>1016.96</v>
      </c>
      <c r="G1310" s="118">
        <f>SUMIF(CONFERÊNCIA!A:A,A1310,CONFERÊNCIA!J:J)</f>
        <v>1016.96</v>
      </c>
      <c r="H1310" s="120">
        <f t="shared" si="60"/>
        <v>0</v>
      </c>
      <c r="I1310" s="171" t="s">
        <v>1234</v>
      </c>
    </row>
    <row r="1311" spans="1:9" x14ac:dyDescent="0.2">
      <c r="A1311" s="243">
        <v>116112</v>
      </c>
      <c r="B1311" s="244" t="s">
        <v>1190</v>
      </c>
      <c r="C1311" s="244" t="s">
        <v>282</v>
      </c>
      <c r="D1311" s="244" t="s">
        <v>1589</v>
      </c>
      <c r="E1311" s="245">
        <v>44236</v>
      </c>
      <c r="F1311" s="118">
        <v>1016.96</v>
      </c>
      <c r="G1311" s="118">
        <f>SUMIF(CONFERÊNCIA!A:A,A1311,CONFERÊNCIA!J:J)</f>
        <v>1016.96</v>
      </c>
      <c r="H1311" s="120">
        <f t="shared" si="60"/>
        <v>0</v>
      </c>
      <c r="I1311" s="171" t="s">
        <v>1234</v>
      </c>
    </row>
    <row r="1312" spans="1:9" x14ac:dyDescent="0.2">
      <c r="A1312" s="243">
        <v>112722</v>
      </c>
      <c r="B1312" s="244" t="s">
        <v>365</v>
      </c>
      <c r="C1312" s="244" t="s">
        <v>5</v>
      </c>
      <c r="D1312" s="244" t="s">
        <v>1589</v>
      </c>
      <c r="E1312" s="245">
        <v>43617</v>
      </c>
      <c r="F1312" s="118">
        <v>1016.96</v>
      </c>
      <c r="G1312" s="118">
        <f>SUMIF(CONFERÊNCIA!A:A,A1312,CONFERÊNCIA!J:J)</f>
        <v>1016.96</v>
      </c>
      <c r="H1312" s="120">
        <f t="shared" si="60"/>
        <v>0</v>
      </c>
      <c r="I1312" s="171" t="s">
        <v>1234</v>
      </c>
    </row>
    <row r="1313" spans="1:9" x14ac:dyDescent="0.2">
      <c r="A1313" s="243">
        <v>112298</v>
      </c>
      <c r="B1313" s="244" t="s">
        <v>96</v>
      </c>
      <c r="C1313" s="244" t="s">
        <v>2</v>
      </c>
      <c r="D1313" s="244" t="s">
        <v>10</v>
      </c>
      <c r="E1313" s="245">
        <v>43617</v>
      </c>
      <c r="F1313" s="118">
        <v>1016.96</v>
      </c>
      <c r="G1313" s="118">
        <f>SUMIF(CONFERÊNCIA!A:A,A1313,CONFERÊNCIA!J:J)</f>
        <v>1016.96</v>
      </c>
      <c r="H1313" s="120">
        <f t="shared" si="60"/>
        <v>0</v>
      </c>
      <c r="I1313" s="171" t="s">
        <v>1234</v>
      </c>
    </row>
    <row r="1314" spans="1:9" x14ac:dyDescent="0.2">
      <c r="A1314" s="243">
        <v>113008</v>
      </c>
      <c r="B1314" s="244" t="s">
        <v>544</v>
      </c>
      <c r="C1314" s="244" t="s">
        <v>15</v>
      </c>
      <c r="D1314" s="244" t="s">
        <v>1589</v>
      </c>
      <c r="E1314" s="245">
        <v>43617</v>
      </c>
      <c r="F1314" s="118">
        <v>1016.96</v>
      </c>
      <c r="G1314" s="118">
        <f>SUMIF(CONFERÊNCIA!A:A,A1314,CONFERÊNCIA!J:J)</f>
        <v>1016.96</v>
      </c>
      <c r="H1314" s="120">
        <f t="shared" si="60"/>
        <v>0</v>
      </c>
      <c r="I1314" s="171" t="s">
        <v>1234</v>
      </c>
    </row>
    <row r="1315" spans="1:9" x14ac:dyDescent="0.2">
      <c r="A1315" s="243">
        <v>112725</v>
      </c>
      <c r="B1315" s="244" t="s">
        <v>367</v>
      </c>
      <c r="C1315" s="244" t="s">
        <v>39</v>
      </c>
      <c r="D1315" s="244" t="s">
        <v>0</v>
      </c>
      <c r="E1315" s="245">
        <v>43617</v>
      </c>
      <c r="F1315" s="118">
        <v>1016.96</v>
      </c>
      <c r="G1315" s="118">
        <f>SUMIF(CONFERÊNCIA!A:A,A1315,CONFERÊNCIA!J:J)</f>
        <v>1016.96</v>
      </c>
      <c r="H1315" s="120">
        <f t="shared" si="60"/>
        <v>0</v>
      </c>
      <c r="I1315" s="171" t="s">
        <v>1235</v>
      </c>
    </row>
    <row r="1316" spans="1:9" x14ac:dyDescent="0.2">
      <c r="A1316" s="243">
        <v>112481</v>
      </c>
      <c r="B1316" s="244" t="s">
        <v>207</v>
      </c>
      <c r="C1316" s="244" t="s">
        <v>39</v>
      </c>
      <c r="D1316" s="244" t="s">
        <v>32</v>
      </c>
      <c r="E1316" s="245">
        <v>43617</v>
      </c>
      <c r="F1316" s="118">
        <v>1016.96</v>
      </c>
      <c r="G1316" s="118">
        <f>SUMIF(CONFERÊNCIA!A:A,A1316,CONFERÊNCIA!J:J)</f>
        <v>1016.96</v>
      </c>
      <c r="H1316" s="120">
        <f t="shared" si="60"/>
        <v>0</v>
      </c>
      <c r="I1316" s="171" t="s">
        <v>1234</v>
      </c>
    </row>
    <row r="1317" spans="1:9" x14ac:dyDescent="0.2">
      <c r="A1317" s="243">
        <v>113013</v>
      </c>
      <c r="B1317" s="244" t="s">
        <v>545</v>
      </c>
      <c r="C1317" s="244" t="s">
        <v>15</v>
      </c>
      <c r="D1317" s="244" t="s">
        <v>1589</v>
      </c>
      <c r="E1317" s="245">
        <v>43620</v>
      </c>
      <c r="F1317" s="118">
        <v>1016.96</v>
      </c>
      <c r="G1317" s="118">
        <f>SUMIF(CONFERÊNCIA!A:A,A1317,CONFERÊNCIA!J:J)</f>
        <v>1016.96</v>
      </c>
      <c r="H1317" s="120">
        <f t="shared" si="60"/>
        <v>0</v>
      </c>
      <c r="I1317" s="171" t="s">
        <v>1234</v>
      </c>
    </row>
    <row r="1318" spans="1:9" x14ac:dyDescent="0.2">
      <c r="A1318" s="243">
        <v>115400</v>
      </c>
      <c r="B1318" s="244" t="s">
        <v>1157</v>
      </c>
      <c r="C1318" s="244" t="s">
        <v>5</v>
      </c>
      <c r="D1318" s="244" t="s">
        <v>0</v>
      </c>
      <c r="E1318" s="245">
        <v>44048</v>
      </c>
      <c r="F1318" s="118">
        <v>1016.96</v>
      </c>
      <c r="G1318" s="118">
        <f>SUMIF(CONFERÊNCIA!A:A,A1318,CONFERÊNCIA!J:J)</f>
        <v>1016.96</v>
      </c>
      <c r="H1318" s="120">
        <f t="shared" si="60"/>
        <v>0</v>
      </c>
      <c r="I1318" s="171" t="s">
        <v>1234</v>
      </c>
    </row>
    <row r="1319" spans="1:9" x14ac:dyDescent="0.2">
      <c r="A1319" s="243">
        <v>116021</v>
      </c>
      <c r="B1319" s="244" t="s">
        <v>1178</v>
      </c>
      <c r="C1319" s="244" t="s">
        <v>5</v>
      </c>
      <c r="D1319" s="244" t="s">
        <v>10</v>
      </c>
      <c r="E1319" s="245">
        <v>44207</v>
      </c>
      <c r="F1319" s="118">
        <v>978.67000000000007</v>
      </c>
      <c r="G1319" s="118">
        <f>SUMIF(CONFERÊNCIA!A:A,A1319,CONFERÊNCIA!J:J)</f>
        <v>978.67000000000007</v>
      </c>
      <c r="H1319" s="120">
        <f t="shared" si="60"/>
        <v>0</v>
      </c>
      <c r="I1319" s="171" t="s">
        <v>1234</v>
      </c>
    </row>
    <row r="1320" spans="1:9" x14ac:dyDescent="0.2">
      <c r="A1320" s="243">
        <v>112727</v>
      </c>
      <c r="B1320" s="244" t="s">
        <v>369</v>
      </c>
      <c r="C1320" s="244" t="s">
        <v>2</v>
      </c>
      <c r="D1320" s="244" t="s">
        <v>0</v>
      </c>
      <c r="E1320" s="245">
        <v>43617</v>
      </c>
      <c r="F1320" s="118">
        <v>1016.96</v>
      </c>
      <c r="G1320" s="118">
        <f>SUMIF(CONFERÊNCIA!A:A,A1320,CONFERÊNCIA!J:J)</f>
        <v>1016.96</v>
      </c>
      <c r="H1320" s="120">
        <f t="shared" si="60"/>
        <v>0</v>
      </c>
      <c r="I1320" s="171" t="s">
        <v>1234</v>
      </c>
    </row>
    <row r="1321" spans="1:9" x14ac:dyDescent="0.2">
      <c r="A1321" s="243">
        <v>122087</v>
      </c>
      <c r="B1321" s="244" t="s">
        <v>1649</v>
      </c>
      <c r="C1321" s="244" t="s">
        <v>5</v>
      </c>
      <c r="D1321" s="244" t="s">
        <v>32</v>
      </c>
      <c r="E1321" s="245">
        <v>45061</v>
      </c>
      <c r="F1321" s="118">
        <v>1016.96</v>
      </c>
      <c r="G1321" s="118">
        <f>SUMIF(CONFERÊNCIA!A:A,A1321,CONFERÊNCIA!J:J)</f>
        <v>1016.96</v>
      </c>
      <c r="H1321" s="120">
        <f t="shared" si="60"/>
        <v>0</v>
      </c>
      <c r="I1321" s="171" t="s">
        <v>1234</v>
      </c>
    </row>
    <row r="1322" spans="1:9" x14ac:dyDescent="0.2">
      <c r="A1322" s="243">
        <v>121458</v>
      </c>
      <c r="B1322" s="244" t="s">
        <v>1579</v>
      </c>
      <c r="C1322" s="244" t="s">
        <v>5</v>
      </c>
      <c r="D1322" s="244" t="s">
        <v>19</v>
      </c>
      <c r="E1322" s="245">
        <v>44967</v>
      </c>
      <c r="F1322" s="118">
        <v>1016.96</v>
      </c>
      <c r="G1322" s="118">
        <f>SUMIF(CONFERÊNCIA!A:A,A1322,CONFERÊNCIA!J:J)</f>
        <v>1016.96</v>
      </c>
      <c r="H1322" s="120">
        <f t="shared" si="60"/>
        <v>0</v>
      </c>
      <c r="I1322" s="171" t="s">
        <v>1234</v>
      </c>
    </row>
    <row r="1323" spans="1:9" x14ac:dyDescent="0.2">
      <c r="A1323" s="243">
        <v>121318</v>
      </c>
      <c r="B1323" s="244" t="s">
        <v>1547</v>
      </c>
      <c r="C1323" s="244" t="s">
        <v>2</v>
      </c>
      <c r="D1323" s="244" t="s">
        <v>10</v>
      </c>
      <c r="E1323" s="245">
        <v>44945</v>
      </c>
      <c r="F1323" s="118">
        <v>1016.96</v>
      </c>
      <c r="G1323" s="118">
        <f>SUMIF(CONFERÊNCIA!A:A,A1323,CONFERÊNCIA!J:J)</f>
        <v>1016.96</v>
      </c>
      <c r="H1323" s="120">
        <f t="shared" si="60"/>
        <v>0</v>
      </c>
      <c r="I1323" s="171" t="s">
        <v>1234</v>
      </c>
    </row>
    <row r="1324" spans="1:9" x14ac:dyDescent="0.2">
      <c r="A1324" s="243">
        <v>112678</v>
      </c>
      <c r="B1324" s="244" t="s">
        <v>335</v>
      </c>
      <c r="C1324" s="244" t="s">
        <v>5</v>
      </c>
      <c r="D1324" s="244" t="s">
        <v>0</v>
      </c>
      <c r="E1324" s="245">
        <v>43617</v>
      </c>
      <c r="F1324" s="118">
        <v>1016.96</v>
      </c>
      <c r="G1324" s="118">
        <f>SUMIF(CONFERÊNCIA!A:A,A1324,CONFERÊNCIA!J:J)</f>
        <v>1016.96</v>
      </c>
      <c r="H1324" s="120">
        <f t="shared" si="60"/>
        <v>0</v>
      </c>
      <c r="I1324" s="171" t="s">
        <v>1234</v>
      </c>
    </row>
    <row r="1325" spans="1:9" x14ac:dyDescent="0.2">
      <c r="A1325" s="243">
        <v>119753</v>
      </c>
      <c r="B1325" s="244" t="s">
        <v>1481</v>
      </c>
      <c r="C1325" s="244" t="s">
        <v>1464</v>
      </c>
      <c r="D1325" s="244" t="s">
        <v>1591</v>
      </c>
      <c r="E1325" s="245">
        <v>44734</v>
      </c>
      <c r="F1325" s="118">
        <v>657.5</v>
      </c>
      <c r="G1325" s="118">
        <f>SUMIF(CONFERÊNCIA!A:A,A1325,CONFERÊNCIA!J:J)</f>
        <v>657.5</v>
      </c>
      <c r="H1325" s="120">
        <f t="shared" si="60"/>
        <v>0</v>
      </c>
      <c r="I1325" s="171" t="s">
        <v>1234</v>
      </c>
    </row>
    <row r="1326" spans="1:9" x14ac:dyDescent="0.2">
      <c r="A1326" s="243">
        <v>122083</v>
      </c>
      <c r="B1326" s="244" t="s">
        <v>1646</v>
      </c>
      <c r="C1326" s="244" t="s">
        <v>5</v>
      </c>
      <c r="D1326" s="244" t="s">
        <v>19</v>
      </c>
      <c r="E1326" s="245">
        <v>45061</v>
      </c>
      <c r="F1326" s="118">
        <v>1016.96</v>
      </c>
      <c r="G1326" s="118">
        <f>SUMIF(CONFERÊNCIA!A:A,A1326,CONFERÊNCIA!J:J)</f>
        <v>1016.96</v>
      </c>
      <c r="H1326" s="120">
        <f t="shared" si="60"/>
        <v>0</v>
      </c>
      <c r="I1326" s="171" t="s">
        <v>1234</v>
      </c>
    </row>
    <row r="1327" spans="1:9" x14ac:dyDescent="0.2">
      <c r="A1327" s="243">
        <v>121850</v>
      </c>
      <c r="B1327" s="244" t="s">
        <v>1627</v>
      </c>
      <c r="C1327" s="244" t="s">
        <v>5</v>
      </c>
      <c r="D1327" s="244" t="s">
        <v>8</v>
      </c>
      <c r="E1327" s="245">
        <v>45022</v>
      </c>
      <c r="F1327" s="118">
        <v>1016.96</v>
      </c>
      <c r="G1327" s="118">
        <f>SUMIF(CONFERÊNCIA!A:A,A1327,CONFERÊNCIA!J:J)</f>
        <v>1016.96</v>
      </c>
      <c r="H1327" s="120">
        <f t="shared" si="60"/>
        <v>0</v>
      </c>
      <c r="I1327" s="171" t="s">
        <v>1234</v>
      </c>
    </row>
    <row r="1328" spans="1:9" x14ac:dyDescent="0.2">
      <c r="A1328" s="243">
        <v>117406</v>
      </c>
      <c r="B1328" s="244" t="s">
        <v>1274</v>
      </c>
      <c r="C1328" s="244" t="s">
        <v>2</v>
      </c>
      <c r="D1328" s="244" t="s">
        <v>10</v>
      </c>
      <c r="E1328" s="245">
        <v>44522</v>
      </c>
      <c r="F1328" s="118">
        <v>1016.96</v>
      </c>
      <c r="G1328" s="118">
        <f>SUMIF(CONFERÊNCIA!A:A,A1328,CONFERÊNCIA!J:J)</f>
        <v>1016.96</v>
      </c>
      <c r="H1328" s="120">
        <f t="shared" si="60"/>
        <v>0</v>
      </c>
      <c r="I1328" s="171" t="s">
        <v>1234</v>
      </c>
    </row>
    <row r="1329" spans="1:9" x14ac:dyDescent="0.2">
      <c r="A1329" s="243">
        <v>113016</v>
      </c>
      <c r="B1329" s="244" t="s">
        <v>546</v>
      </c>
      <c r="C1329" s="244" t="s">
        <v>15</v>
      </c>
      <c r="D1329" s="244" t="s">
        <v>1589</v>
      </c>
      <c r="E1329" s="245">
        <v>43617</v>
      </c>
      <c r="F1329" s="118">
        <v>1016.96</v>
      </c>
      <c r="G1329" s="118">
        <f>SUMIF(CONFERÊNCIA!A:A,A1329,CONFERÊNCIA!J:J)</f>
        <v>1016.96</v>
      </c>
      <c r="H1329" s="120">
        <f t="shared" si="60"/>
        <v>0</v>
      </c>
      <c r="I1329" s="171" t="s">
        <v>1234</v>
      </c>
    </row>
    <row r="1330" spans="1:9" x14ac:dyDescent="0.2">
      <c r="A1330" s="243">
        <v>113030</v>
      </c>
      <c r="B1330" s="244" t="s">
        <v>552</v>
      </c>
      <c r="C1330" s="244" t="s">
        <v>15</v>
      </c>
      <c r="D1330" s="244" t="s">
        <v>1589</v>
      </c>
      <c r="E1330" s="245">
        <v>43617</v>
      </c>
      <c r="F1330" s="118">
        <v>1016.96</v>
      </c>
      <c r="G1330" s="118">
        <f>SUMIF(CONFERÊNCIA!A:A,A1330,CONFERÊNCIA!J:J)</f>
        <v>1016.96</v>
      </c>
      <c r="H1330" s="120">
        <f t="shared" si="60"/>
        <v>0</v>
      </c>
      <c r="I1330" s="171" t="s">
        <v>1234</v>
      </c>
    </row>
    <row r="1331" spans="1:9" x14ac:dyDescent="0.2">
      <c r="A1331" s="243">
        <v>116988</v>
      </c>
      <c r="B1331" s="244" t="s">
        <v>1251</v>
      </c>
      <c r="C1331" s="244" t="s">
        <v>5</v>
      </c>
      <c r="D1331" s="244" t="s">
        <v>8</v>
      </c>
      <c r="E1331" s="245">
        <v>44419</v>
      </c>
      <c r="F1331" s="118">
        <v>940.39</v>
      </c>
      <c r="G1331" s="118">
        <f>SUMIF(CONFERÊNCIA!A:A,A1331,CONFERÊNCIA!J:J)</f>
        <v>902.11</v>
      </c>
      <c r="H1331" s="120">
        <f t="shared" si="60"/>
        <v>-38.279999999999973</v>
      </c>
      <c r="I1331" s="171" t="s">
        <v>1234</v>
      </c>
    </row>
    <row r="1332" spans="1:9" x14ac:dyDescent="0.2">
      <c r="A1332" s="243">
        <v>121951</v>
      </c>
      <c r="B1332" s="244" t="s">
        <v>1628</v>
      </c>
      <c r="C1332" s="244" t="s">
        <v>1464</v>
      </c>
      <c r="D1332" s="244" t="s">
        <v>1591</v>
      </c>
      <c r="E1332" s="245">
        <v>45040</v>
      </c>
      <c r="F1332" s="118">
        <v>657.5</v>
      </c>
      <c r="G1332" s="118">
        <f>SUMIF(CONFERÊNCIA!A:A,A1332,CONFERÊNCIA!J:J)</f>
        <v>657.5</v>
      </c>
      <c r="H1332" s="120">
        <f t="shared" si="60"/>
        <v>0</v>
      </c>
      <c r="I1332" s="171" t="s">
        <v>1234</v>
      </c>
    </row>
    <row r="1333" spans="1:9" x14ac:dyDescent="0.2">
      <c r="A1333" s="243">
        <v>116109</v>
      </c>
      <c r="B1333" s="244" t="s">
        <v>1187</v>
      </c>
      <c r="C1333" s="244" t="s">
        <v>15</v>
      </c>
      <c r="D1333" s="244" t="s">
        <v>1589</v>
      </c>
      <c r="E1333" s="245">
        <v>44236</v>
      </c>
      <c r="F1333" s="118">
        <v>1016.96</v>
      </c>
      <c r="G1333" s="118">
        <f>SUMIF(CONFERÊNCIA!A:A,A1333,CONFERÊNCIA!J:J)</f>
        <v>1016.96</v>
      </c>
      <c r="H1333" s="120">
        <f t="shared" si="60"/>
        <v>0</v>
      </c>
      <c r="I1333" s="171" t="s">
        <v>1234</v>
      </c>
    </row>
    <row r="1334" spans="1:9" x14ac:dyDescent="0.2">
      <c r="A1334" s="243">
        <v>114262</v>
      </c>
      <c r="B1334" s="244" t="s">
        <v>1028</v>
      </c>
      <c r="C1334" s="244" t="s">
        <v>5</v>
      </c>
      <c r="D1334" s="244" t="s">
        <v>0</v>
      </c>
      <c r="E1334" s="245">
        <v>43804</v>
      </c>
      <c r="F1334" s="118">
        <v>1016.96</v>
      </c>
      <c r="G1334" s="118">
        <f>SUMIF(CONFERÊNCIA!A:A,A1334,CONFERÊNCIA!J:J)</f>
        <v>978.67000000000007</v>
      </c>
      <c r="H1334" s="120">
        <f t="shared" si="60"/>
        <v>-38.289999999999964</v>
      </c>
      <c r="I1334" s="171" t="s">
        <v>1234</v>
      </c>
    </row>
    <row r="1335" spans="1:9" x14ac:dyDescent="0.2">
      <c r="A1335" s="243">
        <v>122078</v>
      </c>
      <c r="B1335" s="244" t="s">
        <v>1647</v>
      </c>
      <c r="C1335" s="244" t="s">
        <v>5</v>
      </c>
      <c r="D1335" s="244" t="s">
        <v>8</v>
      </c>
      <c r="E1335" s="245">
        <v>45061</v>
      </c>
      <c r="F1335" s="118">
        <v>748.98</v>
      </c>
      <c r="G1335" s="118">
        <f>SUMIF(CONFERÊNCIA!A:A,A1335,CONFERÊNCIA!J:J)</f>
        <v>359.46</v>
      </c>
      <c r="H1335" s="120">
        <f t="shared" si="60"/>
        <v>-389.52000000000004</v>
      </c>
      <c r="I1335" s="171" t="s">
        <v>1731</v>
      </c>
    </row>
    <row r="1336" spans="1:9" x14ac:dyDescent="0.2">
      <c r="A1336" s="243">
        <v>112730</v>
      </c>
      <c r="B1336" s="244" t="s">
        <v>370</v>
      </c>
      <c r="C1336" s="244" t="s">
        <v>5</v>
      </c>
      <c r="D1336" s="244" t="s">
        <v>0</v>
      </c>
      <c r="E1336" s="245">
        <v>43617</v>
      </c>
      <c r="F1336" s="118">
        <v>1016.96</v>
      </c>
      <c r="G1336" s="118">
        <f>SUMIF(CONFERÊNCIA!A:A,A1336,CONFERÊNCIA!J:J)</f>
        <v>1016.96</v>
      </c>
      <c r="H1336" s="120">
        <f t="shared" si="60"/>
        <v>0</v>
      </c>
      <c r="I1336" s="171" t="s">
        <v>1234</v>
      </c>
    </row>
    <row r="1337" spans="1:9" x14ac:dyDescent="0.2">
      <c r="A1337" s="243">
        <v>116384</v>
      </c>
      <c r="B1337" s="244" t="s">
        <v>1213</v>
      </c>
      <c r="C1337" s="244" t="s">
        <v>5</v>
      </c>
      <c r="D1337" s="244" t="s">
        <v>19</v>
      </c>
      <c r="E1337" s="245">
        <v>44328</v>
      </c>
      <c r="F1337" s="118">
        <v>978.67000000000007</v>
      </c>
      <c r="G1337" s="118">
        <f>SUMIF(CONFERÊNCIA!A:A,A1337,CONFERÊNCIA!J:J)</f>
        <v>1016.96</v>
      </c>
      <c r="H1337" s="120">
        <f t="shared" si="60"/>
        <v>38.289999999999964</v>
      </c>
      <c r="I1337" s="171" t="s">
        <v>1234</v>
      </c>
    </row>
    <row r="1338" spans="1:9" x14ac:dyDescent="0.2">
      <c r="A1338" s="243">
        <v>112483</v>
      </c>
      <c r="B1338" s="244" t="s">
        <v>208</v>
      </c>
      <c r="C1338" s="244" t="s">
        <v>39</v>
      </c>
      <c r="D1338" s="244" t="s">
        <v>8</v>
      </c>
      <c r="E1338" s="245">
        <v>43617</v>
      </c>
      <c r="F1338" s="118">
        <v>1016.96</v>
      </c>
      <c r="G1338" s="118">
        <f>SUMIF(CONFERÊNCIA!A:A,A1338,CONFERÊNCIA!J:J)</f>
        <v>1016.96</v>
      </c>
      <c r="H1338" s="120">
        <f t="shared" si="60"/>
        <v>0</v>
      </c>
      <c r="I1338" s="171" t="s">
        <v>1234</v>
      </c>
    </row>
    <row r="1339" spans="1:9" x14ac:dyDescent="0.2">
      <c r="A1339" s="243">
        <v>112485</v>
      </c>
      <c r="B1339" s="244" t="s">
        <v>209</v>
      </c>
      <c r="C1339" s="244" t="s">
        <v>2</v>
      </c>
      <c r="D1339" s="244" t="s">
        <v>8</v>
      </c>
      <c r="E1339" s="245">
        <v>43617</v>
      </c>
      <c r="F1339" s="118">
        <v>1016.96</v>
      </c>
      <c r="G1339" s="118">
        <f>SUMIF(CONFERÊNCIA!A:A,A1339,CONFERÊNCIA!J:J)</f>
        <v>978.67000000000007</v>
      </c>
      <c r="H1339" s="120">
        <f t="shared" si="60"/>
        <v>-38.289999999999964</v>
      </c>
      <c r="I1339" s="171" t="s">
        <v>1234</v>
      </c>
    </row>
    <row r="1340" spans="1:9" x14ac:dyDescent="0.2">
      <c r="A1340" s="243">
        <v>122406</v>
      </c>
      <c r="B1340" s="244" t="s">
        <v>1714</v>
      </c>
      <c r="C1340" s="244" t="s">
        <v>5</v>
      </c>
      <c r="D1340" s="244" t="s">
        <v>1589</v>
      </c>
      <c r="E1340" s="245">
        <v>45117</v>
      </c>
      <c r="F1340" s="118">
        <v>1016.96</v>
      </c>
      <c r="G1340" s="118">
        <f>SUMIF(CONFERÊNCIA!A:A,A1340,CONFERÊNCIA!J:J)</f>
        <v>1016.96</v>
      </c>
      <c r="H1340" s="120">
        <f t="shared" si="60"/>
        <v>0</v>
      </c>
      <c r="I1340" s="171" t="s">
        <v>1234</v>
      </c>
    </row>
    <row r="1341" spans="1:9" x14ac:dyDescent="0.2">
      <c r="A1341" s="243">
        <v>112733</v>
      </c>
      <c r="B1341" s="244" t="s">
        <v>373</v>
      </c>
      <c r="C1341" s="244" t="s">
        <v>15</v>
      </c>
      <c r="D1341" s="244" t="s">
        <v>1589</v>
      </c>
      <c r="E1341" s="245">
        <v>43617</v>
      </c>
      <c r="F1341" s="118">
        <v>1016.96</v>
      </c>
      <c r="G1341" s="118">
        <f>SUMIF(CONFERÊNCIA!A:A,A1341,CONFERÊNCIA!J:J)</f>
        <v>1016.96</v>
      </c>
      <c r="H1341" s="120">
        <f t="shared" si="60"/>
        <v>0</v>
      </c>
      <c r="I1341" s="171" t="s">
        <v>1235</v>
      </c>
    </row>
    <row r="1342" spans="1:9" x14ac:dyDescent="0.2">
      <c r="A1342" s="243">
        <v>121847</v>
      </c>
      <c r="B1342" s="244" t="s">
        <v>1629</v>
      </c>
      <c r="C1342" s="244" t="s">
        <v>5</v>
      </c>
      <c r="D1342" s="244" t="s">
        <v>32</v>
      </c>
      <c r="E1342" s="245">
        <v>45022</v>
      </c>
      <c r="F1342" s="118">
        <v>1016.96</v>
      </c>
      <c r="G1342" s="118">
        <f>SUMIF(CONFERÊNCIA!A:A,A1342,CONFERÊNCIA!J:J)</f>
        <v>1016.96</v>
      </c>
      <c r="H1342" s="120">
        <f t="shared" si="60"/>
        <v>0</v>
      </c>
      <c r="I1342" s="171" t="s">
        <v>1234</v>
      </c>
    </row>
    <row r="1343" spans="1:9" x14ac:dyDescent="0.2">
      <c r="A1343" s="243">
        <v>121460</v>
      </c>
      <c r="B1343" s="244" t="s">
        <v>1580</v>
      </c>
      <c r="C1343" s="244" t="s">
        <v>5</v>
      </c>
      <c r="D1343" s="244" t="s">
        <v>19</v>
      </c>
      <c r="E1343" s="245">
        <v>44967</v>
      </c>
      <c r="F1343" s="118">
        <v>1016.96</v>
      </c>
      <c r="G1343" s="118">
        <f>SUMIF(CONFERÊNCIA!A:A,A1343,CONFERÊNCIA!J:J)</f>
        <v>978.67000000000007</v>
      </c>
      <c r="H1343" s="120">
        <f t="shared" si="60"/>
        <v>-38.289999999999964</v>
      </c>
      <c r="I1343" s="171" t="s">
        <v>1234</v>
      </c>
    </row>
    <row r="1344" spans="1:9" x14ac:dyDescent="0.2">
      <c r="A1344" s="243">
        <v>112489</v>
      </c>
      <c r="B1344" s="244" t="s">
        <v>211</v>
      </c>
      <c r="C1344" s="244" t="s">
        <v>2</v>
      </c>
      <c r="D1344" s="244" t="s">
        <v>32</v>
      </c>
      <c r="E1344" s="245">
        <v>43617</v>
      </c>
      <c r="F1344" s="118">
        <v>1016.96</v>
      </c>
      <c r="G1344" s="118">
        <f>SUMIF(CONFERÊNCIA!A:A,A1344,CONFERÊNCIA!J:J)</f>
        <v>1016.96</v>
      </c>
      <c r="H1344" s="120">
        <f t="shared" si="60"/>
        <v>0</v>
      </c>
      <c r="I1344" s="171" t="s">
        <v>1234</v>
      </c>
    </row>
    <row r="1345" spans="1:9" x14ac:dyDescent="0.2">
      <c r="A1345" s="243">
        <v>112235</v>
      </c>
      <c r="B1345" s="244" t="s">
        <v>54</v>
      </c>
      <c r="C1345" s="244" t="s">
        <v>5</v>
      </c>
      <c r="D1345" s="244" t="s">
        <v>19</v>
      </c>
      <c r="E1345" s="245">
        <v>43617</v>
      </c>
      <c r="F1345" s="118">
        <v>1016.96</v>
      </c>
      <c r="G1345" s="118">
        <f>SUMIF(CONFERÊNCIA!A:A,A1345,CONFERÊNCIA!J:J)</f>
        <v>1016.96</v>
      </c>
      <c r="H1345" s="120">
        <f t="shared" si="60"/>
        <v>0</v>
      </c>
      <c r="I1345" s="171" t="s">
        <v>1234</v>
      </c>
    </row>
    <row r="1346" spans="1:9" x14ac:dyDescent="0.2">
      <c r="A1346" s="243">
        <v>112322</v>
      </c>
      <c r="B1346" s="244" t="s">
        <v>106</v>
      </c>
      <c r="C1346" s="244" t="s">
        <v>39</v>
      </c>
      <c r="D1346" s="244" t="s">
        <v>0</v>
      </c>
      <c r="E1346" s="245">
        <v>43617</v>
      </c>
      <c r="F1346" s="118">
        <v>1016.96</v>
      </c>
      <c r="G1346" s="118">
        <f>SUMIF(CONFERÊNCIA!A:A,A1346,CONFERÊNCIA!J:J)</f>
        <v>1016.96</v>
      </c>
      <c r="H1346" s="120">
        <f t="shared" si="60"/>
        <v>0</v>
      </c>
      <c r="I1346" s="171" t="s">
        <v>1234</v>
      </c>
    </row>
    <row r="1347" spans="1:9" x14ac:dyDescent="0.2">
      <c r="A1347" s="243">
        <v>112237</v>
      </c>
      <c r="B1347" s="244" t="s">
        <v>56</v>
      </c>
      <c r="C1347" s="244" t="s">
        <v>5</v>
      </c>
      <c r="D1347" s="244" t="s">
        <v>19</v>
      </c>
      <c r="E1347" s="245">
        <v>43617</v>
      </c>
      <c r="F1347" s="118">
        <v>1016.96</v>
      </c>
      <c r="G1347" s="118">
        <f>SUMIF(CONFERÊNCIA!A:A,A1347,CONFERÊNCIA!J:J)</f>
        <v>1016.96</v>
      </c>
      <c r="H1347" s="120">
        <f t="shared" si="60"/>
        <v>0</v>
      </c>
      <c r="I1347" s="171" t="s">
        <v>1234</v>
      </c>
    </row>
    <row r="1348" spans="1:9" x14ac:dyDescent="0.2">
      <c r="A1348" s="243">
        <v>112759</v>
      </c>
      <c r="B1348" s="244" t="s">
        <v>388</v>
      </c>
      <c r="C1348" s="244" t="s">
        <v>282</v>
      </c>
      <c r="D1348" s="244" t="s">
        <v>1589</v>
      </c>
      <c r="E1348" s="245">
        <v>43617</v>
      </c>
      <c r="F1348" s="118">
        <v>1016.96</v>
      </c>
      <c r="G1348" s="118">
        <f>SUMIF(CONFERÊNCIA!A:A,A1348,CONFERÊNCIA!J:J)</f>
        <v>1016.96</v>
      </c>
      <c r="H1348" s="120">
        <f t="shared" si="60"/>
        <v>0</v>
      </c>
      <c r="I1348" s="171" t="s">
        <v>1234</v>
      </c>
    </row>
    <row r="1349" spans="1:9" x14ac:dyDescent="0.2">
      <c r="A1349" s="243">
        <v>112329</v>
      </c>
      <c r="B1349" s="244" t="s">
        <v>111</v>
      </c>
      <c r="C1349" s="244" t="s">
        <v>5</v>
      </c>
      <c r="D1349" s="244" t="s">
        <v>10</v>
      </c>
      <c r="E1349" s="245">
        <v>43617</v>
      </c>
      <c r="F1349" s="118">
        <v>1016.96</v>
      </c>
      <c r="G1349" s="118">
        <f>SUMIF(CONFERÊNCIA!A:A,A1349,CONFERÊNCIA!J:J)</f>
        <v>1016.96</v>
      </c>
      <c r="H1349" s="120">
        <f t="shared" ref="H1349:H1388" si="61">G1349-F1349</f>
        <v>0</v>
      </c>
      <c r="I1349" s="171" t="s">
        <v>1234</v>
      </c>
    </row>
    <row r="1350" spans="1:9" x14ac:dyDescent="0.2">
      <c r="A1350" s="243">
        <v>114127</v>
      </c>
      <c r="B1350" s="244" t="s">
        <v>1017</v>
      </c>
      <c r="C1350" s="244" t="s">
        <v>15</v>
      </c>
      <c r="D1350" s="244" t="s">
        <v>1589</v>
      </c>
      <c r="E1350" s="245">
        <v>43739</v>
      </c>
      <c r="F1350" s="118">
        <v>1016.96</v>
      </c>
      <c r="G1350" s="118">
        <f>SUMIF(CONFERÊNCIA!A:A,A1350,CONFERÊNCIA!J:J)</f>
        <v>1016.96</v>
      </c>
      <c r="H1350" s="120">
        <f t="shared" si="61"/>
        <v>0</v>
      </c>
      <c r="I1350" s="171" t="s">
        <v>1234</v>
      </c>
    </row>
    <row r="1351" spans="1:9" x14ac:dyDescent="0.2">
      <c r="A1351" s="243">
        <v>114939</v>
      </c>
      <c r="B1351" s="244" t="s">
        <v>1124</v>
      </c>
      <c r="C1351" s="244" t="s">
        <v>5</v>
      </c>
      <c r="D1351" s="244" t="s">
        <v>1589</v>
      </c>
      <c r="E1351" s="245">
        <v>43916</v>
      </c>
      <c r="F1351" s="118">
        <v>1016.96</v>
      </c>
      <c r="G1351" s="118">
        <f>SUMIF(CONFERÊNCIA!A:A,A1351,CONFERÊNCIA!J:J)</f>
        <v>1016.96</v>
      </c>
      <c r="H1351" s="120">
        <f t="shared" si="61"/>
        <v>0</v>
      </c>
      <c r="I1351" s="171" t="s">
        <v>1234</v>
      </c>
    </row>
    <row r="1352" spans="1:9" x14ac:dyDescent="0.2">
      <c r="A1352" s="243">
        <v>113034</v>
      </c>
      <c r="B1352" s="244" t="s">
        <v>554</v>
      </c>
      <c r="C1352" s="244" t="s">
        <v>15</v>
      </c>
      <c r="D1352" s="244" t="s">
        <v>1589</v>
      </c>
      <c r="E1352" s="245">
        <v>43617</v>
      </c>
      <c r="F1352" s="118">
        <v>1016.96</v>
      </c>
      <c r="G1352" s="118">
        <f>SUMIF(CONFERÊNCIA!A:A,A1352,CONFERÊNCIA!J:J)</f>
        <v>1016.96</v>
      </c>
      <c r="H1352" s="120">
        <f t="shared" si="61"/>
        <v>0</v>
      </c>
      <c r="I1352" s="171" t="s">
        <v>1234</v>
      </c>
    </row>
    <row r="1353" spans="1:9" x14ac:dyDescent="0.2">
      <c r="A1353" s="243">
        <v>112498</v>
      </c>
      <c r="B1353" s="244" t="s">
        <v>217</v>
      </c>
      <c r="C1353" s="244" t="s">
        <v>2</v>
      </c>
      <c r="D1353" s="244" t="s">
        <v>8</v>
      </c>
      <c r="E1353" s="245">
        <v>43617</v>
      </c>
      <c r="F1353" s="118">
        <v>1016.96</v>
      </c>
      <c r="G1353" s="118">
        <f>SUMIF(CONFERÊNCIA!A:A,A1353,CONFERÊNCIA!J:J)</f>
        <v>1016.96</v>
      </c>
      <c r="H1353" s="120">
        <f t="shared" si="61"/>
        <v>0</v>
      </c>
      <c r="I1353" s="171" t="s">
        <v>1234</v>
      </c>
    </row>
    <row r="1354" spans="1:9" x14ac:dyDescent="0.2">
      <c r="A1354" s="243">
        <v>112776</v>
      </c>
      <c r="B1354" s="244" t="s">
        <v>401</v>
      </c>
      <c r="C1354" s="244" t="s">
        <v>2</v>
      </c>
      <c r="D1354" s="244" t="s">
        <v>0</v>
      </c>
      <c r="E1354" s="245">
        <v>43617</v>
      </c>
      <c r="F1354" s="118">
        <v>1016.96</v>
      </c>
      <c r="G1354" s="118">
        <f>SUMIF(CONFERÊNCIA!A:A,A1354,CONFERÊNCIA!J:J)</f>
        <v>1016.96</v>
      </c>
      <c r="H1354" s="120">
        <f t="shared" si="61"/>
        <v>0</v>
      </c>
      <c r="I1354" s="171" t="s">
        <v>1234</v>
      </c>
    </row>
    <row r="1355" spans="1:9" x14ac:dyDescent="0.2">
      <c r="A1355" s="243">
        <v>112504</v>
      </c>
      <c r="B1355" s="244" t="s">
        <v>222</v>
      </c>
      <c r="C1355" s="244" t="s">
        <v>2</v>
      </c>
      <c r="D1355" s="244" t="s">
        <v>8</v>
      </c>
      <c r="E1355" s="245">
        <v>43617</v>
      </c>
      <c r="F1355" s="118">
        <v>1016.96</v>
      </c>
      <c r="G1355" s="118">
        <f>SUMIF(CONFERÊNCIA!A:A,A1355,CONFERÊNCIA!J:J)</f>
        <v>1016.96</v>
      </c>
      <c r="H1355" s="120">
        <f t="shared" si="61"/>
        <v>0</v>
      </c>
      <c r="I1355" s="171" t="s">
        <v>1234</v>
      </c>
    </row>
    <row r="1356" spans="1:9" x14ac:dyDescent="0.2">
      <c r="A1356" s="243">
        <v>112507</v>
      </c>
      <c r="B1356" s="244" t="s">
        <v>225</v>
      </c>
      <c r="C1356" s="244" t="s">
        <v>2</v>
      </c>
      <c r="D1356" s="244" t="s">
        <v>8</v>
      </c>
      <c r="E1356" s="245">
        <v>43617</v>
      </c>
      <c r="F1356" s="118">
        <v>1016.96</v>
      </c>
      <c r="G1356" s="118">
        <f>SUMIF(CONFERÊNCIA!A:A,A1356,CONFERÊNCIA!J:J)</f>
        <v>1016.96</v>
      </c>
      <c r="H1356" s="120">
        <f t="shared" si="61"/>
        <v>0</v>
      </c>
      <c r="I1356" s="171" t="s">
        <v>1234</v>
      </c>
    </row>
    <row r="1357" spans="1:9" x14ac:dyDescent="0.2">
      <c r="A1357" s="243">
        <v>114751</v>
      </c>
      <c r="B1357" s="244" t="s">
        <v>1096</v>
      </c>
      <c r="C1357" s="244" t="s">
        <v>2</v>
      </c>
      <c r="D1357" s="244" t="s">
        <v>0</v>
      </c>
      <c r="E1357" s="245">
        <v>43874</v>
      </c>
      <c r="F1357" s="118">
        <v>1016.96</v>
      </c>
      <c r="G1357" s="118">
        <f>SUMIF(CONFERÊNCIA!A:A,A1357,CONFERÊNCIA!J:J)</f>
        <v>1016.96</v>
      </c>
      <c r="H1357" s="120">
        <f t="shared" si="61"/>
        <v>0</v>
      </c>
      <c r="I1357" s="171" t="s">
        <v>1234</v>
      </c>
    </row>
    <row r="1358" spans="1:9" x14ac:dyDescent="0.2">
      <c r="A1358" s="243">
        <v>112331</v>
      </c>
      <c r="B1358" s="244" t="s">
        <v>113</v>
      </c>
      <c r="C1358" s="244" t="s">
        <v>2</v>
      </c>
      <c r="D1358" s="244" t="s">
        <v>10</v>
      </c>
      <c r="E1358" s="245">
        <v>43617</v>
      </c>
      <c r="F1358" s="118">
        <v>1016.96</v>
      </c>
      <c r="G1358" s="118">
        <f>SUMIF(CONFERÊNCIA!A:A,A1358,CONFERÊNCIA!J:J)</f>
        <v>1016.96</v>
      </c>
      <c r="H1358" s="120">
        <f t="shared" si="61"/>
        <v>0</v>
      </c>
      <c r="I1358" s="171" t="s">
        <v>1234</v>
      </c>
    </row>
    <row r="1359" spans="1:9" x14ac:dyDescent="0.2">
      <c r="A1359" s="243">
        <v>112512</v>
      </c>
      <c r="B1359" s="244" t="s">
        <v>229</v>
      </c>
      <c r="C1359" s="244" t="s">
        <v>5</v>
      </c>
      <c r="D1359" s="244" t="s">
        <v>8</v>
      </c>
      <c r="E1359" s="245">
        <v>43617</v>
      </c>
      <c r="F1359" s="118">
        <v>1016.96</v>
      </c>
      <c r="G1359" s="118">
        <f>SUMIF(CONFERÊNCIA!A:A,A1359,CONFERÊNCIA!J:J)</f>
        <v>1016.96</v>
      </c>
      <c r="H1359" s="120">
        <f t="shared" si="61"/>
        <v>0</v>
      </c>
      <c r="I1359" s="171" t="s">
        <v>1234</v>
      </c>
    </row>
    <row r="1360" spans="1:9" x14ac:dyDescent="0.2">
      <c r="A1360" s="243">
        <v>112779</v>
      </c>
      <c r="B1360" s="244" t="s">
        <v>403</v>
      </c>
      <c r="C1360" s="244" t="s">
        <v>5</v>
      </c>
      <c r="D1360" s="244" t="s">
        <v>1589</v>
      </c>
      <c r="E1360" s="245">
        <v>43617</v>
      </c>
      <c r="F1360" s="118">
        <v>1016.96</v>
      </c>
      <c r="G1360" s="118">
        <f>SUMIF(CONFERÊNCIA!A:A,A1360,CONFERÊNCIA!J:J)</f>
        <v>1016.96</v>
      </c>
      <c r="H1360" s="120">
        <f t="shared" si="61"/>
        <v>0</v>
      </c>
      <c r="I1360" s="171" t="s">
        <v>1235</v>
      </c>
    </row>
    <row r="1361" spans="1:9" x14ac:dyDescent="0.2">
      <c r="A1361" s="243">
        <v>112782</v>
      </c>
      <c r="B1361" s="244" t="s">
        <v>406</v>
      </c>
      <c r="C1361" s="244" t="s">
        <v>5</v>
      </c>
      <c r="D1361" s="244" t="s">
        <v>0</v>
      </c>
      <c r="E1361" s="245">
        <v>43617</v>
      </c>
      <c r="F1361" s="118">
        <v>1016.96</v>
      </c>
      <c r="G1361" s="118">
        <f>SUMIF(CONFERÊNCIA!A:A,A1361,CONFERÊNCIA!J:J)</f>
        <v>1016.96</v>
      </c>
      <c r="H1361" s="120">
        <f t="shared" si="61"/>
        <v>0</v>
      </c>
      <c r="I1361" s="171" t="s">
        <v>1234</v>
      </c>
    </row>
    <row r="1362" spans="1:9" x14ac:dyDescent="0.2">
      <c r="A1362" s="243">
        <v>112786</v>
      </c>
      <c r="B1362" s="244" t="s">
        <v>409</v>
      </c>
      <c r="C1362" s="244" t="s">
        <v>5</v>
      </c>
      <c r="D1362" s="244" t="s">
        <v>0</v>
      </c>
      <c r="E1362" s="245">
        <v>43617</v>
      </c>
      <c r="F1362" s="118">
        <v>1016.96</v>
      </c>
      <c r="G1362" s="118">
        <f>SUMIF(CONFERÊNCIA!A:A,A1362,CONFERÊNCIA!J:J)</f>
        <v>1016.96</v>
      </c>
      <c r="H1362" s="120">
        <f t="shared" si="61"/>
        <v>0</v>
      </c>
      <c r="I1362" s="171" t="s">
        <v>1234</v>
      </c>
    </row>
    <row r="1363" spans="1:9" x14ac:dyDescent="0.2">
      <c r="A1363" s="243">
        <v>116133</v>
      </c>
      <c r="B1363" s="244" t="s">
        <v>1192</v>
      </c>
      <c r="C1363" s="244" t="s">
        <v>205</v>
      </c>
      <c r="D1363" s="244" t="s">
        <v>1589</v>
      </c>
      <c r="E1363" s="245">
        <v>44249</v>
      </c>
      <c r="F1363" s="118">
        <v>1016.96</v>
      </c>
      <c r="G1363" s="118">
        <f>SUMIF(CONFERÊNCIA!A:A,A1363,CONFERÊNCIA!J:J)</f>
        <v>1016.96</v>
      </c>
      <c r="H1363" s="120">
        <f t="shared" si="61"/>
        <v>0</v>
      </c>
      <c r="I1363" s="171" t="s">
        <v>1234</v>
      </c>
    </row>
    <row r="1364" spans="1:9" x14ac:dyDescent="0.2">
      <c r="A1364" s="243">
        <v>112332</v>
      </c>
      <c r="B1364" s="244" t="s">
        <v>114</v>
      </c>
      <c r="C1364" s="244" t="s">
        <v>2</v>
      </c>
      <c r="D1364" s="244" t="s">
        <v>10</v>
      </c>
      <c r="E1364" s="245">
        <v>43617</v>
      </c>
      <c r="F1364" s="118">
        <v>1016.96</v>
      </c>
      <c r="G1364" s="118">
        <f>SUMIF(CONFERÊNCIA!A:A,A1364,CONFERÊNCIA!J:J)</f>
        <v>1016.96</v>
      </c>
      <c r="H1364" s="120">
        <f t="shared" si="61"/>
        <v>0</v>
      </c>
      <c r="I1364" s="171" t="s">
        <v>1234</v>
      </c>
    </row>
    <row r="1365" spans="1:9" x14ac:dyDescent="0.2">
      <c r="A1365" s="243">
        <v>112566</v>
      </c>
      <c r="B1365" s="244" t="s">
        <v>268</v>
      </c>
      <c r="C1365" s="244" t="s">
        <v>2</v>
      </c>
      <c r="D1365" s="244" t="s">
        <v>8</v>
      </c>
      <c r="E1365" s="245">
        <v>43617</v>
      </c>
      <c r="F1365" s="118">
        <v>1016.96</v>
      </c>
      <c r="G1365" s="118">
        <f>SUMIF(CONFERÊNCIA!A:A,A1365,CONFERÊNCIA!J:J)</f>
        <v>1016.96</v>
      </c>
      <c r="H1365" s="120">
        <f t="shared" si="61"/>
        <v>0</v>
      </c>
      <c r="I1365" s="171" t="s">
        <v>1235</v>
      </c>
    </row>
    <row r="1366" spans="1:9" x14ac:dyDescent="0.2">
      <c r="A1366" s="243">
        <v>112569</v>
      </c>
      <c r="B1366" s="244" t="s">
        <v>271</v>
      </c>
      <c r="C1366" s="244" t="s">
        <v>2</v>
      </c>
      <c r="D1366" s="244" t="s">
        <v>8</v>
      </c>
      <c r="E1366" s="245">
        <v>43617</v>
      </c>
      <c r="F1366" s="118">
        <v>1016.96</v>
      </c>
      <c r="G1366" s="118">
        <f>SUMIF(CONFERÊNCIA!A:A,A1366,CONFERÊNCIA!J:J)</f>
        <v>1016.96</v>
      </c>
      <c r="H1366" s="120">
        <f t="shared" si="61"/>
        <v>0</v>
      </c>
      <c r="I1366" s="171" t="s">
        <v>1234</v>
      </c>
    </row>
    <row r="1367" spans="1:9" x14ac:dyDescent="0.2">
      <c r="A1367" s="243">
        <v>114124</v>
      </c>
      <c r="B1367" s="244" t="s">
        <v>1015</v>
      </c>
      <c r="C1367" s="244" t="s">
        <v>15</v>
      </c>
      <c r="D1367" s="244" t="s">
        <v>1589</v>
      </c>
      <c r="E1367" s="245">
        <v>43739</v>
      </c>
      <c r="F1367" s="118">
        <v>1016.96</v>
      </c>
      <c r="G1367" s="118">
        <f>SUMIF(CONFERÊNCIA!A:A,A1367,CONFERÊNCIA!J:J)</f>
        <v>1016.96</v>
      </c>
      <c r="H1367" s="120">
        <f t="shared" si="61"/>
        <v>0</v>
      </c>
      <c r="I1367" s="171" t="s">
        <v>1234</v>
      </c>
    </row>
    <row r="1368" spans="1:9" x14ac:dyDescent="0.2">
      <c r="A1368" s="243">
        <v>112814</v>
      </c>
      <c r="B1368" s="244" t="s">
        <v>430</v>
      </c>
      <c r="C1368" s="244" t="s">
        <v>2</v>
      </c>
      <c r="D1368" s="244" t="s">
        <v>0</v>
      </c>
      <c r="E1368" s="245">
        <v>43617</v>
      </c>
      <c r="F1368" s="118">
        <v>978.67000000000007</v>
      </c>
      <c r="G1368" s="118">
        <f>SUMIF(CONFERÊNCIA!A:A,A1368,CONFERÊNCIA!J:J)</f>
        <v>1016.96</v>
      </c>
      <c r="H1368" s="120">
        <f t="shared" si="61"/>
        <v>38.289999999999964</v>
      </c>
      <c r="I1368" s="171" t="s">
        <v>1234</v>
      </c>
    </row>
    <row r="1369" spans="1:9" x14ac:dyDescent="0.2">
      <c r="A1369" s="243">
        <v>112573</v>
      </c>
      <c r="B1369" s="244" t="s">
        <v>272</v>
      </c>
      <c r="C1369" s="244" t="s">
        <v>5</v>
      </c>
      <c r="D1369" s="244" t="s">
        <v>32</v>
      </c>
      <c r="E1369" s="245">
        <v>43617</v>
      </c>
      <c r="F1369" s="118">
        <v>1016.96</v>
      </c>
      <c r="G1369" s="118">
        <f>SUMIF(CONFERÊNCIA!A:A,A1369,CONFERÊNCIA!J:J)</f>
        <v>1016.96</v>
      </c>
      <c r="H1369" s="120">
        <f t="shared" si="61"/>
        <v>0</v>
      </c>
      <c r="I1369" s="171" t="s">
        <v>1234</v>
      </c>
    </row>
    <row r="1370" spans="1:9" x14ac:dyDescent="0.2">
      <c r="A1370" s="243">
        <v>112242</v>
      </c>
      <c r="B1370" s="244" t="s">
        <v>59</v>
      </c>
      <c r="C1370" s="244" t="s">
        <v>5</v>
      </c>
      <c r="D1370" s="244" t="s">
        <v>10</v>
      </c>
      <c r="E1370" s="245">
        <v>43617</v>
      </c>
      <c r="F1370" s="118">
        <v>978.67000000000007</v>
      </c>
      <c r="G1370" s="118">
        <f>SUMIF(CONFERÊNCIA!A:A,A1370,CONFERÊNCIA!J:J)</f>
        <v>1016.96</v>
      </c>
      <c r="H1370" s="120">
        <f t="shared" si="61"/>
        <v>38.289999999999964</v>
      </c>
      <c r="I1370" s="171" t="s">
        <v>1234</v>
      </c>
    </row>
    <row r="1371" spans="1:9" x14ac:dyDescent="0.2">
      <c r="A1371" s="243">
        <v>112795</v>
      </c>
      <c r="B1371" s="244" t="s">
        <v>415</v>
      </c>
      <c r="C1371" s="244" t="s">
        <v>416</v>
      </c>
      <c r="D1371" s="244" t="s">
        <v>1589</v>
      </c>
      <c r="E1371" s="245">
        <v>43617</v>
      </c>
      <c r="F1371" s="118">
        <v>1016.96</v>
      </c>
      <c r="G1371" s="118">
        <f>SUMIF(CONFERÊNCIA!A:A,A1371,CONFERÊNCIA!J:J)</f>
        <v>1016.96</v>
      </c>
      <c r="H1371" s="120">
        <f t="shared" si="61"/>
        <v>0</v>
      </c>
      <c r="I1371" s="171" t="s">
        <v>1235</v>
      </c>
    </row>
    <row r="1372" spans="1:9" x14ac:dyDescent="0.2">
      <c r="A1372" s="243">
        <v>112333</v>
      </c>
      <c r="B1372" s="244" t="s">
        <v>115</v>
      </c>
      <c r="C1372" s="244" t="s">
        <v>2</v>
      </c>
      <c r="D1372" s="244" t="s">
        <v>8</v>
      </c>
      <c r="E1372" s="245">
        <v>43617</v>
      </c>
      <c r="F1372" s="118">
        <v>1016.96</v>
      </c>
      <c r="G1372" s="118">
        <f>SUMIF(CONFERÊNCIA!A:A,A1372,CONFERÊNCIA!J:J)</f>
        <v>1016.96</v>
      </c>
      <c r="H1372" s="120">
        <f t="shared" si="61"/>
        <v>0</v>
      </c>
      <c r="I1372" s="171" t="s">
        <v>1234</v>
      </c>
    </row>
    <row r="1373" spans="1:9" x14ac:dyDescent="0.2">
      <c r="A1373" s="243">
        <v>116111</v>
      </c>
      <c r="B1373" s="244" t="s">
        <v>1189</v>
      </c>
      <c r="C1373" s="244" t="s">
        <v>282</v>
      </c>
      <c r="D1373" s="244" t="s">
        <v>1589</v>
      </c>
      <c r="E1373" s="245">
        <v>44236</v>
      </c>
      <c r="F1373" s="118">
        <v>1016.96</v>
      </c>
      <c r="G1373" s="118">
        <f>SUMIF(CONFERÊNCIA!A:A,A1373,CONFERÊNCIA!J:J)</f>
        <v>1016.96</v>
      </c>
      <c r="H1373" s="120">
        <f t="shared" si="61"/>
        <v>0</v>
      </c>
      <c r="I1373" s="171" t="s">
        <v>1234</v>
      </c>
    </row>
    <row r="1374" spans="1:9" x14ac:dyDescent="0.2">
      <c r="A1374" s="243">
        <v>113725</v>
      </c>
      <c r="B1374" s="244" t="s">
        <v>943</v>
      </c>
      <c r="C1374" s="244" t="s">
        <v>944</v>
      </c>
      <c r="D1374" s="244" t="s">
        <v>1589</v>
      </c>
      <c r="E1374" s="245">
        <v>43619</v>
      </c>
      <c r="F1374" s="118">
        <v>1016.96</v>
      </c>
      <c r="G1374" s="118">
        <f>SUMIF(CONFERÊNCIA!A:A,A1374,CONFERÊNCIA!J:J)</f>
        <v>1016.96</v>
      </c>
      <c r="H1374" s="120">
        <f t="shared" si="61"/>
        <v>0</v>
      </c>
      <c r="I1374" s="171" t="s">
        <v>1234</v>
      </c>
    </row>
    <row r="1375" spans="1:9" x14ac:dyDescent="0.2">
      <c r="A1375" s="243">
        <v>112579</v>
      </c>
      <c r="B1375" s="244" t="s">
        <v>276</v>
      </c>
      <c r="C1375" s="244" t="s">
        <v>2</v>
      </c>
      <c r="D1375" s="244" t="s">
        <v>19</v>
      </c>
      <c r="E1375" s="245">
        <v>43617</v>
      </c>
      <c r="F1375" s="118">
        <v>1016.96</v>
      </c>
      <c r="G1375" s="118">
        <f>SUMIF(CONFERÊNCIA!A:A,A1375,CONFERÊNCIA!J:J)</f>
        <v>1016.96</v>
      </c>
      <c r="H1375" s="120">
        <f t="shared" si="61"/>
        <v>0</v>
      </c>
      <c r="I1375" s="171" t="s">
        <v>1234</v>
      </c>
    </row>
    <row r="1376" spans="1:9" x14ac:dyDescent="0.2">
      <c r="A1376" s="243">
        <v>112820</v>
      </c>
      <c r="B1376" s="244" t="s">
        <v>434</v>
      </c>
      <c r="C1376" s="244" t="s">
        <v>22</v>
      </c>
      <c r="D1376" s="244" t="s">
        <v>1589</v>
      </c>
      <c r="E1376" s="245">
        <v>43617</v>
      </c>
      <c r="F1376" s="118">
        <v>1016.96</v>
      </c>
      <c r="G1376" s="118">
        <f>SUMIF(CONFERÊNCIA!A:A,A1376,CONFERÊNCIA!J:J)</f>
        <v>1016.96</v>
      </c>
      <c r="H1376" s="120">
        <f t="shared" si="61"/>
        <v>0</v>
      </c>
      <c r="I1376" s="171" t="s">
        <v>1234</v>
      </c>
    </row>
    <row r="1377" spans="1:9" x14ac:dyDescent="0.2">
      <c r="A1377" s="243">
        <v>113041</v>
      </c>
      <c r="B1377" s="244" t="s">
        <v>557</v>
      </c>
      <c r="C1377" s="244" t="s">
        <v>15</v>
      </c>
      <c r="D1377" s="244" t="s">
        <v>1589</v>
      </c>
      <c r="E1377" s="245">
        <v>43617</v>
      </c>
      <c r="F1377" s="118">
        <v>1016.96</v>
      </c>
      <c r="G1377" s="118">
        <f>SUMIF(CONFERÊNCIA!A:A,A1377,CONFERÊNCIA!J:J)</f>
        <v>1016.96</v>
      </c>
      <c r="H1377" s="120">
        <f t="shared" si="61"/>
        <v>0</v>
      </c>
      <c r="I1377" s="171" t="s">
        <v>1234</v>
      </c>
    </row>
    <row r="1378" spans="1:9" x14ac:dyDescent="0.2">
      <c r="A1378" s="243">
        <v>112801</v>
      </c>
      <c r="B1378" s="244" t="s">
        <v>420</v>
      </c>
      <c r="C1378" s="244" t="s">
        <v>413</v>
      </c>
      <c r="D1378" s="244" t="s">
        <v>1589</v>
      </c>
      <c r="E1378" s="245">
        <v>43617</v>
      </c>
      <c r="F1378" s="118">
        <v>1016.96</v>
      </c>
      <c r="G1378" s="118">
        <f>SUMIF(CONFERÊNCIA!A:A,A1378,CONFERÊNCIA!J:J)</f>
        <v>1016.96</v>
      </c>
      <c r="H1378" s="120">
        <f t="shared" si="61"/>
        <v>0</v>
      </c>
      <c r="I1378" s="171" t="s">
        <v>1234</v>
      </c>
    </row>
    <row r="1379" spans="1:9" x14ac:dyDescent="0.2">
      <c r="A1379" s="243">
        <v>114941</v>
      </c>
      <c r="B1379" s="244" t="s">
        <v>1715</v>
      </c>
      <c r="C1379" s="244" t="s">
        <v>5</v>
      </c>
      <c r="D1379" s="244" t="s">
        <v>1589</v>
      </c>
      <c r="E1379" s="245">
        <v>43916</v>
      </c>
      <c r="F1379" s="118">
        <v>1016.96</v>
      </c>
      <c r="G1379" s="118">
        <f>SUMIF(CONFERÊNCIA!A:A,A1379,CONFERÊNCIA!J:J)</f>
        <v>1016.96</v>
      </c>
      <c r="H1379" s="120">
        <f t="shared" si="61"/>
        <v>0</v>
      </c>
      <c r="I1379" s="171" t="s">
        <v>1234</v>
      </c>
    </row>
    <row r="1380" spans="1:9" x14ac:dyDescent="0.2">
      <c r="A1380" s="243">
        <v>119342</v>
      </c>
      <c r="B1380" s="244" t="s">
        <v>1459</v>
      </c>
      <c r="C1380" s="244" t="s">
        <v>989</v>
      </c>
      <c r="D1380" s="244" t="s">
        <v>1589</v>
      </c>
      <c r="E1380" s="245">
        <v>44678</v>
      </c>
      <c r="F1380" s="118">
        <v>1016.96</v>
      </c>
      <c r="G1380" s="118">
        <f>SUMIF(CONFERÊNCIA!A:A,A1380,CONFERÊNCIA!J:J)</f>
        <v>1016.96</v>
      </c>
      <c r="H1380" s="120">
        <f t="shared" si="61"/>
        <v>0</v>
      </c>
      <c r="I1380" s="171" t="s">
        <v>1234</v>
      </c>
    </row>
    <row r="1381" spans="1:9" x14ac:dyDescent="0.2">
      <c r="A1381" s="243">
        <v>114004</v>
      </c>
      <c r="B1381" s="244" t="s">
        <v>998</v>
      </c>
      <c r="C1381" s="244" t="s">
        <v>936</v>
      </c>
      <c r="D1381" s="244" t="s">
        <v>1589</v>
      </c>
      <c r="E1381" s="245">
        <v>43696</v>
      </c>
      <c r="F1381" s="118">
        <v>1016.96</v>
      </c>
      <c r="G1381" s="118">
        <f>SUMIF(CONFERÊNCIA!A:A,A1381,CONFERÊNCIA!J:J)</f>
        <v>1016.96</v>
      </c>
      <c r="H1381" s="120">
        <f t="shared" si="61"/>
        <v>0</v>
      </c>
      <c r="I1381" s="171" t="s">
        <v>1234</v>
      </c>
    </row>
    <row r="1382" spans="1:9" x14ac:dyDescent="0.2">
      <c r="A1382" s="243">
        <v>112873</v>
      </c>
      <c r="B1382" s="244" t="s">
        <v>466</v>
      </c>
      <c r="C1382" s="244" t="s">
        <v>2</v>
      </c>
      <c r="D1382" s="244" t="s">
        <v>0</v>
      </c>
      <c r="E1382" s="245">
        <v>43617</v>
      </c>
      <c r="F1382" s="118">
        <v>1016.96</v>
      </c>
      <c r="G1382" s="118">
        <f>SUMIF(CONFERÊNCIA!A:A,A1382,CONFERÊNCIA!J:J)</f>
        <v>1016.96</v>
      </c>
      <c r="H1382" s="120">
        <f t="shared" si="61"/>
        <v>0</v>
      </c>
      <c r="I1382" s="171" t="s">
        <v>1234</v>
      </c>
    </row>
    <row r="1383" spans="1:9" x14ac:dyDescent="0.2">
      <c r="A1383" s="243">
        <v>116322</v>
      </c>
      <c r="B1383" s="244" t="s">
        <v>1208</v>
      </c>
      <c r="C1383" s="244" t="s">
        <v>5</v>
      </c>
      <c r="D1383" s="244" t="s">
        <v>8</v>
      </c>
      <c r="E1383" s="245">
        <v>44308</v>
      </c>
      <c r="F1383" s="118">
        <v>1016.96</v>
      </c>
      <c r="G1383" s="118">
        <f>SUMIF(CONFERÊNCIA!A:A,A1383,CONFERÊNCIA!J:J)</f>
        <v>1016.96</v>
      </c>
      <c r="H1383" s="120">
        <f t="shared" si="61"/>
        <v>0</v>
      </c>
      <c r="I1383" s="171" t="s">
        <v>1234</v>
      </c>
    </row>
    <row r="1384" spans="1:9" x14ac:dyDescent="0.2">
      <c r="A1384" s="243">
        <v>119118</v>
      </c>
      <c r="B1384" s="244" t="s">
        <v>1451</v>
      </c>
      <c r="C1384" s="244" t="s">
        <v>5</v>
      </c>
      <c r="D1384" s="244" t="s">
        <v>32</v>
      </c>
      <c r="E1384" s="245">
        <v>44630</v>
      </c>
      <c r="F1384" s="118">
        <v>1016.96</v>
      </c>
      <c r="G1384" s="118">
        <f>SUMIF(CONFERÊNCIA!A:A,A1384,CONFERÊNCIA!J:J)</f>
        <v>1016.96</v>
      </c>
      <c r="H1384" s="120">
        <f t="shared" si="61"/>
        <v>0</v>
      </c>
      <c r="I1384" s="171" t="s">
        <v>1235</v>
      </c>
    </row>
    <row r="1385" spans="1:9" x14ac:dyDescent="0.2">
      <c r="A1385" s="243">
        <v>116653</v>
      </c>
      <c r="B1385" s="244" t="s">
        <v>957</v>
      </c>
      <c r="C1385" s="244" t="s">
        <v>958</v>
      </c>
      <c r="D1385" s="244" t="s">
        <v>1252</v>
      </c>
      <c r="E1385" s="245">
        <v>44370</v>
      </c>
      <c r="F1385" s="118">
        <v>1016.96</v>
      </c>
      <c r="G1385" s="118">
        <f>SUMIF(CONFERÊNCIA!A:A,A1385,CONFERÊNCIA!J:J)</f>
        <v>1016.96</v>
      </c>
      <c r="H1385" s="120">
        <f t="shared" si="61"/>
        <v>0</v>
      </c>
      <c r="I1385" s="171" t="s">
        <v>1234</v>
      </c>
    </row>
    <row r="1386" spans="1:9" x14ac:dyDescent="0.2">
      <c r="A1386" s="243">
        <v>121952</v>
      </c>
      <c r="B1386" s="244" t="s">
        <v>1630</v>
      </c>
      <c r="C1386" s="244" t="s">
        <v>1464</v>
      </c>
      <c r="D1386" s="244" t="s">
        <v>1591</v>
      </c>
      <c r="E1386" s="245">
        <v>45040</v>
      </c>
      <c r="F1386" s="118">
        <v>657.5</v>
      </c>
      <c r="G1386" s="118">
        <f>SUMIF(CONFERÊNCIA!A:A,A1386,CONFERÊNCIA!J:J)</f>
        <v>657.5</v>
      </c>
      <c r="H1386" s="120">
        <f t="shared" si="61"/>
        <v>0</v>
      </c>
      <c r="I1386" s="171" t="s">
        <v>1234</v>
      </c>
    </row>
    <row r="1387" spans="1:9" x14ac:dyDescent="0.2">
      <c r="A1387" s="243">
        <v>114039</v>
      </c>
      <c r="B1387" s="244" t="s">
        <v>1002</v>
      </c>
      <c r="C1387" s="244" t="s">
        <v>5</v>
      </c>
      <c r="D1387" s="244" t="s">
        <v>8</v>
      </c>
      <c r="E1387" s="245">
        <v>43712</v>
      </c>
      <c r="F1387" s="118">
        <v>1016.96</v>
      </c>
      <c r="G1387" s="118">
        <f>SUMIF(CONFERÊNCIA!A:A,A1387,CONFERÊNCIA!J:J)</f>
        <v>1016.96</v>
      </c>
      <c r="H1387" s="120">
        <f t="shared" si="61"/>
        <v>0</v>
      </c>
      <c r="I1387" s="171" t="s">
        <v>1234</v>
      </c>
    </row>
    <row r="1388" spans="1:9" x14ac:dyDescent="0.2">
      <c r="A1388" s="243">
        <v>114404</v>
      </c>
      <c r="B1388" s="244" t="s">
        <v>1039</v>
      </c>
      <c r="C1388" s="244" t="s">
        <v>5</v>
      </c>
      <c r="D1388" s="244" t="s">
        <v>0</v>
      </c>
      <c r="E1388" s="245">
        <v>43811</v>
      </c>
      <c r="F1388" s="118">
        <v>1016.96</v>
      </c>
      <c r="G1388" s="118">
        <f>SUMIF(CONFERÊNCIA!A:A,A1388,CONFERÊNCIA!J:J)</f>
        <v>1016.96</v>
      </c>
      <c r="H1388" s="120">
        <f t="shared" si="61"/>
        <v>0</v>
      </c>
      <c r="I1388" s="171" t="s">
        <v>1234</v>
      </c>
    </row>
    <row r="1389" spans="1:9" x14ac:dyDescent="0.2">
      <c r="A1389" s="243">
        <v>112876</v>
      </c>
      <c r="B1389" s="244" t="s">
        <v>469</v>
      </c>
      <c r="C1389" s="244" t="s">
        <v>470</v>
      </c>
      <c r="D1389" s="244" t="s">
        <v>1591</v>
      </c>
      <c r="E1389" s="245">
        <v>43617</v>
      </c>
      <c r="F1389" s="118">
        <v>1016.96</v>
      </c>
      <c r="G1389" s="118">
        <f>SUMIF(CONFERÊNCIA!A:A,A1389,CONFERÊNCIA!J:J)</f>
        <v>1016.96</v>
      </c>
      <c r="H1389" s="120">
        <f t="shared" ref="H1389:H1425" si="62">G1389-F1389</f>
        <v>0</v>
      </c>
      <c r="I1389" s="171" t="s">
        <v>1234</v>
      </c>
    </row>
    <row r="1390" spans="1:9" x14ac:dyDescent="0.2">
      <c r="A1390" s="243">
        <v>121853</v>
      </c>
      <c r="B1390" s="244" t="s">
        <v>1631</v>
      </c>
      <c r="C1390" s="244" t="s">
        <v>5</v>
      </c>
      <c r="D1390" s="244" t="s">
        <v>19</v>
      </c>
      <c r="E1390" s="245">
        <v>45022</v>
      </c>
      <c r="F1390" s="118">
        <v>940.39</v>
      </c>
      <c r="G1390" s="118">
        <f>SUMIF(CONFERÊNCIA!A:A,A1390,CONFERÊNCIA!J:J)</f>
        <v>748.98</v>
      </c>
      <c r="H1390" s="120">
        <f t="shared" si="62"/>
        <v>-191.40999999999997</v>
      </c>
      <c r="I1390" s="171" t="s">
        <v>1234</v>
      </c>
    </row>
    <row r="1391" spans="1:9" x14ac:dyDescent="0.2">
      <c r="A1391" s="243">
        <v>122240</v>
      </c>
      <c r="B1391" s="244" t="s">
        <v>1674</v>
      </c>
      <c r="C1391" s="244" t="s">
        <v>15</v>
      </c>
      <c r="D1391" s="244" t="s">
        <v>1589</v>
      </c>
      <c r="E1391" s="245">
        <v>45089</v>
      </c>
      <c r="F1391" s="118">
        <v>1016.96</v>
      </c>
      <c r="G1391" s="118">
        <f>SUMIF(CONFERÊNCIA!A:A,A1391,CONFERÊNCIA!J:J)</f>
        <v>1016.96</v>
      </c>
      <c r="H1391" s="120">
        <f t="shared" si="62"/>
        <v>0</v>
      </c>
      <c r="I1391" s="171" t="s">
        <v>1234</v>
      </c>
    </row>
    <row r="1392" spans="1:9" x14ac:dyDescent="0.2">
      <c r="A1392" s="243">
        <v>122346</v>
      </c>
      <c r="B1392" s="244" t="s">
        <v>1675</v>
      </c>
      <c r="C1392" s="244" t="s">
        <v>2</v>
      </c>
      <c r="D1392" s="244" t="s">
        <v>8</v>
      </c>
      <c r="E1392" s="245">
        <v>45098</v>
      </c>
      <c r="F1392" s="118">
        <v>1016.96</v>
      </c>
      <c r="G1392" s="118">
        <f>SUMIF(CONFERÊNCIA!A:A,A1392,CONFERÊNCIA!J:J)</f>
        <v>1016.96</v>
      </c>
      <c r="H1392" s="120">
        <f t="shared" si="62"/>
        <v>0</v>
      </c>
      <c r="I1392" s="171" t="s">
        <v>1234</v>
      </c>
    </row>
    <row r="1393" spans="1:9" x14ac:dyDescent="0.2">
      <c r="A1393" s="243">
        <v>114509</v>
      </c>
      <c r="B1393" s="244" t="s">
        <v>1048</v>
      </c>
      <c r="C1393" s="244" t="s">
        <v>5</v>
      </c>
      <c r="D1393" s="244" t="s">
        <v>0</v>
      </c>
      <c r="E1393" s="245">
        <v>43811</v>
      </c>
      <c r="F1393" s="118">
        <v>1016.96</v>
      </c>
      <c r="G1393" s="118">
        <f>SUMIF(CONFERÊNCIA!A:A,A1393,CONFERÊNCIA!J:J)</f>
        <v>1016.96</v>
      </c>
      <c r="H1393" s="120">
        <f t="shared" si="62"/>
        <v>0</v>
      </c>
      <c r="I1393" s="171" t="s">
        <v>1234</v>
      </c>
    </row>
    <row r="1394" spans="1:9" x14ac:dyDescent="0.2">
      <c r="A1394" s="243">
        <v>113049</v>
      </c>
      <c r="B1394" s="244" t="s">
        <v>561</v>
      </c>
      <c r="C1394" s="244" t="s">
        <v>15</v>
      </c>
      <c r="D1394" s="244" t="s">
        <v>1589</v>
      </c>
      <c r="E1394" s="245">
        <v>43617</v>
      </c>
      <c r="F1394" s="118">
        <v>1016.96</v>
      </c>
      <c r="G1394" s="118">
        <f>SUMIF(CONFERÊNCIA!A:A,A1394,CONFERÊNCIA!J:J)</f>
        <v>1016.96</v>
      </c>
      <c r="H1394" s="120">
        <f t="shared" si="62"/>
        <v>0</v>
      </c>
      <c r="I1394" s="171" t="s">
        <v>1234</v>
      </c>
    </row>
    <row r="1395" spans="1:9" x14ac:dyDescent="0.2">
      <c r="A1395" s="243">
        <v>113059</v>
      </c>
      <c r="B1395" s="244" t="s">
        <v>566</v>
      </c>
      <c r="C1395" s="244" t="s">
        <v>15</v>
      </c>
      <c r="D1395" s="244" t="s">
        <v>1589</v>
      </c>
      <c r="E1395" s="245">
        <v>43617</v>
      </c>
      <c r="F1395" s="118">
        <v>1016.96</v>
      </c>
      <c r="G1395" s="118">
        <f>SUMIF(CONFERÊNCIA!A:A,A1395,CONFERÊNCIA!J:J)</f>
        <v>1016.96</v>
      </c>
      <c r="H1395" s="120">
        <f t="shared" si="62"/>
        <v>0</v>
      </c>
      <c r="I1395" s="171" t="s">
        <v>1234</v>
      </c>
    </row>
    <row r="1396" spans="1:9" x14ac:dyDescent="0.2">
      <c r="A1396" s="243">
        <v>118635</v>
      </c>
      <c r="B1396" s="244" t="s">
        <v>1416</v>
      </c>
      <c r="C1396" s="244" t="s">
        <v>5</v>
      </c>
      <c r="D1396" s="244" t="s">
        <v>0</v>
      </c>
      <c r="E1396" s="245">
        <v>44582</v>
      </c>
      <c r="F1396" s="118">
        <v>1016.96</v>
      </c>
      <c r="G1396" s="118">
        <f>SUMIF(CONFERÊNCIA!A:A,A1396,CONFERÊNCIA!J:J)</f>
        <v>1016.96</v>
      </c>
      <c r="H1396" s="120">
        <f t="shared" si="62"/>
        <v>0</v>
      </c>
      <c r="I1396" s="171" t="s">
        <v>1234</v>
      </c>
    </row>
    <row r="1397" spans="1:9" x14ac:dyDescent="0.2">
      <c r="A1397" s="243">
        <v>113063</v>
      </c>
      <c r="B1397" s="244" t="s">
        <v>567</v>
      </c>
      <c r="C1397" s="244" t="s">
        <v>15</v>
      </c>
      <c r="D1397" s="244" t="s">
        <v>1589</v>
      </c>
      <c r="E1397" s="245">
        <v>43617</v>
      </c>
      <c r="F1397" s="118">
        <v>1016.96</v>
      </c>
      <c r="G1397" s="118">
        <f>SUMIF(CONFERÊNCIA!A:A,A1397,CONFERÊNCIA!J:J)</f>
        <v>1016.96</v>
      </c>
      <c r="H1397" s="120">
        <f t="shared" si="62"/>
        <v>0</v>
      </c>
      <c r="I1397" s="171" t="s">
        <v>1234</v>
      </c>
    </row>
    <row r="1398" spans="1:9" x14ac:dyDescent="0.2">
      <c r="A1398" s="243">
        <v>114981</v>
      </c>
      <c r="B1398" s="244" t="s">
        <v>1140</v>
      </c>
      <c r="C1398" s="244" t="s">
        <v>282</v>
      </c>
      <c r="D1398" s="244" t="s">
        <v>1589</v>
      </c>
      <c r="E1398" s="245">
        <v>43917</v>
      </c>
      <c r="F1398" s="118">
        <v>1016.96</v>
      </c>
      <c r="G1398" s="118">
        <f>SUMIF(CONFERÊNCIA!A:A,A1398,CONFERÊNCIA!J:J)</f>
        <v>1016.96</v>
      </c>
      <c r="H1398" s="120">
        <f t="shared" si="62"/>
        <v>0</v>
      </c>
      <c r="I1398" s="171" t="s">
        <v>1234</v>
      </c>
    </row>
    <row r="1399" spans="1:9" x14ac:dyDescent="0.2">
      <c r="A1399" s="243">
        <v>114943</v>
      </c>
      <c r="B1399" s="244" t="s">
        <v>1127</v>
      </c>
      <c r="C1399" s="244" t="s">
        <v>5</v>
      </c>
      <c r="D1399" s="244" t="s">
        <v>1589</v>
      </c>
      <c r="E1399" s="245">
        <v>43916</v>
      </c>
      <c r="F1399" s="118">
        <v>1016.96</v>
      </c>
      <c r="G1399" s="118">
        <f>SUMIF(CONFERÊNCIA!A:A,A1399,CONFERÊNCIA!J:J)</f>
        <v>1016.96</v>
      </c>
      <c r="H1399" s="120">
        <f t="shared" si="62"/>
        <v>0</v>
      </c>
      <c r="I1399" s="171" t="s">
        <v>1234</v>
      </c>
    </row>
    <row r="1400" spans="1:9" x14ac:dyDescent="0.2">
      <c r="A1400" s="243">
        <v>122234</v>
      </c>
      <c r="B1400" s="244" t="s">
        <v>1676</v>
      </c>
      <c r="C1400" s="244" t="s">
        <v>15</v>
      </c>
      <c r="D1400" s="244" t="s">
        <v>1589</v>
      </c>
      <c r="E1400" s="245">
        <v>45089</v>
      </c>
      <c r="F1400" s="118">
        <v>1016.96</v>
      </c>
      <c r="G1400" s="118">
        <f>SUMIF(CONFERÊNCIA!A:A,A1400,CONFERÊNCIA!J:J)</f>
        <v>1016.96</v>
      </c>
      <c r="H1400" s="120">
        <f t="shared" si="62"/>
        <v>0</v>
      </c>
      <c r="I1400" s="171" t="s">
        <v>1234</v>
      </c>
    </row>
    <row r="1401" spans="1:9" x14ac:dyDescent="0.2">
      <c r="A1401" s="243">
        <v>112597</v>
      </c>
      <c r="B1401" s="244" t="s">
        <v>286</v>
      </c>
      <c r="C1401" s="244" t="s">
        <v>2</v>
      </c>
      <c r="D1401" s="244" t="s">
        <v>8</v>
      </c>
      <c r="E1401" s="245">
        <v>43617</v>
      </c>
      <c r="F1401" s="118">
        <v>1016.96</v>
      </c>
      <c r="G1401" s="118">
        <f>SUMIF(CONFERÊNCIA!A:A,A1401,CONFERÊNCIA!J:J)</f>
        <v>1016.96</v>
      </c>
      <c r="H1401" s="120">
        <f t="shared" si="62"/>
        <v>0</v>
      </c>
      <c r="I1401" s="171" t="s">
        <v>1234</v>
      </c>
    </row>
    <row r="1402" spans="1:9" x14ac:dyDescent="0.2">
      <c r="A1402" s="243">
        <v>112882</v>
      </c>
      <c r="B1402" s="244" t="s">
        <v>474</v>
      </c>
      <c r="C1402" s="244" t="s">
        <v>5</v>
      </c>
      <c r="D1402" s="244" t="s">
        <v>0</v>
      </c>
      <c r="E1402" s="245">
        <v>43617</v>
      </c>
      <c r="F1402" s="118">
        <v>1016.96</v>
      </c>
      <c r="G1402" s="118">
        <f>SUMIF(CONFERÊNCIA!A:A,A1402,CONFERÊNCIA!J:J)</f>
        <v>1016.96</v>
      </c>
      <c r="H1402" s="120">
        <f t="shared" si="62"/>
        <v>0</v>
      </c>
      <c r="I1402" s="171" t="s">
        <v>1234</v>
      </c>
    </row>
    <row r="1403" spans="1:9" x14ac:dyDescent="0.2">
      <c r="A1403" s="243">
        <v>121684</v>
      </c>
      <c r="B1403" s="244" t="s">
        <v>1603</v>
      </c>
      <c r="C1403" s="244" t="s">
        <v>967</v>
      </c>
      <c r="D1403" s="244" t="s">
        <v>1589</v>
      </c>
      <c r="E1403" s="245">
        <v>44994</v>
      </c>
      <c r="F1403" s="118">
        <v>1016.96</v>
      </c>
      <c r="G1403" s="118">
        <f>SUMIF(CONFERÊNCIA!A:A,A1403,CONFERÊNCIA!J:J)</f>
        <v>1016.96</v>
      </c>
      <c r="H1403" s="120">
        <f t="shared" si="62"/>
        <v>0</v>
      </c>
      <c r="I1403" s="171" t="s">
        <v>1234</v>
      </c>
    </row>
    <row r="1404" spans="1:9" x14ac:dyDescent="0.2">
      <c r="A1404" s="243">
        <v>112345</v>
      </c>
      <c r="B1404" s="244" t="s">
        <v>122</v>
      </c>
      <c r="C1404" s="244" t="s">
        <v>39</v>
      </c>
      <c r="D1404" s="244" t="s">
        <v>10</v>
      </c>
      <c r="E1404" s="245">
        <v>43617</v>
      </c>
      <c r="F1404" s="118">
        <v>1016.96</v>
      </c>
      <c r="G1404" s="118">
        <f>SUMIF(CONFERÊNCIA!A:A,A1404,CONFERÊNCIA!J:J)</f>
        <v>1016.96</v>
      </c>
      <c r="H1404" s="120">
        <f t="shared" si="62"/>
        <v>0</v>
      </c>
      <c r="I1404" s="171" t="s">
        <v>1234</v>
      </c>
    </row>
    <row r="1405" spans="1:9" x14ac:dyDescent="0.2">
      <c r="A1405" s="243">
        <v>112599</v>
      </c>
      <c r="B1405" s="244" t="s">
        <v>288</v>
      </c>
      <c r="C1405" s="244" t="s">
        <v>5</v>
      </c>
      <c r="D1405" s="244" t="s">
        <v>19</v>
      </c>
      <c r="E1405" s="245">
        <v>43617</v>
      </c>
      <c r="F1405" s="118">
        <v>1016.96</v>
      </c>
      <c r="G1405" s="118">
        <f>SUMIF(CONFERÊNCIA!A:A,A1405,CONFERÊNCIA!J:J)</f>
        <v>1016.96</v>
      </c>
      <c r="H1405" s="120">
        <f t="shared" si="62"/>
        <v>0</v>
      </c>
      <c r="I1405" s="171" t="s">
        <v>1234</v>
      </c>
    </row>
    <row r="1406" spans="1:9" x14ac:dyDescent="0.2">
      <c r="A1406" s="243">
        <v>121324</v>
      </c>
      <c r="B1406" s="244" t="s">
        <v>1548</v>
      </c>
      <c r="C1406" s="244" t="s">
        <v>2</v>
      </c>
      <c r="D1406" s="244" t="s">
        <v>8</v>
      </c>
      <c r="E1406" s="245">
        <v>44945</v>
      </c>
      <c r="F1406" s="118">
        <v>1016.96</v>
      </c>
      <c r="G1406" s="118">
        <f>SUMIF(CONFERÊNCIA!A:A,A1406,CONFERÊNCIA!J:J)</f>
        <v>1016.96</v>
      </c>
      <c r="H1406" s="120">
        <f t="shared" si="62"/>
        <v>0</v>
      </c>
      <c r="I1406" s="171" t="s">
        <v>1234</v>
      </c>
    </row>
    <row r="1407" spans="1:9" x14ac:dyDescent="0.2">
      <c r="A1407" s="243">
        <v>122333</v>
      </c>
      <c r="B1407" s="244" t="s">
        <v>1677</v>
      </c>
      <c r="C1407" s="244" t="s">
        <v>2</v>
      </c>
      <c r="D1407" s="244" t="s">
        <v>8</v>
      </c>
      <c r="E1407" s="245">
        <v>45098</v>
      </c>
      <c r="F1407" s="118">
        <v>1016.96</v>
      </c>
      <c r="G1407" s="118">
        <f>SUMIF(CONFERÊNCIA!A:A,A1407,CONFERÊNCIA!J:J)</f>
        <v>1016.96</v>
      </c>
      <c r="H1407" s="120">
        <f t="shared" si="62"/>
        <v>0</v>
      </c>
      <c r="I1407" s="171" t="s">
        <v>1234</v>
      </c>
    </row>
    <row r="1408" spans="1:9" x14ac:dyDescent="0.2">
      <c r="A1408" s="243">
        <v>119936</v>
      </c>
      <c r="B1408" s="244" t="s">
        <v>1494</v>
      </c>
      <c r="C1408" s="244" t="s">
        <v>5</v>
      </c>
      <c r="D1408" s="244" t="s">
        <v>0</v>
      </c>
      <c r="E1408" s="245">
        <v>44760</v>
      </c>
      <c r="F1408" s="118">
        <v>1016.96</v>
      </c>
      <c r="G1408" s="118">
        <f>SUMIF(CONFERÊNCIA!A:A,A1408,CONFERÊNCIA!J:J)</f>
        <v>1016.96</v>
      </c>
      <c r="H1408" s="120">
        <f t="shared" si="62"/>
        <v>0</v>
      </c>
      <c r="I1408" s="171" t="s">
        <v>1234</v>
      </c>
    </row>
    <row r="1409" spans="1:9" x14ac:dyDescent="0.2">
      <c r="A1409" s="243">
        <v>112888</v>
      </c>
      <c r="B1409" s="244" t="s">
        <v>478</v>
      </c>
      <c r="C1409" s="244" t="s">
        <v>22</v>
      </c>
      <c r="D1409" s="244" t="s">
        <v>1589</v>
      </c>
      <c r="E1409" s="245">
        <v>43617</v>
      </c>
      <c r="F1409" s="118">
        <v>1016.96</v>
      </c>
      <c r="G1409" s="118">
        <f>SUMIF(CONFERÊNCIA!A:A,A1409,CONFERÊNCIA!J:J)</f>
        <v>1016.96</v>
      </c>
      <c r="H1409" s="120">
        <f t="shared" si="62"/>
        <v>0</v>
      </c>
      <c r="I1409" s="171" t="s">
        <v>1234</v>
      </c>
    </row>
    <row r="1410" spans="1:9" x14ac:dyDescent="0.2">
      <c r="A1410" s="243">
        <v>118053</v>
      </c>
      <c r="B1410" s="244" t="s">
        <v>1417</v>
      </c>
      <c r="C1410" s="244" t="s">
        <v>5</v>
      </c>
      <c r="D1410" s="244" t="s">
        <v>10</v>
      </c>
      <c r="E1410" s="245">
        <v>44567</v>
      </c>
      <c r="F1410" s="118">
        <v>1016.96</v>
      </c>
      <c r="G1410" s="118">
        <f>SUMIF(CONFERÊNCIA!A:A,A1410,CONFERÊNCIA!J:J)</f>
        <v>1016.96</v>
      </c>
      <c r="H1410" s="120">
        <f t="shared" si="62"/>
        <v>0</v>
      </c>
      <c r="I1410" s="171" t="s">
        <v>1234</v>
      </c>
    </row>
    <row r="1411" spans="1:9" x14ac:dyDescent="0.2">
      <c r="A1411" s="243">
        <v>112607</v>
      </c>
      <c r="B1411" s="244" t="s">
        <v>292</v>
      </c>
      <c r="C1411" s="244" t="s">
        <v>5</v>
      </c>
      <c r="D1411" s="244" t="s">
        <v>8</v>
      </c>
      <c r="E1411" s="245">
        <v>43617</v>
      </c>
      <c r="F1411" s="118">
        <v>1016.96</v>
      </c>
      <c r="G1411" s="118">
        <f>SUMIF(CONFERÊNCIA!A:A,A1411,CONFERÊNCIA!J:J)</f>
        <v>1016.96</v>
      </c>
      <c r="H1411" s="120">
        <f t="shared" si="62"/>
        <v>0</v>
      </c>
      <c r="I1411" s="171" t="s">
        <v>1234</v>
      </c>
    </row>
    <row r="1412" spans="1:9" x14ac:dyDescent="0.2">
      <c r="A1412" s="243">
        <v>112612</v>
      </c>
      <c r="B1412" s="244" t="s">
        <v>297</v>
      </c>
      <c r="C1412" s="244" t="s">
        <v>5</v>
      </c>
      <c r="D1412" s="244" t="s">
        <v>10</v>
      </c>
      <c r="E1412" s="245">
        <v>43617</v>
      </c>
      <c r="F1412" s="118">
        <v>1016.96</v>
      </c>
      <c r="G1412" s="118">
        <f>SUMIF(CONFERÊNCIA!A:A,A1412,CONFERÊNCIA!J:J)</f>
        <v>1016.96</v>
      </c>
      <c r="H1412" s="120">
        <f t="shared" si="62"/>
        <v>0</v>
      </c>
      <c r="I1412" s="171" t="s">
        <v>1234</v>
      </c>
    </row>
    <row r="1413" spans="1:9" x14ac:dyDescent="0.2">
      <c r="A1413" s="243">
        <v>121480</v>
      </c>
      <c r="B1413" s="244" t="s">
        <v>1581</v>
      </c>
      <c r="C1413" s="244" t="s">
        <v>5</v>
      </c>
      <c r="D1413" s="244" t="s">
        <v>19</v>
      </c>
      <c r="E1413" s="245">
        <v>44967</v>
      </c>
      <c r="F1413" s="118">
        <v>978.67000000000007</v>
      </c>
      <c r="G1413" s="118">
        <f>SUMIF(CONFERÊNCIA!A:A,A1413,CONFERÊNCIA!J:J)</f>
        <v>1016.96</v>
      </c>
      <c r="H1413" s="120">
        <f t="shared" si="62"/>
        <v>38.289999999999964</v>
      </c>
      <c r="I1413" s="171" t="s">
        <v>1234</v>
      </c>
    </row>
    <row r="1414" spans="1:9" x14ac:dyDescent="0.2">
      <c r="A1414" s="243">
        <v>112614</v>
      </c>
      <c r="B1414" s="244" t="s">
        <v>299</v>
      </c>
      <c r="C1414" s="244" t="s">
        <v>5</v>
      </c>
      <c r="D1414" s="244" t="s">
        <v>8</v>
      </c>
      <c r="E1414" s="245">
        <v>43617</v>
      </c>
      <c r="F1414" s="118">
        <v>1016.96</v>
      </c>
      <c r="G1414" s="118">
        <f>SUMIF(CONFERÊNCIA!A:A,A1414,CONFERÊNCIA!J:J)</f>
        <v>978.67000000000007</v>
      </c>
      <c r="H1414" s="120">
        <f t="shared" si="62"/>
        <v>-38.289999999999964</v>
      </c>
      <c r="I1414" s="171" t="s">
        <v>1234</v>
      </c>
    </row>
    <row r="1415" spans="1:9" x14ac:dyDescent="0.2">
      <c r="A1415" s="243">
        <v>112354</v>
      </c>
      <c r="B1415" s="244" t="s">
        <v>128</v>
      </c>
      <c r="C1415" s="244" t="s">
        <v>5</v>
      </c>
      <c r="D1415" s="244" t="s">
        <v>10</v>
      </c>
      <c r="E1415" s="245">
        <v>43617</v>
      </c>
      <c r="F1415" s="118">
        <v>1016.96</v>
      </c>
      <c r="G1415" s="118">
        <f>SUMIF(CONFERÊNCIA!A:A,A1415,CONFERÊNCIA!J:J)</f>
        <v>1016.96</v>
      </c>
      <c r="H1415" s="120">
        <f t="shared" si="62"/>
        <v>0</v>
      </c>
      <c r="I1415" s="171" t="s">
        <v>1234</v>
      </c>
    </row>
    <row r="1416" spans="1:9" x14ac:dyDescent="0.2">
      <c r="A1416" s="243">
        <v>119678</v>
      </c>
      <c r="B1416" s="244" t="s">
        <v>1482</v>
      </c>
      <c r="C1416" s="244" t="s">
        <v>5</v>
      </c>
      <c r="D1416" s="244" t="s">
        <v>19</v>
      </c>
      <c r="E1416" s="245">
        <v>44725</v>
      </c>
      <c r="F1416" s="118">
        <v>1016.96</v>
      </c>
      <c r="G1416" s="118">
        <f>SUMIF(CONFERÊNCIA!A:A,A1416,CONFERÊNCIA!J:J)</f>
        <v>1016.96</v>
      </c>
      <c r="H1416" s="120">
        <f t="shared" si="62"/>
        <v>0</v>
      </c>
      <c r="I1416" s="171" t="s">
        <v>1234</v>
      </c>
    </row>
    <row r="1417" spans="1:9" x14ac:dyDescent="0.2">
      <c r="A1417" s="243">
        <v>122029</v>
      </c>
      <c r="B1417" s="244" t="s">
        <v>1648</v>
      </c>
      <c r="C1417" s="244" t="s">
        <v>120</v>
      </c>
      <c r="D1417" s="244" t="s">
        <v>1589</v>
      </c>
      <c r="E1417" s="245">
        <v>45054</v>
      </c>
      <c r="F1417" s="118">
        <v>1016.96</v>
      </c>
      <c r="G1417" s="118">
        <f>SUMIF(CONFERÊNCIA!A:A,A1417,CONFERÊNCIA!J:J)</f>
        <v>1016.96</v>
      </c>
      <c r="H1417" s="120">
        <f t="shared" si="62"/>
        <v>0</v>
      </c>
      <c r="I1417" s="171" t="s">
        <v>1234</v>
      </c>
    </row>
    <row r="1418" spans="1:9" x14ac:dyDescent="0.2">
      <c r="A1418" s="243">
        <v>114360</v>
      </c>
      <c r="B1418" s="244" t="s">
        <v>1037</v>
      </c>
      <c r="C1418" s="244" t="s">
        <v>5</v>
      </c>
      <c r="D1418" s="244" t="s">
        <v>0</v>
      </c>
      <c r="E1418" s="245">
        <v>43811</v>
      </c>
      <c r="F1418" s="118">
        <v>1016.96</v>
      </c>
      <c r="G1418" s="118">
        <f>SUMIF(CONFERÊNCIA!A:A,A1418,CONFERÊNCIA!J:J)</f>
        <v>1016.96</v>
      </c>
      <c r="H1418" s="120">
        <f t="shared" si="62"/>
        <v>0</v>
      </c>
      <c r="I1418" s="171" t="s">
        <v>1234</v>
      </c>
    </row>
    <row r="1419" spans="1:9" x14ac:dyDescent="0.2">
      <c r="A1419" s="243">
        <v>122554</v>
      </c>
      <c r="B1419" s="244" t="s">
        <v>1716</v>
      </c>
      <c r="C1419" s="244" t="s">
        <v>5</v>
      </c>
      <c r="D1419" s="244" t="s">
        <v>0</v>
      </c>
      <c r="E1419" s="245">
        <v>45131</v>
      </c>
      <c r="F1419" s="118">
        <v>1290.76</v>
      </c>
      <c r="G1419" s="118">
        <f>SUMIF(CONFERÊNCIA!A:A,A1419,CONFERÊNCIA!J:J)</f>
        <v>1016.96</v>
      </c>
      <c r="H1419" s="120">
        <f t="shared" si="62"/>
        <v>-273.79999999999995</v>
      </c>
      <c r="I1419" s="171" t="s">
        <v>1234</v>
      </c>
    </row>
    <row r="1420" spans="1:9" x14ac:dyDescent="0.2">
      <c r="A1420" s="243">
        <v>122553</v>
      </c>
      <c r="B1420" s="244" t="s">
        <v>1717</v>
      </c>
      <c r="C1420" s="244" t="s">
        <v>5</v>
      </c>
      <c r="D1420" s="244" t="s">
        <v>0</v>
      </c>
      <c r="E1420" s="245">
        <v>45131</v>
      </c>
      <c r="F1420" s="118">
        <v>1290.76</v>
      </c>
      <c r="G1420" s="118">
        <f>SUMIF(CONFERÊNCIA!A:A,A1420,CONFERÊNCIA!J:J)</f>
        <v>1016.96</v>
      </c>
      <c r="H1420" s="120">
        <f t="shared" si="62"/>
        <v>-273.79999999999995</v>
      </c>
      <c r="I1420" s="171" t="s">
        <v>1234</v>
      </c>
    </row>
    <row r="1421" spans="1:9" x14ac:dyDescent="0.2">
      <c r="A1421" s="243">
        <v>113074</v>
      </c>
      <c r="B1421" s="244" t="s">
        <v>573</v>
      </c>
      <c r="C1421" s="244" t="s">
        <v>15</v>
      </c>
      <c r="D1421" s="244" t="s">
        <v>1589</v>
      </c>
      <c r="E1421" s="245">
        <v>43617</v>
      </c>
      <c r="F1421" s="118">
        <v>1016.96</v>
      </c>
      <c r="G1421" s="118">
        <f>SUMIF(CONFERÊNCIA!A:A,A1421,CONFERÊNCIA!J:J)</f>
        <v>1016.96</v>
      </c>
      <c r="H1421" s="120">
        <f t="shared" si="62"/>
        <v>0</v>
      </c>
      <c r="I1421" s="171" t="s">
        <v>1234</v>
      </c>
    </row>
    <row r="1422" spans="1:9" x14ac:dyDescent="0.2">
      <c r="A1422" s="243">
        <v>112363</v>
      </c>
      <c r="B1422" s="244" t="s">
        <v>131</v>
      </c>
      <c r="C1422" s="244" t="s">
        <v>5</v>
      </c>
      <c r="D1422" s="244" t="s">
        <v>10</v>
      </c>
      <c r="E1422" s="245">
        <v>43617</v>
      </c>
      <c r="F1422" s="118">
        <v>1016.96</v>
      </c>
      <c r="G1422" s="118">
        <f>SUMIF(CONFERÊNCIA!A:A,A1422,CONFERÊNCIA!J:J)</f>
        <v>1016.96</v>
      </c>
      <c r="H1422" s="120">
        <f t="shared" si="62"/>
        <v>0</v>
      </c>
      <c r="I1422" s="171" t="s">
        <v>1234</v>
      </c>
    </row>
    <row r="1423" spans="1:9" x14ac:dyDescent="0.2">
      <c r="A1423" s="243">
        <v>114092</v>
      </c>
      <c r="B1423" s="244" t="s">
        <v>1004</v>
      </c>
      <c r="C1423" s="244" t="s">
        <v>5</v>
      </c>
      <c r="D1423" s="244" t="s">
        <v>19</v>
      </c>
      <c r="E1423" s="245">
        <v>43728</v>
      </c>
      <c r="F1423" s="118">
        <v>1016.96</v>
      </c>
      <c r="G1423" s="118">
        <f>SUMIF(CONFERÊNCIA!A:A,A1423,CONFERÊNCIA!J:J)</f>
        <v>1016.96</v>
      </c>
      <c r="H1423" s="120">
        <f t="shared" si="62"/>
        <v>0</v>
      </c>
      <c r="I1423" s="171" t="s">
        <v>1234</v>
      </c>
    </row>
    <row r="1424" spans="1:9" x14ac:dyDescent="0.2">
      <c r="A1424" s="243">
        <v>112250</v>
      </c>
      <c r="B1424" s="244" t="s">
        <v>62</v>
      </c>
      <c r="C1424" s="244" t="s">
        <v>5</v>
      </c>
      <c r="D1424" s="244" t="s">
        <v>19</v>
      </c>
      <c r="E1424" s="245">
        <v>43617</v>
      </c>
      <c r="F1424" s="118">
        <v>978.67000000000007</v>
      </c>
      <c r="G1424" s="118">
        <f>SUMIF(CONFERÊNCIA!A:A,A1424,CONFERÊNCIA!J:J)</f>
        <v>1016.96</v>
      </c>
      <c r="H1424" s="120">
        <f t="shared" si="62"/>
        <v>38.289999999999964</v>
      </c>
      <c r="I1424" s="171" t="s">
        <v>1234</v>
      </c>
    </row>
    <row r="1425" spans="1:9" x14ac:dyDescent="0.2">
      <c r="A1425" s="243">
        <v>112893</v>
      </c>
      <c r="B1425" s="244" t="s">
        <v>482</v>
      </c>
      <c r="C1425" s="244" t="s">
        <v>146</v>
      </c>
      <c r="D1425" s="244" t="s">
        <v>0</v>
      </c>
      <c r="E1425" s="245">
        <v>43617</v>
      </c>
      <c r="F1425" s="118">
        <v>1016.96</v>
      </c>
      <c r="G1425" s="118">
        <f>SUMIF(CONFERÊNCIA!A:A,A1425,CONFERÊNCIA!J:J)</f>
        <v>1016.96</v>
      </c>
      <c r="H1425" s="120">
        <f t="shared" si="62"/>
        <v>0</v>
      </c>
      <c r="I1425" s="171" t="s">
        <v>1234</v>
      </c>
    </row>
    <row r="1426" spans="1:9" x14ac:dyDescent="0.2">
      <c r="A1426" s="243">
        <v>112896</v>
      </c>
      <c r="B1426" s="244" t="s">
        <v>484</v>
      </c>
      <c r="C1426" s="244" t="s">
        <v>22</v>
      </c>
      <c r="D1426" s="244" t="s">
        <v>1589</v>
      </c>
      <c r="E1426" s="245">
        <v>43617</v>
      </c>
      <c r="F1426" s="118">
        <v>1016.96</v>
      </c>
      <c r="G1426" s="118">
        <f>SUMIF(CONFERÊNCIA!A:A,A1426,CONFERÊNCIA!J:J)</f>
        <v>1016.96</v>
      </c>
      <c r="H1426" s="120">
        <f t="shared" ref="H1426:H1446" si="63">G1426-F1426</f>
        <v>0</v>
      </c>
      <c r="I1426" s="171" t="s">
        <v>1234</v>
      </c>
    </row>
    <row r="1427" spans="1:9" x14ac:dyDescent="0.2">
      <c r="A1427" s="243">
        <v>112368</v>
      </c>
      <c r="B1427" s="244" t="s">
        <v>134</v>
      </c>
      <c r="C1427" s="244" t="s">
        <v>5</v>
      </c>
      <c r="D1427" s="244" t="s">
        <v>10</v>
      </c>
      <c r="E1427" s="245">
        <v>43617</v>
      </c>
      <c r="F1427" s="118">
        <v>1016.96</v>
      </c>
      <c r="G1427" s="118">
        <f>SUMIF(CONFERÊNCIA!A:A,A1427,CONFERÊNCIA!J:J)</f>
        <v>1016.96</v>
      </c>
      <c r="H1427" s="120">
        <f t="shared" si="63"/>
        <v>0</v>
      </c>
      <c r="I1427" s="171" t="s">
        <v>1234</v>
      </c>
    </row>
    <row r="1428" spans="1:9" x14ac:dyDescent="0.2">
      <c r="A1428" s="243">
        <v>112626</v>
      </c>
      <c r="B1428" s="244" t="s">
        <v>307</v>
      </c>
      <c r="C1428" s="244" t="s">
        <v>5</v>
      </c>
      <c r="D1428" s="244" t="s">
        <v>8</v>
      </c>
      <c r="E1428" s="245">
        <v>43617</v>
      </c>
      <c r="F1428" s="118">
        <v>1016.96</v>
      </c>
      <c r="G1428" s="118">
        <f>SUMIF(CONFERÊNCIA!A:A,A1428,CONFERÊNCIA!J:J)</f>
        <v>1016.96</v>
      </c>
      <c r="H1428" s="120">
        <f t="shared" si="63"/>
        <v>0</v>
      </c>
      <c r="I1428" s="171" t="s">
        <v>1234</v>
      </c>
    </row>
    <row r="1429" spans="1:9" x14ac:dyDescent="0.2">
      <c r="A1429" s="243">
        <v>113846</v>
      </c>
      <c r="B1429" s="244" t="s">
        <v>988</v>
      </c>
      <c r="C1429" s="244" t="s">
        <v>1452</v>
      </c>
      <c r="D1429" s="244" t="s">
        <v>1591</v>
      </c>
      <c r="E1429" s="245">
        <v>43648</v>
      </c>
      <c r="F1429" s="118">
        <v>1016.96</v>
      </c>
      <c r="G1429" s="118">
        <f>SUMIF(CONFERÊNCIA!A:A,A1429,CONFERÊNCIA!J:J)</f>
        <v>1016.96</v>
      </c>
      <c r="H1429" s="120">
        <f t="shared" si="63"/>
        <v>0</v>
      </c>
      <c r="I1429" s="171" t="s">
        <v>1234</v>
      </c>
    </row>
    <row r="1430" spans="1:9" x14ac:dyDescent="0.2">
      <c r="A1430" s="243">
        <v>112898</v>
      </c>
      <c r="B1430" s="244" t="s">
        <v>486</v>
      </c>
      <c r="C1430" s="244" t="s">
        <v>22</v>
      </c>
      <c r="D1430" s="244" t="s">
        <v>1589</v>
      </c>
      <c r="E1430" s="245">
        <v>43617</v>
      </c>
      <c r="F1430" s="118">
        <v>1016.96</v>
      </c>
      <c r="G1430" s="118">
        <f>SUMIF(CONFERÊNCIA!A:A,A1430,CONFERÊNCIA!J:J)</f>
        <v>1016.96</v>
      </c>
      <c r="H1430" s="120">
        <f t="shared" si="63"/>
        <v>0</v>
      </c>
      <c r="I1430" s="171" t="s">
        <v>1234</v>
      </c>
    </row>
    <row r="1431" spans="1:9" x14ac:dyDescent="0.2">
      <c r="A1431" s="243">
        <v>112618</v>
      </c>
      <c r="B1431" s="244" t="s">
        <v>302</v>
      </c>
      <c r="C1431" s="244" t="s">
        <v>146</v>
      </c>
      <c r="D1431" s="244" t="s">
        <v>8</v>
      </c>
      <c r="E1431" s="245">
        <v>43617</v>
      </c>
      <c r="F1431" s="118">
        <v>1016.96</v>
      </c>
      <c r="G1431" s="118">
        <f>SUMIF(CONFERÊNCIA!A:A,A1431,CONFERÊNCIA!J:J)</f>
        <v>1016.96</v>
      </c>
      <c r="H1431" s="120">
        <f t="shared" si="63"/>
        <v>0</v>
      </c>
      <c r="I1431" s="171" t="s">
        <v>1235</v>
      </c>
    </row>
    <row r="1432" spans="1:9" x14ac:dyDescent="0.2">
      <c r="A1432" s="243">
        <v>112628</v>
      </c>
      <c r="B1432" s="244" t="s">
        <v>308</v>
      </c>
      <c r="C1432" s="244" t="s">
        <v>5</v>
      </c>
      <c r="D1432" s="244" t="s">
        <v>8</v>
      </c>
      <c r="E1432" s="245">
        <v>43617</v>
      </c>
      <c r="F1432" s="118">
        <v>1016.96</v>
      </c>
      <c r="G1432" s="118">
        <f>SUMIF(CONFERÊNCIA!A:A,A1432,CONFERÊNCIA!J:J)</f>
        <v>1016.96</v>
      </c>
      <c r="H1432" s="120">
        <f t="shared" si="63"/>
        <v>0</v>
      </c>
      <c r="I1432" s="171" t="s">
        <v>1234</v>
      </c>
    </row>
    <row r="1433" spans="1:9" x14ac:dyDescent="0.2">
      <c r="A1433" s="243">
        <v>113932</v>
      </c>
      <c r="B1433" s="244" t="s">
        <v>997</v>
      </c>
      <c r="C1433" s="244" t="s">
        <v>228</v>
      </c>
      <c r="D1433" s="244" t="s">
        <v>1589</v>
      </c>
      <c r="E1433" s="245">
        <v>43683</v>
      </c>
      <c r="F1433" s="118">
        <v>1016.96</v>
      </c>
      <c r="G1433" s="118">
        <f>SUMIF(CONFERÊNCIA!A:A,A1433,CONFERÊNCIA!J:J)</f>
        <v>1016.96</v>
      </c>
      <c r="H1433" s="120">
        <f t="shared" si="63"/>
        <v>0</v>
      </c>
      <c r="I1433" s="171" t="s">
        <v>1234</v>
      </c>
    </row>
    <row r="1434" spans="1:9" x14ac:dyDescent="0.2">
      <c r="A1434" s="243">
        <v>119110</v>
      </c>
      <c r="B1434" s="244" t="s">
        <v>1453</v>
      </c>
      <c r="C1434" s="244" t="s">
        <v>5</v>
      </c>
      <c r="D1434" s="244" t="s">
        <v>8</v>
      </c>
      <c r="E1434" s="245">
        <v>44630</v>
      </c>
      <c r="F1434" s="118">
        <v>1016.96</v>
      </c>
      <c r="G1434" s="118">
        <f>SUMIF(CONFERÊNCIA!A:A,A1434,CONFERÊNCIA!J:J)</f>
        <v>1016.96</v>
      </c>
      <c r="H1434" s="120">
        <f t="shared" si="63"/>
        <v>0</v>
      </c>
      <c r="I1434" s="171" t="s">
        <v>1235</v>
      </c>
    </row>
    <row r="1435" spans="1:9" x14ac:dyDescent="0.2">
      <c r="A1435" s="243">
        <v>114265</v>
      </c>
      <c r="B1435" s="244" t="s">
        <v>1030</v>
      </c>
      <c r="C1435" s="244" t="s">
        <v>5</v>
      </c>
      <c r="D1435" s="244" t="s">
        <v>0</v>
      </c>
      <c r="E1435" s="245">
        <v>43804</v>
      </c>
      <c r="F1435" s="118">
        <v>1016.96</v>
      </c>
      <c r="G1435" s="118">
        <f>SUMIF(CONFERÊNCIA!A:A,A1435,CONFERÊNCIA!J:J)</f>
        <v>1016.96</v>
      </c>
      <c r="H1435" s="120">
        <f t="shared" si="63"/>
        <v>0</v>
      </c>
      <c r="I1435" s="171" t="s">
        <v>1234</v>
      </c>
    </row>
    <row r="1436" spans="1:9" x14ac:dyDescent="0.2">
      <c r="A1436" s="243">
        <v>112905</v>
      </c>
      <c r="B1436" s="244" t="s">
        <v>490</v>
      </c>
      <c r="C1436" s="244" t="s">
        <v>5</v>
      </c>
      <c r="D1436" s="244" t="s">
        <v>0</v>
      </c>
      <c r="E1436" s="245">
        <v>43617</v>
      </c>
      <c r="F1436" s="118">
        <v>1016.96</v>
      </c>
      <c r="G1436" s="118">
        <f>SUMIF(CONFERÊNCIA!A:A,A1436,CONFERÊNCIA!J:J)</f>
        <v>1016.96</v>
      </c>
      <c r="H1436" s="120">
        <f t="shared" si="63"/>
        <v>0</v>
      </c>
      <c r="I1436" s="171" t="s">
        <v>1234</v>
      </c>
    </row>
    <row r="1437" spans="1:9" x14ac:dyDescent="0.2">
      <c r="A1437" s="243">
        <v>112907</v>
      </c>
      <c r="B1437" s="244" t="s">
        <v>491</v>
      </c>
      <c r="C1437" s="244" t="s">
        <v>22</v>
      </c>
      <c r="D1437" s="244" t="s">
        <v>1589</v>
      </c>
      <c r="E1437" s="245">
        <v>43617</v>
      </c>
      <c r="F1437" s="118">
        <v>1016.96</v>
      </c>
      <c r="G1437" s="118">
        <f>SUMIF(CONFERÊNCIA!A:A,A1437,CONFERÊNCIA!J:J)</f>
        <v>1016.96</v>
      </c>
      <c r="H1437" s="120">
        <f t="shared" si="63"/>
        <v>0</v>
      </c>
      <c r="I1437" s="171" t="s">
        <v>1235</v>
      </c>
    </row>
    <row r="1438" spans="1:9" x14ac:dyDescent="0.2">
      <c r="A1438" s="243">
        <v>114748</v>
      </c>
      <c r="B1438" s="244" t="s">
        <v>1093</v>
      </c>
      <c r="C1438" s="244" t="s">
        <v>5</v>
      </c>
      <c r="D1438" s="244" t="s">
        <v>0</v>
      </c>
      <c r="E1438" s="245">
        <v>43874</v>
      </c>
      <c r="F1438" s="118">
        <v>1016.96</v>
      </c>
      <c r="G1438" s="118">
        <f>SUMIF(CONFERÊNCIA!A:A,A1438,CONFERÊNCIA!J:J)</f>
        <v>1016.96</v>
      </c>
      <c r="H1438" s="120">
        <f t="shared" si="63"/>
        <v>0</v>
      </c>
      <c r="I1438" s="171" t="s">
        <v>1234</v>
      </c>
    </row>
    <row r="1439" spans="1:9" x14ac:dyDescent="0.2">
      <c r="A1439" s="243">
        <v>114949</v>
      </c>
      <c r="B1439" s="244" t="s">
        <v>1103</v>
      </c>
      <c r="C1439" s="244" t="s">
        <v>15</v>
      </c>
      <c r="D1439" s="244" t="s">
        <v>1589</v>
      </c>
      <c r="E1439" s="245">
        <v>43916</v>
      </c>
      <c r="F1439" s="118">
        <v>1016.96</v>
      </c>
      <c r="G1439" s="118">
        <f>SUMIF(CONFERÊNCIA!A:A,A1439,CONFERÊNCIA!J:J)</f>
        <v>1016.96</v>
      </c>
      <c r="H1439" s="120">
        <f t="shared" si="63"/>
        <v>0</v>
      </c>
      <c r="I1439" s="171" t="s">
        <v>1234</v>
      </c>
    </row>
    <row r="1440" spans="1:9" x14ac:dyDescent="0.2">
      <c r="A1440" s="243">
        <v>113883</v>
      </c>
      <c r="B1440" s="244" t="s">
        <v>1253</v>
      </c>
      <c r="C1440" s="244" t="s">
        <v>1254</v>
      </c>
      <c r="D1440" s="244" t="s">
        <v>1252</v>
      </c>
      <c r="E1440" s="245">
        <v>43578</v>
      </c>
      <c r="F1440" s="118">
        <v>1380</v>
      </c>
      <c r="G1440" s="118">
        <f>SUMIF(CONFERÊNCIA!A:A,A1440,CONFERÊNCIA!J:J)</f>
        <v>1200</v>
      </c>
      <c r="H1440" s="120">
        <f t="shared" si="63"/>
        <v>-180</v>
      </c>
      <c r="I1440" s="171" t="s">
        <v>1234</v>
      </c>
    </row>
    <row r="1441" spans="1:9" x14ac:dyDescent="0.2">
      <c r="A1441" s="243">
        <v>112376</v>
      </c>
      <c r="B1441" s="244" t="s">
        <v>138</v>
      </c>
      <c r="C1441" s="244" t="s">
        <v>139</v>
      </c>
      <c r="D1441" s="244" t="s">
        <v>1589</v>
      </c>
      <c r="E1441" s="245">
        <v>43617</v>
      </c>
      <c r="F1441" s="118">
        <v>1016.96</v>
      </c>
      <c r="G1441" s="118">
        <f>SUMIF(CONFERÊNCIA!A:A,A1441,CONFERÊNCIA!J:J)</f>
        <v>1016.96</v>
      </c>
      <c r="H1441" s="120">
        <f t="shared" si="63"/>
        <v>0</v>
      </c>
      <c r="I1441" s="171" t="s">
        <v>1234</v>
      </c>
    </row>
    <row r="1442" spans="1:9" x14ac:dyDescent="0.2">
      <c r="A1442" s="243">
        <v>112911</v>
      </c>
      <c r="B1442" s="244" t="s">
        <v>494</v>
      </c>
      <c r="C1442" s="244" t="s">
        <v>22</v>
      </c>
      <c r="D1442" s="244" t="s">
        <v>1589</v>
      </c>
      <c r="E1442" s="245">
        <v>43617</v>
      </c>
      <c r="F1442" s="118">
        <v>1016.96</v>
      </c>
      <c r="G1442" s="118">
        <f>SUMIF(CONFERÊNCIA!A:A,A1442,CONFERÊNCIA!J:J)</f>
        <v>1016.96</v>
      </c>
      <c r="H1442" s="120">
        <f t="shared" si="63"/>
        <v>0</v>
      </c>
      <c r="I1442" s="171" t="s">
        <v>1235</v>
      </c>
    </row>
    <row r="1443" spans="1:9" x14ac:dyDescent="0.2">
      <c r="A1443" s="243">
        <v>112683</v>
      </c>
      <c r="B1443" s="244" t="s">
        <v>339</v>
      </c>
      <c r="C1443" s="244" t="s">
        <v>5</v>
      </c>
      <c r="D1443" s="244" t="s">
        <v>0</v>
      </c>
      <c r="E1443" s="245">
        <v>43617</v>
      </c>
      <c r="F1443" s="118">
        <v>1016.96</v>
      </c>
      <c r="G1443" s="118">
        <f>SUMIF(CONFERÊNCIA!A:A,A1443,CONFERÊNCIA!J:J)</f>
        <v>1016.96</v>
      </c>
      <c r="H1443" s="120">
        <f t="shared" si="63"/>
        <v>0</v>
      </c>
      <c r="I1443" s="171" t="s">
        <v>1234</v>
      </c>
    </row>
    <row r="1444" spans="1:9" x14ac:dyDescent="0.2">
      <c r="A1444" s="243">
        <v>112805</v>
      </c>
      <c r="B1444" s="244" t="s">
        <v>424</v>
      </c>
      <c r="C1444" s="244" t="s">
        <v>425</v>
      </c>
      <c r="D1444" s="244" t="s">
        <v>1589</v>
      </c>
      <c r="E1444" s="245">
        <v>43617</v>
      </c>
      <c r="F1444" s="118">
        <v>1016.96</v>
      </c>
      <c r="G1444" s="118">
        <f>SUMIF(CONFERÊNCIA!A:A,A1444,CONFERÊNCIA!J:J)</f>
        <v>1016.96</v>
      </c>
      <c r="H1444" s="120">
        <f t="shared" si="63"/>
        <v>0</v>
      </c>
      <c r="I1444" s="171" t="s">
        <v>1234</v>
      </c>
    </row>
    <row r="1445" spans="1:9" x14ac:dyDescent="0.2">
      <c r="A1445" s="243">
        <v>112685</v>
      </c>
      <c r="B1445" s="244" t="s">
        <v>341</v>
      </c>
      <c r="C1445" s="244" t="s">
        <v>5</v>
      </c>
      <c r="D1445" s="244" t="s">
        <v>10</v>
      </c>
      <c r="E1445" s="245">
        <v>43617</v>
      </c>
      <c r="F1445" s="118">
        <v>1131.81</v>
      </c>
      <c r="G1445" s="118">
        <f>SUMIF(CONFERÊNCIA!A:A,A1445,CONFERÊNCIA!J:J)</f>
        <v>1016.96</v>
      </c>
      <c r="H1445" s="120">
        <f t="shared" si="63"/>
        <v>-114.84999999999991</v>
      </c>
      <c r="I1445" s="171" t="s">
        <v>1234</v>
      </c>
    </row>
    <row r="1446" spans="1:9" ht="12" thickBot="1" x14ac:dyDescent="0.25">
      <c r="A1446" s="246">
        <v>112918</v>
      </c>
      <c r="B1446" s="247" t="s">
        <v>497</v>
      </c>
      <c r="C1446" s="247" t="s">
        <v>22</v>
      </c>
      <c r="D1446" s="247" t="s">
        <v>1589</v>
      </c>
      <c r="E1446" s="248">
        <v>43617</v>
      </c>
      <c r="F1446" s="249">
        <v>1016.96</v>
      </c>
      <c r="G1446" s="249">
        <f>SUMIF(CONFERÊNCIA!A:A,A1446,CONFERÊNCIA!J:J)</f>
        <v>1016.96</v>
      </c>
      <c r="H1446" s="120">
        <f t="shared" si="63"/>
        <v>0</v>
      </c>
      <c r="I1446" s="171" t="s">
        <v>1234</v>
      </c>
    </row>
    <row r="1447" spans="1:9" ht="16.5" thickBot="1" x14ac:dyDescent="0.3">
      <c r="F1447" s="250">
        <f>SUM(F2:F1446)</f>
        <v>1452482.299999973</v>
      </c>
      <c r="G1447" s="251">
        <f>SUM(G2:G1446)</f>
        <v>1441755.1999999727</v>
      </c>
      <c r="H1447" s="123">
        <f>SUM(H2:H1446)</f>
        <v>-10727.099999999997</v>
      </c>
      <c r="I1447" s="123">
        <f>SUM(I2:I1446)</f>
        <v>0</v>
      </c>
    </row>
  </sheetData>
  <autoFilter ref="A1:I1447" xr:uid="{E47DDFF4-D76C-47DE-B7AC-C433D173D5A1}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</vt:i4>
      </vt:variant>
    </vt:vector>
  </HeadingPairs>
  <TitlesOfParts>
    <vt:vector size="14" baseType="lpstr">
      <vt:lpstr>CONFERÊNCIA</vt:lpstr>
      <vt:lpstr>FALTAS</vt:lpstr>
      <vt:lpstr>VA</vt:lpstr>
      <vt:lpstr>VR</vt:lpstr>
      <vt:lpstr>2vias</vt:lpstr>
      <vt:lpstr>RELATORIO</vt:lpstr>
      <vt:lpstr>RESUMO</vt:lpstr>
      <vt:lpstr>TABELA VA.VR </vt:lpstr>
      <vt:lpstr>TABELA</vt:lpstr>
      <vt:lpstr>MES A MES</vt:lpstr>
      <vt:lpstr>'2vias'!Area_de_impressao</vt:lpstr>
      <vt:lpstr>CONFERÊNCIA!Area_de_impressao</vt:lpstr>
      <vt:lpstr>RESUMO!Area_de_impressao</vt:lpstr>
      <vt:lpstr>'TABELA VA.VR 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Neto</dc:creator>
  <cp:lastModifiedBy>Antonio Neto</cp:lastModifiedBy>
  <cp:lastPrinted>2023-09-01T11:27:01Z</cp:lastPrinted>
  <dcterms:created xsi:type="dcterms:W3CDTF">2021-08-05T14:26:31Z</dcterms:created>
  <dcterms:modified xsi:type="dcterms:W3CDTF">2023-09-15T19:14:27Z</dcterms:modified>
</cp:coreProperties>
</file>